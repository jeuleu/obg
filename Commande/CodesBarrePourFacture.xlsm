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</sheets>
  <functionGroups builtInGroupCount="18"/>
  <definedNames>
    <definedName name="baseFichierTraite">#REF!</definedName>
    <definedName name="listeFichierPDF">#REF!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O8" i="1" l="1"/>
  <c r="O10" i="1" s="1"/>
  <c r="C159" i="1"/>
  <c r="D159" i="1"/>
  <c r="K160" i="1"/>
  <c r="A179" i="1"/>
  <c r="E178" i="1"/>
  <c r="F201" i="1"/>
  <c r="A188" i="1"/>
  <c r="J180" i="1"/>
  <c r="M166" i="1"/>
  <c r="G156" i="1"/>
  <c r="K180" i="1"/>
  <c r="B189" i="1"/>
  <c r="H181" i="1"/>
  <c r="A186" i="1"/>
  <c r="G215" i="1"/>
  <c r="K233" i="1"/>
  <c r="F154" i="1"/>
  <c r="K170" i="1"/>
  <c r="B187" i="1"/>
  <c r="F190" i="1"/>
  <c r="A208" i="1"/>
  <c r="E232" i="1"/>
  <c r="L170" i="1"/>
  <c r="D209" i="1"/>
  <c r="C187" i="1"/>
  <c r="C214" i="1"/>
  <c r="G232" i="1"/>
  <c r="G177" i="1"/>
  <c r="B249" i="1"/>
  <c r="L204" i="1"/>
  <c r="I252" i="1"/>
  <c r="K155" i="1"/>
  <c r="D155" i="1"/>
  <c r="E157" i="1"/>
  <c r="I175" i="1"/>
  <c r="F173" i="1"/>
  <c r="F197" i="1"/>
  <c r="B183" i="1"/>
  <c r="H170" i="1"/>
  <c r="E162" i="1"/>
  <c r="B170" i="1"/>
  <c r="C176" i="1"/>
  <c r="M182" i="1"/>
  <c r="B175" i="1"/>
  <c r="E172" i="1"/>
  <c r="A212" i="1"/>
  <c r="E230" i="1"/>
  <c r="G167" i="1"/>
  <c r="K164" i="1"/>
  <c r="H177" i="1"/>
  <c r="E182" i="1"/>
  <c r="A203" i="1"/>
  <c r="K227" i="1"/>
  <c r="K249" i="1"/>
  <c r="D205" i="1"/>
  <c r="A178" i="1"/>
  <c r="K210" i="1"/>
  <c r="A229" i="1"/>
  <c r="E247" i="1"/>
  <c r="B241" i="1"/>
  <c r="C175" i="1"/>
  <c r="B248" i="1"/>
  <c r="C153" i="1"/>
  <c r="G161" i="1"/>
  <c r="L161" i="1"/>
  <c r="A163" i="1"/>
  <c r="E181" i="1"/>
  <c r="K181" i="1"/>
  <c r="D204" i="1"/>
  <c r="J190" i="1"/>
  <c r="H187" i="1"/>
  <c r="A170" i="1"/>
  <c r="E159" i="1"/>
  <c r="M183" i="1"/>
  <c r="L192" i="1"/>
  <c r="B186" i="1"/>
  <c r="M192" i="1"/>
  <c r="K217" i="1"/>
  <c r="A236" i="1"/>
  <c r="J158" i="1"/>
  <c r="A175" i="1"/>
  <c r="J191" i="1"/>
  <c r="D195" i="1"/>
  <c r="C211" i="1"/>
  <c r="G235" i="1"/>
  <c r="B177" i="1"/>
  <c r="L211" i="1"/>
  <c r="I192" i="1"/>
  <c r="G216" i="1"/>
  <c r="K234" i="1"/>
  <c r="G198" i="1"/>
  <c r="H252" i="1"/>
  <c r="D216" i="1"/>
  <c r="M254" i="1"/>
  <c r="G153" i="1"/>
  <c r="F152" i="1"/>
  <c r="A155" i="1"/>
  <c r="E173" i="1"/>
  <c r="B167" i="1"/>
  <c r="L194" i="1"/>
  <c r="J179" i="1"/>
  <c r="J202" i="1"/>
  <c r="E158" i="1"/>
  <c r="F166" i="1"/>
  <c r="A173" i="1"/>
  <c r="J178" i="1"/>
  <c r="L168" i="1"/>
  <c r="F202" i="1"/>
  <c r="K209" i="1"/>
  <c r="A228" i="1"/>
  <c r="C163" i="1"/>
  <c r="G160" i="1"/>
  <c r="D172" i="1"/>
  <c r="L175" i="1"/>
  <c r="C195" i="1"/>
  <c r="M224" i="1"/>
  <c r="G247" i="1"/>
  <c r="I201" i="1"/>
  <c r="J169" i="1"/>
  <c r="G208" i="1"/>
  <c r="K226" i="1"/>
  <c r="A245" i="1"/>
  <c r="F235" i="1"/>
  <c r="K252" i="1"/>
  <c r="F242" i="1"/>
  <c r="A255" i="1"/>
  <c r="B231" i="1"/>
  <c r="G155" i="1"/>
  <c r="E168" i="1"/>
  <c r="C156" i="1"/>
  <c r="I183" i="1"/>
  <c r="L190" i="1"/>
  <c r="C181" i="1"/>
  <c r="E192" i="1"/>
  <c r="D161" i="1"/>
  <c r="K174" i="1"/>
  <c r="H196" i="1"/>
  <c r="D197" i="1"/>
  <c r="M210" i="1"/>
  <c r="E238" i="1"/>
  <c r="G154" i="1"/>
  <c r="D175" i="1"/>
  <c r="L199" i="1"/>
  <c r="E220" i="1"/>
  <c r="I248" i="1"/>
  <c r="F214" i="1"/>
  <c r="A205" i="1"/>
  <c r="M227" i="1"/>
  <c r="H212" i="1"/>
  <c r="D231" i="1"/>
  <c r="D245" i="1"/>
  <c r="E160" i="1"/>
  <c r="L165" i="1"/>
  <c r="A171" i="1"/>
  <c r="L179" i="1"/>
  <c r="H166" i="1"/>
  <c r="B200" i="1"/>
  <c r="I168" i="1"/>
  <c r="M163" i="1"/>
  <c r="B174" i="1"/>
  <c r="L183" i="1"/>
  <c r="A202" i="1"/>
  <c r="K225" i="1"/>
  <c r="J156" i="1"/>
  <c r="A181" i="1"/>
  <c r="J167" i="1"/>
  <c r="G209" i="1"/>
  <c r="A240" i="1"/>
  <c r="A197" i="1"/>
  <c r="E190" i="1"/>
  <c r="M219" i="1"/>
  <c r="K242" i="1"/>
  <c r="B251" i="1"/>
  <c r="F226" i="1"/>
  <c r="J246" i="1"/>
  <c r="A166" i="1"/>
  <c r="M153" i="1"/>
  <c r="K176" i="1"/>
  <c r="D188" i="1"/>
  <c r="B178" i="1"/>
  <c r="L173" i="1"/>
  <c r="H157" i="1"/>
  <c r="I171" i="1"/>
  <c r="C185" i="1"/>
  <c r="L193" i="1"/>
  <c r="I208" i="1"/>
  <c r="G231" i="1"/>
  <c r="J168" i="1"/>
  <c r="J163" i="1"/>
  <c r="F185" i="1"/>
  <c r="C217" i="1"/>
  <c r="E246" i="1"/>
  <c r="F206" i="1"/>
  <c r="K201" i="1"/>
  <c r="I225" i="1"/>
  <c r="G248" i="1"/>
  <c r="D212" i="1"/>
  <c r="B240" i="1"/>
  <c r="M158" i="1"/>
  <c r="L157" i="1"/>
  <c r="C164" i="1"/>
  <c r="A187" i="1"/>
  <c r="D200" i="1"/>
  <c r="B192" i="1"/>
  <c r="C199" i="1"/>
  <c r="K154" i="1"/>
  <c r="E185" i="1"/>
  <c r="J201" i="1"/>
  <c r="G181" i="1"/>
  <c r="M218" i="1"/>
  <c r="K241" i="1"/>
  <c r="A169" i="1"/>
  <c r="D194" i="1"/>
  <c r="I174" i="1"/>
  <c r="M230" i="1"/>
  <c r="B180" i="1"/>
  <c r="F218" i="1"/>
  <c r="A213" i="1"/>
  <c r="M235" i="1"/>
  <c r="B225" i="1"/>
  <c r="K196" i="1"/>
  <c r="A256" i="1"/>
  <c r="J217" i="1"/>
  <c r="C158" i="1"/>
  <c r="F184" i="1"/>
  <c r="D201" i="1"/>
  <c r="M222" i="1"/>
  <c r="H164" i="1"/>
  <c r="D215" i="1"/>
  <c r="A207" i="1"/>
  <c r="I231" i="1"/>
  <c r="L214" i="1"/>
  <c r="B246" i="1"/>
  <c r="K251" i="1"/>
  <c r="F229" i="1"/>
  <c r="J215" i="1"/>
  <c r="H165" i="1"/>
  <c r="D168" i="1"/>
  <c r="D189" i="1"/>
  <c r="C215" i="1"/>
  <c r="I246" i="1"/>
  <c r="F208" i="1"/>
  <c r="M198" i="1"/>
  <c r="M225" i="1"/>
  <c r="F171" i="1"/>
  <c r="D256" i="1"/>
  <c r="J240" i="1"/>
  <c r="J209" i="1"/>
  <c r="D170" i="1"/>
  <c r="H153" i="1"/>
  <c r="I181" i="1"/>
  <c r="E174" i="1"/>
  <c r="K207" i="1"/>
  <c r="M251" i="1"/>
  <c r="E166" i="1"/>
  <c r="C174" i="1"/>
  <c r="H204" i="1"/>
  <c r="M200" i="1"/>
  <c r="C235" i="1"/>
  <c r="A193" i="1"/>
  <c r="H176" i="1"/>
  <c r="C216" i="1"/>
  <c r="K240" i="1"/>
  <c r="F239" i="1"/>
  <c r="B215" i="1"/>
  <c r="H233" i="1"/>
  <c r="B247" i="1"/>
  <c r="M152" i="1"/>
  <c r="D228" i="1"/>
  <c r="I155" i="1"/>
  <c r="D180" i="1"/>
  <c r="B198" i="1"/>
  <c r="M220" i="1"/>
  <c r="I250" i="1"/>
  <c r="H213" i="1"/>
  <c r="I205" i="1"/>
  <c r="M229" i="1"/>
  <c r="B209" i="1"/>
  <c r="L235" i="1"/>
  <c r="J249" i="1"/>
  <c r="H226" i="1"/>
  <c r="G202" i="1"/>
  <c r="F162" i="1"/>
  <c r="F153" i="1"/>
  <c r="K185" i="1"/>
  <c r="G213" i="1"/>
  <c r="M244" i="1"/>
  <c r="J206" i="1"/>
  <c r="A196" i="1"/>
  <c r="C224" i="1"/>
  <c r="K248" i="1"/>
  <c r="H254" i="1"/>
  <c r="J236" i="1"/>
  <c r="K203" i="1"/>
  <c r="H255" i="1"/>
  <c r="E170" i="1"/>
  <c r="G178" i="1"/>
  <c r="J170" i="1"/>
  <c r="K205" i="1"/>
  <c r="A238" i="1"/>
  <c r="L200" i="1"/>
  <c r="B171" i="1"/>
  <c r="D208" i="1"/>
  <c r="D169" i="1"/>
  <c r="F192" i="1"/>
  <c r="A248" i="1"/>
  <c r="E202" i="1"/>
  <c r="I186" i="1"/>
  <c r="B244" i="1"/>
  <c r="L185" i="1"/>
  <c r="C184" i="1"/>
  <c r="A210" i="1"/>
  <c r="B169" i="1"/>
  <c r="G179" i="1"/>
  <c r="H207" i="1"/>
  <c r="A225" i="1"/>
  <c r="F255" i="1"/>
  <c r="D206" i="1"/>
  <c r="B243" i="1"/>
  <c r="L205" i="1"/>
  <c r="H155" i="1"/>
  <c r="C241" i="1"/>
  <c r="E245" i="1"/>
  <c r="F252" i="1"/>
  <c r="C177" i="1"/>
  <c r="G219" i="1"/>
  <c r="B212" i="1"/>
  <c r="K228" i="1"/>
  <c r="L227" i="1"/>
  <c r="J223" i="1"/>
  <c r="B160" i="1"/>
  <c r="J182" i="1"/>
  <c r="E242" i="1"/>
  <c r="C155" i="1"/>
  <c r="I228" i="1"/>
  <c r="D203" i="1"/>
  <c r="M193" i="1"/>
  <c r="L245" i="1"/>
  <c r="A191" i="1"/>
  <c r="H200" i="1"/>
  <c r="K232" i="1"/>
  <c r="D232" i="1"/>
  <c r="G159" i="1"/>
  <c r="I230" i="1"/>
  <c r="K204" i="1"/>
  <c r="G204" i="1"/>
  <c r="J248" i="1"/>
  <c r="G175" i="1"/>
  <c r="I229" i="1"/>
  <c r="L224" i="1"/>
  <c r="J210" i="1"/>
  <c r="B245" i="1"/>
  <c r="L167" i="1"/>
  <c r="K247" i="1"/>
  <c r="H183" i="1"/>
  <c r="L182" i="1"/>
  <c r="L188" i="1"/>
  <c r="G225" i="1"/>
  <c r="H217" i="1"/>
  <c r="E233" i="1"/>
  <c r="G254" i="1"/>
  <c r="H234" i="1"/>
  <c r="H169" i="1"/>
  <c r="D193" i="1"/>
  <c r="K243" i="1"/>
  <c r="A168" i="1"/>
  <c r="I236" i="1"/>
  <c r="K206" i="1"/>
  <c r="J213" i="1"/>
  <c r="C251" i="1"/>
  <c r="B211" i="1"/>
  <c r="D191" i="1"/>
  <c r="K238" i="1"/>
  <c r="J243" i="1"/>
  <c r="M170" i="1"/>
  <c r="M238" i="1"/>
  <c r="M207" i="1"/>
  <c r="F219" i="1"/>
  <c r="E252" i="1"/>
  <c r="L154" i="1"/>
  <c r="I235" i="1"/>
  <c r="H238" i="1"/>
  <c r="A160" i="1"/>
  <c r="F164" i="1"/>
  <c r="G174" i="1"/>
  <c r="D196" i="1"/>
  <c r="J198" i="1"/>
  <c r="B154" i="1"/>
  <c r="K186" i="1"/>
  <c r="F172" i="1"/>
  <c r="E206" i="1"/>
  <c r="M154" i="1"/>
  <c r="K178" i="1"/>
  <c r="M178" i="1"/>
  <c r="E226" i="1"/>
  <c r="K194" i="1"/>
  <c r="C197" i="1"/>
  <c r="A237" i="1"/>
  <c r="D238" i="1"/>
  <c r="F234" i="1"/>
  <c r="M164" i="1"/>
  <c r="M161" i="1"/>
  <c r="J155" i="1"/>
  <c r="D176" i="1"/>
  <c r="I194" i="1"/>
  <c r="M157" i="1"/>
  <c r="B191" i="1"/>
  <c r="D199" i="1"/>
  <c r="C221" i="1"/>
  <c r="B166" i="1"/>
  <c r="J189" i="1"/>
  <c r="L186" i="1"/>
  <c r="C245" i="1"/>
  <c r="L215" i="1"/>
  <c r="E215" i="1"/>
  <c r="E189" i="1"/>
  <c r="D239" i="1"/>
  <c r="F213" i="1"/>
  <c r="I170" i="1"/>
  <c r="I167" i="1"/>
  <c r="M174" i="1"/>
  <c r="I184" i="1"/>
  <c r="A156" i="1"/>
  <c r="I165" i="1"/>
  <c r="J199" i="1"/>
  <c r="B176" i="1"/>
  <c r="M226" i="1"/>
  <c r="K158" i="1"/>
  <c r="B201" i="1"/>
  <c r="M204" i="1"/>
  <c r="M250" i="1"/>
  <c r="H160" i="1"/>
  <c r="A221" i="1"/>
  <c r="D222" i="1"/>
  <c r="F187" i="1"/>
  <c r="E154" i="1"/>
  <c r="D163" i="1"/>
  <c r="M177" i="1"/>
  <c r="F189" i="1"/>
  <c r="H197" i="1"/>
  <c r="B152" i="1"/>
  <c r="E179" i="1"/>
  <c r="D179" i="1"/>
  <c r="C205" i="1"/>
  <c r="C237" i="1"/>
  <c r="A177" i="1"/>
  <c r="J187" i="1"/>
  <c r="I218" i="1"/>
  <c r="G192" i="1"/>
  <c r="M194" i="1"/>
  <c r="E231" i="1"/>
  <c r="D246" i="1"/>
  <c r="B232" i="1"/>
  <c r="K192" i="1"/>
  <c r="E169" i="1"/>
  <c r="A172" i="1"/>
  <c r="M214" i="1"/>
  <c r="G185" i="1"/>
  <c r="M184" i="1"/>
  <c r="E225" i="1"/>
  <c r="H232" i="1"/>
  <c r="D225" i="1"/>
  <c r="H208" i="1"/>
  <c r="I251" i="1"/>
  <c r="I169" i="1"/>
  <c r="H173" i="1"/>
  <c r="K223" i="1"/>
  <c r="D186" i="1"/>
  <c r="J185" i="1"/>
  <c r="M231" i="1"/>
  <c r="J233" i="1"/>
  <c r="L225" i="1"/>
  <c r="H230" i="1"/>
  <c r="A253" i="1"/>
  <c r="G170" i="1"/>
  <c r="L189" i="1"/>
  <c r="A224" i="1"/>
  <c r="I152" i="1"/>
  <c r="I185" i="1"/>
  <c r="F194" i="1"/>
  <c r="C227" i="1"/>
  <c r="E204" i="1"/>
  <c r="A204" i="1"/>
  <c r="G234" i="1"/>
  <c r="D252" i="1"/>
  <c r="F246" i="1"/>
  <c r="D236" i="1"/>
  <c r="I166" i="1"/>
  <c r="M168" i="1"/>
  <c r="M187" i="1"/>
  <c r="K183" i="1"/>
  <c r="G237" i="1"/>
  <c r="B206" i="1"/>
  <c r="I211" i="1"/>
  <c r="C242" i="1"/>
  <c r="D254" i="1"/>
  <c r="E256" i="1"/>
  <c r="F249" i="1"/>
  <c r="K169" i="1"/>
  <c r="B182" i="1"/>
  <c r="D185" i="1"/>
  <c r="K237" i="1"/>
  <c r="L213" i="1"/>
  <c r="C212" i="1"/>
  <c r="G242" i="1"/>
  <c r="H237" i="1"/>
  <c r="I256" i="1"/>
  <c r="L249" i="1"/>
  <c r="H163" i="1"/>
  <c r="H182" i="1"/>
  <c r="E188" i="1"/>
  <c r="B238" i="1"/>
  <c r="C233" i="1"/>
  <c r="H236" i="1"/>
  <c r="G172" i="1"/>
  <c r="G217" i="1"/>
  <c r="J172" i="1"/>
  <c r="B237" i="1"/>
  <c r="H216" i="1"/>
  <c r="C162" i="1"/>
  <c r="A226" i="1"/>
  <c r="G200" i="1"/>
  <c r="E250" i="1"/>
  <c r="E237" i="1"/>
  <c r="F238" i="1"/>
  <c r="J250" i="1"/>
  <c r="I200" i="1"/>
  <c r="I176" i="1"/>
  <c r="K220" i="1"/>
  <c r="E164" i="1"/>
  <c r="L195" i="1"/>
  <c r="I193" i="1"/>
  <c r="A241" i="1"/>
  <c r="H247" i="1"/>
  <c r="A154" i="1"/>
  <c r="F178" i="1"/>
  <c r="L174" i="1"/>
  <c r="D182" i="1"/>
  <c r="M215" i="1"/>
  <c r="J222" i="1"/>
  <c r="H246" i="1"/>
  <c r="M232" i="1"/>
  <c r="C252" i="1"/>
  <c r="E200" i="1"/>
  <c r="J184" i="1"/>
  <c r="E229" i="1"/>
  <c r="H218" i="1"/>
  <c r="M240" i="1"/>
  <c r="B234" i="1"/>
  <c r="E210" i="1"/>
  <c r="C203" i="1"/>
  <c r="H191" i="1"/>
  <c r="A227" i="1"/>
  <c r="B156" i="1"/>
  <c r="H168" i="1"/>
  <c r="K202" i="1"/>
  <c r="I245" i="1"/>
  <c r="G253" i="1"/>
  <c r="I164" i="1"/>
  <c r="A198" i="1"/>
  <c r="I178" i="1"/>
  <c r="C204" i="1"/>
  <c r="A219" i="1"/>
  <c r="F244" i="1"/>
  <c r="H250" i="1"/>
  <c r="C247" i="1"/>
  <c r="B207" i="1"/>
  <c r="E218" i="1"/>
  <c r="C198" i="1"/>
  <c r="C232" i="1"/>
  <c r="H227" i="1"/>
  <c r="K171" i="1"/>
  <c r="D181" i="1"/>
  <c r="I226" i="1"/>
  <c r="F245" i="1"/>
  <c r="C225" i="1"/>
  <c r="G211" i="1"/>
  <c r="G190" i="1"/>
  <c r="I197" i="1"/>
  <c r="H231" i="1"/>
  <c r="B161" i="1"/>
  <c r="J183" i="1"/>
  <c r="C226" i="1"/>
  <c r="F237" i="1"/>
  <c r="F253" i="1"/>
  <c r="J237" i="1"/>
  <c r="C192" i="1"/>
  <c r="L217" i="1"/>
  <c r="M19" i="1"/>
  <c r="I32" i="1"/>
  <c r="M85" i="1"/>
  <c r="M113" i="1"/>
  <c r="F53" i="1"/>
  <c r="H52" i="1"/>
  <c r="D150" i="1"/>
  <c r="F73" i="1"/>
  <c r="E64" i="1"/>
  <c r="G142" i="1"/>
  <c r="I7" i="1"/>
  <c r="J99" i="1"/>
  <c r="B12" i="1"/>
  <c r="L1" i="1"/>
  <c r="E145" i="1"/>
  <c r="M105" i="1"/>
  <c r="M34" i="1"/>
  <c r="E47" i="1"/>
  <c r="B149" i="1"/>
  <c r="J148" i="1"/>
  <c r="B46" i="1"/>
  <c r="D73" i="1"/>
  <c r="A25" i="1"/>
  <c r="K67" i="1"/>
  <c r="G106" i="1"/>
  <c r="D14" i="1"/>
  <c r="F69" i="1"/>
  <c r="D227" i="1"/>
  <c r="A235" i="1"/>
  <c r="F196" i="1"/>
  <c r="M209" i="1"/>
  <c r="A194" i="1"/>
  <c r="B203" i="1"/>
  <c r="H219" i="1"/>
  <c r="D178" i="1"/>
  <c r="H179" i="1"/>
  <c r="A180" i="1"/>
  <c r="F230" i="1"/>
  <c r="K230" i="1"/>
  <c r="I196" i="1"/>
  <c r="M51" i="1"/>
  <c r="M24" i="1"/>
  <c r="M44" i="1"/>
  <c r="C22" i="1"/>
  <c r="D83" i="1"/>
  <c r="C111" i="1"/>
  <c r="D133" i="1"/>
  <c r="C54" i="1"/>
  <c r="G109" i="1"/>
  <c r="C64" i="1"/>
  <c r="F60" i="1"/>
  <c r="J132" i="1"/>
  <c r="M40" i="1"/>
  <c r="L137" i="1"/>
  <c r="J31" i="1"/>
  <c r="G84" i="1"/>
  <c r="D132" i="1"/>
  <c r="J85" i="1"/>
  <c r="A16" i="1"/>
  <c r="B132" i="1"/>
  <c r="M50" i="1"/>
  <c r="J29" i="1"/>
  <c r="E61" i="1"/>
  <c r="H118" i="1"/>
  <c r="K52" i="1"/>
  <c r="A151" i="1"/>
  <c r="A27" i="1"/>
  <c r="H125" i="1"/>
  <c r="I145" i="1"/>
  <c r="J147" i="1"/>
  <c r="B83" i="1"/>
  <c r="A24" i="1"/>
  <c r="E45" i="1"/>
  <c r="L99" i="1"/>
  <c r="H54" i="1"/>
  <c r="F92" i="1"/>
  <c r="L63" i="1"/>
  <c r="D137" i="1"/>
  <c r="I154" i="1"/>
  <c r="L169" i="1"/>
  <c r="C188" i="1"/>
  <c r="L160" i="1"/>
  <c r="F159" i="1"/>
  <c r="B168" i="1"/>
  <c r="L171" i="1"/>
  <c r="B190" i="1"/>
  <c r="A220" i="1"/>
  <c r="C165" i="1"/>
  <c r="E187" i="1"/>
  <c r="C179" i="1"/>
  <c r="I238" i="1"/>
  <c r="H203" i="1"/>
  <c r="I209" i="1"/>
  <c r="I241" i="1"/>
  <c r="B255" i="1"/>
  <c r="A152" i="1"/>
  <c r="G169" i="1"/>
  <c r="G166" i="1"/>
  <c r="J186" i="1"/>
  <c r="H189" i="1"/>
  <c r="K153" i="1"/>
  <c r="C170" i="1"/>
  <c r="D198" i="1"/>
  <c r="G189" i="1"/>
  <c r="M234" i="1"/>
  <c r="K156" i="1"/>
  <c r="B199" i="1"/>
  <c r="K215" i="1"/>
  <c r="A174" i="1"/>
  <c r="D221" i="1"/>
  <c r="G224" i="1"/>
  <c r="D218" i="1"/>
  <c r="H210" i="1"/>
  <c r="K157" i="1"/>
  <c r="F156" i="1"/>
  <c r="C172" i="1"/>
  <c r="F193" i="1"/>
  <c r="B196" i="1"/>
  <c r="A164" i="1"/>
  <c r="I177" i="1"/>
  <c r="B163" i="1"/>
  <c r="L203" i="1"/>
  <c r="I240" i="1"/>
  <c r="K166" i="1"/>
  <c r="C173" i="1"/>
  <c r="C223" i="1"/>
  <c r="C190" i="1"/>
  <c r="B181" i="1"/>
  <c r="C230" i="1"/>
  <c r="B233" i="1"/>
  <c r="D229" i="1"/>
  <c r="A158" i="1"/>
  <c r="F168" i="1"/>
  <c r="G182" i="1"/>
  <c r="D156" i="1"/>
  <c r="M176" i="1"/>
  <c r="H159" i="1"/>
  <c r="L164" i="1"/>
  <c r="F188" i="1"/>
  <c r="E214" i="1"/>
  <c r="C171" i="1"/>
  <c r="A185" i="1"/>
  <c r="L197" i="1"/>
  <c r="M236" i="1"/>
  <c r="L207" i="1"/>
  <c r="I203" i="1"/>
  <c r="G240" i="1"/>
  <c r="J253" i="1"/>
  <c r="G251" i="1"/>
  <c r="K159" i="1"/>
  <c r="M179" i="1"/>
  <c r="J188" i="1"/>
  <c r="C231" i="1"/>
  <c r="K198" i="1"/>
  <c r="E198" i="1"/>
  <c r="I237" i="1"/>
  <c r="L246" i="1"/>
  <c r="H239" i="1"/>
  <c r="F241" i="1"/>
  <c r="K161" i="1"/>
  <c r="G180" i="1"/>
  <c r="L201" i="1"/>
  <c r="K231" i="1"/>
  <c r="M199" i="1"/>
  <c r="I207" i="1"/>
  <c r="M237" i="1"/>
  <c r="F247" i="1"/>
  <c r="A252" i="1"/>
  <c r="H242" i="1"/>
  <c r="A162" i="1"/>
  <c r="F169" i="1"/>
  <c r="H152" i="1"/>
  <c r="A232" i="1"/>
  <c r="F158" i="1"/>
  <c r="L176" i="1"/>
  <c r="F175" i="1"/>
  <c r="C243" i="1"/>
  <c r="H211" i="1"/>
  <c r="C210" i="1"/>
  <c r="K246" i="1"/>
  <c r="J226" i="1"/>
  <c r="I254" i="1"/>
  <c r="L253" i="1"/>
  <c r="A182" i="1"/>
  <c r="B162" i="1"/>
  <c r="B195" i="1"/>
  <c r="I204" i="1"/>
  <c r="I244" i="1"/>
  <c r="F220" i="1"/>
  <c r="M217" i="1"/>
  <c r="C248" i="1"/>
  <c r="E184" i="1"/>
  <c r="H241" i="1"/>
  <c r="D255" i="1"/>
  <c r="M155" i="1"/>
  <c r="F195" i="1"/>
  <c r="G205" i="1"/>
  <c r="B153" i="1"/>
  <c r="J220" i="1"/>
  <c r="C218" i="1"/>
  <c r="D210" i="1"/>
  <c r="M189" i="1"/>
  <c r="D243" i="1"/>
  <c r="F205" i="1"/>
  <c r="A157" i="1"/>
  <c r="J195" i="1"/>
  <c r="K213" i="1"/>
  <c r="G163" i="1"/>
  <c r="I189" i="1"/>
  <c r="B222" i="1"/>
  <c r="K173" i="1"/>
  <c r="G233" i="1"/>
  <c r="A215" i="1"/>
  <c r="H214" i="1"/>
  <c r="L244" i="1"/>
  <c r="D190" i="1"/>
  <c r="E240" i="1"/>
  <c r="E155" i="1"/>
  <c r="J153" i="1"/>
  <c r="E249" i="1"/>
  <c r="J173" i="1"/>
  <c r="M253" i="1"/>
  <c r="G226" i="1"/>
  <c r="M208" i="1"/>
  <c r="F250" i="1"/>
  <c r="I153" i="1"/>
  <c r="I202" i="1"/>
  <c r="D177" i="1"/>
  <c r="K200" i="1"/>
  <c r="D235" i="1"/>
  <c r="A165" i="1"/>
  <c r="K211" i="1"/>
  <c r="E191" i="1"/>
  <c r="F179" i="1"/>
  <c r="C228" i="1"/>
  <c r="L212" i="1"/>
  <c r="E253" i="1"/>
  <c r="F216" i="1"/>
  <c r="M252" i="1"/>
  <c r="C168" i="1"/>
  <c r="F212" i="1"/>
  <c r="E241" i="1"/>
  <c r="F236" i="1"/>
  <c r="J212" i="1"/>
  <c r="D249" i="1"/>
  <c r="I227" i="1"/>
  <c r="F251" i="1"/>
  <c r="M216" i="1"/>
  <c r="H206" i="1"/>
  <c r="I161" i="1"/>
  <c r="C209" i="1"/>
  <c r="K189" i="1"/>
  <c r="L222" i="1"/>
  <c r="L158" i="1"/>
  <c r="I173" i="1"/>
  <c r="A218" i="1"/>
  <c r="C194" i="1"/>
  <c r="E195" i="1"/>
  <c r="A231" i="1"/>
  <c r="J224" i="1"/>
  <c r="L210" i="1"/>
  <c r="F167" i="1"/>
  <c r="B219" i="1"/>
  <c r="I179" i="1"/>
  <c r="B216" i="1"/>
  <c r="G244" i="1"/>
  <c r="A195" i="1"/>
  <c r="B220" i="1"/>
  <c r="K255" i="1"/>
  <c r="G173" i="1"/>
  <c r="H223" i="1"/>
  <c r="A233" i="1"/>
  <c r="J204" i="1"/>
  <c r="K167" i="1"/>
  <c r="E212" i="1"/>
  <c r="H253" i="1"/>
  <c r="D214" i="1"/>
  <c r="I222" i="1"/>
  <c r="F174" i="1"/>
  <c r="L187" i="1"/>
  <c r="E197" i="1"/>
  <c r="K256" i="1"/>
  <c r="M191" i="1"/>
  <c r="E255" i="1"/>
  <c r="F145" i="1"/>
  <c r="C102" i="1"/>
  <c r="F2" i="1"/>
  <c r="B52" i="1"/>
  <c r="G35" i="1"/>
  <c r="F108" i="1"/>
  <c r="M104" i="1"/>
  <c r="K125" i="1"/>
  <c r="D106" i="1"/>
  <c r="I103" i="1"/>
  <c r="A110" i="1"/>
  <c r="E14" i="1"/>
  <c r="H142" i="1"/>
  <c r="E40" i="1"/>
  <c r="J126" i="1"/>
  <c r="E34" i="1"/>
  <c r="G8" i="1"/>
  <c r="E102" i="1"/>
  <c r="F70" i="1"/>
  <c r="C126" i="1"/>
  <c r="C90" i="1"/>
  <c r="K163" i="1"/>
  <c r="G171" i="1"/>
  <c r="G201" i="1"/>
  <c r="I180" i="1"/>
  <c r="I224" i="1"/>
  <c r="L196" i="1"/>
  <c r="A244" i="1"/>
  <c r="K218" i="1"/>
  <c r="G256" i="1"/>
  <c r="F160" i="1"/>
  <c r="D192" i="1"/>
  <c r="L155" i="1"/>
  <c r="B155" i="1"/>
  <c r="G239" i="1"/>
  <c r="J192" i="1"/>
  <c r="K187" i="1"/>
  <c r="I233" i="1"/>
  <c r="D237" i="1"/>
  <c r="D167" i="1"/>
  <c r="L198" i="1"/>
  <c r="J164" i="1"/>
  <c r="F177" i="1"/>
  <c r="M160" i="1"/>
  <c r="D166" i="1"/>
  <c r="E199" i="1"/>
  <c r="E239" i="1"/>
  <c r="B250" i="1"/>
  <c r="I159" i="1"/>
  <c r="L172" i="1"/>
  <c r="A161" i="1"/>
  <c r="H195" i="1"/>
  <c r="H161" i="1"/>
  <c r="I206" i="1"/>
  <c r="D213" i="1"/>
  <c r="D154" i="1"/>
  <c r="L231" i="1"/>
  <c r="H162" i="1"/>
  <c r="C239" i="1"/>
  <c r="E213" i="1"/>
  <c r="J255" i="1"/>
  <c r="D251" i="1"/>
  <c r="H185" i="1"/>
  <c r="K239" i="1"/>
  <c r="I213" i="1"/>
  <c r="M249" i="1"/>
  <c r="H251" i="1"/>
  <c r="E186" i="1"/>
  <c r="F207" i="1"/>
  <c r="F191" i="1"/>
  <c r="C249" i="1"/>
  <c r="G222" i="1"/>
  <c r="J165" i="1"/>
  <c r="E193" i="1"/>
  <c r="C166" i="1"/>
  <c r="M212" i="1"/>
  <c r="E180" i="1"/>
  <c r="B229" i="1"/>
  <c r="I199" i="1"/>
  <c r="E167" i="1"/>
  <c r="G221" i="1"/>
  <c r="L181" i="1"/>
  <c r="J229" i="1"/>
  <c r="B227" i="1"/>
  <c r="M167" i="1"/>
  <c r="A222" i="1"/>
  <c r="K214" i="1"/>
  <c r="D202" i="1"/>
  <c r="E227" i="1"/>
  <c r="M255" i="1"/>
  <c r="M246" i="1"/>
  <c r="K197" i="1"/>
  <c r="L240" i="1"/>
  <c r="M201" i="1"/>
  <c r="J228" i="1"/>
  <c r="K235" i="1"/>
  <c r="H240" i="1"/>
  <c r="G186" i="1"/>
  <c r="M165" i="1"/>
  <c r="C240" i="1"/>
  <c r="L251" i="1"/>
  <c r="H225" i="1"/>
  <c r="L178" i="1"/>
  <c r="D248" i="1"/>
  <c r="C200" i="1"/>
  <c r="B223" i="1"/>
  <c r="H243" i="1"/>
  <c r="A242" i="1"/>
  <c r="K250" i="1"/>
  <c r="H174" i="1"/>
  <c r="G176" i="1"/>
  <c r="E243" i="1"/>
  <c r="J176" i="1"/>
  <c r="K254" i="1"/>
  <c r="F186" i="1"/>
  <c r="F254" i="1"/>
  <c r="L243" i="1"/>
  <c r="M190" i="1"/>
  <c r="K222" i="1"/>
  <c r="G191" i="1"/>
  <c r="C152" i="1"/>
  <c r="L256" i="1"/>
  <c r="E163" i="1"/>
  <c r="G218" i="1"/>
  <c r="H127" i="1"/>
  <c r="M45" i="1"/>
  <c r="I75" i="1"/>
  <c r="E80" i="1"/>
  <c r="D139" i="1"/>
  <c r="A4" i="1"/>
  <c r="L25" i="1"/>
  <c r="C99" i="1"/>
  <c r="F144" i="1"/>
  <c r="C145" i="1"/>
  <c r="C32" i="1"/>
  <c r="I76" i="1"/>
  <c r="H79" i="1"/>
  <c r="E92" i="1"/>
  <c r="A15" i="1"/>
  <c r="H192" i="1"/>
  <c r="L236" i="1"/>
  <c r="E244" i="1"/>
  <c r="K244" i="1"/>
  <c r="D187" i="1"/>
  <c r="L226" i="1"/>
  <c r="M241" i="1"/>
  <c r="J244" i="1"/>
  <c r="B214" i="1"/>
  <c r="L237" i="1"/>
  <c r="G126" i="1"/>
  <c r="J7" i="1"/>
  <c r="E2" i="1"/>
  <c r="E3" i="1"/>
  <c r="D75" i="1"/>
  <c r="K38" i="1"/>
  <c r="B119" i="1"/>
  <c r="C27" i="1"/>
  <c r="D95" i="1"/>
  <c r="D24" i="1"/>
  <c r="G145" i="1"/>
  <c r="E122" i="1"/>
  <c r="M142" i="1"/>
  <c r="G43" i="1"/>
  <c r="L101" i="1"/>
  <c r="D94" i="1"/>
  <c r="B45" i="1"/>
  <c r="I146" i="1"/>
  <c r="E89" i="1"/>
  <c r="M33" i="1"/>
  <c r="I67" i="1"/>
  <c r="E95" i="1"/>
  <c r="F37" i="1"/>
  <c r="C66" i="1"/>
  <c r="M93" i="1"/>
  <c r="M67" i="1"/>
  <c r="B51" i="1"/>
  <c r="L139" i="1"/>
  <c r="J197" i="1"/>
  <c r="F199" i="1"/>
  <c r="E176" i="1"/>
  <c r="J232" i="1"/>
  <c r="E177" i="1"/>
  <c r="G195" i="1"/>
  <c r="B239" i="1"/>
  <c r="K229" i="1"/>
  <c r="H244" i="1"/>
  <c r="L156" i="1"/>
  <c r="A239" i="1"/>
  <c r="I239" i="1"/>
  <c r="G188" i="1"/>
  <c r="B256" i="1"/>
  <c r="C256" i="1"/>
  <c r="F217" i="1"/>
  <c r="J193" i="1"/>
  <c r="J154" i="1"/>
  <c r="A217" i="1"/>
  <c r="G184" i="1"/>
  <c r="F215" i="1"/>
  <c r="L229" i="1"/>
  <c r="J245" i="1"/>
  <c r="J175" i="1"/>
  <c r="C160" i="1"/>
  <c r="F233" i="1"/>
  <c r="G246" i="1"/>
  <c r="D241" i="1"/>
  <c r="J242" i="1"/>
  <c r="M81" i="1"/>
  <c r="E123" i="1"/>
  <c r="A52" i="1"/>
  <c r="M118" i="1"/>
  <c r="J46" i="1"/>
  <c r="J94" i="1"/>
  <c r="C60" i="1"/>
  <c r="G227" i="1"/>
  <c r="H224" i="1"/>
  <c r="K245" i="1"/>
  <c r="J219" i="1"/>
  <c r="L250" i="1"/>
  <c r="F146" i="1"/>
  <c r="C42" i="1"/>
  <c r="I55" i="1"/>
  <c r="C114" i="1"/>
  <c r="D134" i="1"/>
  <c r="M8" i="1"/>
  <c r="B27" i="1"/>
  <c r="G77" i="1"/>
  <c r="I132" i="1"/>
  <c r="I137" i="1"/>
  <c r="F113" i="1"/>
  <c r="H69" i="1"/>
  <c r="G113" i="1"/>
  <c r="M74" i="1"/>
  <c r="E165" i="1"/>
  <c r="J161" i="1"/>
  <c r="K199" i="1"/>
  <c r="C246" i="1"/>
  <c r="C180" i="1"/>
  <c r="C182" i="1"/>
  <c r="K172" i="1"/>
  <c r="G199" i="1"/>
  <c r="E152" i="1"/>
  <c r="H201" i="1"/>
  <c r="C213" i="1"/>
  <c r="G229" i="1"/>
  <c r="F243" i="1"/>
  <c r="F176" i="1"/>
  <c r="G187" i="1"/>
  <c r="A184" i="1"/>
  <c r="I217" i="1"/>
  <c r="J152" i="1"/>
  <c r="B208" i="1"/>
  <c r="B204" i="1"/>
  <c r="K191" i="1"/>
  <c r="C244" i="1"/>
  <c r="J166" i="1"/>
  <c r="A153" i="1"/>
  <c r="J218" i="1"/>
  <c r="B188" i="1"/>
  <c r="L153" i="1"/>
  <c r="L184" i="1"/>
  <c r="I160" i="1"/>
  <c r="F203" i="1"/>
  <c r="C229" i="1"/>
  <c r="H158" i="1"/>
  <c r="C183" i="1"/>
  <c r="E223" i="1"/>
  <c r="B224" i="1"/>
  <c r="K152" i="1"/>
  <c r="L202" i="1"/>
  <c r="J162" i="1"/>
  <c r="L191" i="1"/>
  <c r="G157" i="1"/>
  <c r="B202" i="1"/>
  <c r="F210" i="1"/>
  <c r="C238" i="1"/>
  <c r="K253" i="1"/>
  <c r="G158" i="1"/>
  <c r="D171" i="1"/>
  <c r="E153" i="1"/>
  <c r="J200" i="1"/>
  <c r="C169" i="1"/>
  <c r="C191" i="1"/>
  <c r="D217" i="1"/>
  <c r="M243" i="1"/>
  <c r="D223" i="1"/>
  <c r="K168" i="1"/>
  <c r="H186" i="1"/>
  <c r="A167" i="1"/>
  <c r="K195" i="1"/>
  <c r="G152" i="1"/>
  <c r="I212" i="1"/>
  <c r="B184" i="1"/>
  <c r="L206" i="1"/>
  <c r="J256" i="1"/>
  <c r="A246" i="1"/>
  <c r="E219" i="1"/>
  <c r="A199" i="1"/>
  <c r="F256" i="1"/>
  <c r="H198" i="1"/>
  <c r="L166" i="1"/>
  <c r="I219" i="1"/>
  <c r="E201" i="1"/>
  <c r="D220" i="1"/>
  <c r="F225" i="1"/>
  <c r="F180" i="1"/>
  <c r="G228" i="1"/>
  <c r="J238" i="1"/>
  <c r="M228" i="1"/>
  <c r="L242" i="1"/>
  <c r="C178" i="1"/>
  <c r="M205" i="1"/>
  <c r="J239" i="1"/>
  <c r="A230" i="1"/>
  <c r="G197" i="1"/>
  <c r="D157" i="1"/>
  <c r="K212" i="1"/>
  <c r="K182" i="1"/>
  <c r="G249" i="1"/>
  <c r="B193" i="1"/>
  <c r="L238" i="1"/>
  <c r="M173" i="1"/>
  <c r="M162" i="1"/>
  <c r="I172" i="1"/>
  <c r="D173" i="1"/>
  <c r="H202" i="1"/>
  <c r="J159" i="1"/>
  <c r="H167" i="1"/>
  <c r="C220" i="1"/>
  <c r="H190" i="1"/>
  <c r="L252" i="1"/>
  <c r="M248" i="1"/>
  <c r="H175" i="1"/>
  <c r="M35" i="1"/>
  <c r="H121" i="1"/>
  <c r="C14" i="1"/>
  <c r="L106" i="1"/>
  <c r="M95" i="1"/>
  <c r="C81" i="1"/>
  <c r="E6" i="1"/>
  <c r="E161" i="1"/>
  <c r="C154" i="1"/>
  <c r="B228" i="1"/>
  <c r="G255" i="1"/>
  <c r="D247" i="1"/>
  <c r="B94" i="1"/>
  <c r="E79" i="1"/>
  <c r="J40" i="1"/>
  <c r="E74" i="1"/>
  <c r="A116" i="1"/>
  <c r="L118" i="1"/>
  <c r="E112" i="1"/>
  <c r="E46" i="1"/>
  <c r="B131" i="1"/>
  <c r="L15" i="1"/>
  <c r="D69" i="1"/>
  <c r="M48" i="1"/>
  <c r="H43" i="1"/>
  <c r="M75" i="1"/>
  <c r="A6" i="1"/>
  <c r="J174" i="1"/>
  <c r="G162" i="1"/>
  <c r="L163" i="1"/>
  <c r="L219" i="1"/>
  <c r="I156" i="1"/>
  <c r="J194" i="1"/>
  <c r="G207" i="1"/>
  <c r="K221" i="1"/>
  <c r="D230" i="1"/>
  <c r="M185" i="1"/>
  <c r="B159" i="1"/>
  <c r="A183" i="1"/>
  <c r="E207" i="1"/>
  <c r="I162" i="1"/>
  <c r="A190" i="1"/>
  <c r="G223" i="1"/>
  <c r="M242" i="1"/>
  <c r="F224" i="1"/>
  <c r="I190" i="1"/>
  <c r="I243" i="1"/>
  <c r="D153" i="1"/>
  <c r="H215" i="1"/>
  <c r="L208" i="1"/>
  <c r="G193" i="1"/>
  <c r="I210" i="1"/>
  <c r="C196" i="1"/>
  <c r="M169" i="1"/>
  <c r="K162" i="1"/>
  <c r="C161" i="1"/>
  <c r="I216" i="1"/>
  <c r="H256" i="1"/>
  <c r="A176" i="1"/>
  <c r="M211" i="1"/>
  <c r="G165" i="1"/>
  <c r="D162" i="1"/>
  <c r="M206" i="1"/>
  <c r="A159" i="1"/>
  <c r="G252" i="1"/>
  <c r="C219" i="1"/>
  <c r="B213" i="1"/>
  <c r="M180" i="1"/>
  <c r="L221" i="1"/>
  <c r="F165" i="1"/>
  <c r="G230" i="1"/>
  <c r="L247" i="1"/>
  <c r="M171" i="1"/>
  <c r="K190" i="1"/>
  <c r="H178" i="1"/>
  <c r="F231" i="1"/>
  <c r="C202" i="1"/>
  <c r="F204" i="1"/>
  <c r="E228" i="1"/>
  <c r="B230" i="1"/>
  <c r="B197" i="1"/>
  <c r="E205" i="1"/>
  <c r="L209" i="1"/>
  <c r="A209" i="1"/>
  <c r="E234" i="1"/>
  <c r="D250" i="1"/>
  <c r="J171" i="1"/>
  <c r="E211" i="1"/>
  <c r="L232" i="1"/>
  <c r="E171" i="1"/>
  <c r="H209" i="1"/>
  <c r="H221" i="1"/>
  <c r="E50" i="1"/>
  <c r="H18" i="1"/>
  <c r="I63" i="1"/>
  <c r="F140" i="1"/>
  <c r="C141" i="1"/>
  <c r="D121" i="1"/>
  <c r="D5" i="1"/>
  <c r="D219" i="1"/>
  <c r="E254" i="1"/>
  <c r="A211" i="1"/>
  <c r="L248" i="1"/>
  <c r="E209" i="1"/>
  <c r="B138" i="1"/>
  <c r="B15" i="1"/>
  <c r="H29" i="1"/>
  <c r="H113" i="1"/>
  <c r="M55" i="1"/>
  <c r="F105" i="1"/>
  <c r="D147" i="1"/>
  <c r="A98" i="1"/>
  <c r="A142" i="1"/>
  <c r="B134" i="1"/>
  <c r="L124" i="1"/>
  <c r="F147" i="1"/>
  <c r="I143" i="1"/>
  <c r="G115" i="1"/>
  <c r="K137" i="1"/>
  <c r="F126" i="1"/>
  <c r="G168" i="1"/>
  <c r="A234" i="1"/>
  <c r="F181" i="1"/>
  <c r="I232" i="1"/>
  <c r="F163" i="1"/>
  <c r="A216" i="1"/>
  <c r="D164" i="1"/>
  <c r="H245" i="1"/>
  <c r="F222" i="1"/>
  <c r="D244" i="1"/>
  <c r="J196" i="1"/>
  <c r="E175" i="1"/>
  <c r="D211" i="1"/>
  <c r="J241" i="1"/>
  <c r="E183" i="1"/>
  <c r="J214" i="1"/>
  <c r="H248" i="1"/>
  <c r="F157" i="1"/>
  <c r="M245" i="1"/>
  <c r="L28" i="1"/>
  <c r="D102" i="1"/>
  <c r="M96" i="1"/>
  <c r="H172" i="1"/>
  <c r="B252" i="1"/>
  <c r="G212" i="1"/>
  <c r="F119" i="1"/>
  <c r="L62" i="1"/>
  <c r="G21" i="1"/>
  <c r="J151" i="1"/>
  <c r="J6" i="1"/>
  <c r="H8" i="1"/>
  <c r="K19" i="1"/>
  <c r="I198" i="1"/>
  <c r="C206" i="1"/>
  <c r="G241" i="1"/>
  <c r="J203" i="1"/>
  <c r="A251" i="1"/>
  <c r="I163" i="1"/>
  <c r="D184" i="1"/>
  <c r="C157" i="1"/>
  <c r="G250" i="1"/>
  <c r="I255" i="1"/>
  <c r="I220" i="1"/>
  <c r="L152" i="1"/>
  <c r="K175" i="1"/>
  <c r="H229" i="1"/>
  <c r="K177" i="1"/>
  <c r="F183" i="1"/>
  <c r="E251" i="1"/>
  <c r="E236" i="1"/>
  <c r="D207" i="1"/>
  <c r="G58" i="1"/>
  <c r="D100" i="1"/>
  <c r="C115" i="1"/>
  <c r="J221" i="1"/>
  <c r="B164" i="1"/>
  <c r="M256" i="1"/>
  <c r="F124" i="1"/>
  <c r="C78" i="1"/>
  <c r="B4" i="1"/>
  <c r="L117" i="1"/>
  <c r="D61" i="1"/>
  <c r="G82" i="1"/>
  <c r="D48" i="1"/>
  <c r="H193" i="1"/>
  <c r="A214" i="1"/>
  <c r="K184" i="1"/>
  <c r="H154" i="1"/>
  <c r="M156" i="1"/>
  <c r="E222" i="1"/>
  <c r="F248" i="1"/>
  <c r="H194" i="1"/>
  <c r="C222" i="1"/>
  <c r="D158" i="1"/>
  <c r="C207" i="1"/>
  <c r="M159" i="1"/>
  <c r="A192" i="1"/>
  <c r="E156" i="1"/>
  <c r="M195" i="1"/>
  <c r="B236" i="1"/>
  <c r="F198" i="1"/>
  <c r="G236" i="1"/>
  <c r="I158" i="1"/>
  <c r="E196" i="1"/>
  <c r="B210" i="1"/>
  <c r="H171" i="1"/>
  <c r="G194" i="1"/>
  <c r="C189" i="1"/>
  <c r="K216" i="1"/>
  <c r="E248" i="1"/>
  <c r="B221" i="1"/>
  <c r="M188" i="1"/>
  <c r="J205" i="1"/>
  <c r="C201" i="1"/>
  <c r="E221" i="1"/>
  <c r="A250" i="1"/>
  <c r="L228" i="1"/>
  <c r="A206" i="1"/>
  <c r="H228" i="1"/>
  <c r="C186" i="1"/>
  <c r="G220" i="1"/>
  <c r="I223" i="1"/>
  <c r="L254" i="1"/>
  <c r="M70" i="1"/>
  <c r="C151" i="1"/>
  <c r="A124" i="1"/>
  <c r="F88" i="1"/>
  <c r="K113" i="1"/>
  <c r="A106" i="1"/>
  <c r="L116" i="1"/>
  <c r="B172" i="1"/>
  <c r="J234" i="1"/>
  <c r="E235" i="1"/>
  <c r="M202" i="1"/>
  <c r="A254" i="1"/>
  <c r="H126" i="1"/>
  <c r="G60" i="1"/>
  <c r="C124" i="1"/>
  <c r="E38" i="1"/>
  <c r="J79" i="1"/>
  <c r="C122" i="1"/>
  <c r="A46" i="1"/>
  <c r="F64" i="1"/>
  <c r="C106" i="1"/>
  <c r="C104" i="1"/>
  <c r="D135" i="1"/>
  <c r="C149" i="1"/>
  <c r="D174" i="1"/>
  <c r="H184" i="1"/>
  <c r="F161" i="1"/>
  <c r="C167" i="1"/>
  <c r="L220" i="1"/>
  <c r="L162" i="1"/>
  <c r="J225" i="1"/>
  <c r="M223" i="1"/>
  <c r="J181" i="1"/>
  <c r="M186" i="1"/>
  <c r="F209" i="1"/>
  <c r="F170" i="1"/>
  <c r="J247" i="1"/>
  <c r="C208" i="1"/>
  <c r="F221" i="1"/>
  <c r="J252" i="1"/>
  <c r="G214" i="1"/>
  <c r="M239" i="1"/>
  <c r="J208" i="1"/>
  <c r="B68" i="1"/>
  <c r="G118" i="1"/>
  <c r="D45" i="1"/>
  <c r="K73" i="1"/>
  <c r="G245" i="1"/>
  <c r="M197" i="1"/>
  <c r="E39" i="1"/>
  <c r="C85" i="1"/>
  <c r="C93" i="1"/>
  <c r="I97" i="1"/>
  <c r="G54" i="1"/>
  <c r="M14" i="1"/>
  <c r="L49" i="1"/>
  <c r="K128" i="1"/>
  <c r="F227" i="1"/>
  <c r="D152" i="1"/>
  <c r="M196" i="1"/>
  <c r="D183" i="1"/>
  <c r="D165" i="1"/>
  <c r="B217" i="1"/>
  <c r="H222" i="1"/>
  <c r="C236" i="1"/>
  <c r="G196" i="1"/>
  <c r="H199" i="1"/>
  <c r="B226" i="1"/>
  <c r="E216" i="1"/>
  <c r="I195" i="1"/>
  <c r="H220" i="1"/>
  <c r="L218" i="1"/>
  <c r="J230" i="1"/>
  <c r="L234" i="1"/>
  <c r="J211" i="1"/>
  <c r="A200" i="1"/>
  <c r="D18" i="1"/>
  <c r="F58" i="1"/>
  <c r="C128" i="1"/>
  <c r="B39" i="1"/>
  <c r="J160" i="1"/>
  <c r="E208" i="1"/>
  <c r="M42" i="1"/>
  <c r="B60" i="1"/>
  <c r="H32" i="1"/>
  <c r="J90" i="1"/>
  <c r="F76" i="1"/>
  <c r="C107" i="1"/>
  <c r="D84" i="1"/>
  <c r="G137" i="1"/>
  <c r="M10" i="1"/>
  <c r="G1" i="1"/>
  <c r="D21" i="1"/>
  <c r="B18" i="1"/>
  <c r="I59" i="1"/>
  <c r="B135" i="1"/>
  <c r="F67" i="1"/>
  <c r="K72" i="1"/>
  <c r="J54" i="1"/>
  <c r="F1" i="1"/>
  <c r="I113" i="1"/>
  <c r="B14" i="1"/>
  <c r="H151" i="1"/>
  <c r="H188" i="1"/>
  <c r="L180" i="1"/>
  <c r="D233" i="1"/>
  <c r="F155" i="1"/>
  <c r="J251" i="1"/>
  <c r="H180" i="1"/>
  <c r="I157" i="1"/>
  <c r="M213" i="1"/>
  <c r="L216" i="1"/>
  <c r="M247" i="1"/>
  <c r="I215" i="1"/>
  <c r="K236" i="1"/>
  <c r="J227" i="1"/>
  <c r="B205" i="1"/>
  <c r="F136" i="1"/>
  <c r="G93" i="1"/>
  <c r="J122" i="1"/>
  <c r="B66" i="1"/>
  <c r="K74" i="1"/>
  <c r="E37" i="1"/>
  <c r="H138" i="1"/>
  <c r="E103" i="1"/>
  <c r="J49" i="1"/>
  <c r="L13" i="1"/>
  <c r="J137" i="1"/>
  <c r="J110" i="1"/>
  <c r="F16" i="1"/>
  <c r="L140" i="1"/>
  <c r="H1" i="1"/>
  <c r="G47" i="1"/>
  <c r="B85" i="1"/>
  <c r="H111" i="1"/>
  <c r="K131" i="1"/>
  <c r="K111" i="1"/>
  <c r="A74" i="1"/>
  <c r="F18" i="1"/>
  <c r="A14" i="1"/>
  <c r="H27" i="1"/>
  <c r="B75" i="1"/>
  <c r="M58" i="1"/>
  <c r="B113" i="1"/>
  <c r="F137" i="1"/>
  <c r="F95" i="1"/>
  <c r="M144" i="1"/>
  <c r="G67" i="1"/>
  <c r="K95" i="1"/>
  <c r="I84" i="1"/>
  <c r="K86" i="1"/>
  <c r="J42" i="1"/>
  <c r="L127" i="1"/>
  <c r="H130" i="1"/>
  <c r="G32" i="1"/>
  <c r="F131" i="1"/>
  <c r="J5" i="1"/>
  <c r="D98" i="1"/>
  <c r="E93" i="1"/>
  <c r="M107" i="1"/>
  <c r="K12" i="1"/>
  <c r="C83" i="1"/>
  <c r="I118" i="1"/>
  <c r="E87" i="1"/>
  <c r="F182" i="1"/>
  <c r="A223" i="1"/>
  <c r="L230" i="1"/>
  <c r="J52" i="1"/>
  <c r="C131" i="1"/>
  <c r="L67" i="1"/>
  <c r="D60" i="1"/>
  <c r="J67" i="1"/>
  <c r="L133" i="1"/>
  <c r="M78" i="1"/>
  <c r="M73" i="1"/>
  <c r="K23" i="1"/>
  <c r="I38" i="1"/>
  <c r="B88" i="1"/>
  <c r="L36" i="1"/>
  <c r="E32" i="1"/>
  <c r="F62" i="1"/>
  <c r="J112" i="1"/>
  <c r="M136" i="1"/>
  <c r="K109" i="1"/>
  <c r="C30" i="1"/>
  <c r="A125" i="1"/>
  <c r="G139" i="1"/>
  <c r="M86" i="1"/>
  <c r="I83" i="1"/>
  <c r="A137" i="1"/>
  <c r="J24" i="1"/>
  <c r="E41" i="1"/>
  <c r="L54" i="1"/>
  <c r="K114" i="1"/>
  <c r="G119" i="1"/>
  <c r="G120" i="1"/>
  <c r="M126" i="1"/>
  <c r="A92" i="1"/>
  <c r="G70" i="1"/>
  <c r="C82" i="1"/>
  <c r="A7" i="1"/>
  <c r="B140" i="1"/>
  <c r="C88" i="1"/>
  <c r="F21" i="1"/>
  <c r="F240" i="1"/>
  <c r="I214" i="1"/>
  <c r="K188" i="1"/>
  <c r="G50" i="1"/>
  <c r="I131" i="1"/>
  <c r="C138" i="1"/>
  <c r="K150" i="1"/>
  <c r="E150" i="1"/>
  <c r="D146" i="1"/>
  <c r="D16" i="1"/>
  <c r="L33" i="1"/>
  <c r="D50" i="1"/>
  <c r="G144" i="1"/>
  <c r="B16" i="1"/>
  <c r="K66" i="1"/>
  <c r="K14" i="1"/>
  <c r="A64" i="1"/>
  <c r="G148" i="1"/>
  <c r="F22" i="1"/>
  <c r="G104" i="1"/>
  <c r="C38" i="1"/>
  <c r="K107" i="1"/>
  <c r="H85" i="1"/>
  <c r="M37" i="1"/>
  <c r="B69" i="1"/>
  <c r="F29" i="1"/>
  <c r="H25" i="1"/>
  <c r="J216" i="1"/>
  <c r="G243" i="1"/>
  <c r="B254" i="1"/>
  <c r="I187" i="1"/>
  <c r="B185" i="1"/>
  <c r="L241" i="1"/>
  <c r="F200" i="1"/>
  <c r="G238" i="1"/>
  <c r="B242" i="1"/>
  <c r="H235" i="1"/>
  <c r="F228" i="1"/>
  <c r="D240" i="1"/>
  <c r="M233" i="1"/>
  <c r="I115" i="1"/>
  <c r="F17" i="1"/>
  <c r="H88" i="1"/>
  <c r="B70" i="1"/>
  <c r="K18" i="1"/>
  <c r="I4" i="1"/>
  <c r="I117" i="1"/>
  <c r="C148" i="1"/>
  <c r="A126" i="1"/>
  <c r="K27" i="1"/>
  <c r="D72" i="1"/>
  <c r="L64" i="1"/>
  <c r="M146" i="1"/>
  <c r="F148" i="1"/>
  <c r="C79" i="1"/>
  <c r="E31" i="1"/>
  <c r="K89" i="1"/>
  <c r="E76" i="1"/>
  <c r="L109" i="1"/>
  <c r="F90" i="1"/>
  <c r="H82" i="1"/>
  <c r="L138" i="1"/>
  <c r="I120" i="1"/>
  <c r="L89" i="1"/>
  <c r="C36" i="1"/>
  <c r="F19" i="1"/>
  <c r="E121" i="1"/>
  <c r="B112" i="1"/>
  <c r="J70" i="1"/>
  <c r="C31" i="1"/>
  <c r="G129" i="1"/>
  <c r="L59" i="1"/>
  <c r="J9" i="1"/>
  <c r="G100" i="1"/>
  <c r="C29" i="1"/>
  <c r="J71" i="1"/>
  <c r="I88" i="1"/>
  <c r="K77" i="1"/>
  <c r="D30" i="1"/>
  <c r="H99" i="1"/>
  <c r="C140" i="1"/>
  <c r="L70" i="1"/>
  <c r="F41" i="1"/>
  <c r="K9" i="1"/>
  <c r="E29" i="1"/>
  <c r="H17" i="1"/>
  <c r="A53" i="1"/>
  <c r="B157" i="1"/>
  <c r="H156" i="1"/>
  <c r="D224" i="1"/>
  <c r="J207" i="1"/>
  <c r="M125" i="1"/>
  <c r="E119" i="1"/>
  <c r="E84" i="1"/>
  <c r="M121" i="1"/>
  <c r="E9" i="1"/>
  <c r="H12" i="1"/>
  <c r="C150" i="1"/>
  <c r="F99" i="1"/>
  <c r="K41" i="1"/>
  <c r="J59" i="1"/>
  <c r="K57" i="1"/>
  <c r="B43" i="1"/>
  <c r="B104" i="1"/>
  <c r="H59" i="1"/>
  <c r="M102" i="1"/>
  <c r="A31" i="1"/>
  <c r="E140" i="1"/>
  <c r="B123" i="1"/>
  <c r="K47" i="1"/>
  <c r="D53" i="1"/>
  <c r="M151" i="1"/>
  <c r="E114" i="1"/>
  <c r="D105" i="1"/>
  <c r="I123" i="1"/>
  <c r="I41" i="1"/>
  <c r="C86" i="1"/>
  <c r="F98" i="1"/>
  <c r="C74" i="1"/>
  <c r="H119" i="1"/>
  <c r="G13" i="1"/>
  <c r="F32" i="1"/>
  <c r="C48" i="1"/>
  <c r="L4" i="1"/>
  <c r="A120" i="1"/>
  <c r="C144" i="1"/>
  <c r="A3" i="1"/>
  <c r="E25" i="1"/>
  <c r="G183" i="1"/>
  <c r="I247" i="1"/>
  <c r="H249" i="1"/>
  <c r="B122" i="1"/>
  <c r="K39" i="1"/>
  <c r="B98" i="1"/>
  <c r="M31" i="1"/>
  <c r="J92" i="1"/>
  <c r="D130" i="1"/>
  <c r="M87" i="1"/>
  <c r="G64" i="1"/>
  <c r="E146" i="1"/>
  <c r="L19" i="1"/>
  <c r="K43" i="1"/>
  <c r="H22" i="1"/>
  <c r="K146" i="1"/>
  <c r="C103" i="1"/>
  <c r="I17" i="1"/>
  <c r="A51" i="1"/>
  <c r="E26" i="1"/>
  <c r="G4" i="1"/>
  <c r="G7" i="1"/>
  <c r="C71" i="1"/>
  <c r="M138" i="1"/>
  <c r="F26" i="1"/>
  <c r="E56" i="1"/>
  <c r="A57" i="1"/>
  <c r="I253" i="1"/>
  <c r="C193" i="1"/>
  <c r="M175" i="1"/>
  <c r="M203" i="1"/>
  <c r="J231" i="1"/>
  <c r="K179" i="1"/>
  <c r="J157" i="1"/>
  <c r="D234" i="1"/>
  <c r="E224" i="1"/>
  <c r="J254" i="1"/>
  <c r="C250" i="1"/>
  <c r="I182" i="1"/>
  <c r="B235" i="1"/>
  <c r="I52" i="1"/>
  <c r="F51" i="1"/>
  <c r="M133" i="1"/>
  <c r="B29" i="1"/>
  <c r="C5" i="1"/>
  <c r="L147" i="1"/>
  <c r="G39" i="1"/>
  <c r="C13" i="1"/>
  <c r="C117" i="1"/>
  <c r="C12" i="1"/>
  <c r="I29" i="1"/>
  <c r="L51" i="1"/>
  <c r="L17" i="1"/>
  <c r="F91" i="1"/>
  <c r="J45" i="1"/>
  <c r="C24" i="1"/>
  <c r="M150" i="1"/>
  <c r="D120" i="1"/>
  <c r="K60" i="1"/>
  <c r="B9" i="1"/>
  <c r="C121" i="1"/>
  <c r="B25" i="1"/>
  <c r="L90" i="1"/>
  <c r="C112" i="1"/>
  <c r="L58" i="1"/>
  <c r="H53" i="1"/>
  <c r="F110" i="1"/>
  <c r="G34" i="1"/>
  <c r="C49" i="1"/>
  <c r="I33" i="1"/>
  <c r="F40" i="1"/>
  <c r="F93" i="1"/>
  <c r="I90" i="1"/>
  <c r="L130" i="1"/>
  <c r="K138" i="1"/>
  <c r="L144" i="1"/>
  <c r="B20" i="1"/>
  <c r="E68" i="1"/>
  <c r="K8" i="1"/>
  <c r="E77" i="1"/>
  <c r="I56" i="1"/>
  <c r="B13" i="1"/>
  <c r="C68" i="1"/>
  <c r="F13" i="1"/>
  <c r="A82" i="1"/>
  <c r="C143" i="1"/>
  <c r="I73" i="1"/>
  <c r="J177" i="1"/>
  <c r="I249" i="1"/>
  <c r="D242" i="1"/>
  <c r="L255" i="1"/>
  <c r="J37" i="1"/>
  <c r="H35" i="1"/>
  <c r="E142" i="1"/>
  <c r="B121" i="1"/>
  <c r="I10" i="1"/>
  <c r="I105" i="1"/>
  <c r="M21" i="1"/>
  <c r="K56" i="1"/>
  <c r="G20" i="1"/>
  <c r="K32" i="1"/>
  <c r="B79" i="1"/>
  <c r="C94" i="1"/>
  <c r="K91" i="1"/>
  <c r="D38" i="1"/>
  <c r="J134" i="1"/>
  <c r="E69" i="1"/>
  <c r="F49" i="1"/>
  <c r="C75" i="1"/>
  <c r="F33" i="1"/>
  <c r="M120" i="1"/>
  <c r="H21" i="1"/>
  <c r="I11" i="1"/>
  <c r="D82" i="1"/>
  <c r="F7" i="1"/>
  <c r="A50" i="1"/>
  <c r="L100" i="1"/>
  <c r="M2" i="1"/>
  <c r="L81" i="1"/>
  <c r="J2" i="1"/>
  <c r="M69" i="1"/>
  <c r="L45" i="1"/>
  <c r="A68" i="1"/>
  <c r="A103" i="1"/>
  <c r="M49" i="1"/>
  <c r="I79" i="1"/>
  <c r="K92" i="1"/>
  <c r="K208" i="1"/>
  <c r="J235" i="1"/>
  <c r="M181" i="1"/>
  <c r="F223" i="1"/>
  <c r="M132" i="1"/>
  <c r="L110" i="1"/>
  <c r="A26" i="1"/>
  <c r="I101" i="1"/>
  <c r="L73" i="1"/>
  <c r="G51" i="1"/>
  <c r="G40" i="1"/>
  <c r="L68" i="1"/>
  <c r="A11" i="1"/>
  <c r="L11" i="1"/>
  <c r="D86" i="1"/>
  <c r="G23" i="1"/>
  <c r="C97" i="1"/>
  <c r="E143" i="1"/>
  <c r="I21" i="1"/>
  <c r="B17" i="1"/>
  <c r="H15" i="1"/>
  <c r="I108" i="1"/>
  <c r="A71" i="1"/>
  <c r="C136" i="1"/>
  <c r="G98" i="1"/>
  <c r="C50" i="1"/>
  <c r="H58" i="1"/>
  <c r="L159" i="1"/>
  <c r="A247" i="1"/>
  <c r="G203" i="1"/>
  <c r="M221" i="1"/>
  <c r="A189" i="1"/>
  <c r="B194" i="1"/>
  <c r="B165" i="1"/>
  <c r="E203" i="1"/>
  <c r="E194" i="1"/>
  <c r="B173" i="1"/>
  <c r="M172" i="1"/>
  <c r="A243" i="1"/>
  <c r="K224" i="1"/>
  <c r="K126" i="1"/>
  <c r="D41" i="1"/>
  <c r="J65" i="1"/>
  <c r="E125" i="1"/>
  <c r="A70" i="1"/>
  <c r="E67" i="1"/>
  <c r="L41" i="1"/>
  <c r="B3" i="1"/>
  <c r="E7" i="1"/>
  <c r="J39" i="1"/>
  <c r="F117" i="1"/>
  <c r="A59" i="1"/>
  <c r="D109" i="1"/>
  <c r="F150" i="1"/>
  <c r="J10" i="1"/>
  <c r="G102" i="1"/>
  <c r="J61" i="1"/>
  <c r="I44" i="1"/>
  <c r="C105" i="1"/>
  <c r="G22" i="1"/>
  <c r="J135" i="1"/>
  <c r="J120" i="1"/>
  <c r="H100" i="1"/>
  <c r="J127" i="1"/>
  <c r="G53" i="1"/>
  <c r="H96" i="1"/>
  <c r="H37" i="1"/>
  <c r="H103" i="1"/>
  <c r="J115" i="1"/>
  <c r="J107" i="1"/>
  <c r="I130" i="1"/>
  <c r="K127" i="1"/>
  <c r="E98" i="1"/>
  <c r="L50" i="1"/>
  <c r="A97" i="1"/>
  <c r="B82" i="1"/>
  <c r="A76" i="1"/>
  <c r="E49" i="1"/>
  <c r="I71" i="1"/>
  <c r="K110" i="1"/>
  <c r="E126" i="1"/>
  <c r="B50" i="1"/>
  <c r="A146" i="1"/>
  <c r="I99" i="1"/>
  <c r="A88" i="1"/>
  <c r="A8" i="1"/>
  <c r="E86" i="1"/>
  <c r="C255" i="1"/>
  <c r="D160" i="1"/>
  <c r="I191" i="1"/>
  <c r="F82" i="1"/>
  <c r="B106" i="1"/>
  <c r="B62" i="1"/>
  <c r="L96" i="1"/>
  <c r="D8" i="1"/>
  <c r="M82" i="1"/>
  <c r="H40" i="1"/>
  <c r="D35" i="1"/>
  <c r="C142" i="1"/>
  <c r="G108" i="1"/>
  <c r="E117" i="1"/>
  <c r="C76" i="1"/>
  <c r="L115" i="1"/>
  <c r="C10" i="1"/>
  <c r="H135" i="1"/>
  <c r="J102" i="1"/>
  <c r="E85" i="1"/>
  <c r="H76" i="1"/>
  <c r="J129" i="1"/>
  <c r="L40" i="1"/>
  <c r="A139" i="1"/>
  <c r="M130" i="1"/>
  <c r="E4" i="1"/>
  <c r="C129" i="1"/>
  <c r="J15" i="1"/>
  <c r="J87" i="1"/>
  <c r="E130" i="1"/>
  <c r="K62" i="1"/>
  <c r="H87" i="1"/>
  <c r="C137" i="1"/>
  <c r="J62" i="1"/>
  <c r="H115" i="1"/>
  <c r="H72" i="1"/>
  <c r="K37" i="1"/>
  <c r="G96" i="1"/>
  <c r="I126" i="1"/>
  <c r="D142" i="1"/>
  <c r="L177" i="1"/>
  <c r="C254" i="1"/>
  <c r="L239" i="1"/>
  <c r="M134" i="1"/>
  <c r="A131" i="1"/>
  <c r="B124" i="1"/>
  <c r="E127" i="1"/>
  <c r="M137" i="1"/>
  <c r="E129" i="1"/>
  <c r="A149" i="1"/>
  <c r="J111" i="1"/>
  <c r="L77" i="1"/>
  <c r="G19" i="1"/>
  <c r="F107" i="1"/>
  <c r="C40" i="1"/>
  <c r="D81" i="1"/>
  <c r="E57" i="1"/>
  <c r="G110" i="1"/>
  <c r="F123" i="1"/>
  <c r="B44" i="1"/>
  <c r="M106" i="1"/>
  <c r="G66" i="1"/>
  <c r="J22" i="1"/>
  <c r="B49" i="1"/>
  <c r="J146" i="1"/>
  <c r="M101" i="1"/>
  <c r="G97" i="1"/>
  <c r="A55" i="1"/>
  <c r="J95" i="1"/>
  <c r="A35" i="1"/>
  <c r="I27" i="1"/>
  <c r="D148" i="1"/>
  <c r="H28" i="1"/>
  <c r="G210" i="1"/>
  <c r="B158" i="1"/>
  <c r="K165" i="1"/>
  <c r="G52" i="1"/>
  <c r="J27" i="1"/>
  <c r="J66" i="1"/>
  <c r="I40" i="1"/>
  <c r="D29" i="1"/>
  <c r="F39" i="1"/>
  <c r="G206" i="1"/>
  <c r="J121" i="1"/>
  <c r="I133" i="1"/>
  <c r="E100" i="1"/>
  <c r="I89" i="1"/>
  <c r="H128" i="1"/>
  <c r="C3" i="1"/>
  <c r="J139" i="1"/>
  <c r="J21" i="1"/>
  <c r="F102" i="1"/>
  <c r="F138" i="1"/>
  <c r="H30" i="1"/>
  <c r="H6" i="1"/>
  <c r="L16" i="1"/>
  <c r="L38" i="1"/>
  <c r="F120" i="1"/>
  <c r="I138" i="1"/>
  <c r="E53" i="1"/>
  <c r="A34" i="1"/>
  <c r="L112" i="1"/>
  <c r="E147" i="1"/>
  <c r="K81" i="1"/>
  <c r="B179" i="1"/>
  <c r="H205" i="1"/>
  <c r="I221" i="1"/>
  <c r="H49" i="1"/>
  <c r="L85" i="1"/>
  <c r="B59" i="1"/>
  <c r="M63" i="1"/>
  <c r="D116" i="1"/>
  <c r="B218" i="1"/>
  <c r="F8" i="1"/>
  <c r="I116" i="1"/>
  <c r="F232" i="1"/>
  <c r="B101" i="1"/>
  <c r="G37" i="1"/>
  <c r="F130" i="1"/>
  <c r="I147" i="1"/>
  <c r="F100" i="1"/>
  <c r="I20" i="1"/>
  <c r="I95" i="1"/>
  <c r="J114" i="1"/>
  <c r="A75" i="1"/>
  <c r="J36" i="1"/>
  <c r="K59" i="1"/>
  <c r="D7" i="1"/>
  <c r="J93" i="1"/>
  <c r="J101" i="1"/>
  <c r="A79" i="1"/>
  <c r="B253" i="1"/>
  <c r="M119" i="1"/>
  <c r="J86" i="1"/>
  <c r="I45" i="1"/>
  <c r="G9" i="1"/>
  <c r="A10" i="1"/>
  <c r="H108" i="1"/>
  <c r="G134" i="1"/>
  <c r="K33" i="1"/>
  <c r="C70" i="1"/>
  <c r="C39" i="1"/>
  <c r="M109" i="1"/>
  <c r="G29" i="1"/>
  <c r="L146" i="1"/>
  <c r="D1" i="1"/>
  <c r="L143" i="1"/>
  <c r="I110" i="1"/>
  <c r="J28" i="1"/>
  <c r="L151" i="1"/>
  <c r="C253" i="1"/>
  <c r="L223" i="1"/>
  <c r="A201" i="1"/>
  <c r="G114" i="1"/>
  <c r="E115" i="1"/>
  <c r="N5" i="1" l="1"/>
  <c r="N128" i="1"/>
  <c r="N207" i="1"/>
  <c r="E88" i="1"/>
  <c r="L74" i="1"/>
  <c r="G24" i="1"/>
  <c r="G69" i="1"/>
  <c r="F94" i="1"/>
  <c r="L39" i="1"/>
  <c r="L94" i="1"/>
  <c r="I46" i="1"/>
  <c r="M83" i="1"/>
  <c r="G143" i="1"/>
  <c r="G57" i="1"/>
  <c r="K87" i="1"/>
  <c r="D91" i="1"/>
  <c r="J133" i="1"/>
  <c r="J30" i="1"/>
  <c r="L121" i="1"/>
  <c r="M94" i="1"/>
  <c r="D57" i="1"/>
  <c r="F24" i="1"/>
  <c r="K20" i="1"/>
  <c r="I150" i="1"/>
  <c r="M11" i="1"/>
  <c r="F38" i="1"/>
  <c r="G18" i="1"/>
  <c r="K120" i="1"/>
  <c r="J103" i="1"/>
  <c r="K219" i="1"/>
  <c r="K193" i="1"/>
  <c r="D253" i="1"/>
  <c r="F15" i="1"/>
  <c r="J91" i="1"/>
  <c r="J74" i="1"/>
  <c r="J98" i="1"/>
  <c r="I19" i="1"/>
  <c r="I86" i="1"/>
  <c r="M100" i="1"/>
  <c r="M18" i="1"/>
  <c r="M62" i="1"/>
  <c r="L135" i="1"/>
  <c r="J33" i="1"/>
  <c r="F28" i="1"/>
  <c r="H33" i="1"/>
  <c r="C15" i="1"/>
  <c r="E104" i="1"/>
  <c r="H46" i="1"/>
  <c r="J88" i="1"/>
  <c r="F25" i="1"/>
  <c r="H57" i="1"/>
  <c r="F14" i="1"/>
  <c r="I82" i="1"/>
  <c r="A83" i="1"/>
  <c r="G83" i="1"/>
  <c r="I18" i="1"/>
  <c r="B34" i="1"/>
  <c r="E59" i="1"/>
  <c r="M98" i="1"/>
  <c r="J144" i="1"/>
  <c r="L22" i="1"/>
  <c r="E19" i="1"/>
  <c r="C45" i="1"/>
  <c r="J145" i="1"/>
  <c r="G151" i="1"/>
  <c r="K104" i="1"/>
  <c r="D54" i="1"/>
  <c r="M149" i="1"/>
  <c r="J20" i="1"/>
  <c r="L86" i="1"/>
  <c r="B80" i="1"/>
  <c r="D77" i="1"/>
  <c r="E97" i="1"/>
  <c r="I39" i="1"/>
  <c r="F56" i="1"/>
  <c r="A140" i="1"/>
  <c r="L5" i="1"/>
  <c r="I28" i="1"/>
  <c r="G74" i="1"/>
  <c r="F149" i="1"/>
  <c r="F89" i="1"/>
  <c r="E55" i="1"/>
  <c r="E28" i="1"/>
  <c r="C101" i="1"/>
  <c r="F121" i="1"/>
  <c r="F96" i="1"/>
  <c r="A113" i="1"/>
  <c r="M61" i="1"/>
  <c r="K115" i="1"/>
  <c r="M26" i="1"/>
  <c r="I8" i="1"/>
  <c r="I42" i="1"/>
  <c r="G150" i="1"/>
  <c r="B84" i="1"/>
  <c r="L91" i="1"/>
  <c r="B103" i="1"/>
  <c r="E43" i="1"/>
  <c r="M143" i="1"/>
  <c r="D44" i="1"/>
  <c r="A18" i="1"/>
  <c r="G44" i="1"/>
  <c r="K30" i="1"/>
  <c r="L107" i="1"/>
  <c r="B91" i="1"/>
  <c r="I23" i="1"/>
  <c r="B38" i="1"/>
  <c r="J34" i="1"/>
  <c r="G116" i="1"/>
  <c r="J117" i="1"/>
  <c r="K13" i="1"/>
  <c r="L34" i="1"/>
  <c r="E138" i="1"/>
  <c r="D25" i="1"/>
  <c r="G68" i="1"/>
  <c r="L30" i="1"/>
  <c r="J119" i="1"/>
  <c r="A141" i="1"/>
  <c r="B31" i="1"/>
  <c r="A119" i="1"/>
  <c r="B11" i="1"/>
  <c r="H4" i="1"/>
  <c r="J82" i="1"/>
  <c r="D55" i="1"/>
  <c r="B126" i="1"/>
  <c r="C51" i="1"/>
  <c r="I60" i="1"/>
  <c r="K112" i="1"/>
  <c r="A121" i="1"/>
  <c r="A84" i="1"/>
  <c r="F48" i="1"/>
  <c r="D124" i="1"/>
  <c r="M127" i="1"/>
  <c r="K45" i="1"/>
  <c r="I139" i="1"/>
  <c r="H10" i="1"/>
  <c r="C55" i="1"/>
  <c r="H147" i="1"/>
  <c r="E128" i="1"/>
  <c r="B58" i="1"/>
  <c r="I14" i="1"/>
  <c r="H120" i="1"/>
  <c r="E63" i="1"/>
  <c r="J12" i="1"/>
  <c r="B97" i="1"/>
  <c r="B61" i="1"/>
  <c r="I22" i="1"/>
  <c r="H117" i="1"/>
  <c r="A112" i="1"/>
  <c r="F101" i="1"/>
  <c r="L65" i="1"/>
  <c r="E10" i="1"/>
  <c r="D92" i="1"/>
  <c r="F36" i="1"/>
  <c r="F20" i="1"/>
  <c r="F87" i="1"/>
  <c r="M47" i="1"/>
  <c r="E139" i="1"/>
  <c r="K22" i="1"/>
  <c r="J68" i="1"/>
  <c r="K149" i="1"/>
  <c r="I127" i="1"/>
  <c r="F3" i="1"/>
  <c r="M4" i="1"/>
  <c r="F77" i="1"/>
  <c r="M29" i="1"/>
  <c r="H31" i="1"/>
  <c r="D68" i="1"/>
  <c r="M7" i="1"/>
  <c r="C234" i="1"/>
  <c r="L233" i="1"/>
  <c r="F211" i="1"/>
  <c r="L56" i="1"/>
  <c r="L88" i="1"/>
  <c r="D144" i="1"/>
  <c r="F142" i="1"/>
  <c r="J123" i="1"/>
  <c r="H68" i="1"/>
  <c r="K1" i="1"/>
  <c r="H98" i="1"/>
  <c r="I53" i="1"/>
  <c r="A36" i="1"/>
  <c r="G122" i="1"/>
  <c r="G78" i="1"/>
  <c r="K44" i="1"/>
  <c r="K3" i="1"/>
  <c r="A21" i="1"/>
  <c r="H84" i="1"/>
  <c r="I112" i="1"/>
  <c r="I70" i="1"/>
  <c r="L102" i="1"/>
  <c r="J76" i="1"/>
  <c r="H105" i="1"/>
  <c r="F127" i="1"/>
  <c r="B118" i="1"/>
  <c r="H137" i="1"/>
  <c r="H34" i="1"/>
  <c r="H106" i="1"/>
  <c r="A100" i="1"/>
  <c r="D138" i="1"/>
  <c r="K68" i="1"/>
  <c r="A81" i="1"/>
  <c r="A67" i="1"/>
  <c r="E99" i="1"/>
  <c r="B147" i="1"/>
  <c r="D71" i="1"/>
  <c r="K102" i="1"/>
  <c r="F30" i="1"/>
  <c r="D113" i="1"/>
  <c r="K85" i="1"/>
  <c r="A127" i="1"/>
  <c r="B64" i="1"/>
  <c r="G149" i="1"/>
  <c r="C113" i="1"/>
  <c r="B1" i="1"/>
  <c r="M36" i="1"/>
  <c r="B19" i="1"/>
  <c r="J17" i="1"/>
  <c r="K58" i="1"/>
  <c r="B71" i="1"/>
  <c r="L113" i="1"/>
  <c r="K2" i="1"/>
  <c r="G111" i="1"/>
  <c r="E136" i="1"/>
  <c r="J60" i="1"/>
  <c r="F129" i="1"/>
  <c r="B111" i="1"/>
  <c r="D42" i="1"/>
  <c r="D89" i="1"/>
  <c r="D52" i="1"/>
  <c r="L119" i="1"/>
  <c r="L9" i="1"/>
  <c r="A5" i="1"/>
  <c r="B55" i="1"/>
  <c r="B54" i="1"/>
  <c r="C80" i="1"/>
  <c r="D51" i="1"/>
  <c r="I15" i="1"/>
  <c r="L21" i="1"/>
  <c r="H36" i="1"/>
  <c r="K99" i="1"/>
  <c r="I121" i="1"/>
  <c r="C58" i="1"/>
  <c r="B115" i="1"/>
  <c r="E78" i="1"/>
  <c r="E73" i="1"/>
  <c r="I104" i="1"/>
  <c r="C23" i="1"/>
  <c r="M28" i="1"/>
  <c r="K34" i="1"/>
  <c r="C20" i="1"/>
  <c r="L52" i="1"/>
  <c r="I96" i="1"/>
  <c r="E135" i="1"/>
  <c r="J106" i="1"/>
  <c r="A133" i="1"/>
  <c r="A2" i="1"/>
  <c r="M9" i="1"/>
  <c r="G112" i="1"/>
  <c r="L134" i="1"/>
  <c r="L14" i="1"/>
  <c r="D15" i="1"/>
  <c r="E91" i="1"/>
  <c r="C125" i="1"/>
  <c r="E106" i="1"/>
  <c r="L95" i="1"/>
  <c r="L27" i="1"/>
  <c r="L76" i="1"/>
  <c r="F104" i="1"/>
  <c r="F27" i="1"/>
  <c r="H86" i="1"/>
  <c r="D64" i="1"/>
  <c r="B41" i="1"/>
  <c r="C47" i="1"/>
  <c r="D23" i="1"/>
  <c r="I24" i="1"/>
  <c r="C56" i="1"/>
  <c r="L132" i="1"/>
  <c r="G146" i="1"/>
  <c r="H123" i="1"/>
  <c r="B110" i="1"/>
  <c r="C26" i="1"/>
  <c r="G42" i="1"/>
  <c r="A32" i="1"/>
  <c r="J96" i="1"/>
  <c r="E21" i="1"/>
  <c r="H149" i="1"/>
  <c r="D65" i="1"/>
  <c r="H7" i="1"/>
  <c r="I94" i="1"/>
  <c r="A22" i="1"/>
  <c r="I100" i="1"/>
  <c r="H124" i="1"/>
  <c r="G6" i="1"/>
  <c r="E36" i="1"/>
  <c r="A39" i="1"/>
  <c r="K133" i="1"/>
  <c r="L141" i="1"/>
  <c r="M30" i="1"/>
  <c r="L8" i="1"/>
  <c r="D17" i="1"/>
  <c r="M1" i="1"/>
  <c r="L71" i="1"/>
  <c r="K15" i="1"/>
  <c r="G3" i="1"/>
  <c r="J113" i="1"/>
  <c r="F45" i="1"/>
  <c r="G164" i="1"/>
  <c r="I188" i="1"/>
  <c r="E217" i="1"/>
  <c r="A249" i="1"/>
  <c r="I106" i="1"/>
  <c r="C52" i="1"/>
  <c r="C11" i="1"/>
  <c r="M43" i="1"/>
  <c r="G61" i="1"/>
  <c r="D47" i="1"/>
  <c r="M25" i="1"/>
  <c r="C16" i="1"/>
  <c r="E137" i="1"/>
  <c r="I64" i="1"/>
  <c r="C135" i="1"/>
  <c r="D9" i="1"/>
  <c r="B2" i="1"/>
  <c r="D85" i="1"/>
  <c r="D58" i="1"/>
  <c r="J109" i="1"/>
  <c r="M129" i="1"/>
  <c r="B23" i="1"/>
  <c r="J130" i="1"/>
  <c r="D104" i="1"/>
  <c r="D31" i="1"/>
  <c r="H93" i="1"/>
  <c r="C87" i="1"/>
  <c r="I93" i="1"/>
  <c r="H20" i="1"/>
  <c r="D87" i="1"/>
  <c r="I114" i="1"/>
  <c r="B63" i="1"/>
  <c r="H101" i="1"/>
  <c r="M148" i="1"/>
  <c r="K31" i="1"/>
  <c r="E18" i="1"/>
  <c r="L142" i="1"/>
  <c r="A78" i="1"/>
  <c r="A86" i="1"/>
  <c r="C17" i="1"/>
  <c r="A144" i="1"/>
  <c r="B108" i="1"/>
  <c r="D131" i="1"/>
  <c r="B89" i="1"/>
  <c r="G87" i="1"/>
  <c r="C61" i="1"/>
  <c r="G5" i="1"/>
  <c r="L43" i="1"/>
  <c r="E51" i="1"/>
  <c r="K25" i="1"/>
  <c r="C147" i="1"/>
  <c r="L72" i="1"/>
  <c r="F116" i="1"/>
  <c r="H132" i="1"/>
  <c r="M92" i="1"/>
  <c r="B143" i="1"/>
  <c r="J81" i="1"/>
  <c r="J105" i="1"/>
  <c r="A89" i="1"/>
  <c r="H80" i="1"/>
  <c r="M88" i="1"/>
  <c r="H45" i="1"/>
  <c r="G147" i="1"/>
  <c r="G92" i="1"/>
  <c r="M77" i="1"/>
  <c r="C89" i="1"/>
  <c r="K17" i="1"/>
  <c r="H133" i="1"/>
  <c r="I3" i="1"/>
  <c r="K49" i="1"/>
  <c r="G30" i="1"/>
  <c r="I54" i="1"/>
  <c r="I140" i="1"/>
  <c r="L92" i="1"/>
  <c r="J69" i="1"/>
  <c r="K42" i="1"/>
  <c r="H134" i="1"/>
  <c r="L60" i="1"/>
  <c r="H63" i="1"/>
  <c r="H11" i="1"/>
  <c r="D118" i="1"/>
  <c r="E82" i="1"/>
  <c r="H141" i="1"/>
  <c r="K21" i="1"/>
  <c r="C127" i="1"/>
  <c r="C139" i="1"/>
  <c r="M147" i="1"/>
  <c r="B10" i="1"/>
  <c r="M97" i="1"/>
  <c r="H146" i="1"/>
  <c r="B100" i="1"/>
  <c r="B26" i="1"/>
  <c r="F68" i="1"/>
  <c r="L53" i="1"/>
  <c r="L126" i="1"/>
  <c r="A48" i="1"/>
  <c r="J18" i="1"/>
  <c r="C65" i="1"/>
  <c r="J149" i="1"/>
  <c r="A42" i="1"/>
  <c r="D34" i="1"/>
  <c r="A72" i="1"/>
  <c r="L12" i="1"/>
  <c r="M41" i="1"/>
  <c r="C130" i="1"/>
  <c r="H112" i="1"/>
  <c r="D4" i="1"/>
  <c r="F35" i="1"/>
  <c r="H73" i="1"/>
  <c r="L145" i="1"/>
  <c r="H42" i="1"/>
  <c r="M135" i="1"/>
  <c r="K144" i="1"/>
  <c r="M114" i="1"/>
  <c r="I36" i="1"/>
  <c r="G36" i="1"/>
  <c r="C100" i="1"/>
  <c r="D22" i="1"/>
  <c r="A56" i="1"/>
  <c r="A77" i="1"/>
  <c r="C134" i="1"/>
  <c r="I135" i="1"/>
  <c r="B47" i="1"/>
  <c r="E65" i="1"/>
  <c r="L46" i="1"/>
  <c r="F133" i="1"/>
  <c r="C72" i="1"/>
  <c r="F85" i="1"/>
  <c r="D226" i="1"/>
  <c r="I234" i="1"/>
  <c r="I242" i="1"/>
  <c r="M131" i="1"/>
  <c r="A17" i="1"/>
  <c r="J41" i="1"/>
  <c r="A12" i="1"/>
  <c r="K117" i="1"/>
  <c r="B125" i="1"/>
  <c r="A23" i="1"/>
  <c r="D149" i="1"/>
  <c r="B74" i="1"/>
  <c r="D128" i="1"/>
  <c r="J51" i="1"/>
  <c r="K69" i="1"/>
  <c r="B102" i="1"/>
  <c r="F59" i="1"/>
  <c r="G107" i="1"/>
  <c r="F132" i="1"/>
  <c r="G133" i="1"/>
  <c r="K134" i="1"/>
  <c r="A65" i="1"/>
  <c r="A37" i="1"/>
  <c r="M16" i="1"/>
  <c r="L83" i="1"/>
  <c r="D143" i="1"/>
  <c r="F65" i="1"/>
  <c r="J83" i="1"/>
  <c r="C19" i="1"/>
  <c r="G123" i="1"/>
  <c r="K35" i="1"/>
  <c r="I58" i="1"/>
  <c r="E118" i="1"/>
  <c r="H92" i="1"/>
  <c r="L128" i="1"/>
  <c r="G46" i="1"/>
  <c r="E94" i="1"/>
  <c r="E17" i="1"/>
  <c r="I31" i="1"/>
  <c r="K11" i="1"/>
  <c r="G31" i="1"/>
  <c r="B65" i="1"/>
  <c r="G71" i="1"/>
  <c r="L29" i="1"/>
  <c r="B72" i="1"/>
  <c r="B8" i="1"/>
  <c r="A95" i="1"/>
  <c r="M12" i="1"/>
  <c r="G79" i="1"/>
  <c r="A41" i="1"/>
  <c r="E144" i="1"/>
  <c r="D11" i="1"/>
  <c r="E48" i="1"/>
  <c r="L97" i="1"/>
  <c r="K140" i="1"/>
  <c r="E42" i="1"/>
  <c r="B56" i="1"/>
  <c r="A54" i="1"/>
  <c r="I57" i="1"/>
  <c r="F9" i="1"/>
  <c r="L122" i="1"/>
  <c r="I125" i="1"/>
  <c r="J43" i="1"/>
  <c r="H56" i="1"/>
  <c r="I6" i="1"/>
  <c r="K136" i="1"/>
  <c r="E62" i="1"/>
  <c r="H67" i="1"/>
  <c r="B7" i="1"/>
  <c r="K142" i="1"/>
  <c r="C98" i="1"/>
  <c r="L47" i="1"/>
  <c r="F10" i="1"/>
  <c r="C133" i="1"/>
  <c r="G91" i="1"/>
  <c r="I148" i="1"/>
  <c r="A99" i="1"/>
  <c r="K79" i="1"/>
  <c r="K123" i="1"/>
  <c r="F66" i="1"/>
  <c r="I35" i="1"/>
  <c r="K93" i="1"/>
  <c r="A118" i="1"/>
  <c r="J89" i="1"/>
  <c r="G59" i="1"/>
  <c r="C69" i="1"/>
  <c r="A109" i="1"/>
  <c r="J125" i="1"/>
  <c r="K75" i="1"/>
  <c r="E70" i="1"/>
  <c r="F4" i="1"/>
  <c r="L79" i="1"/>
  <c r="I98" i="1"/>
  <c r="H51" i="1"/>
  <c r="I51" i="1"/>
  <c r="F54" i="1"/>
  <c r="J25" i="1"/>
  <c r="A134" i="1"/>
  <c r="H74" i="1"/>
  <c r="H150" i="1"/>
  <c r="A115" i="1"/>
  <c r="H114" i="1"/>
  <c r="H65" i="1"/>
  <c r="C34" i="1"/>
  <c r="K141" i="1"/>
  <c r="G127" i="1"/>
  <c r="K50" i="1"/>
  <c r="B114" i="1"/>
  <c r="I85" i="1"/>
  <c r="L3" i="1"/>
  <c r="I122" i="1"/>
  <c r="B151" i="1"/>
  <c r="C7" i="1"/>
  <c r="K103" i="1"/>
  <c r="D26" i="1"/>
  <c r="H129" i="1"/>
  <c r="L129" i="1"/>
  <c r="L111" i="1"/>
  <c r="I69" i="1"/>
  <c r="C91" i="1"/>
  <c r="H143" i="1"/>
  <c r="L103" i="1"/>
  <c r="I109" i="1"/>
  <c r="L98" i="1"/>
  <c r="E72" i="1"/>
  <c r="D93" i="1"/>
  <c r="C21" i="1"/>
  <c r="C35" i="1"/>
  <c r="G25" i="1"/>
  <c r="G27" i="1"/>
  <c r="G49" i="1"/>
  <c r="I66" i="1"/>
  <c r="H91" i="1"/>
  <c r="M140" i="1"/>
  <c r="B67" i="1"/>
  <c r="H70" i="1"/>
  <c r="A1" i="1"/>
  <c r="J35" i="1"/>
  <c r="A105" i="1"/>
  <c r="F71" i="1"/>
  <c r="B148" i="1"/>
  <c r="H148" i="1"/>
  <c r="I91" i="1"/>
  <c r="C53" i="1"/>
  <c r="G125" i="1"/>
  <c r="L123" i="1"/>
  <c r="J64" i="1"/>
  <c r="I16" i="1"/>
  <c r="I2" i="1"/>
  <c r="I111" i="1"/>
  <c r="H39" i="1"/>
  <c r="B36" i="1"/>
  <c r="C28" i="1"/>
  <c r="J19" i="1"/>
  <c r="F84" i="1"/>
  <c r="L78" i="1"/>
  <c r="D78" i="1"/>
  <c r="J143" i="1"/>
  <c r="H122" i="1"/>
  <c r="D151" i="1"/>
  <c r="C96" i="1"/>
  <c r="H60" i="1"/>
  <c r="H26" i="1"/>
  <c r="D112" i="1"/>
  <c r="D10" i="1"/>
  <c r="H38" i="1"/>
  <c r="C62" i="1"/>
  <c r="I1" i="1"/>
  <c r="M3" i="1"/>
  <c r="B40" i="1"/>
  <c r="J142" i="1"/>
  <c r="F75" i="1"/>
  <c r="F44" i="1"/>
  <c r="J108" i="1"/>
  <c r="J38" i="1"/>
  <c r="B78" i="1"/>
  <c r="K98" i="1"/>
  <c r="J57" i="1"/>
  <c r="J50" i="1"/>
  <c r="A129" i="1"/>
  <c r="D12" i="1"/>
  <c r="D46" i="1"/>
  <c r="H50" i="1"/>
  <c r="E35" i="1"/>
  <c r="J136" i="1"/>
  <c r="M124" i="1"/>
  <c r="B105" i="1"/>
  <c r="D80" i="1"/>
  <c r="A132" i="1"/>
  <c r="F83" i="1"/>
  <c r="C95" i="1"/>
  <c r="E131" i="1"/>
  <c r="E66" i="1"/>
  <c r="A73" i="1"/>
  <c r="K130" i="1"/>
  <c r="K135" i="1"/>
  <c r="G132" i="1"/>
  <c r="C4" i="1"/>
  <c r="F63" i="1"/>
  <c r="E16" i="1"/>
  <c r="M65" i="1"/>
  <c r="J32" i="1"/>
  <c r="K147" i="1"/>
  <c r="F61" i="1"/>
  <c r="L37" i="1"/>
  <c r="I92" i="1"/>
  <c r="D111" i="1"/>
  <c r="M108" i="1"/>
  <c r="H94" i="1"/>
  <c r="H78" i="1"/>
  <c r="K151" i="1"/>
  <c r="J3" i="1"/>
  <c r="D107" i="1"/>
  <c r="A85" i="1"/>
  <c r="C9" i="1"/>
  <c r="A40" i="1"/>
  <c r="J138" i="1"/>
  <c r="G136" i="1"/>
  <c r="L104" i="1"/>
  <c r="E12" i="1"/>
  <c r="E101" i="1"/>
  <c r="A66" i="1"/>
  <c r="M59" i="1"/>
  <c r="E52" i="1"/>
  <c r="L6" i="1"/>
  <c r="I81" i="1"/>
  <c r="A147" i="1"/>
  <c r="K139" i="1"/>
  <c r="G95" i="1"/>
  <c r="H19" i="1"/>
  <c r="G105" i="1"/>
  <c r="J73" i="1"/>
  <c r="L120" i="1"/>
  <c r="D32" i="1"/>
  <c r="F139" i="1"/>
  <c r="G14" i="1"/>
  <c r="A80" i="1"/>
  <c r="B5" i="1"/>
  <c r="I149" i="1"/>
  <c r="G121" i="1"/>
  <c r="E105" i="1"/>
  <c r="A30" i="1"/>
  <c r="A49" i="1"/>
  <c r="B109" i="1"/>
  <c r="L136" i="1"/>
  <c r="G88" i="1"/>
  <c r="H109" i="1"/>
  <c r="M115" i="1"/>
  <c r="I77" i="1"/>
  <c r="H41" i="1"/>
  <c r="D6" i="1"/>
  <c r="A117" i="1"/>
  <c r="G26" i="1"/>
  <c r="L61" i="1"/>
  <c r="K84" i="1"/>
  <c r="F55" i="1"/>
  <c r="E13" i="1"/>
  <c r="M39" i="1"/>
  <c r="M53" i="1"/>
  <c r="I129" i="1"/>
  <c r="G17" i="1"/>
  <c r="F12" i="1"/>
  <c r="M15" i="1"/>
  <c r="K26" i="1"/>
  <c r="B129" i="1"/>
  <c r="L23" i="1"/>
  <c r="L24" i="1"/>
  <c r="I9" i="1"/>
  <c r="C67" i="1"/>
  <c r="L93" i="1"/>
  <c r="D66" i="1"/>
  <c r="E58" i="1"/>
  <c r="I136" i="1"/>
  <c r="C123" i="1"/>
  <c r="E30" i="1"/>
  <c r="F50" i="1"/>
  <c r="K122" i="1"/>
  <c r="D129" i="1"/>
  <c r="A61" i="1"/>
  <c r="G89" i="1"/>
  <c r="L32" i="1"/>
  <c r="E54" i="1"/>
  <c r="E90" i="1"/>
  <c r="I78" i="1"/>
  <c r="M84" i="1"/>
  <c r="B136" i="1"/>
  <c r="E111" i="1"/>
  <c r="E8" i="1"/>
  <c r="D43" i="1"/>
  <c r="J63" i="1"/>
  <c r="F141" i="1"/>
  <c r="B90" i="1"/>
  <c r="A104" i="1"/>
  <c r="G103" i="1"/>
  <c r="A114" i="1"/>
  <c r="M145" i="1"/>
  <c r="D101" i="1"/>
  <c r="I47" i="1"/>
  <c r="M17" i="1"/>
  <c r="D62" i="1"/>
  <c r="L75" i="1"/>
  <c r="B28" i="1"/>
  <c r="B150" i="1"/>
  <c r="C57" i="1"/>
  <c r="J53" i="1"/>
  <c r="J128" i="1"/>
  <c r="E44" i="1"/>
  <c r="C18" i="1"/>
  <c r="A62" i="1"/>
  <c r="J44" i="1"/>
  <c r="I13" i="1"/>
  <c r="M13" i="1"/>
  <c r="I107" i="1"/>
  <c r="B87" i="1"/>
  <c r="E108" i="1"/>
  <c r="B35" i="1"/>
  <c r="E151" i="1"/>
  <c r="J75" i="1"/>
  <c r="H62" i="1"/>
  <c r="G72" i="1"/>
  <c r="H55" i="1"/>
  <c r="H139" i="1"/>
  <c r="I87" i="1"/>
  <c r="K116" i="1"/>
  <c r="A96" i="1"/>
  <c r="H95" i="1"/>
  <c r="K100" i="1"/>
  <c r="E96" i="1"/>
  <c r="D127" i="1"/>
  <c r="I72" i="1"/>
  <c r="G65" i="1"/>
  <c r="L31" i="1"/>
  <c r="D20" i="1"/>
  <c r="I34" i="1"/>
  <c r="H13" i="1"/>
  <c r="D33" i="1"/>
  <c r="A87" i="1"/>
  <c r="E133" i="1"/>
  <c r="B146" i="1"/>
  <c r="H90" i="1"/>
  <c r="A90" i="1"/>
  <c r="J150" i="1"/>
  <c r="H81" i="1"/>
  <c r="A45" i="1"/>
  <c r="E71" i="1"/>
  <c r="L105" i="1"/>
  <c r="K82" i="1"/>
  <c r="M23" i="1"/>
  <c r="L66" i="1"/>
  <c r="B73" i="1"/>
  <c r="A130" i="1"/>
  <c r="E20" i="1"/>
  <c r="A33" i="1"/>
  <c r="G16" i="1"/>
  <c r="K70" i="1"/>
  <c r="M72" i="1"/>
  <c r="D123" i="1"/>
  <c r="L2" i="1"/>
  <c r="L84" i="1"/>
  <c r="H48" i="1"/>
  <c r="M20" i="1"/>
  <c r="H14" i="1"/>
  <c r="M117" i="1"/>
  <c r="F115" i="1"/>
  <c r="J23" i="1"/>
  <c r="B128" i="1"/>
  <c r="C25" i="1"/>
  <c r="D59" i="1"/>
  <c r="E141" i="1"/>
  <c r="L149" i="1"/>
  <c r="I141" i="1"/>
  <c r="B117" i="1"/>
  <c r="H9" i="1"/>
  <c r="K118" i="1"/>
  <c r="M27" i="1"/>
  <c r="A69" i="1"/>
  <c r="D103" i="1"/>
  <c r="E132" i="1"/>
  <c r="D115" i="1"/>
  <c r="D67" i="1"/>
  <c r="A107" i="1"/>
  <c r="D28" i="1"/>
  <c r="G55" i="1"/>
  <c r="A101" i="1"/>
  <c r="D13" i="1"/>
  <c r="M110" i="1"/>
  <c r="B144" i="1"/>
  <c r="G41" i="1"/>
  <c r="I25" i="1"/>
  <c r="J11" i="1"/>
  <c r="A58" i="1"/>
  <c r="K40" i="1"/>
  <c r="H5" i="1"/>
  <c r="J1" i="1"/>
  <c r="C1" i="1"/>
  <c r="D74" i="1"/>
  <c r="E83" i="1"/>
  <c r="H3" i="1"/>
  <c r="C46" i="1"/>
  <c r="H24" i="1"/>
  <c r="F81" i="1"/>
  <c r="G135" i="1"/>
  <c r="L7" i="1"/>
  <c r="K51" i="1"/>
  <c r="E110" i="1"/>
  <c r="I102" i="1"/>
  <c r="K4" i="1"/>
  <c r="E148" i="1"/>
  <c r="M60" i="1"/>
  <c r="G101" i="1"/>
  <c r="L42" i="1"/>
  <c r="K36" i="1"/>
  <c r="M56" i="1"/>
  <c r="K10" i="1"/>
  <c r="K106" i="1"/>
  <c r="E22" i="1"/>
  <c r="K5" i="1"/>
  <c r="M64" i="1"/>
  <c r="E113" i="1"/>
  <c r="C132" i="1"/>
  <c r="G2" i="1"/>
  <c r="C8" i="1"/>
  <c r="M112" i="1"/>
  <c r="G86" i="1"/>
  <c r="A44" i="1"/>
  <c r="C41" i="1"/>
  <c r="J80" i="1"/>
  <c r="K65" i="1"/>
  <c r="D88" i="1"/>
  <c r="A94" i="1"/>
  <c r="K108" i="1"/>
  <c r="C33" i="1"/>
  <c r="H77" i="1"/>
  <c r="I48" i="1"/>
  <c r="C108" i="1"/>
  <c r="G10" i="1"/>
  <c r="D145" i="1"/>
  <c r="G48" i="1"/>
  <c r="F43" i="1"/>
  <c r="G73" i="1"/>
  <c r="F57" i="1"/>
  <c r="H61" i="1"/>
  <c r="E11" i="1"/>
  <c r="K121" i="1"/>
  <c r="B76" i="1"/>
  <c r="L35" i="1"/>
  <c r="F103" i="1"/>
  <c r="B120" i="1"/>
  <c r="M123" i="1"/>
  <c r="G62" i="1"/>
  <c r="F111" i="1"/>
  <c r="E24" i="1"/>
  <c r="E60" i="1"/>
  <c r="J8" i="1"/>
  <c r="C84" i="1"/>
  <c r="C44" i="1"/>
  <c r="B42" i="1"/>
  <c r="C59" i="1"/>
  <c r="J116" i="1"/>
  <c r="C120" i="1"/>
  <c r="M89" i="1"/>
  <c r="K76" i="1"/>
  <c r="K132" i="1"/>
  <c r="H104" i="1"/>
  <c r="H66" i="1"/>
  <c r="L69" i="1"/>
  <c r="L26" i="1"/>
  <c r="L150" i="1"/>
  <c r="M116" i="1"/>
  <c r="L10" i="1"/>
  <c r="K119" i="1"/>
  <c r="H89" i="1"/>
  <c r="E109" i="1"/>
  <c r="I119" i="1"/>
  <c r="D136" i="1"/>
  <c r="J124" i="1"/>
  <c r="F109" i="1"/>
  <c r="H116" i="1"/>
  <c r="F106" i="1"/>
  <c r="H97" i="1"/>
  <c r="K101" i="1"/>
  <c r="M122" i="1"/>
  <c r="B116" i="1"/>
  <c r="K94" i="1"/>
  <c r="A122" i="1"/>
  <c r="H16" i="1"/>
  <c r="D39" i="1"/>
  <c r="F112" i="1"/>
  <c r="D19" i="1"/>
  <c r="J141" i="1"/>
  <c r="D37" i="1"/>
  <c r="E75" i="1"/>
  <c r="J16" i="1"/>
  <c r="B77" i="1"/>
  <c r="A47" i="1"/>
  <c r="F74" i="1"/>
  <c r="F118" i="1"/>
  <c r="K71" i="1"/>
  <c r="A143" i="1"/>
  <c r="K53" i="1"/>
  <c r="M5" i="1"/>
  <c r="M32" i="1"/>
  <c r="H64" i="1"/>
  <c r="F6" i="1"/>
  <c r="K6" i="1"/>
  <c r="D2" i="1"/>
  <c r="G15" i="1"/>
  <c r="C63" i="1"/>
  <c r="E149" i="1"/>
  <c r="D126" i="1"/>
  <c r="M111" i="1"/>
  <c r="J47" i="1"/>
  <c r="B92" i="1"/>
  <c r="M139" i="1"/>
  <c r="K55" i="1"/>
  <c r="F128" i="1"/>
  <c r="C37" i="1"/>
  <c r="E15" i="1"/>
  <c r="E5" i="1"/>
  <c r="G99" i="1"/>
  <c r="D76" i="1"/>
  <c r="M6" i="1"/>
  <c r="F42" i="1"/>
  <c r="K129" i="1"/>
  <c r="I74" i="1"/>
  <c r="B99" i="1"/>
  <c r="B53" i="1"/>
  <c r="C77" i="1"/>
  <c r="K16" i="1"/>
  <c r="M22" i="1"/>
  <c r="F11" i="1"/>
  <c r="K145" i="1"/>
  <c r="F31" i="1"/>
  <c r="I12" i="1"/>
  <c r="J4" i="1"/>
  <c r="M76" i="1"/>
  <c r="F97" i="1"/>
  <c r="F114" i="1"/>
  <c r="L148" i="1"/>
  <c r="C110" i="1"/>
  <c r="H144" i="1"/>
  <c r="H102" i="1"/>
  <c r="K124" i="1"/>
  <c r="A150" i="1"/>
  <c r="K29" i="1"/>
  <c r="L108" i="1"/>
  <c r="G117" i="1"/>
  <c r="M54" i="1"/>
  <c r="E107" i="1"/>
  <c r="B142" i="1"/>
  <c r="C109" i="1"/>
  <c r="I134" i="1"/>
  <c r="I128" i="1"/>
  <c r="K54" i="1"/>
  <c r="F86" i="1"/>
  <c r="G141" i="1"/>
  <c r="C2" i="1"/>
  <c r="M80" i="1"/>
  <c r="J48" i="1"/>
  <c r="C119" i="1"/>
  <c r="K80" i="1"/>
  <c r="G63" i="1"/>
  <c r="D122" i="1"/>
  <c r="B107" i="1"/>
  <c r="K63" i="1"/>
  <c r="D117" i="1"/>
  <c r="E23" i="1"/>
  <c r="B95" i="1"/>
  <c r="E120" i="1"/>
  <c r="J97" i="1"/>
  <c r="C6" i="1"/>
  <c r="K48" i="1"/>
  <c r="G140" i="1"/>
  <c r="G94" i="1"/>
  <c r="D90" i="1"/>
  <c r="G75" i="1"/>
  <c r="G124" i="1"/>
  <c r="D79" i="1"/>
  <c r="H75" i="1"/>
  <c r="B24" i="1"/>
  <c r="B57" i="1"/>
  <c r="B37" i="1"/>
  <c r="K148" i="1"/>
  <c r="A29" i="1"/>
  <c r="D114" i="1"/>
  <c r="L125" i="1"/>
  <c r="K97" i="1"/>
  <c r="H110" i="1"/>
  <c r="A60" i="1"/>
  <c r="A63" i="1"/>
  <c r="E81" i="1"/>
  <c r="L57" i="1"/>
  <c r="K64" i="1"/>
  <c r="D96" i="1"/>
  <c r="J26" i="1"/>
  <c r="I151" i="1"/>
  <c r="J13" i="1"/>
  <c r="J140" i="1"/>
  <c r="I142" i="1"/>
  <c r="D141" i="1"/>
  <c r="K96" i="1"/>
  <c r="M79" i="1"/>
  <c r="F46" i="1"/>
  <c r="B48" i="1"/>
  <c r="L87" i="1"/>
  <c r="I68" i="1"/>
  <c r="D110" i="1"/>
  <c r="B130" i="1"/>
  <c r="I61" i="1"/>
  <c r="I5" i="1"/>
  <c r="A111" i="1"/>
  <c r="B141" i="1"/>
  <c r="A19" i="1"/>
  <c r="G76" i="1"/>
  <c r="G38" i="1"/>
  <c r="E124" i="1"/>
  <c r="I124" i="1"/>
  <c r="H83" i="1"/>
  <c r="I50" i="1"/>
  <c r="F52" i="1"/>
  <c r="G45" i="1"/>
  <c r="H131" i="1"/>
  <c r="B93" i="1"/>
  <c r="D125" i="1"/>
  <c r="A148" i="1"/>
  <c r="E33" i="1"/>
  <c r="L80" i="1"/>
  <c r="A128" i="1"/>
  <c r="A20" i="1"/>
  <c r="I26" i="1"/>
  <c r="F47" i="1"/>
  <c r="A102" i="1"/>
  <c r="M141" i="1"/>
  <c r="F134" i="1"/>
  <c r="B139" i="1"/>
  <c r="J14" i="1"/>
  <c r="B32" i="1"/>
  <c r="D3" i="1"/>
  <c r="B21" i="1"/>
  <c r="E1" i="1"/>
  <c r="K61" i="1"/>
  <c r="C43" i="1"/>
  <c r="K105" i="1"/>
  <c r="G11" i="1"/>
  <c r="B30" i="1"/>
  <c r="K143" i="1"/>
  <c r="K78" i="1"/>
  <c r="L44" i="1"/>
  <c r="A38" i="1"/>
  <c r="M128" i="1"/>
  <c r="F23" i="1"/>
  <c r="K28" i="1"/>
  <c r="H107" i="1"/>
  <c r="D63" i="1"/>
  <c r="J78" i="1"/>
  <c r="D36" i="1"/>
  <c r="H71" i="1"/>
  <c r="K46" i="1"/>
  <c r="G12" i="1"/>
  <c r="J118" i="1"/>
  <c r="I144" i="1"/>
  <c r="L48" i="1"/>
  <c r="F79" i="1"/>
  <c r="H2" i="1"/>
  <c r="L131" i="1"/>
  <c r="A138" i="1"/>
  <c r="J77" i="1"/>
  <c r="A136" i="1"/>
  <c r="H140" i="1"/>
  <c r="E116" i="1"/>
  <c r="G85" i="1"/>
  <c r="I62" i="1"/>
  <c r="B133" i="1"/>
  <c r="B81" i="1"/>
  <c r="M68" i="1"/>
  <c r="C92" i="1"/>
  <c r="M90" i="1"/>
  <c r="F78" i="1"/>
  <c r="B86" i="1"/>
  <c r="L18" i="1"/>
  <c r="G33" i="1"/>
  <c r="A91" i="1"/>
  <c r="A28" i="1"/>
  <c r="M66" i="1"/>
  <c r="G130" i="1"/>
  <c r="D40" i="1"/>
  <c r="D49" i="1"/>
  <c r="C146" i="1"/>
  <c r="D27" i="1"/>
  <c r="D70" i="1"/>
  <c r="A13" i="1"/>
  <c r="G138" i="1"/>
  <c r="M91" i="1"/>
  <c r="F80" i="1"/>
  <c r="E134" i="1"/>
  <c r="A145" i="1"/>
  <c r="E27" i="1"/>
  <c r="L114" i="1"/>
  <c r="A43" i="1"/>
  <c r="D99" i="1"/>
  <c r="F143" i="1"/>
  <c r="M38" i="1"/>
  <c r="J131" i="1"/>
  <c r="B145" i="1"/>
  <c r="G81" i="1"/>
  <c r="M99" i="1"/>
  <c r="A123" i="1"/>
  <c r="F72" i="1"/>
  <c r="D140" i="1"/>
  <c r="D119" i="1"/>
  <c r="G90" i="1"/>
  <c r="M52" i="1"/>
  <c r="F5" i="1"/>
  <c r="G80" i="1"/>
  <c r="F135" i="1"/>
  <c r="B22" i="1"/>
  <c r="H47" i="1"/>
  <c r="H44" i="1"/>
  <c r="I65" i="1"/>
  <c r="L20" i="1"/>
  <c r="I37" i="1"/>
  <c r="K7" i="1"/>
  <c r="I30" i="1"/>
  <c r="B127" i="1"/>
  <c r="J55" i="1"/>
  <c r="J84" i="1"/>
  <c r="I80" i="1"/>
  <c r="H23" i="1"/>
  <c r="L82" i="1"/>
  <c r="B137" i="1"/>
  <c r="F125" i="1"/>
  <c r="F34" i="1"/>
  <c r="M57" i="1"/>
  <c r="M71" i="1"/>
  <c r="C73" i="1"/>
  <c r="B96" i="1"/>
  <c r="J56" i="1"/>
  <c r="G28" i="1"/>
  <c r="B6" i="1"/>
  <c r="G128" i="1"/>
  <c r="G56" i="1"/>
  <c r="C116" i="1"/>
  <c r="A9" i="1"/>
  <c r="H145" i="1"/>
  <c r="B33" i="1"/>
  <c r="K88" i="1"/>
  <c r="K83" i="1"/>
  <c r="L55" i="1"/>
  <c r="H136" i="1"/>
  <c r="F122" i="1"/>
  <c r="M46" i="1"/>
  <c r="C118" i="1"/>
  <c r="A108" i="1"/>
  <c r="F151" i="1"/>
  <c r="J100" i="1"/>
  <c r="J72" i="1"/>
  <c r="K24" i="1"/>
  <c r="I49" i="1"/>
  <c r="G131" i="1"/>
  <c r="K90" i="1"/>
  <c r="D56" i="1"/>
  <c r="J58" i="1"/>
  <c r="D108" i="1"/>
  <c r="J104" i="1"/>
  <c r="A135" i="1"/>
  <c r="M103" i="1"/>
  <c r="D97" i="1"/>
  <c r="A93" i="1"/>
  <c r="I43" i="1"/>
  <c r="N86" i="1"/>
  <c r="N31" i="1"/>
  <c r="N103" i="1"/>
  <c r="N111" i="1"/>
  <c r="N186" i="1"/>
  <c r="N208" i="1"/>
  <c r="N157" i="1"/>
  <c r="N222" i="1"/>
  <c r="N169" i="1"/>
  <c r="N214" i="1"/>
  <c r="N39" i="1"/>
  <c r="N54" i="1"/>
  <c r="N99" i="1"/>
  <c r="N194" i="1"/>
  <c r="N184" i="1"/>
  <c r="N243" i="1"/>
  <c r="N205" i="1"/>
  <c r="N175" i="1"/>
  <c r="N165" i="1"/>
  <c r="N74" i="1"/>
  <c r="N29" i="1"/>
  <c r="N50" i="1"/>
  <c r="N114" i="1"/>
  <c r="N254" i="1"/>
  <c r="N68" i="1"/>
  <c r="N250" i="1"/>
  <c r="N75" i="1"/>
  <c r="N36" i="1"/>
  <c r="N38" i="1"/>
  <c r="N124" i="1"/>
  <c r="N14" i="1"/>
  <c r="N209" i="1"/>
  <c r="N162" i="1"/>
  <c r="N235" i="1"/>
  <c r="N199" i="1"/>
  <c r="N238" i="1"/>
  <c r="N229" i="1"/>
  <c r="N201" i="1"/>
  <c r="N183" i="1"/>
  <c r="N252" i="1"/>
  <c r="N206" i="1"/>
  <c r="N145" i="1"/>
  <c r="N158" i="1"/>
  <c r="N232" i="1"/>
  <c r="N233" i="1"/>
  <c r="N178" i="1"/>
  <c r="N181" i="1"/>
  <c r="N173" i="1"/>
  <c r="N236" i="1"/>
  <c r="N78" i="1"/>
  <c r="N224" i="1"/>
  <c r="N217" i="1"/>
  <c r="N141" i="1"/>
  <c r="N198" i="1"/>
  <c r="N196" i="1"/>
  <c r="N213" i="1"/>
  <c r="N144" i="1"/>
  <c r="N148" i="1"/>
  <c r="N117" i="1"/>
  <c r="N137" i="1"/>
  <c r="N64" i="1"/>
  <c r="N247" i="1"/>
  <c r="N189" i="1"/>
  <c r="N185" i="1"/>
  <c r="N151" i="1"/>
  <c r="N164" i="1"/>
  <c r="N210" i="1"/>
  <c r="N253" i="1"/>
  <c r="N10" i="1"/>
  <c r="N121" i="1"/>
  <c r="N107" i="1"/>
  <c r="N60" i="1"/>
  <c r="N220" i="1"/>
  <c r="N177" i="1"/>
  <c r="N166" i="1"/>
  <c r="N237" i="1"/>
  <c r="N153" i="1"/>
  <c r="N179" i="1"/>
  <c r="N48" i="1"/>
  <c r="N42" i="1"/>
  <c r="N192" i="1"/>
  <c r="N200" i="1"/>
  <c r="N218" i="1"/>
  <c r="N174" i="1"/>
  <c r="N230" i="1"/>
  <c r="N221" i="1"/>
  <c r="N156" i="1"/>
  <c r="N30" i="1"/>
  <c r="N112" i="1"/>
  <c r="N97" i="1"/>
  <c r="N85" i="1"/>
  <c r="N129" i="1"/>
  <c r="N49" i="1"/>
  <c r="N71" i="1"/>
  <c r="N70" i="1"/>
  <c r="N76" i="1"/>
  <c r="N24" i="1"/>
  <c r="N149" i="1"/>
  <c r="N22" i="1"/>
  <c r="N226" i="1"/>
  <c r="N168" i="1"/>
  <c r="N212" i="1"/>
  <c r="N244" i="1"/>
  <c r="N190" i="1"/>
  <c r="N182" i="1"/>
  <c r="N159" i="1"/>
  <c r="N176" i="1"/>
  <c r="N251" i="1"/>
  <c r="N136" i="1"/>
  <c r="N193" i="1"/>
  <c r="N216" i="1"/>
  <c r="N152" i="1"/>
  <c r="N172" i="1"/>
  <c r="N138" i="1"/>
  <c r="N150" i="1"/>
  <c r="N12" i="1"/>
  <c r="N93" i="1"/>
  <c r="N90" i="1"/>
  <c r="N204" i="1"/>
  <c r="N241" i="1"/>
  <c r="N249" i="1"/>
  <c r="N167" i="1"/>
  <c r="N245" i="1"/>
  <c r="N188" i="1"/>
  <c r="N104" i="1"/>
  <c r="N115" i="1"/>
  <c r="N225" i="1"/>
  <c r="N240" i="1"/>
  <c r="N248" i="1"/>
  <c r="N239" i="1"/>
  <c r="N211" i="1"/>
  <c r="N180" i="1"/>
  <c r="N40" i="1"/>
  <c r="N142" i="1"/>
  <c r="N79" i="1"/>
  <c r="N66" i="1"/>
  <c r="N154" i="1"/>
  <c r="N94" i="1"/>
  <c r="N105" i="1"/>
  <c r="N88" i="1"/>
  <c r="N255" i="1"/>
  <c r="N13" i="1"/>
  <c r="N106" i="1"/>
  <c r="N81" i="1"/>
  <c r="N160" i="1"/>
  <c r="N228" i="1"/>
  <c r="N242" i="1"/>
  <c r="N231" i="1"/>
  <c r="N191" i="1"/>
  <c r="N161" i="1"/>
  <c r="N227" i="1"/>
  <c r="N32" i="1"/>
  <c r="N215" i="1"/>
  <c r="N155" i="1"/>
  <c r="N202" i="1"/>
  <c r="N246" i="1"/>
  <c r="N82" i="1"/>
  <c r="N83" i="1"/>
  <c r="N102" i="1"/>
  <c r="N203" i="1"/>
  <c r="N219" i="1"/>
  <c r="N170" i="1"/>
  <c r="N27" i="1"/>
  <c r="N256" i="1"/>
  <c r="N195" i="1"/>
  <c r="N197" i="1"/>
  <c r="N143" i="1"/>
  <c r="N122" i="1"/>
  <c r="N131" i="1"/>
  <c r="N140" i="1"/>
  <c r="N126" i="1"/>
  <c r="N171" i="1"/>
  <c r="N187" i="1"/>
  <c r="N163" i="1"/>
  <c r="N223" i="1"/>
  <c r="N6" i="1" l="1"/>
  <c r="O5" i="1"/>
  <c r="N2" i="1" s="1"/>
  <c r="N4" i="1"/>
  <c r="P5" i="1"/>
  <c r="N3" i="1" s="1"/>
  <c r="N118" i="1"/>
  <c r="N92" i="1"/>
  <c r="N109" i="1"/>
  <c r="N63" i="1"/>
  <c r="N84" i="1"/>
  <c r="N8" i="1"/>
  <c r="N25" i="1"/>
  <c r="N67" i="1"/>
  <c r="N53" i="1"/>
  <c r="N7" i="1"/>
  <c r="N98" i="1"/>
  <c r="N100" i="1"/>
  <c r="N127" i="1"/>
  <c r="N17" i="1"/>
  <c r="N11" i="1"/>
  <c r="N47" i="1"/>
  <c r="N58" i="1"/>
  <c r="N55" i="1"/>
  <c r="N15" i="1"/>
  <c r="N18" i="1"/>
  <c r="N9" i="1"/>
  <c r="N62" i="1"/>
  <c r="N35" i="1"/>
  <c r="N34" i="1"/>
  <c r="N130" i="1"/>
  <c r="N87" i="1"/>
  <c r="N125" i="1"/>
  <c r="N80" i="1"/>
  <c r="N116" i="1"/>
  <c r="N43" i="1"/>
  <c r="N110" i="1"/>
  <c r="N120" i="1"/>
  <c r="N108" i="1"/>
  <c r="N73" i="1"/>
  <c r="N77" i="1"/>
  <c r="N59" i="1"/>
  <c r="N33" i="1"/>
  <c r="N132" i="1"/>
  <c r="N57" i="1"/>
  <c r="N96" i="1"/>
  <c r="N21" i="1"/>
  <c r="N69" i="1"/>
  <c r="N72" i="1"/>
  <c r="N65" i="1"/>
  <c r="N147" i="1"/>
  <c r="N135" i="1"/>
  <c r="N26" i="1"/>
  <c r="N20" i="1"/>
  <c r="N113" i="1"/>
  <c r="N101" i="1"/>
  <c r="N146" i="1"/>
  <c r="N119" i="1"/>
  <c r="N37" i="1"/>
  <c r="N44" i="1"/>
  <c r="N41" i="1"/>
  <c r="N46" i="1"/>
  <c r="N123" i="1"/>
  <c r="N95" i="1"/>
  <c r="N28" i="1"/>
  <c r="N91" i="1"/>
  <c r="N133" i="1"/>
  <c r="N134" i="1"/>
  <c r="N139" i="1"/>
  <c r="N61" i="1"/>
  <c r="N16" i="1"/>
  <c r="N56" i="1"/>
  <c r="N23" i="1"/>
  <c r="N234" i="1"/>
  <c r="N45" i="1"/>
  <c r="N19" i="1"/>
  <c r="N89" i="1"/>
  <c r="N52" i="1"/>
  <c r="N51" i="1"/>
</calcChain>
</file>

<file path=xl/sharedStrings.xml><?xml version="1.0" encoding="utf-8"?>
<sst xmlns="http://schemas.openxmlformats.org/spreadsheetml/2006/main" count="8" uniqueCount="8">
  <si>
    <t>Total calculé</t>
  </si>
  <si>
    <t>EAN13_traite.csv!I4</t>
  </si>
  <si>
    <t>EAN13_traite.csv</t>
  </si>
  <si>
    <t>2019-02-SpringBloom/FAT_2019_50_0000280.pdf</t>
  </si>
  <si>
    <t>x</t>
  </si>
  <si>
    <t>FAT_2019_50_0000348.2-EAN13.csv</t>
  </si>
  <si>
    <t>FICHIER_traite.csv</t>
  </si>
  <si>
    <t>Contrôle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</si>
</sst>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General;&quot;&quot;"/>
    <numFmt numFmtId="165" formatCode="###0;###0;&quot;&quot;"/>
    <numFmt numFmtId="166" formatCode="#,##0.00\ &quot;€&quot;;\-#,##0.00\ &quot;€&quot;;&quot;&quot;"/>
    <numFmt numFmtId="167" formatCode="#,##0.00\ &quot;€&quot;"/>
  </numFmts>
  <fonts count="9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  <xf numFmtId="164" fontId="6" fillId="5" borderId="0" xfId="0" applyNumberFormat="1" applyFont="1" applyFill="1"/>
    <xf numFmtId="167" fontId="6" fillId="5" borderId="0" xfId="0" applyNumberFormat="1" applyFont="1" applyFill="1"/>
    <xf numFmtId="0" fontId="8" fillId="5" borderId="0" xfId="0" applyFont="1" applyFill="1"/>
  </cellXfs>
  <cellStyles count="1">
    <cellStyle name="Normal" xfId="0" builtinId="0"/>
  </cellStyles>
  <dxfs count="5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256"/>
  <sheetViews>
    <sheetView tabSelected="1" workbookViewId="0">
      <selection activeCell="C15" sqref="C15"/>
    </sheetView>
  </sheetViews>
  <sheetFormatPr baseColWidth="10" defaultColWidth="11.42578125" defaultRowHeight="15.75" x14ac:dyDescent="0.25"/>
  <cols>
    <col min="1" max="1" width="5.85546875" style="1" customWidth="1"/>
    <col min="2" max="2" width="3.7109375" style="1" customWidth="1"/>
    <col min="3" max="3" width="12.5703125" style="6" customWidth="1"/>
    <col min="4" max="4" width="21.710937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23" style="1" customWidth="1"/>
    <col min="16" max="16" width="11.42578125" style="1"/>
    <col min="17" max="17" width="54.7109375" style="1" bestFit="1" customWidth="1"/>
    <col min="18" max="16384" width="11.42578125" style="1"/>
  </cols>
  <sheetData>
    <row r="1" spans="1:19" x14ac:dyDescent="0.25">
      <c r="A1" s="3">
        <f ca="1">INDEX(INDIRECT($O$10),ROW(A1),COLUMN(A1))</f>
        <v>1</v>
      </c>
      <c r="B1" s="3">
        <f ca="1">INDEX(INDIRECT($O$10),ROW(B1),COLUMN(B1))</f>
        <v>0</v>
      </c>
      <c r="C1" s="5" t="str">
        <f ca="1">INDEX(INDIRECT($O$10),ROW(C1),COLUMN(C1))</f>
        <v>Fichier</v>
      </c>
      <c r="D1" s="8">
        <f ca="1">INDEX(INDIRECT($O$10),ROW(D1),COLUMN(D1))</f>
        <v>0</v>
      </c>
      <c r="E1" s="12" t="str">
        <f ca="1">INDEX(INDIRECT($O$10),ROW(E1),COLUMN(E1))</f>
        <v>2019-09-Fall19/FAT_2019_50_0001933.txt</v>
      </c>
      <c r="F1" s="18">
        <f ca="1">INDEX(INDIRECT($O$10),ROW(F1),COLUMN(F1))</f>
        <v>0</v>
      </c>
      <c r="G1" s="10">
        <f ca="1">INDEX(INDIRECT($O$10),ROW(G1),COLUMN(G1))</f>
        <v>0</v>
      </c>
      <c r="H1" s="20">
        <f ca="1">INDEX(INDIRECT($O$10),ROW(H1),COLUMN(H1))</f>
        <v>0</v>
      </c>
      <c r="I1" s="22">
        <f ca="1">INDEX(INDIRECT($O$10),ROW(I1),COLUMN(I1))</f>
        <v>0</v>
      </c>
      <c r="J1" s="14">
        <f ca="1">INDEX(INDIRECT($O$10),ROW(J1),COLUMN(J1))</f>
        <v>0</v>
      </c>
      <c r="K1" s="16">
        <f ca="1">INDEX(INDIRECT($O$10),ROW(K1),COLUMN(K1))</f>
        <v>0</v>
      </c>
      <c r="L1" s="27">
        <f ca="1">INDEX(INDIRECT($O$10),ROW(L1),COLUMN(L1))</f>
        <v>0</v>
      </c>
      <c r="M1" s="29">
        <f ca="1">INDEX(INDIRECT($O$10),ROW(M1),COLUMN(M1))</f>
        <v>0</v>
      </c>
      <c r="N1" s="31" t="s">
        <v>7</v>
      </c>
    </row>
    <row r="2" spans="1:19" x14ac:dyDescent="0.25">
      <c r="A2" s="3">
        <f ca="1">INDEX(INDIRECT($O$10),ROW(A2),COLUMN(A2))</f>
        <v>2</v>
      </c>
      <c r="B2" s="3">
        <f ca="1">INDEX(INDIRECT($O$10),ROW(B2),COLUMN(B2))</f>
        <v>0</v>
      </c>
      <c r="C2" s="5" t="str">
        <f ca="1">INDEX(INDIRECT($O$10),ROW(C2),COLUMN(C2))</f>
        <v>Boutique</v>
      </c>
      <c r="D2" s="8">
        <f ca="1">INDEX(INDIRECT($O$10),ROW(D2),COLUMN(D2))</f>
        <v>0</v>
      </c>
      <c r="E2" s="12" t="str">
        <f ca="1">INDEX(INDIRECT($O$10),ROW(E2),COLUMN(E2))</f>
        <v>TOULOUSE</v>
      </c>
      <c r="F2" s="18">
        <f ca="1">INDEX(INDIRECT($O$10),ROW(F2),COLUMN(F2))</f>
        <v>0</v>
      </c>
      <c r="G2" s="10">
        <f ca="1">INDEX(INDIRECT($O$10),ROW(G2),COLUMN(G2))</f>
        <v>0</v>
      </c>
      <c r="H2" s="20">
        <f ca="1">INDEX(INDIRECT($O$10),ROW(H2),COLUMN(H2))</f>
        <v>0</v>
      </c>
      <c r="I2" s="22">
        <f ca="1">INDEX(INDIRECT($O$10),ROW(I2),COLUMN(I2))</f>
        <v>0</v>
      </c>
      <c r="J2" s="14">
        <f ca="1">INDEX(INDIRECT($O$10),ROW(J2),COLUMN(J2))</f>
        <v>0</v>
      </c>
      <c r="K2" s="16">
        <f ca="1">INDEX(INDIRECT($O$10),ROW(K2),COLUMN(K2))</f>
        <v>0</v>
      </c>
      <c r="L2" s="27">
        <f ca="1">INDEX(INDIRECT($O$10),ROW(L2),COLUMN(L2))</f>
        <v>0</v>
      </c>
      <c r="M2" s="29">
        <f ca="1">INDEX(INDIRECT($O$10),ROW(M2),COLUMN(M2))</f>
        <v>0</v>
      </c>
      <c r="N2" s="32">
        <f ca="1">O5</f>
        <v>6132.7099999999928</v>
      </c>
    </row>
    <row r="3" spans="1:19" x14ac:dyDescent="0.25">
      <c r="A3" s="3">
        <f ca="1">INDEX(INDIRECT($O$10),ROW(A3),COLUMN(A3))</f>
        <v>3</v>
      </c>
      <c r="B3" s="3">
        <f ca="1">INDEX(INDIRECT($O$10),ROW(B3),COLUMN(B3))</f>
        <v>0</v>
      </c>
      <c r="C3" s="5" t="str">
        <f ca="1">INDEX(INDIRECT($O$10),ROW(C3),COLUMN(C3))</f>
        <v>Ref. facture</v>
      </c>
      <c r="D3" s="8">
        <f ca="1">INDEX(INDIRECT($O$10),ROW(D3),COLUMN(D3))</f>
        <v>0</v>
      </c>
      <c r="E3" s="12" t="str">
        <f ca="1">INDEX(INDIRECT($O$10),ROW(E3),COLUMN(E3))</f>
        <v>2019 50 1933 17/09/2019</v>
      </c>
      <c r="F3" s="18">
        <f ca="1">INDEX(INDIRECT($O$10),ROW(F3),COLUMN(F3))</f>
        <v>0</v>
      </c>
      <c r="G3" s="10">
        <f ca="1">INDEX(INDIRECT($O$10),ROW(G3),COLUMN(G3))</f>
        <v>0</v>
      </c>
      <c r="H3" s="20">
        <f ca="1">INDEX(INDIRECT($O$10),ROW(H3),COLUMN(H3))</f>
        <v>0</v>
      </c>
      <c r="I3" s="22">
        <f ca="1">INDEX(INDIRECT($O$10),ROW(I3),COLUMN(I3))</f>
        <v>0</v>
      </c>
      <c r="J3" s="14">
        <f ca="1">INDEX(INDIRECT($O$10),ROW(J3),COLUMN(J3))</f>
        <v>0</v>
      </c>
      <c r="K3" s="16">
        <f ca="1">INDEX(INDIRECT($O$10),ROW(K3),COLUMN(K3))</f>
        <v>0</v>
      </c>
      <c r="L3" s="27">
        <f ca="1">INDEX(INDIRECT($O$10),ROW(L3),COLUMN(L3))</f>
        <v>0</v>
      </c>
      <c r="M3" s="29">
        <f ca="1">INDEX(INDIRECT($O$10),ROW(M3),COLUMN(M3))</f>
        <v>0</v>
      </c>
      <c r="N3" s="32">
        <f ca="1">P5</f>
        <v>6132.7099999999928</v>
      </c>
      <c r="O3" s="1" t="s">
        <v>1</v>
      </c>
      <c r="Q3" s="26" t="s">
        <v>5</v>
      </c>
    </row>
    <row r="4" spans="1:19" ht="15.75" customHeight="1" x14ac:dyDescent="0.5">
      <c r="A4" s="3">
        <f ca="1">INDEX(INDIRECT($O$10),ROW(A4),COLUMN(A4))</f>
        <v>4</v>
      </c>
      <c r="B4" s="3">
        <f ca="1">INDEX(INDIRECT($O$10),ROW(B4),COLUMN(B4))</f>
        <v>0</v>
      </c>
      <c r="C4" s="5" t="str">
        <f ca="1">INDEX(INDIRECT($O$10),ROW(C4),COLUMN(C4))</f>
        <v>Total facture</v>
      </c>
      <c r="D4" s="8">
        <f ca="1">INDEX(INDIRECT($O$10),ROW(D4),COLUMN(D4))</f>
        <v>0</v>
      </c>
      <c r="E4" s="12">
        <f ca="1">INDEX(INDIRECT($O$10),ROW(E4),COLUMN(E4))</f>
        <v>6224.71</v>
      </c>
      <c r="F4" s="18">
        <f ca="1">INDEX(INDIRECT($O$10),ROW(F4),COLUMN(F4))</f>
        <v>0</v>
      </c>
      <c r="G4" s="10">
        <f ca="1">INDEX(INDIRECT($O$10),ROW(G4),COLUMN(G4))</f>
        <v>0</v>
      </c>
      <c r="H4" s="20">
        <f ca="1">INDEX(INDIRECT($O$10),ROW(H4),COLUMN(H4))</f>
        <v>0</v>
      </c>
      <c r="I4" s="22">
        <f ca="1">INDEX(INDIRECT($O$10),ROW(I4),COLUMN(I4))</f>
        <v>0</v>
      </c>
      <c r="J4" s="14">
        <f ca="1">INDEX(INDIRECT($O$10),ROW(J4),COLUMN(J4))</f>
        <v>0</v>
      </c>
      <c r="K4" s="16">
        <f ca="1">INDEX(INDIRECT($O$10),ROW(K4),COLUMN(K4))</f>
        <v>0</v>
      </c>
      <c r="L4" s="27">
        <f ca="1">INDEX(INDIRECT($O$10),ROW(L4),COLUMN(L4))</f>
        <v>0</v>
      </c>
      <c r="M4" s="29">
        <f ca="1">INDEX(INDIRECT($O$10),ROW(M4),COLUMN(M4))</f>
        <v>0</v>
      </c>
      <c r="N4" s="33" t="str">
        <f ca="1">IF(ISNUMBER($C4),codeEAN13(INT(C4/10)),"")</f>
        <v/>
      </c>
      <c r="O4" s="1" t="s">
        <v>0</v>
      </c>
      <c r="Q4" s="26" t="s">
        <v>6</v>
      </c>
    </row>
    <row r="5" spans="1:19" ht="15.75" customHeight="1" x14ac:dyDescent="0.5">
      <c r="A5" s="3">
        <f ca="1">INDEX(INDIRECT($O$10),ROW(A5),COLUMN(A5))</f>
        <v>5</v>
      </c>
      <c r="B5" s="3">
        <f ca="1">INDEX(INDIRECT($O$10),ROW(B5),COLUMN(B5))</f>
        <v>0</v>
      </c>
      <c r="C5" s="5" t="str">
        <f ca="1">INDEX(INDIRECT($O$10),ROW(C5),COLUMN(C5))</f>
        <v>Total produits</v>
      </c>
      <c r="D5" s="8">
        <f ca="1">INDEX(INDIRECT($O$10),ROW(D5),COLUMN(D5))</f>
        <v>0</v>
      </c>
      <c r="E5" s="12">
        <f ca="1">INDEX(INDIRECT($O$10),ROW(E5),COLUMN(E5))</f>
        <v>0</v>
      </c>
      <c r="F5" s="18">
        <f ca="1">INDEX(INDIRECT($O$10),ROW(F5),COLUMN(F5))</f>
        <v>0</v>
      </c>
      <c r="G5" s="10">
        <f ca="1">INDEX(INDIRECT($O$10),ROW(G5),COLUMN(G5))</f>
        <v>0</v>
      </c>
      <c r="H5" s="20">
        <f ca="1">INDEX(INDIRECT($O$10),ROW(H5),COLUMN(H5))</f>
        <v>0</v>
      </c>
      <c r="I5" s="22">
        <f ca="1">INDEX(INDIRECT($O$10),ROW(I5),COLUMN(I5))</f>
        <v>0</v>
      </c>
      <c r="J5" s="14">
        <f ca="1">INDEX(INDIRECT($O$10),ROW(J5),COLUMN(J5))</f>
        <v>0</v>
      </c>
      <c r="K5" s="16">
        <f ca="1">INDEX(INDIRECT($O$10),ROW(K5),COLUMN(K5))</f>
        <v>0</v>
      </c>
      <c r="L5" s="27">
        <f ca="1">INDEX(INDIRECT($O$10),ROW(L5),COLUMN(L5))</f>
        <v>0</v>
      </c>
      <c r="M5" s="29">
        <f ca="1">INDEX(INDIRECT($O$10),ROW(M5),COLUMN(M5))</f>
        <v>0</v>
      </c>
      <c r="N5" s="33" t="str">
        <f ca="1">IF(ISNUMBER($C5),codeEAN13(INT(C5/10)),"")</f>
        <v/>
      </c>
      <c r="O5" s="1">
        <f ca="1">SUMPRODUCT(G:G,H:H)</f>
        <v>6132.7099999999928</v>
      </c>
      <c r="P5" s="4">
        <f ca="1">SUM(I:I)</f>
        <v>6132.7099999999928</v>
      </c>
    </row>
    <row r="6" spans="1:19" ht="15.75" customHeight="1" x14ac:dyDescent="0.5">
      <c r="A6" s="3">
        <f ca="1">INDEX(INDIRECT($O$10),ROW(A6),COLUMN(A6))</f>
        <v>6</v>
      </c>
      <c r="B6" s="3">
        <f ca="1">INDEX(INDIRECT($O$10),ROW(B6),COLUMN(B6))</f>
        <v>0</v>
      </c>
      <c r="C6" s="5" t="str">
        <f ca="1">INDEX(INDIRECT($O$10),ROW(C6),COLUMN(C6))</f>
        <v>Cumul montant</v>
      </c>
      <c r="D6" s="8">
        <f ca="1">INDEX(INDIRECT($O$10),ROW(D6),COLUMN(D6))</f>
        <v>0</v>
      </c>
      <c r="E6" s="12" t="str">
        <f ca="1">INDEX(INDIRECT($O$10),ROW(E6),COLUMN(E6))</f>
        <v>6132.71</v>
      </c>
      <c r="F6" s="18">
        <f ca="1">INDEX(INDIRECT($O$10),ROW(F6),COLUMN(F6))</f>
        <v>0</v>
      </c>
      <c r="G6" s="10" t="str">
        <f ca="1">INDEX(INDIRECT($O$10),ROW(G6),COLUMN(G6))</f>
        <v>Etat courant = 'lectureCouleur'</v>
      </c>
      <c r="H6" s="20">
        <f ca="1">INDEX(INDIRECT($O$10),ROW(H6),COLUMN(H6))</f>
        <v>0</v>
      </c>
      <c r="I6" s="22">
        <f ca="1">INDEX(INDIRECT($O$10),ROW(I6),COLUMN(I6))</f>
        <v>0</v>
      </c>
      <c r="J6" s="14">
        <f ca="1">INDEX(INDIRECT($O$10),ROW(J6),COLUMN(J6))</f>
        <v>0</v>
      </c>
      <c r="K6" s="16">
        <f ca="1">INDEX(INDIRECT($O$10),ROW(K6),COLUMN(K6))</f>
        <v>0</v>
      </c>
      <c r="L6" s="27">
        <f ca="1">INDEX(INDIRECT($O$10),ROW(L6),COLUMN(L6))</f>
        <v>0</v>
      </c>
      <c r="M6" s="29">
        <f ca="1">INDEX(INDIRECT($O$10),ROW(M6),COLUMN(M6))</f>
        <v>0</v>
      </c>
      <c r="N6" s="33" t="str">
        <f ca="1">IF(ISNUMBER($C6),codeEAN13(INT(C6/10)),"")</f>
        <v/>
      </c>
      <c r="O6" s="7" t="s">
        <v>3</v>
      </c>
      <c r="P6" s="1" t="s">
        <v>4</v>
      </c>
      <c r="Q6" s="26" t="s">
        <v>2</v>
      </c>
    </row>
    <row r="7" spans="1:19" ht="15.75" customHeight="1" x14ac:dyDescent="0.5">
      <c r="A7" s="3">
        <f ca="1">INDEX(INDIRECT($O$10),ROW(A7),COLUMN(A7))</f>
        <v>7</v>
      </c>
      <c r="B7" s="3" t="str">
        <f ca="1">INDEX(INDIRECT($O$10),ROW(B7),COLUMN(B7))</f>
        <v>ANOMALIE MONTANT</v>
      </c>
      <c r="C7" s="5">
        <f ca="1">INDEX(INDIRECT($O$10),ROW(C7),COLUMN(C7))</f>
        <v>0</v>
      </c>
      <c r="D7" s="8">
        <f ca="1">INDEX(INDIRECT($O$10),ROW(D7),COLUMN(D7))</f>
        <v>6132.71</v>
      </c>
      <c r="E7" s="12">
        <f ca="1">INDEX(INDIRECT($O$10),ROW(E7),COLUMN(E7))</f>
        <v>0</v>
      </c>
      <c r="F7" s="18">
        <f ca="1">INDEX(INDIRECT($O$10),ROW(F7),COLUMN(F7))</f>
        <v>0</v>
      </c>
      <c r="G7" s="10">
        <f ca="1">INDEX(INDIRECT($O$10),ROW(G7),COLUMN(G7))</f>
        <v>0</v>
      </c>
      <c r="H7" s="20">
        <f ca="1">INDEX(INDIRECT($O$10),ROW(H7),COLUMN(H7))</f>
        <v>0</v>
      </c>
      <c r="I7" s="22">
        <f ca="1">INDEX(INDIRECT($O$10),ROW(I7),COLUMN(I7))</f>
        <v>0</v>
      </c>
      <c r="J7" s="14">
        <f ca="1">INDEX(INDIRECT($O$10),ROW(J7),COLUMN(J7))</f>
        <v>0</v>
      </c>
      <c r="K7" s="16">
        <f ca="1">INDEX(INDIRECT($O$10),ROW(K7),COLUMN(K7))</f>
        <v>0</v>
      </c>
      <c r="L7" s="27">
        <f ca="1">INDEX(INDIRECT($O$10),ROW(L7),COLUMN(L7))</f>
        <v>0</v>
      </c>
      <c r="M7" s="29">
        <f ca="1">INDEX(INDIRECT($O$10),ROW(M7),COLUMN(M7))</f>
        <v>0</v>
      </c>
      <c r="N7" s="33" t="str">
        <f ca="1">IF(ISNUMBER($C7),codeEAN13(INT(C7/10)),"")</f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ca="1">INDEX(INDIRECT($O$10),ROW(A8),COLUMN(A8))</f>
        <v>'001</v>
      </c>
      <c r="B8" s="3">
        <f ca="1">INDEX(INDIRECT($O$10),ROW(B8),COLUMN(B8))</f>
        <v>140</v>
      </c>
      <c r="C8" s="5">
        <f ca="1">INDEX(INDIRECT($O$10),ROW(C8),COLUMN(C8))</f>
        <v>8050850000000</v>
      </c>
      <c r="D8" s="8" t="str">
        <f ca="1">INDEX(INDIRECT($O$10),ROW(D8),COLUMN(D8))</f>
        <v>ACCEO113-MAS00-055</v>
      </c>
      <c r="E8" s="12" t="str">
        <f ca="1">INDEX(INDIRECT($O$10),ROW(E8),COLUMN(E8))</f>
        <v>ACCESSOIRE PORTE-CLES LETTRES O BAG EN PLASTIQUE</v>
      </c>
      <c r="F8" s="18" t="str">
        <f ca="1">INDEX(INDIRECT($O$10),ROW(F8),COLUMN(F8))</f>
        <v>UNICA</v>
      </c>
      <c r="G8" s="10">
        <f ca="1">INDEX(INDIRECT($O$10),ROW(G8),COLUMN(G8))</f>
        <v>2</v>
      </c>
      <c r="H8" s="20">
        <f ca="1">INDEX(INDIRECT($O$10),ROW(H8),COLUMN(H8))</f>
        <v>7.78</v>
      </c>
      <c r="I8" s="22">
        <f ca="1">INDEX(INDIRECT($O$10),ROW(I8),COLUMN(I8))</f>
        <v>15.56</v>
      </c>
      <c r="J8" s="14" t="str">
        <f ca="1">INDEX(INDIRECT($O$10),ROW(J8),COLUMN(J8))</f>
        <v xml:space="preserve"> </v>
      </c>
      <c r="K8" s="16" t="str">
        <f ca="1">INDEX(INDIRECT($O$10),ROW(K8),COLUMN(K8))</f>
        <v xml:space="preserve"> </v>
      </c>
      <c r="L8" s="27" t="str">
        <f ca="1">INDEX(INDIRECT($O$10),ROW(L8),COLUMN(L8))</f>
        <v xml:space="preserve"> </v>
      </c>
      <c r="M8" s="29" t="str">
        <f ca="1">INDEX(INDIRECT($O$10),ROW(M8),COLUMN(M8))</f>
        <v>nero</v>
      </c>
      <c r="N8" s="2" t="str">
        <f ca="1">IF(ISNUMBER($C8),codeEAN13(INT(C8/10)),"")</f>
        <v>8APASPA*aaaaae+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ca="1">INDEX(INDIRECT($O$10),ROW(A9),COLUMN(A9))</f>
        <v>'002</v>
      </c>
      <c r="B9" s="3">
        <f ca="1">INDEX(INDIRECT($O$10),ROW(B9),COLUMN(B9))</f>
        <v>16</v>
      </c>
      <c r="C9" s="5">
        <f ca="1">INDEX(INDIRECT($O$10),ROW(C9),COLUMN(C9))</f>
        <v>8050850000000</v>
      </c>
      <c r="D9" s="8" t="str">
        <f ca="1">INDEX(INDIRECT($O$10),ROW(D9),COLUMN(D9))</f>
        <v>ACCEO113-MAS00-076</v>
      </c>
      <c r="E9" s="12" t="str">
        <f ca="1">INDEX(INDIRECT($O$10),ROW(E9),COLUMN(E9))</f>
        <v>ACCESSOIRE PORTE-CLES LETTRES O BAG EN PLASTIQUE</v>
      </c>
      <c r="F9" s="18" t="str">
        <f ca="1">INDEX(INDIRECT($O$10),ROW(F9),COLUMN(F9))</f>
        <v>UNICA</v>
      </c>
      <c r="G9" s="10">
        <f ca="1">INDEX(INDIRECT($O$10),ROW(G9),COLUMN(G9))</f>
        <v>2</v>
      </c>
      <c r="H9" s="20">
        <f ca="1">INDEX(INDIRECT($O$10),ROW(H9),COLUMN(H9))</f>
        <v>7.78</v>
      </c>
      <c r="I9" s="22">
        <f ca="1">INDEX(INDIRECT($O$10),ROW(I9),COLUMN(I9))</f>
        <v>15.56</v>
      </c>
      <c r="J9" s="14" t="str">
        <f ca="1">INDEX(INDIRECT($O$10),ROW(J9),COLUMN(J9))</f>
        <v xml:space="preserve"> </v>
      </c>
      <c r="K9" s="16" t="str">
        <f ca="1">INDEX(INDIRECT($O$10),ROW(K9),COLUMN(K9))</f>
        <v xml:space="preserve"> </v>
      </c>
      <c r="L9" s="27" t="str">
        <f ca="1">INDEX(INDIRECT($O$10),ROW(L9),COLUMN(L9))</f>
        <v xml:space="preserve"> </v>
      </c>
      <c r="M9" s="29" t="str">
        <f ca="1">INDEX(INDIRECT($O$10),ROW(M9),COLUMN(M9))</f>
        <v>rosso</v>
      </c>
      <c r="N9" s="2" t="str">
        <f ca="1">IF(ISNUMBER($C9),codeEAN13(INT(C9/10)),"")</f>
        <v>8APASPA*aaaaae+</v>
      </c>
      <c r="O9" s="1" t="str">
        <f>IF(P6="x",Q6,O8)</f>
        <v>EAN13_traite.csv</v>
      </c>
    </row>
    <row r="10" spans="1:19" ht="31.5" x14ac:dyDescent="0.45">
      <c r="A10" s="3" t="str">
        <f ca="1">INDEX(INDIRECT($O$10),ROW(A10),COLUMN(A10))</f>
        <v>'003</v>
      </c>
      <c r="B10" s="3">
        <f ca="1">INDEX(INDIRECT($O$10),ROW(B10),COLUMN(B10))</f>
        <v>103</v>
      </c>
      <c r="C10" s="5">
        <f ca="1">INDEX(INDIRECT($O$10),ROW(C10),COLUMN(C10))</f>
        <v>8050850000000</v>
      </c>
      <c r="D10" s="8" t="str">
        <f ca="1">INDEX(INDIRECT($O$10),ROW(D10),COLUMN(D10))</f>
        <v>HLESAD00-ECS00-055</v>
      </c>
      <c r="E10" s="12" t="str">
        <f ca="1">INDEX(INDIRECT($O$10),ROW(E10),COLUMN(E10))</f>
        <v>ANSES TUBULAIRES EN FAUX CUIR</v>
      </c>
      <c r="F10" s="18" t="str">
        <f ca="1">INDEX(INDIRECT($O$10),ROW(F10),COLUMN(F10))</f>
        <v>UNICA</v>
      </c>
      <c r="G10" s="10">
        <f ca="1">INDEX(INDIRECT($O$10),ROW(G10),COLUMN(G10))</f>
        <v>3</v>
      </c>
      <c r="H10" s="20">
        <f ca="1">INDEX(INDIRECT($O$10),ROW(H10),COLUMN(H10))</f>
        <v>4.5599999999999996</v>
      </c>
      <c r="I10" s="22">
        <f ca="1">INDEX(INDIRECT($O$10),ROW(I10),COLUMN(I10))</f>
        <v>13.68</v>
      </c>
      <c r="J10" s="14" t="str">
        <f ca="1">INDEX(INDIRECT($O$10),ROW(J10),COLUMN(J10))</f>
        <v>ANSE/TUB/ANNEAUX</v>
      </c>
      <c r="K10" s="16" t="str">
        <f ca="1">INDEX(INDIRECT($O$10),ROW(K10),COLUMN(K10))</f>
        <v>BLACK</v>
      </c>
      <c r="L10" s="27">
        <f ca="1">INDEX(INDIRECT($O$10),ROW(L10),COLUMN(L10))</f>
        <v>0</v>
      </c>
      <c r="M10" s="29" t="str">
        <f ca="1">INDEX(INDIRECT($O$10),ROW(M10),COLUMN(M10))</f>
        <v>nero</v>
      </c>
      <c r="N10" s="2" t="str">
        <f ca="1">IF(ISNUMBER($C10),codeEAN13(INT(C10/10)),"")</f>
        <v>8APASPA*aaaaae+</v>
      </c>
      <c r="O10" s="25" t="str">
        <f>"'" &amp; O9 &amp; "'!A:Z"</f>
        <v>'EAN13_traite.csv'!A:Z</v>
      </c>
    </row>
    <row r="11" spans="1:19" ht="31.5" x14ac:dyDescent="0.45">
      <c r="A11" s="3" t="str">
        <f ca="1">INDEX(INDIRECT($O$10),ROW(A11),COLUMN(A11))</f>
        <v>'004</v>
      </c>
      <c r="B11" s="3">
        <f ca="1">INDEX(INDIRECT($O$10),ROW(B11),COLUMN(B11))</f>
        <v>15</v>
      </c>
      <c r="C11" s="5">
        <f ca="1">INDEX(INDIRECT($O$10),ROW(C11),COLUMN(C11))</f>
        <v>8050850000000</v>
      </c>
      <c r="D11" s="8" t="str">
        <f ca="1">INDEX(INDIRECT($O$10),ROW(D11),COLUMN(D11))</f>
        <v>HLESC901-ECS00-078</v>
      </c>
      <c r="E11" s="12" t="str">
        <f ca="1">INDEX(INDIRECT($O$10),ROW(E11),COLUMN(E11))</f>
        <v>ANSES COURTES CHAINE EN " T " EN FAUX CUIR</v>
      </c>
      <c r="F11" s="18" t="str">
        <f ca="1">INDEX(INDIRECT($O$10),ROW(F11),COLUMN(F11))</f>
        <v>UNICA</v>
      </c>
      <c r="G11" s="10">
        <f ca="1">INDEX(INDIRECT($O$10),ROW(G11),COLUMN(G11))</f>
        <v>2</v>
      </c>
      <c r="H11" s="20">
        <f ca="1">INDEX(INDIRECT($O$10),ROW(H11),COLUMN(H11))</f>
        <v>10</v>
      </c>
      <c r="I11" s="22">
        <f ca="1">INDEX(INDIRECT($O$10),ROW(I11),COLUMN(I11))</f>
        <v>20</v>
      </c>
      <c r="J11" s="14" t="str">
        <f ca="1">INDEX(INDIRECT($O$10),ROW(J11),COLUMN(J11))</f>
        <v xml:space="preserve"> </v>
      </c>
      <c r="K11" s="16" t="str">
        <f ca="1">INDEX(INDIRECT($O$10),ROW(K11),COLUMN(K11))</f>
        <v xml:space="preserve"> </v>
      </c>
      <c r="L11" s="27" t="str">
        <f ca="1">INDEX(INDIRECT($O$10),ROW(L11),COLUMN(L11))</f>
        <v xml:space="preserve"> </v>
      </c>
      <c r="M11" s="29" t="str">
        <f ca="1">INDEX(INDIRECT($O$10),ROW(M11),COLUMN(M11))</f>
        <v>sabbia + oro</v>
      </c>
      <c r="N11" s="2" t="str">
        <f ca="1">IF(ISNUMBER($C11),codeEAN13(INT(C11/10)),"")</f>
        <v>8APASPA*aaaaae+</v>
      </c>
    </row>
    <row r="12" spans="1:19" ht="31.5" x14ac:dyDescent="0.45">
      <c r="A12" s="3" t="str">
        <f ca="1">INDEX(INDIRECT($O$10),ROW(A12),COLUMN(A12))</f>
        <v>'005</v>
      </c>
      <c r="B12" s="3">
        <f ca="1">INDEX(INDIRECT($O$10),ROW(B12),COLUMN(B12))</f>
        <v>90</v>
      </c>
      <c r="C12" s="5">
        <f ca="1">INDEX(INDIRECT($O$10),ROW(C12),COLUMN(C12))</f>
        <v>8050850000000</v>
      </c>
      <c r="D12" s="8" t="str">
        <f ca="1">INDEX(INDIRECT($O$10),ROW(D12),COLUMN(D12))</f>
        <v>HLESC901-ECS00-615</v>
      </c>
      <c r="E12" s="12" t="str">
        <f ca="1">INDEX(INDIRECT($O$10),ROW(E12),COLUMN(E12))</f>
        <v>ANSES COURTES CHAINE EN " T " EN FAUX CUIR</v>
      </c>
      <c r="F12" s="18" t="str">
        <f ca="1">INDEX(INDIRECT($O$10),ROW(F12),COLUMN(F12))</f>
        <v>UNICA</v>
      </c>
      <c r="G12" s="10">
        <f ca="1">INDEX(INDIRECT($O$10),ROW(G12),COLUMN(G12))</f>
        <v>2</v>
      </c>
      <c r="H12" s="20">
        <f ca="1">INDEX(INDIRECT($O$10),ROW(H12),COLUMN(H12))</f>
        <v>10</v>
      </c>
      <c r="I12" s="22">
        <f ca="1">INDEX(INDIRECT($O$10),ROW(I12),COLUMN(I12))</f>
        <v>20</v>
      </c>
      <c r="J12" s="14" t="str">
        <f ca="1">INDEX(INDIRECT($O$10),ROW(J12),COLUMN(J12))</f>
        <v xml:space="preserve"> </v>
      </c>
      <c r="K12" s="16" t="str">
        <f ca="1">INDEX(INDIRECT($O$10),ROW(K12),COLUMN(K12))</f>
        <v xml:space="preserve"> </v>
      </c>
      <c r="L12" s="27" t="str">
        <f ca="1">INDEX(INDIRECT($O$10),ROW(L12),COLUMN(L12))</f>
        <v xml:space="preserve"> </v>
      </c>
      <c r="M12" s="29" t="str">
        <f ca="1">INDEX(INDIRECT($O$10),ROW(M12),COLUMN(M12))</f>
        <v>military + oro</v>
      </c>
      <c r="N12" s="2" t="str">
        <f ca="1">IF(ISNUMBER($C12),codeEAN13(INT(C12/10)),"")</f>
        <v>8APASPA*aaaaae+</v>
      </c>
    </row>
    <row r="13" spans="1:19" ht="31.5" x14ac:dyDescent="0.45">
      <c r="A13" s="3" t="str">
        <f ca="1">INDEX(INDIRECT($O$10),ROW(A13),COLUMN(A13))</f>
        <v>'006</v>
      </c>
      <c r="B13" s="3">
        <f ca="1">INDEX(INDIRECT($O$10),ROW(B13),COLUMN(B13))</f>
        <v>181</v>
      </c>
      <c r="C13" s="5">
        <f ca="1">INDEX(INDIRECT($O$10),ROW(C13),COLUMN(C13))</f>
        <v>8050850000000</v>
      </c>
      <c r="D13" s="8" t="str">
        <f ca="1">INDEX(INDIRECT($O$10),ROW(D13),COLUMN(D13))</f>
        <v>HLESC901-ECS07-055</v>
      </c>
      <c r="E13" s="12" t="str">
        <f ca="1">INDEX(INDIRECT($O$10),ROW(E13),COLUMN(E13))</f>
        <v>ANSES COURTES CHAINE EN " T " EN FAUX CUIR EFFET GRIFFE</v>
      </c>
      <c r="F13" s="18" t="str">
        <f ca="1">INDEX(INDIRECT($O$10),ROW(F13),COLUMN(F13))</f>
        <v>UNICA</v>
      </c>
      <c r="G13" s="10">
        <f ca="1">INDEX(INDIRECT($O$10),ROW(G13),COLUMN(G13))</f>
        <v>2</v>
      </c>
      <c r="H13" s="20">
        <f ca="1">INDEX(INDIRECT($O$10),ROW(H13),COLUMN(H13))</f>
        <v>10</v>
      </c>
      <c r="I13" s="22">
        <f ca="1">INDEX(INDIRECT($O$10),ROW(I13),COLUMN(I13))</f>
        <v>20</v>
      </c>
      <c r="J13" s="14" t="str">
        <f ca="1">INDEX(INDIRECT($O$10),ROW(J13),COLUMN(J13))</f>
        <v xml:space="preserve"> </v>
      </c>
      <c r="K13" s="16" t="str">
        <f ca="1">INDEX(INDIRECT($O$10),ROW(K13),COLUMN(K13))</f>
        <v xml:space="preserve"> </v>
      </c>
      <c r="L13" s="27" t="str">
        <f ca="1">INDEX(INDIRECT($O$10),ROW(L13),COLUMN(L13))</f>
        <v xml:space="preserve"> </v>
      </c>
      <c r="M13" s="29" t="str">
        <f ca="1">INDEX(INDIRECT($O$10),ROW(M13),COLUMN(M13))</f>
        <v>nero + argento</v>
      </c>
      <c r="N13" s="2" t="str">
        <f ca="1">IF(ISNUMBER($C13),codeEAN13(INT(C13/10)),"")</f>
        <v>8APASPA*aaaaae+</v>
      </c>
    </row>
    <row r="14" spans="1:19" ht="31.5" x14ac:dyDescent="0.45">
      <c r="A14" s="3" t="str">
        <f ca="1">INDEX(INDIRECT($O$10),ROW(A14),COLUMN(A14))</f>
        <v>'007</v>
      </c>
      <c r="B14" s="3">
        <f ca="1">INDEX(INDIRECT($O$10),ROW(B14),COLUMN(B14))</f>
        <v>1</v>
      </c>
      <c r="C14" s="5">
        <f ca="1">INDEX(INDIRECT($O$10),ROW(C14),COLUMN(C14))</f>
        <v>8050850000000</v>
      </c>
      <c r="D14" s="8" t="str">
        <f ca="1">INDEX(INDIRECT($O$10),ROW(D14),COLUMN(D14))</f>
        <v>HLESC901-ECS07-371</v>
      </c>
      <c r="E14" s="12" t="str">
        <f ca="1">INDEX(INDIRECT($O$10),ROW(E14),COLUMN(E14))</f>
        <v>ANSES COURTES CHAINE EN " T " EN FAUX CUIR EFFET GRIFFE</v>
      </c>
      <c r="F14" s="18" t="str">
        <f ca="1">INDEX(INDIRECT($O$10),ROW(F14),COLUMN(F14))</f>
        <v>UNICA</v>
      </c>
      <c r="G14" s="10">
        <f ca="1">INDEX(INDIRECT($O$10),ROW(G14),COLUMN(G14))</f>
        <v>2</v>
      </c>
      <c r="H14" s="20">
        <f ca="1">INDEX(INDIRECT($O$10),ROW(H14),COLUMN(H14))</f>
        <v>10</v>
      </c>
      <c r="I14" s="22">
        <f ca="1">INDEX(INDIRECT($O$10),ROW(I14),COLUMN(I14))</f>
        <v>20</v>
      </c>
      <c r="J14" s="14" t="str">
        <f ca="1">INDEX(INDIRECT($O$10),ROW(J14),COLUMN(J14))</f>
        <v xml:space="preserve"> </v>
      </c>
      <c r="K14" s="16" t="str">
        <f ca="1">INDEX(INDIRECT($O$10),ROW(K14),COLUMN(K14))</f>
        <v xml:space="preserve"> </v>
      </c>
      <c r="L14" s="27" t="str">
        <f ca="1">INDEX(INDIRECT($O$10),ROW(L14),COLUMN(L14))</f>
        <v xml:space="preserve"> </v>
      </c>
      <c r="M14" s="29" t="str">
        <f ca="1">INDEX(INDIRECT($O$10),ROW(M14),COLUMN(M14))</f>
        <v>latte + argento</v>
      </c>
      <c r="N14" s="2" t="str">
        <f ca="1">IF(ISNUMBER($C14),codeEAN13(INT(C14/10)),"")</f>
        <v>8APASPA*aaaaae+</v>
      </c>
    </row>
    <row r="15" spans="1:19" ht="31.5" x14ac:dyDescent="0.45">
      <c r="A15" s="3" t="str">
        <f ca="1">INDEX(INDIRECT($O$10),ROW(A15),COLUMN(A15))</f>
        <v>'008</v>
      </c>
      <c r="B15" s="3">
        <f ca="1">INDEX(INDIRECT($O$10),ROW(B15),COLUMN(B15))</f>
        <v>7</v>
      </c>
      <c r="C15" s="5">
        <f ca="1">INDEX(INDIRECT($O$10),ROW(C15),COLUMN(C15))</f>
        <v>8050850000000</v>
      </c>
      <c r="D15" s="8" t="str">
        <f ca="1">INDEX(INDIRECT($O$10),ROW(D15),COLUMN(D15))</f>
        <v>HLESCE01-ECS00-017</v>
      </c>
      <c r="E15" s="12" t="str">
        <f ca="1">INDEX(INDIRECT($O$10),ROW(E15),COLUMN(E15))</f>
        <v>ANSES DOUBLE CHAINE EN " T " EN FAUX CUIR</v>
      </c>
      <c r="F15" s="18" t="str">
        <f ca="1">INDEX(INDIRECT($O$10),ROW(F15),COLUMN(F15))</f>
        <v>UNICA</v>
      </c>
      <c r="G15" s="10">
        <f ca="1">INDEX(INDIRECT($O$10),ROW(G15),COLUMN(G15))</f>
        <v>3</v>
      </c>
      <c r="H15" s="20">
        <f ca="1">INDEX(INDIRECT($O$10),ROW(H15),COLUMN(H15))</f>
        <v>12.66</v>
      </c>
      <c r="I15" s="22">
        <f ca="1">INDEX(INDIRECT($O$10),ROW(I15),COLUMN(I15))</f>
        <v>37.979999999999997</v>
      </c>
      <c r="J15" s="14" t="str">
        <f ca="1">INDEX(INDIRECT($O$10),ROW(J15),COLUMN(J15))</f>
        <v>ANSES/DOUBLECHAI</v>
      </c>
      <c r="K15" s="16" t="str">
        <f ca="1">INDEX(INDIRECT($O$10),ROW(K15),COLUMN(K15))</f>
        <v xml:space="preserve">NAVY </v>
      </c>
      <c r="L15" s="27">
        <f ca="1">INDEX(INDIRECT($O$10),ROW(L15),COLUMN(L15))</f>
        <v>0</v>
      </c>
      <c r="M15" s="29" t="str">
        <f ca="1">INDEX(INDIRECT($O$10),ROW(M15),COLUMN(M15))</f>
        <v>blu navy + oro</v>
      </c>
      <c r="N15" s="2" t="str">
        <f ca="1">IF(ISNUMBER($C15),codeEAN13(INT(C15/10)),"")</f>
        <v>8APASPA*aaaaae+</v>
      </c>
    </row>
    <row r="16" spans="1:19" ht="31.5" x14ac:dyDescent="0.45">
      <c r="A16" s="3" t="str">
        <f ca="1">INDEX(INDIRECT($O$10),ROW(A16),COLUMN(A16))</f>
        <v>'009</v>
      </c>
      <c r="B16" s="3">
        <f ca="1">INDEX(INDIRECT($O$10),ROW(B16),COLUMN(B16))</f>
        <v>76</v>
      </c>
      <c r="C16" s="5">
        <f ca="1">INDEX(INDIRECT($O$10),ROW(C16),COLUMN(C16))</f>
        <v>8050850000000</v>
      </c>
      <c r="D16" s="8" t="str">
        <f ca="1">INDEX(INDIRECT($O$10),ROW(D16),COLUMN(D16))</f>
        <v>HLESCE01-ECS00-055</v>
      </c>
      <c r="E16" s="12" t="str">
        <f ca="1">INDEX(INDIRECT($O$10),ROW(E16),COLUMN(E16))</f>
        <v>ANSES DOUBLE CHAINE EN " T " EN FAUX CUIR</v>
      </c>
      <c r="F16" s="18" t="str">
        <f ca="1">INDEX(INDIRECT($O$10),ROW(F16),COLUMN(F16))</f>
        <v>UNICA</v>
      </c>
      <c r="G16" s="10">
        <f ca="1">INDEX(INDIRECT($O$10),ROW(G16),COLUMN(G16))</f>
        <v>6</v>
      </c>
      <c r="H16" s="20">
        <f ca="1">INDEX(INDIRECT($O$10),ROW(H16),COLUMN(H16))</f>
        <v>12.66</v>
      </c>
      <c r="I16" s="22">
        <f ca="1">INDEX(INDIRECT($O$10),ROW(I16),COLUMN(I16))</f>
        <v>75.959999999999994</v>
      </c>
      <c r="J16" s="14" t="str">
        <f ca="1">INDEX(INDIRECT($O$10),ROW(J16),COLUMN(J16))</f>
        <v>ANSES/DOUBLECHAI</v>
      </c>
      <c r="K16" s="16" t="str">
        <f ca="1">INDEX(INDIRECT($O$10),ROW(K16),COLUMN(K16))</f>
        <v>BLACK</v>
      </c>
      <c r="L16" s="27">
        <f ca="1">INDEX(INDIRECT($O$10),ROW(L16),COLUMN(L16))</f>
        <v>0</v>
      </c>
      <c r="M16" s="29" t="str">
        <f ca="1">INDEX(INDIRECT($O$10),ROW(M16),COLUMN(M16))</f>
        <v>nero  + argento</v>
      </c>
      <c r="N16" s="2" t="str">
        <f ca="1">IF(ISNUMBER($C16),codeEAN13(INT(C16/10)),"")</f>
        <v>8APASPA*aaaaae+</v>
      </c>
    </row>
    <row r="17" spans="1:14" ht="31.5" x14ac:dyDescent="0.45">
      <c r="A17" s="3" t="str">
        <f ca="1">INDEX(INDIRECT($O$10),ROW(A17),COLUMN(A17))</f>
        <v>'010</v>
      </c>
      <c r="B17" s="3">
        <f ca="1">INDEX(INDIRECT($O$10),ROW(B17),COLUMN(B17))</f>
        <v>168</v>
      </c>
      <c r="C17" s="5">
        <f ca="1">INDEX(INDIRECT($O$10),ROW(C17),COLUMN(C17))</f>
        <v>8050850000000</v>
      </c>
      <c r="D17" s="8" t="str">
        <f ca="1">INDEX(INDIRECT($O$10),ROW(D17),COLUMN(D17))</f>
        <v>HLESCE01-ECS00-612</v>
      </c>
      <c r="E17" s="12" t="str">
        <f ca="1">INDEX(INDIRECT($O$10),ROW(E17),COLUMN(E17))</f>
        <v>ANSES DOUBLE CHAINE EN " T " EN FAUX CUIR</v>
      </c>
      <c r="F17" s="18" t="str">
        <f ca="1">INDEX(INDIRECT($O$10),ROW(F17),COLUMN(F17))</f>
        <v>UNICA</v>
      </c>
      <c r="G17" s="10">
        <f ca="1">INDEX(INDIRECT($O$10),ROW(G17),COLUMN(G17))</f>
        <v>3</v>
      </c>
      <c r="H17" s="20">
        <f ca="1">INDEX(INDIRECT($O$10),ROW(H17),COLUMN(H17))</f>
        <v>12.66</v>
      </c>
      <c r="I17" s="22">
        <f ca="1">INDEX(INDIRECT($O$10),ROW(I17),COLUMN(I17))</f>
        <v>37.979999999999997</v>
      </c>
      <c r="J17" s="14" t="str">
        <f ca="1">INDEX(INDIRECT($O$10),ROW(J17),COLUMN(J17))</f>
        <v xml:space="preserve"> </v>
      </c>
      <c r="K17" s="16" t="str">
        <f ca="1">INDEX(INDIRECT($O$10),ROW(K17),COLUMN(K17))</f>
        <v xml:space="preserve"> </v>
      </c>
      <c r="L17" s="27" t="str">
        <f ca="1">INDEX(INDIRECT($O$10),ROW(L17),COLUMN(L17))</f>
        <v xml:space="preserve"> </v>
      </c>
      <c r="M17" s="29" t="str">
        <f ca="1">INDEX(INDIRECT($O$10),ROW(M17),COLUMN(M17))</f>
        <v>blu navy + argento</v>
      </c>
      <c r="N17" s="2" t="str">
        <f ca="1">IF(ISNUMBER($C17),codeEAN13(INT(C17/10)),"")</f>
        <v>8APASPA*aaaaae+</v>
      </c>
    </row>
    <row r="18" spans="1:14" ht="31.5" x14ac:dyDescent="0.45">
      <c r="A18" s="3" t="str">
        <f ca="1">INDEX(INDIRECT($O$10),ROW(A18),COLUMN(A18))</f>
        <v>'011</v>
      </c>
      <c r="B18" s="3">
        <f ca="1">INDEX(INDIRECT($O$10),ROW(B18),COLUMN(B18))</f>
        <v>87</v>
      </c>
      <c r="C18" s="5">
        <f ca="1">INDEX(INDIRECT($O$10),ROW(C18),COLUMN(C18))</f>
        <v>8050850000000</v>
      </c>
      <c r="D18" s="8" t="str">
        <f ca="1">INDEX(INDIRECT($O$10),ROW(D18),COLUMN(D18))</f>
        <v>HLESCE01-ECS00-613</v>
      </c>
      <c r="E18" s="12" t="str">
        <f ca="1">INDEX(INDIRECT($O$10),ROW(E18),COLUMN(E18))</f>
        <v>ANSES DOUBLE CHAINE EN " T " EN FAUX CUIR</v>
      </c>
      <c r="F18" s="18" t="str">
        <f ca="1">INDEX(INDIRECT($O$10),ROW(F18),COLUMN(F18))</f>
        <v>UNICA</v>
      </c>
      <c r="G18" s="10">
        <f ca="1">INDEX(INDIRECT($O$10),ROW(G18),COLUMN(G18))</f>
        <v>6</v>
      </c>
      <c r="H18" s="20">
        <f ca="1">INDEX(INDIRECT($O$10),ROW(H18),COLUMN(H18))</f>
        <v>12.66</v>
      </c>
      <c r="I18" s="22">
        <f ca="1">INDEX(INDIRECT($O$10),ROW(I18),COLUMN(I18))</f>
        <v>75.959999999999994</v>
      </c>
      <c r="J18" s="14" t="str">
        <f ca="1">INDEX(INDIRECT($O$10),ROW(J18),COLUMN(J18))</f>
        <v xml:space="preserve"> </v>
      </c>
      <c r="K18" s="16" t="str">
        <f ca="1">INDEX(INDIRECT($O$10),ROW(K18),COLUMN(K18))</f>
        <v xml:space="preserve"> </v>
      </c>
      <c r="L18" s="27" t="str">
        <f ca="1">INDEX(INDIRECT($O$10),ROW(L18),COLUMN(L18))</f>
        <v xml:space="preserve"> </v>
      </c>
      <c r="M18" s="29" t="str">
        <f ca="1">INDEX(INDIRECT($O$10),ROW(M18),COLUMN(M18))</f>
        <v>cuoio + argento</v>
      </c>
      <c r="N18" s="2" t="str">
        <f ca="1">IF(ISNUMBER($C18),codeEAN13(INT(C18/10)),"")</f>
        <v>8APASPA*aaaaae+</v>
      </c>
    </row>
    <row r="19" spans="1:14" ht="31.5" x14ac:dyDescent="0.45">
      <c r="A19" s="3" t="str">
        <f ca="1">INDEX(INDIRECT($O$10),ROW(A19),COLUMN(A19))</f>
        <v>'012</v>
      </c>
      <c r="B19" s="3">
        <f ca="1">INDEX(INDIRECT($O$10),ROW(B19),COLUMN(B19))</f>
        <v>128</v>
      </c>
      <c r="C19" s="5">
        <f ca="1">INDEX(INDIRECT($O$10),ROW(C19),COLUMN(C19))</f>
        <v>8050850000000</v>
      </c>
      <c r="D19" s="8" t="str">
        <f ca="1">INDEX(INDIRECT($O$10),ROW(D19),COLUMN(D19))</f>
        <v>HLESG020-ECSC7-055</v>
      </c>
      <c r="E19" s="12" t="str">
        <f ca="1">INDEX(INDIRECT($O$10),ROW(E19),COLUMN(E19))</f>
        <v>ANSES LONGUES + GOUTTE EN FAUX CUIR SPIRALE BICOLORE</v>
      </c>
      <c r="F19" s="18" t="str">
        <f ca="1">INDEX(INDIRECT($O$10),ROW(F19),COLUMN(F19))</f>
        <v>UNICA</v>
      </c>
      <c r="G19" s="10">
        <f ca="1">INDEX(INDIRECT($O$10),ROW(G19),COLUMN(G19))</f>
        <v>2</v>
      </c>
      <c r="H19" s="20">
        <f ca="1">INDEX(INDIRECT($O$10),ROW(H19),COLUMN(H19))</f>
        <v>15.56</v>
      </c>
      <c r="I19" s="22">
        <f ca="1">INDEX(INDIRECT($O$10),ROW(I19),COLUMN(I19))</f>
        <v>31.12</v>
      </c>
      <c r="J19" s="14" t="str">
        <f ca="1">INDEX(INDIRECT($O$10),ROW(J19),COLUMN(J19))</f>
        <v xml:space="preserve"> </v>
      </c>
      <c r="K19" s="16" t="str">
        <f ca="1">INDEX(INDIRECT($O$10),ROW(K19),COLUMN(K19))</f>
        <v xml:space="preserve"> </v>
      </c>
      <c r="L19" s="27" t="str">
        <f ca="1">INDEX(INDIRECT($O$10),ROW(L19),COLUMN(L19))</f>
        <v xml:space="preserve"> </v>
      </c>
      <c r="M19" s="29" t="str">
        <f ca="1">INDEX(INDIRECT($O$10),ROW(M19),COLUMN(M19))</f>
        <v>nero</v>
      </c>
      <c r="N19" s="2" t="str">
        <f ca="1">IF(ISNUMBER($C19),codeEAN13(INT(C19/10)),"")</f>
        <v>8APASPA*aaaaae+</v>
      </c>
    </row>
    <row r="20" spans="1:14" ht="31.5" x14ac:dyDescent="0.45">
      <c r="A20" s="3" t="str">
        <f ca="1">INDEX(INDIRECT($O$10),ROW(A20),COLUMN(A20))</f>
        <v>'013</v>
      </c>
      <c r="B20" s="3">
        <f ca="1">INDEX(INDIRECT($O$10),ROW(B20),COLUMN(B20))</f>
        <v>62</v>
      </c>
      <c r="C20" s="5">
        <f ca="1">INDEX(INDIRECT($O$10),ROW(C20),COLUMN(C20))</f>
        <v>8050850000000</v>
      </c>
      <c r="D20" s="8" t="str">
        <f ca="1">INDEX(INDIRECT($O$10),ROW(D20),COLUMN(D20))</f>
        <v>HLESG020-ECSC7-076</v>
      </c>
      <c r="E20" s="12" t="str">
        <f ca="1">INDEX(INDIRECT($O$10),ROW(E20),COLUMN(E20))</f>
        <v>ANSES LONGUES + GOUTTE EN FAUX CUIR SPIRALE BICOLORE</v>
      </c>
      <c r="F20" s="18" t="str">
        <f ca="1">INDEX(INDIRECT($O$10),ROW(F20),COLUMN(F20))</f>
        <v>UNICA</v>
      </c>
      <c r="G20" s="10">
        <f ca="1">INDEX(INDIRECT($O$10),ROW(G20),COLUMN(G20))</f>
        <v>2</v>
      </c>
      <c r="H20" s="20">
        <f ca="1">INDEX(INDIRECT($O$10),ROW(H20),COLUMN(H20))</f>
        <v>15.56</v>
      </c>
      <c r="I20" s="22">
        <f ca="1">INDEX(INDIRECT($O$10),ROW(I20),COLUMN(I20))</f>
        <v>31.12</v>
      </c>
      <c r="J20" s="14" t="str">
        <f ca="1">INDEX(INDIRECT($O$10),ROW(J20),COLUMN(J20))</f>
        <v xml:space="preserve"> </v>
      </c>
      <c r="K20" s="16" t="str">
        <f ca="1">INDEX(INDIRECT($O$10),ROW(K20),COLUMN(K20))</f>
        <v xml:space="preserve"> </v>
      </c>
      <c r="L20" s="27" t="str">
        <f ca="1">INDEX(INDIRECT($O$10),ROW(L20),COLUMN(L20))</f>
        <v xml:space="preserve"> </v>
      </c>
      <c r="M20" s="29" t="str">
        <f ca="1">INDEX(INDIRECT($O$10),ROW(M20),COLUMN(M20))</f>
        <v>rosso</v>
      </c>
      <c r="N20" s="2" t="str">
        <f ca="1">IF(ISNUMBER($C20),codeEAN13(INT(C20/10)),"")</f>
        <v>8APASPA*aaaaae+</v>
      </c>
    </row>
    <row r="21" spans="1:14" ht="31.5" x14ac:dyDescent="0.45">
      <c r="A21" s="3" t="str">
        <f ca="1">INDEX(INDIRECT($O$10),ROW(A21),COLUMN(A21))</f>
        <v>'014</v>
      </c>
      <c r="B21" s="3">
        <f ca="1">INDEX(INDIRECT($O$10),ROW(B21),COLUMN(B21))</f>
        <v>25</v>
      </c>
      <c r="C21" s="5">
        <f ca="1">INDEX(INDIRECT($O$10),ROW(C21),COLUMN(C21))</f>
        <v>8050850000000</v>
      </c>
      <c r="D21" s="8" t="str">
        <f ca="1">INDEX(INDIRECT($O$10),ROW(D21),COLUMN(D21))</f>
        <v>HLESG020-ECSC7-137</v>
      </c>
      <c r="E21" s="12" t="str">
        <f ca="1">INDEX(INDIRECT($O$10),ROW(E21),COLUMN(E21))</f>
        <v>ANSES LONGUES + GOUTTE EN FAUX CUIR SPIRALE BICOLORE</v>
      </c>
      <c r="F21" s="18" t="str">
        <f ca="1">INDEX(INDIRECT($O$10),ROW(F21),COLUMN(F21))</f>
        <v>UNICA</v>
      </c>
      <c r="G21" s="10">
        <f ca="1">INDEX(INDIRECT($O$10),ROW(G21),COLUMN(G21))</f>
        <v>2</v>
      </c>
      <c r="H21" s="20">
        <f ca="1">INDEX(INDIRECT($O$10),ROW(H21),COLUMN(H21))</f>
        <v>15.56</v>
      </c>
      <c r="I21" s="22">
        <f ca="1">INDEX(INDIRECT($O$10),ROW(I21),COLUMN(I21))</f>
        <v>31.12</v>
      </c>
      <c r="J21" s="14" t="str">
        <f ca="1">INDEX(INDIRECT($O$10),ROW(J21),COLUMN(J21))</f>
        <v xml:space="preserve"> </v>
      </c>
      <c r="K21" s="16" t="str">
        <f ca="1">INDEX(INDIRECT($O$10),ROW(K21),COLUMN(K21))</f>
        <v xml:space="preserve"> </v>
      </c>
      <c r="L21" s="27" t="str">
        <f ca="1">INDEX(INDIRECT($O$10),ROW(L21),COLUMN(L21))</f>
        <v xml:space="preserve"> </v>
      </c>
      <c r="M21" s="29" t="str">
        <f ca="1">INDEX(INDIRECT($O$10),ROW(M21),COLUMN(M21))</f>
        <v>bluette</v>
      </c>
      <c r="N21" s="2" t="str">
        <f ca="1">IF(ISNUMBER($C21),codeEAN13(INT(C21/10)),"")</f>
        <v>8APASPA*aaaaae+</v>
      </c>
    </row>
    <row r="22" spans="1:14" ht="31.5" x14ac:dyDescent="0.45">
      <c r="A22" s="3" t="str">
        <f ca="1">INDEX(INDIRECT($O$10),ROW(A22),COLUMN(A22))</f>
        <v>'015</v>
      </c>
      <c r="B22" s="3">
        <f ca="1">INDEX(INDIRECT($O$10),ROW(B22),COLUMN(B22))</f>
        <v>46</v>
      </c>
      <c r="C22" s="5">
        <f ca="1">INDEX(INDIRECT($O$10),ROW(C22),COLUMN(C22))</f>
        <v>8050850000000</v>
      </c>
      <c r="D22" s="8" t="str">
        <f ca="1">INDEX(INDIRECT($O$10),ROW(D22),COLUMN(D22))</f>
        <v>HLESGC00-ECSC4-055</v>
      </c>
      <c r="E22" s="12" t="str">
        <f ca="1">INDEX(INDIRECT($O$10),ROW(E22),COLUMN(E22))</f>
        <v>ANSES COURTES EN FAUX CUIR EFFET GRIFFE + CLOUS</v>
      </c>
      <c r="F22" s="18" t="str">
        <f ca="1">INDEX(INDIRECT($O$10),ROW(F22),COLUMN(F22))</f>
        <v>UNICA</v>
      </c>
      <c r="G22" s="10">
        <f ca="1">INDEX(INDIRECT($O$10),ROW(G22),COLUMN(G22))</f>
        <v>3</v>
      </c>
      <c r="H22" s="20">
        <f ca="1">INDEX(INDIRECT($O$10),ROW(H22),COLUMN(H22))</f>
        <v>16.670000000000002</v>
      </c>
      <c r="I22" s="22">
        <f ca="1">INDEX(INDIRECT($O$10),ROW(I22),COLUMN(I22))</f>
        <v>50.01</v>
      </c>
      <c r="J22" s="14" t="str">
        <f ca="1">INDEX(INDIRECT($O$10),ROW(J22),COLUMN(J22))</f>
        <v xml:space="preserve"> </v>
      </c>
      <c r="K22" s="16" t="str">
        <f ca="1">INDEX(INDIRECT($O$10),ROW(K22),COLUMN(K22))</f>
        <v xml:space="preserve"> </v>
      </c>
      <c r="L22" s="27" t="str">
        <f ca="1">INDEX(INDIRECT($O$10),ROW(L22),COLUMN(L22))</f>
        <v xml:space="preserve"> </v>
      </c>
      <c r="M22" s="29" t="str">
        <f ca="1">INDEX(INDIRECT($O$10),ROW(M22),COLUMN(M22))</f>
        <v>nero</v>
      </c>
      <c r="N22" s="2" t="str">
        <f ca="1">IF(ISNUMBER($C22),codeEAN13(INT(C22/10)),"")</f>
        <v>8APASPA*aaaaae+</v>
      </c>
    </row>
    <row r="23" spans="1:14" ht="31.5" x14ac:dyDescent="0.45">
      <c r="A23" s="3" t="str">
        <f ca="1">INDEX(INDIRECT($O$10),ROW(A23),COLUMN(A23))</f>
        <v>'016</v>
      </c>
      <c r="B23" s="3">
        <f ca="1">INDEX(INDIRECT($O$10),ROW(B23),COLUMN(B23))</f>
        <v>179</v>
      </c>
      <c r="C23" s="5">
        <f ca="1">INDEX(INDIRECT($O$10),ROW(C23),COLUMN(C23))</f>
        <v>8050850000000</v>
      </c>
      <c r="D23" s="8" t="str">
        <f ca="1">INDEX(INDIRECT($O$10),ROW(D23),COLUMN(D23))</f>
        <v>HLESGC00-ECSC4-371</v>
      </c>
      <c r="E23" s="12" t="str">
        <f ca="1">INDEX(INDIRECT($O$10),ROW(E23),COLUMN(E23))</f>
        <v>ANSES COURTES EN FAUX CUIR EFFET GRIFFE + CLOUS</v>
      </c>
      <c r="F23" s="18" t="str">
        <f ca="1">INDEX(INDIRECT($O$10),ROW(F23),COLUMN(F23))</f>
        <v>UNICA</v>
      </c>
      <c r="G23" s="10">
        <f ca="1">INDEX(INDIRECT($O$10),ROW(G23),COLUMN(G23))</f>
        <v>3</v>
      </c>
      <c r="H23" s="20">
        <f ca="1">INDEX(INDIRECT($O$10),ROW(H23),COLUMN(H23))</f>
        <v>16.670000000000002</v>
      </c>
      <c r="I23" s="22">
        <f ca="1">INDEX(INDIRECT($O$10),ROW(I23),COLUMN(I23))</f>
        <v>50.01</v>
      </c>
      <c r="J23" s="14" t="str">
        <f ca="1">INDEX(INDIRECT($O$10),ROW(J23),COLUMN(J23))</f>
        <v xml:space="preserve"> </v>
      </c>
      <c r="K23" s="16" t="str">
        <f ca="1">INDEX(INDIRECT($O$10),ROW(K23),COLUMN(K23))</f>
        <v xml:space="preserve"> </v>
      </c>
      <c r="L23" s="27" t="str">
        <f ca="1">INDEX(INDIRECT($O$10),ROW(L23),COLUMN(L23))</f>
        <v xml:space="preserve"> </v>
      </c>
      <c r="M23" s="29" t="str">
        <f ca="1">INDEX(INDIRECT($O$10),ROW(M23),COLUMN(M23))</f>
        <v>latte</v>
      </c>
      <c r="N23" s="2" t="str">
        <f ca="1">IF(ISNUMBER($C23),codeEAN13(INT(C23/10)),"")</f>
        <v>8APASPA*aaaaae+</v>
      </c>
    </row>
    <row r="24" spans="1:14" ht="31.5" x14ac:dyDescent="0.45">
      <c r="A24" s="3" t="str">
        <f ca="1">INDEX(INDIRECT($O$10),ROW(A24),COLUMN(A24))</f>
        <v>'017</v>
      </c>
      <c r="B24" s="3">
        <f ca="1">INDEX(INDIRECT($O$10),ROW(B24),COLUMN(B24))</f>
        <v>77</v>
      </c>
      <c r="C24" s="5">
        <f ca="1">INDEX(INDIRECT($O$10),ROW(C24),COLUMN(C24))</f>
        <v>8050850000000</v>
      </c>
      <c r="D24" s="8" t="str">
        <f ca="1">INDEX(INDIRECT($O$10),ROW(D24),COLUMN(D24))</f>
        <v>HLESGC01-EVS54-055</v>
      </c>
      <c r="E24" s="12" t="str">
        <f ca="1">INDEX(INDIRECT($O$10),ROW(E24),COLUMN(E24))</f>
        <v>ANSES COURTES + ANNEAU EVA COMPOUND EFFET BAMBOU</v>
      </c>
      <c r="F24" s="18" t="str">
        <f ca="1">INDEX(INDIRECT($O$10),ROW(F24),COLUMN(F24))</f>
        <v>UNICA</v>
      </c>
      <c r="G24" s="10">
        <f ca="1">INDEX(INDIRECT($O$10),ROW(G24),COLUMN(G24))</f>
        <v>2</v>
      </c>
      <c r="H24" s="20">
        <f ca="1">INDEX(INDIRECT($O$10),ROW(H24),COLUMN(H24))</f>
        <v>8.52</v>
      </c>
      <c r="I24" s="22">
        <f ca="1">INDEX(INDIRECT($O$10),ROW(I24),COLUMN(I24))</f>
        <v>17.04</v>
      </c>
      <c r="J24" s="14" t="str">
        <f ca="1">INDEX(INDIRECT($O$10),ROW(J24),COLUMN(J24))</f>
        <v xml:space="preserve"> </v>
      </c>
      <c r="K24" s="16" t="str">
        <f ca="1">INDEX(INDIRECT($O$10),ROW(K24),COLUMN(K24))</f>
        <v xml:space="preserve"> </v>
      </c>
      <c r="L24" s="27" t="str">
        <f ca="1">INDEX(INDIRECT($O$10),ROW(L24),COLUMN(L24))</f>
        <v xml:space="preserve"> </v>
      </c>
      <c r="M24" s="29" t="str">
        <f ca="1">INDEX(INDIRECT($O$10),ROW(M24),COLUMN(M24))</f>
        <v>nero</v>
      </c>
      <c r="N24" s="2" t="str">
        <f ca="1">IF(ISNUMBER($C24),codeEAN13(INT(C24/10)),"")</f>
        <v>8APASPA*aaaaae+</v>
      </c>
    </row>
    <row r="25" spans="1:14" ht="31.5" x14ac:dyDescent="0.45">
      <c r="A25" s="3" t="str">
        <f ca="1">INDEX(INDIRECT($O$10),ROW(A25),COLUMN(A25))</f>
        <v>'018</v>
      </c>
      <c r="B25" s="3">
        <f ca="1">INDEX(INDIRECT($O$10),ROW(B25),COLUMN(B25))</f>
        <v>132</v>
      </c>
      <c r="C25" s="5">
        <f ca="1">INDEX(INDIRECT($O$10),ROW(C25),COLUMN(C25))</f>
        <v>8050850000000</v>
      </c>
      <c r="D25" s="8" t="str">
        <f ca="1">INDEX(INDIRECT($O$10),ROW(D25),COLUMN(D25))</f>
        <v>HLESLL01-ECS00-017</v>
      </c>
      <c r="E25" s="12" t="str">
        <f ca="1">INDEX(INDIRECT($O$10),ROW(E25),COLUMN(E25))</f>
        <v>ANSES LONGUES LINEAR AVEC BOUCLE EN FAUX CUIR</v>
      </c>
      <c r="F25" s="18" t="str">
        <f ca="1">INDEX(INDIRECT($O$10),ROW(F25),COLUMN(F25))</f>
        <v>UNICA</v>
      </c>
      <c r="G25" s="10">
        <f ca="1">INDEX(INDIRECT($O$10),ROW(G25),COLUMN(G25))</f>
        <v>2</v>
      </c>
      <c r="H25" s="20">
        <f ca="1">INDEX(INDIRECT($O$10),ROW(H25),COLUMN(H25))</f>
        <v>13.33</v>
      </c>
      <c r="I25" s="22">
        <f ca="1">INDEX(INDIRECT($O$10),ROW(I25),COLUMN(I25))</f>
        <v>26.66</v>
      </c>
      <c r="J25" s="14" t="str">
        <f ca="1">INDEX(INDIRECT($O$10),ROW(J25),COLUMN(J25))</f>
        <v xml:space="preserve"> </v>
      </c>
      <c r="K25" s="16" t="str">
        <f ca="1">INDEX(INDIRECT($O$10),ROW(K25),COLUMN(K25))</f>
        <v xml:space="preserve"> </v>
      </c>
      <c r="L25" s="27" t="str">
        <f ca="1">INDEX(INDIRECT($O$10),ROW(L25),COLUMN(L25))</f>
        <v xml:space="preserve"> </v>
      </c>
      <c r="M25" s="29" t="str">
        <f ca="1">INDEX(INDIRECT($O$10),ROW(M25),COLUMN(M25))</f>
        <v>blu navy</v>
      </c>
      <c r="N25" s="2" t="str">
        <f ca="1">IF(ISNUMBER($C25),codeEAN13(INT(C25/10)),"")</f>
        <v>8APASPA*aaaaae+</v>
      </c>
    </row>
    <row r="26" spans="1:14" ht="31.5" x14ac:dyDescent="0.45">
      <c r="A26" s="3" t="str">
        <f ca="1">INDEX(INDIRECT($O$10),ROW(A26),COLUMN(A26))</f>
        <v>'019</v>
      </c>
      <c r="B26" s="3">
        <f ca="1">INDEX(INDIRECT($O$10),ROW(B26),COLUMN(B26))</f>
        <v>212</v>
      </c>
      <c r="C26" s="5">
        <f ca="1">INDEX(INDIRECT($O$10),ROW(C26),COLUMN(C26))</f>
        <v>8050850000000</v>
      </c>
      <c r="D26" s="8" t="str">
        <f ca="1">INDEX(INDIRECT($O$10),ROW(D26),COLUMN(D26))</f>
        <v>HLESLL01-ECS00-132</v>
      </c>
      <c r="E26" s="12" t="str">
        <f ca="1">INDEX(INDIRECT($O$10),ROW(E26),COLUMN(E26))</f>
        <v>ANSES LONGUES LINEAR AVEC BOUCLE EN FAUX CUIR</v>
      </c>
      <c r="F26" s="18" t="str">
        <f ca="1">INDEX(INDIRECT($O$10),ROW(F26),COLUMN(F26))</f>
        <v>UNICA</v>
      </c>
      <c r="G26" s="10">
        <f ca="1">INDEX(INDIRECT($O$10),ROW(G26),COLUMN(G26))</f>
        <v>2</v>
      </c>
      <c r="H26" s="20">
        <f ca="1">INDEX(INDIRECT($O$10),ROW(H26),COLUMN(H26))</f>
        <v>13.33</v>
      </c>
      <c r="I26" s="22">
        <f ca="1">INDEX(INDIRECT($O$10),ROW(I26),COLUMN(I26))</f>
        <v>26.66</v>
      </c>
      <c r="J26" s="14" t="str">
        <f ca="1">INDEX(INDIRECT($O$10),ROW(J26),COLUMN(J26))</f>
        <v xml:space="preserve"> </v>
      </c>
      <c r="K26" s="16" t="str">
        <f ca="1">INDEX(INDIRECT($O$10),ROW(K26),COLUMN(K26))</f>
        <v xml:space="preserve"> </v>
      </c>
      <c r="L26" s="27" t="str">
        <f ca="1">INDEX(INDIRECT($O$10),ROW(L26),COLUMN(L26))</f>
        <v xml:space="preserve"> </v>
      </c>
      <c r="M26" s="29" t="str">
        <f ca="1">INDEX(INDIRECT($O$10),ROW(M26),COLUMN(M26))</f>
        <v>biscotto</v>
      </c>
      <c r="N26" s="2" t="str">
        <f ca="1">IF(ISNUMBER($C26),codeEAN13(INT(C26/10)),"")</f>
        <v>8APASPA*aaaaae+</v>
      </c>
    </row>
    <row r="27" spans="1:14" ht="31.5" x14ac:dyDescent="0.45">
      <c r="A27" s="3" t="str">
        <f ca="1">INDEX(INDIRECT($O$10),ROW(A27),COLUMN(A27))</f>
        <v>'020</v>
      </c>
      <c r="B27" s="3">
        <f ca="1">INDEX(INDIRECT($O$10),ROW(B27),COLUMN(B27))</f>
        <v>213</v>
      </c>
      <c r="C27" s="5">
        <f ca="1">INDEX(INDIRECT($O$10),ROW(C27),COLUMN(C27))</f>
        <v>8050850000000</v>
      </c>
      <c r="D27" s="8" t="str">
        <f ca="1">INDEX(INDIRECT($O$10),ROW(D27),COLUMN(D27))</f>
        <v>HLESLL01-ECS00-615</v>
      </c>
      <c r="E27" s="12" t="str">
        <f ca="1">INDEX(INDIRECT($O$10),ROW(E27),COLUMN(E27))</f>
        <v>ANSES LONGUES LINEAR AVEC BOUCLE EN FAUX CUIR</v>
      </c>
      <c r="F27" s="18" t="str">
        <f ca="1">INDEX(INDIRECT($O$10),ROW(F27),COLUMN(F27))</f>
        <v>UNICA</v>
      </c>
      <c r="G27" s="10">
        <f ca="1">INDEX(INDIRECT($O$10),ROW(G27),COLUMN(G27))</f>
        <v>2</v>
      </c>
      <c r="H27" s="20">
        <f ca="1">INDEX(INDIRECT($O$10),ROW(H27),COLUMN(H27))</f>
        <v>13.33</v>
      </c>
      <c r="I27" s="22">
        <f ca="1">INDEX(INDIRECT($O$10),ROW(I27),COLUMN(I27))</f>
        <v>26.66</v>
      </c>
      <c r="J27" s="14" t="str">
        <f ca="1">INDEX(INDIRECT($O$10),ROW(J27),COLUMN(J27))</f>
        <v xml:space="preserve"> </v>
      </c>
      <c r="K27" s="16" t="str">
        <f ca="1">INDEX(INDIRECT($O$10),ROW(K27),COLUMN(K27))</f>
        <v xml:space="preserve"> </v>
      </c>
      <c r="L27" s="27" t="str">
        <f ca="1">INDEX(INDIRECT($O$10),ROW(L27),COLUMN(L27))</f>
        <v xml:space="preserve"> </v>
      </c>
      <c r="M27" s="29" t="str">
        <f ca="1">INDEX(INDIRECT($O$10),ROW(M27),COLUMN(M27))</f>
        <v>military</v>
      </c>
      <c r="N27" s="2" t="str">
        <f ca="1">IF(ISNUMBER($C27),codeEAN13(INT(C27/10)),"")</f>
        <v>8APASPA*aaaaae+</v>
      </c>
    </row>
    <row r="28" spans="1:14" ht="31.5" x14ac:dyDescent="0.45">
      <c r="A28" s="3" t="str">
        <f ca="1">INDEX(INDIRECT($O$10),ROW(A28),COLUMN(A28))</f>
        <v>'021</v>
      </c>
      <c r="B28" s="3">
        <f ca="1">INDEX(INDIRECT($O$10),ROW(B28),COLUMN(B28))</f>
        <v>188</v>
      </c>
      <c r="C28" s="5">
        <f ca="1">INDEX(INDIRECT($O$10),ROW(C28),COLUMN(C28))</f>
        <v>8050850000000</v>
      </c>
      <c r="D28" s="8" t="str">
        <f ca="1">INDEX(INDIRECT($O$10),ROW(D28),COLUMN(D28))</f>
        <v>HLESMD00-ECS46-017</v>
      </c>
      <c r="E28" s="12" t="str">
        <f ca="1">INDEX(INDIRECT($O$10),ROW(E28),COLUMN(E28))</f>
        <v>MICRO-ANSES TUBULAIRES COURTES EN FAUX CUIR LISSE</v>
      </c>
      <c r="F28" s="18" t="str">
        <f ca="1">INDEX(INDIRECT($O$10),ROW(F28),COLUMN(F28))</f>
        <v>UNICA</v>
      </c>
      <c r="G28" s="10">
        <f ca="1">INDEX(INDIRECT($O$10),ROW(G28),COLUMN(G28))</f>
        <v>3</v>
      </c>
      <c r="H28" s="20">
        <f ca="1">INDEX(INDIRECT($O$10),ROW(H28),COLUMN(H28))</f>
        <v>12.66</v>
      </c>
      <c r="I28" s="22">
        <f ca="1">INDEX(INDIRECT($O$10),ROW(I28),COLUMN(I28))</f>
        <v>37.979999999999997</v>
      </c>
      <c r="J28" s="14" t="str">
        <f ca="1">INDEX(INDIRECT($O$10),ROW(J28),COLUMN(J28))</f>
        <v xml:space="preserve">ANSES/MICROTUB  </v>
      </c>
      <c r="K28" s="16" t="str">
        <f ca="1">INDEX(INDIRECT($O$10),ROW(K28),COLUMN(K28))</f>
        <v xml:space="preserve">NAVY </v>
      </c>
      <c r="L28" s="27">
        <f ca="1">INDEX(INDIRECT($O$10),ROW(L28),COLUMN(L28))</f>
        <v>0</v>
      </c>
      <c r="M28" s="29" t="str">
        <f ca="1">INDEX(INDIRECT($O$10),ROW(M28),COLUMN(M28))</f>
        <v>blu navy</v>
      </c>
      <c r="N28" s="2" t="str">
        <f ca="1">IF(ISNUMBER($C28),codeEAN13(INT(C28/10)),"")</f>
        <v>8APASPA*aaaaae+</v>
      </c>
    </row>
    <row r="29" spans="1:14" ht="31.5" x14ac:dyDescent="0.45">
      <c r="A29" s="3" t="str">
        <f ca="1">INDEX(INDIRECT($O$10),ROW(A29),COLUMN(A29))</f>
        <v>'022</v>
      </c>
      <c r="B29" s="3">
        <f ca="1">INDEX(INDIRECT($O$10),ROW(B29),COLUMN(B29))</f>
        <v>40</v>
      </c>
      <c r="C29" s="5">
        <f ca="1">INDEX(INDIRECT($O$10),ROW(C29),COLUMN(C29))</f>
        <v>8050850000000</v>
      </c>
      <c r="D29" s="8" t="str">
        <f ca="1">INDEX(INDIRECT($O$10),ROW(D29),COLUMN(D29))</f>
        <v>HLESMD00-ECS46-055</v>
      </c>
      <c r="E29" s="12" t="str">
        <f ca="1">INDEX(INDIRECT($O$10),ROW(E29),COLUMN(E29))</f>
        <v>MICRO-ANSES TUBULAIRES COURTES EN FAUX CUIR LISSE</v>
      </c>
      <c r="F29" s="18" t="str">
        <f ca="1">INDEX(INDIRECT($O$10),ROW(F29),COLUMN(F29))</f>
        <v>UNICA</v>
      </c>
      <c r="G29" s="10">
        <f ca="1">INDEX(INDIRECT($O$10),ROW(G29),COLUMN(G29))</f>
        <v>6</v>
      </c>
      <c r="H29" s="20">
        <f ca="1">INDEX(INDIRECT($O$10),ROW(H29),COLUMN(H29))</f>
        <v>12.66</v>
      </c>
      <c r="I29" s="22">
        <f ca="1">INDEX(INDIRECT($O$10),ROW(I29),COLUMN(I29))</f>
        <v>75.959999999999994</v>
      </c>
      <c r="J29" s="14" t="str">
        <f ca="1">INDEX(INDIRECT($O$10),ROW(J29),COLUMN(J29))</f>
        <v xml:space="preserve">ANSES/MICROTUB  </v>
      </c>
      <c r="K29" s="16" t="str">
        <f ca="1">INDEX(INDIRECT($O$10),ROW(K29),COLUMN(K29))</f>
        <v>BLACK</v>
      </c>
      <c r="L29" s="27">
        <f ca="1">INDEX(INDIRECT($O$10),ROW(L29),COLUMN(L29))</f>
        <v>0</v>
      </c>
      <c r="M29" s="29" t="str">
        <f ca="1">INDEX(INDIRECT($O$10),ROW(M29),COLUMN(M29))</f>
        <v>nero</v>
      </c>
      <c r="N29" s="2" t="str">
        <f ca="1">IF(ISNUMBER($C29),codeEAN13(INT(C29/10)),"")</f>
        <v>8APASPA*aaaaae+</v>
      </c>
    </row>
    <row r="30" spans="1:14" ht="31.5" x14ac:dyDescent="0.45">
      <c r="A30" s="3" t="str">
        <f ca="1">INDEX(INDIRECT($O$10),ROW(A30),COLUMN(A30))</f>
        <v>'023</v>
      </c>
      <c r="B30" s="3">
        <f ca="1">INDEX(INDIRECT($O$10),ROW(B30),COLUMN(B30))</f>
        <v>63</v>
      </c>
      <c r="C30" s="5">
        <f ca="1">INDEX(INDIRECT($O$10),ROW(C30),COLUMN(C30))</f>
        <v>8050850000000</v>
      </c>
      <c r="D30" s="8" t="str">
        <f ca="1">INDEX(INDIRECT($O$10),ROW(D30),COLUMN(D30))</f>
        <v>HLESMD00-ECS46-221</v>
      </c>
      <c r="E30" s="12" t="str">
        <f ca="1">INDEX(INDIRECT($O$10),ROW(E30),COLUMN(E30))</f>
        <v>MICRO-ANSES TUBULAIRES COURTES EN FAUX CUIR LISSE</v>
      </c>
      <c r="F30" s="18" t="str">
        <f ca="1">INDEX(INDIRECT($O$10),ROW(F30),COLUMN(F30))</f>
        <v>UNICA</v>
      </c>
      <c r="G30" s="10">
        <f ca="1">INDEX(INDIRECT($O$10),ROW(G30),COLUMN(G30))</f>
        <v>3</v>
      </c>
      <c r="H30" s="20">
        <f ca="1">INDEX(INDIRECT($O$10),ROW(H30),COLUMN(H30))</f>
        <v>12.66</v>
      </c>
      <c r="I30" s="22">
        <f ca="1">INDEX(INDIRECT($O$10),ROW(I30),COLUMN(I30))</f>
        <v>37.979999999999997</v>
      </c>
      <c r="J30" s="14" t="str">
        <f ca="1">INDEX(INDIRECT($O$10),ROW(J30),COLUMN(J30))</f>
        <v xml:space="preserve">ANSES/MICROTUB  </v>
      </c>
      <c r="K30" s="16" t="str">
        <f ca="1">INDEX(INDIRECT($O$10),ROW(K30),COLUMN(K30))</f>
        <v>COGNA</v>
      </c>
      <c r="L30" s="27">
        <f ca="1">INDEX(INDIRECT($O$10),ROW(L30),COLUMN(L30))</f>
        <v>0</v>
      </c>
      <c r="M30" s="29" t="str">
        <f ca="1">INDEX(INDIRECT($O$10),ROW(M30),COLUMN(M30))</f>
        <v>cognac</v>
      </c>
      <c r="N30" s="2" t="str">
        <f ca="1">IF(ISNUMBER($C30),codeEAN13(INT(C30/10)),"")</f>
        <v>8APASPA*aaaaae+</v>
      </c>
    </row>
    <row r="31" spans="1:14" ht="31.5" x14ac:dyDescent="0.45">
      <c r="A31" s="3" t="str">
        <f ca="1">INDEX(INDIRECT($O$10),ROW(A31),COLUMN(A31))</f>
        <v>'024</v>
      </c>
      <c r="B31" s="3">
        <f ca="1">INDEX(INDIRECT($O$10),ROW(B31),COLUMN(B31))</f>
        <v>104</v>
      </c>
      <c r="C31" s="5">
        <f ca="1">INDEX(INDIRECT($O$10),ROW(C31),COLUMN(C31))</f>
        <v>8050850000000</v>
      </c>
      <c r="D31" s="8" t="str">
        <f ca="1">INDEX(INDIRECT($O$10),ROW(D31),COLUMN(D31))</f>
        <v>HLESXF00-ECS03-017</v>
      </c>
      <c r="E31" s="12" t="str">
        <f ca="1">INDEX(INDIRECT($O$10),ROW(E31),COLUMN(E31))</f>
        <v>ANSES LONGUES EXTRA SLIM GOUTTE AVEC DEMI-ANNEAU EN FAUX CUIR SUÃˆDE</v>
      </c>
      <c r="F31" s="18" t="str">
        <f ca="1">INDEX(INDIRECT($O$10),ROW(F31),COLUMN(F31))</f>
        <v>UNICA</v>
      </c>
      <c r="G31" s="10">
        <f ca="1">INDEX(INDIRECT($O$10),ROW(G31),COLUMN(G31))</f>
        <v>3</v>
      </c>
      <c r="H31" s="20">
        <f ca="1">INDEX(INDIRECT($O$10),ROW(H31),COLUMN(H31))</f>
        <v>14.52</v>
      </c>
      <c r="I31" s="22">
        <f ca="1">INDEX(INDIRECT($O$10),ROW(I31),COLUMN(I31))</f>
        <v>43.56</v>
      </c>
      <c r="J31" s="14" t="str">
        <f ca="1">INDEX(INDIRECT($O$10),ROW(J31),COLUMN(J31))</f>
        <v>ANSESLONGUESSUED</v>
      </c>
      <c r="K31" s="16" t="str">
        <f ca="1">INDEX(INDIRECT($O$10),ROW(K31),COLUMN(K31))</f>
        <v xml:space="preserve">NAVY </v>
      </c>
      <c r="L31" s="27">
        <f ca="1">INDEX(INDIRECT($O$10),ROW(L31),COLUMN(L31))</f>
        <v>0</v>
      </c>
      <c r="M31" s="29" t="str">
        <f ca="1">INDEX(INDIRECT($O$10),ROW(M31),COLUMN(M31))</f>
        <v>blu navy</v>
      </c>
      <c r="N31" s="2" t="str">
        <f ca="1">IF(ISNUMBER($C31),codeEAN13(INT(C31/10)),"")</f>
        <v>8APASPA*aaaaae+</v>
      </c>
    </row>
    <row r="32" spans="1:14" ht="31.5" x14ac:dyDescent="0.45">
      <c r="A32" s="3" t="str">
        <f ca="1">INDEX(INDIRECT($O$10),ROW(A32),COLUMN(A32))</f>
        <v>'025</v>
      </c>
      <c r="B32" s="3">
        <f ca="1">INDEX(INDIRECT($O$10),ROW(B32),COLUMN(B32))</f>
        <v>48</v>
      </c>
      <c r="C32" s="5">
        <f ca="1">INDEX(INDIRECT($O$10),ROW(C32),COLUMN(C32))</f>
        <v>8050850000000</v>
      </c>
      <c r="D32" s="8" t="str">
        <f ca="1">INDEX(INDIRECT($O$10),ROW(D32),COLUMN(D32))</f>
        <v>HLESXF00-ECS03-084</v>
      </c>
      <c r="E32" s="12" t="str">
        <f ca="1">INDEX(INDIRECT($O$10),ROW(E32),COLUMN(E32))</f>
        <v>ANSES LONGUES EXTRA SLIM GOUTTE AVEC DEMI-ANNEAU EN FAUX CUIR SUÃˆDE</v>
      </c>
      <c r="F32" s="18" t="str">
        <f ca="1">INDEX(INDIRECT($O$10),ROW(F32),COLUMN(F32))</f>
        <v>UNICA</v>
      </c>
      <c r="G32" s="10">
        <f ca="1">INDEX(INDIRECT($O$10),ROW(G32),COLUMN(G32))</f>
        <v>3</v>
      </c>
      <c r="H32" s="20">
        <f ca="1">INDEX(INDIRECT($O$10),ROW(H32),COLUMN(H32))</f>
        <v>14.52</v>
      </c>
      <c r="I32" s="22">
        <f ca="1">INDEX(INDIRECT($O$10),ROW(I32),COLUMN(I32))</f>
        <v>43.56</v>
      </c>
      <c r="J32" s="14" t="str">
        <f ca="1">INDEX(INDIRECT($O$10),ROW(J32),COLUMN(J32))</f>
        <v>ANSESLONGUESSUED</v>
      </c>
      <c r="K32" s="16" t="str">
        <f ca="1">INDEX(INDIRECT($O$10),ROW(K32),COLUMN(K32))</f>
        <v>TESTA</v>
      </c>
      <c r="L32" s="27">
        <f ca="1">INDEX(INDIRECT($O$10),ROW(L32),COLUMN(L32))</f>
        <v>0</v>
      </c>
      <c r="M32" s="29" t="str">
        <f ca="1">INDEX(INDIRECT($O$10),ROW(M32),COLUMN(M32))</f>
        <v>testa di moro</v>
      </c>
      <c r="N32" s="2" t="str">
        <f ca="1">IF(ISNUMBER($C32),codeEAN13(INT(C32/10)),"")</f>
        <v>8APASPA*aaaaae+</v>
      </c>
    </row>
    <row r="33" spans="1:14" ht="31.5" x14ac:dyDescent="0.45">
      <c r="A33" s="3" t="str">
        <f ca="1">INDEX(INDIRECT($O$10),ROW(A33),COLUMN(A33))</f>
        <v>'026</v>
      </c>
      <c r="B33" s="3">
        <f ca="1">INDEX(INDIRECT($O$10),ROW(B33),COLUMN(B33))</f>
        <v>32</v>
      </c>
      <c r="C33" s="5">
        <f ca="1">INDEX(INDIRECT($O$10),ROW(C33),COLUMN(C33))</f>
        <v>8050850000000</v>
      </c>
      <c r="D33" s="8" t="str">
        <f ca="1">INDEX(INDIRECT($O$10),ROW(D33),COLUMN(D33))</f>
        <v>OBAGA000-ECS42-055</v>
      </c>
      <c r="E33" s="12" t="str">
        <f ca="1">INDEX(INDIRECT($O$10),ROW(E33),COLUMN(E33))</f>
        <v>ACCESSOIRE CLIP EN FAUX CUIR OPAQUE + ARGENT</v>
      </c>
      <c r="F33" s="18" t="str">
        <f ca="1">INDEX(INDIRECT($O$10),ROW(F33),COLUMN(F33))</f>
        <v>UNICA</v>
      </c>
      <c r="G33" s="10">
        <f ca="1">INDEX(INDIRECT($O$10),ROW(G33),COLUMN(G33))</f>
        <v>2</v>
      </c>
      <c r="H33" s="20">
        <f ca="1">INDEX(INDIRECT($O$10),ROW(H33),COLUMN(H33))</f>
        <v>3.6</v>
      </c>
      <c r="I33" s="22">
        <f ca="1">INDEX(INDIRECT($O$10),ROW(I33),COLUMN(I33))</f>
        <v>7.2</v>
      </c>
      <c r="J33" s="14" t="str">
        <f ca="1">INDEX(INDIRECT($O$10),ROW(J33),COLUMN(J33))</f>
        <v xml:space="preserve"> </v>
      </c>
      <c r="K33" s="16" t="str">
        <f ca="1">INDEX(INDIRECT($O$10),ROW(K33),COLUMN(K33))</f>
        <v xml:space="preserve"> </v>
      </c>
      <c r="L33" s="27" t="str">
        <f ca="1">INDEX(INDIRECT($O$10),ROW(L33),COLUMN(L33))</f>
        <v xml:space="preserve"> </v>
      </c>
      <c r="M33" s="29" t="str">
        <f ca="1">INDEX(INDIRECT($O$10),ROW(M33),COLUMN(M33))</f>
        <v>nero</v>
      </c>
      <c r="N33" s="2" t="str">
        <f ca="1">IF(ISNUMBER($C33),codeEAN13(INT(C33/10)),"")</f>
        <v>8APASPA*aaaaae+</v>
      </c>
    </row>
    <row r="34" spans="1:14" ht="31.5" x14ac:dyDescent="0.45">
      <c r="A34" s="3" t="str">
        <f ca="1">INDEX(INDIRECT($O$10),ROW(A34),COLUMN(A34))</f>
        <v>'027</v>
      </c>
      <c r="B34" s="3">
        <f ca="1">INDEX(INDIRECT($O$10),ROW(B34),COLUMN(B34))</f>
        <v>182</v>
      </c>
      <c r="C34" s="5">
        <f ca="1">INDEX(INDIRECT($O$10),ROW(C34),COLUMN(C34))</f>
        <v>8051770000000</v>
      </c>
      <c r="D34" s="8" t="str">
        <f ca="1">INDEX(INDIRECT($O$10),ROW(D34),COLUMN(D34))</f>
        <v>OBAGB001-EVS00-076</v>
      </c>
      <c r="E34" s="12" t="str">
        <f ca="1">INDEX(INDIRECT($O$10),ROW(E34),COLUMN(E34))</f>
        <v>CORPS O BAG EVA COMPOUND</v>
      </c>
      <c r="F34" s="18" t="str">
        <f ca="1">INDEX(INDIRECT($O$10),ROW(F34),COLUMN(F34))</f>
        <v>UNICA</v>
      </c>
      <c r="G34" s="10">
        <f ca="1">INDEX(INDIRECT($O$10),ROW(G34),COLUMN(G34))</f>
        <v>2</v>
      </c>
      <c r="H34" s="20">
        <f ca="1">INDEX(INDIRECT($O$10),ROW(H34),COLUMN(H34))</f>
        <v>14.4</v>
      </c>
      <c r="I34" s="22">
        <f ca="1">INDEX(INDIRECT($O$10),ROW(I34),COLUMN(I34))</f>
        <v>28.8</v>
      </c>
      <c r="J34" s="14" t="str">
        <f ca="1">INDEX(INDIRECT($O$10),ROW(J34),COLUMN(J34))</f>
        <v xml:space="preserve">OBODY           </v>
      </c>
      <c r="K34" s="16" t="str">
        <f ca="1">INDEX(INDIRECT($O$10),ROW(K34),COLUMN(K34))</f>
        <v xml:space="preserve">RED  </v>
      </c>
      <c r="L34" s="27">
        <f ca="1">INDEX(INDIRECT($O$10),ROW(L34),COLUMN(L34))</f>
        <v>0</v>
      </c>
      <c r="M34" s="29" t="str">
        <f ca="1">INDEX(INDIRECT($O$10),ROW(M34),COLUMN(M34))</f>
        <v>rosso</v>
      </c>
      <c r="N34" s="2" t="str">
        <f ca="1">IF(ISNUMBER($C34),codeEAN13(INT(C34/10)),"")</f>
        <v>8APBRRA*aaaaag+</v>
      </c>
    </row>
    <row r="35" spans="1:14" ht="31.5" x14ac:dyDescent="0.45">
      <c r="A35" s="3" t="str">
        <f ca="1">INDEX(INDIRECT($O$10),ROW(A35),COLUMN(A35))</f>
        <v>'028</v>
      </c>
      <c r="B35" s="3">
        <f ca="1">INDEX(INDIRECT($O$10),ROW(B35),COLUMN(B35))</f>
        <v>110</v>
      </c>
      <c r="C35" s="5">
        <f ca="1">INDEX(INDIRECT($O$10),ROW(C35),COLUMN(C35))</f>
        <v>8056100000000</v>
      </c>
      <c r="D35" s="8" t="str">
        <f ca="1">INDEX(INDIRECT($O$10),ROW(D35),COLUMN(D35))</f>
        <v>OBAGB001-EVS00-132</v>
      </c>
      <c r="E35" s="12" t="str">
        <f ca="1">INDEX(INDIRECT($O$10),ROW(E35),COLUMN(E35))</f>
        <v>CORPS O BAG EVA COMPOUND</v>
      </c>
      <c r="F35" s="18" t="str">
        <f ca="1">INDEX(INDIRECT($O$10),ROW(F35),COLUMN(F35))</f>
        <v>UNICA</v>
      </c>
      <c r="G35" s="10">
        <f ca="1">INDEX(INDIRECT($O$10),ROW(G35),COLUMN(G35))</f>
        <v>2</v>
      </c>
      <c r="H35" s="20">
        <f ca="1">INDEX(INDIRECT($O$10),ROW(H35),COLUMN(H35))</f>
        <v>14.4</v>
      </c>
      <c r="I35" s="22">
        <f ca="1">INDEX(INDIRECT($O$10),ROW(I35),COLUMN(I35))</f>
        <v>28.8</v>
      </c>
      <c r="J35" s="14" t="str">
        <f ca="1">INDEX(INDIRECT($O$10),ROW(J35),COLUMN(J35))</f>
        <v xml:space="preserve">OBODY           </v>
      </c>
      <c r="K35" s="16" t="str">
        <f ca="1">INDEX(INDIRECT($O$10),ROW(K35),COLUMN(K35))</f>
        <v>BISCO</v>
      </c>
      <c r="L35" s="27">
        <f ca="1">INDEX(INDIRECT($O$10),ROW(L35),COLUMN(L35))</f>
        <v>0</v>
      </c>
      <c r="M35" s="29" t="str">
        <f ca="1">INDEX(INDIRECT($O$10),ROW(M35),COLUMN(M35))</f>
        <v>biscotto</v>
      </c>
      <c r="N35" s="2" t="str">
        <f ca="1">IF(ISNUMBER($C35),codeEAN13(INT(C35/10)),"")</f>
        <v>8APGLKA*aaaaai+</v>
      </c>
    </row>
    <row r="36" spans="1:14" ht="31.5" x14ac:dyDescent="0.45">
      <c r="A36" s="3" t="str">
        <f ca="1">INDEX(INDIRECT($O$10),ROW(A36),COLUMN(A36))</f>
        <v>'029</v>
      </c>
      <c r="B36" s="3">
        <f ca="1">INDEX(INDIRECT($O$10),ROW(B36),COLUMN(B36))</f>
        <v>183</v>
      </c>
      <c r="C36" s="5">
        <f ca="1">INDEX(INDIRECT($O$10),ROW(C36),COLUMN(C36))</f>
        <v>8050850000000</v>
      </c>
      <c r="D36" s="8" t="str">
        <f ca="1">INDEX(INDIRECT($O$10),ROW(D36),COLUMN(D36))</f>
        <v>OBAGB001-EVS00-614</v>
      </c>
      <c r="E36" s="12" t="str">
        <f ca="1">INDEX(INDIRECT($O$10),ROW(E36),COLUMN(E36))</f>
        <v>CORPS O BAG EVA COMPOUND</v>
      </c>
      <c r="F36" s="18" t="str">
        <f ca="1">INDEX(INDIRECT($O$10),ROW(F36),COLUMN(F36))</f>
        <v>UNICA</v>
      </c>
      <c r="G36" s="10">
        <f ca="1">INDEX(INDIRECT($O$10),ROW(G36),COLUMN(G36))</f>
        <v>2</v>
      </c>
      <c r="H36" s="20">
        <f ca="1">INDEX(INDIRECT($O$10),ROW(H36),COLUMN(H36))</f>
        <v>14.4</v>
      </c>
      <c r="I36" s="22">
        <f ca="1">INDEX(INDIRECT($O$10),ROW(I36),COLUMN(I36))</f>
        <v>28.8</v>
      </c>
      <c r="J36" s="14" t="str">
        <f ca="1">INDEX(INDIRECT($O$10),ROW(J36),COLUMN(J36))</f>
        <v xml:space="preserve"> </v>
      </c>
      <c r="K36" s="16" t="str">
        <f ca="1">INDEX(INDIRECT($O$10),ROW(K36),COLUMN(K36))</f>
        <v xml:space="preserve"> </v>
      </c>
      <c r="L36" s="27" t="str">
        <f ca="1">INDEX(INDIRECT($O$10),ROW(L36),COLUMN(L36))</f>
        <v xml:space="preserve"> </v>
      </c>
      <c r="M36" s="29" t="str">
        <f ca="1">INDEX(INDIRECT($O$10),ROW(M36),COLUMN(M36))</f>
        <v>imperial blu</v>
      </c>
      <c r="N36" s="2" t="str">
        <f ca="1">IF(ISNUMBER($C36),codeEAN13(INT(C36/10)),"")</f>
        <v>8APASPA*aaaaae+</v>
      </c>
    </row>
    <row r="37" spans="1:14" ht="31.5" x14ac:dyDescent="0.45">
      <c r="A37" s="3" t="str">
        <f ca="1">INDEX(INDIRECT($O$10),ROW(A37),COLUMN(A37))</f>
        <v>'030</v>
      </c>
      <c r="B37" s="3">
        <f ca="1">INDEX(INDIRECT($O$10),ROW(B37),COLUMN(B37))</f>
        <v>41</v>
      </c>
      <c r="C37" s="5">
        <f ca="1">INDEX(INDIRECT($O$10),ROW(C37),COLUMN(C37))</f>
        <v>8050850000000</v>
      </c>
      <c r="D37" s="8" t="str">
        <f ca="1">INDEX(INDIRECT($O$10),ROW(D37),COLUMN(D37))</f>
        <v>OBAGB001-EVS00-615</v>
      </c>
      <c r="E37" s="12" t="str">
        <f ca="1">INDEX(INDIRECT($O$10),ROW(E37),COLUMN(E37))</f>
        <v>CORPS O BAG EVA COMPOUND</v>
      </c>
      <c r="F37" s="18" t="str">
        <f ca="1">INDEX(INDIRECT($O$10),ROW(F37),COLUMN(F37))</f>
        <v>UNICA</v>
      </c>
      <c r="G37" s="10">
        <f ca="1">INDEX(INDIRECT($O$10),ROW(G37),COLUMN(G37))</f>
        <v>2</v>
      </c>
      <c r="H37" s="20">
        <f ca="1">INDEX(INDIRECT($O$10),ROW(H37),COLUMN(H37))</f>
        <v>14.4</v>
      </c>
      <c r="I37" s="22">
        <f ca="1">INDEX(INDIRECT($O$10),ROW(I37),COLUMN(I37))</f>
        <v>28.8</v>
      </c>
      <c r="J37" s="14" t="str">
        <f ca="1">INDEX(INDIRECT($O$10),ROW(J37),COLUMN(J37))</f>
        <v xml:space="preserve"> </v>
      </c>
      <c r="K37" s="16" t="str">
        <f ca="1">INDEX(INDIRECT($O$10),ROW(K37),COLUMN(K37))</f>
        <v xml:space="preserve"> </v>
      </c>
      <c r="L37" s="27" t="str">
        <f ca="1">INDEX(INDIRECT($O$10),ROW(L37),COLUMN(L37))</f>
        <v xml:space="preserve"> </v>
      </c>
      <c r="M37" s="29" t="str">
        <f ca="1">INDEX(INDIRECT($O$10),ROW(M37),COLUMN(M37))</f>
        <v>military</v>
      </c>
      <c r="N37" s="2" t="str">
        <f ca="1">IF(ISNUMBER($C37),codeEAN13(INT(C37/10)),"")</f>
        <v>8APASPA*aaaaae+</v>
      </c>
    </row>
    <row r="38" spans="1:14" ht="31.5" x14ac:dyDescent="0.45">
      <c r="A38" s="3" t="str">
        <f ca="1">INDEX(INDIRECT($O$10),ROW(A38),COLUMN(A38))</f>
        <v>'031</v>
      </c>
      <c r="B38" s="3">
        <f ca="1">INDEX(INDIRECT($O$10),ROW(B38),COLUMN(B38))</f>
        <v>64</v>
      </c>
      <c r="C38" s="5">
        <f ca="1">INDEX(INDIRECT($O$10),ROW(C38),COLUMN(C38))</f>
        <v>8050850000000</v>
      </c>
      <c r="D38" s="8" t="str">
        <f ca="1">INDEX(INDIRECT($O$10),ROW(D38),COLUMN(D38))</f>
        <v>OBAGB001-EVS00-616</v>
      </c>
      <c r="E38" s="12" t="str">
        <f ca="1">INDEX(INDIRECT($O$10),ROW(E38),COLUMN(E38))</f>
        <v>CORPS O BAG EVA COMPOUND</v>
      </c>
      <c r="F38" s="18" t="str">
        <f ca="1">INDEX(INDIRECT($O$10),ROW(F38),COLUMN(F38))</f>
        <v>UNICA</v>
      </c>
      <c r="G38" s="10">
        <f ca="1">INDEX(INDIRECT($O$10),ROW(G38),COLUMN(G38))</f>
        <v>2</v>
      </c>
      <c r="H38" s="20">
        <f ca="1">INDEX(INDIRECT($O$10),ROW(H38),COLUMN(H38))</f>
        <v>14.4</v>
      </c>
      <c r="I38" s="22">
        <f ca="1">INDEX(INDIRECT($O$10),ROW(I38),COLUMN(I38))</f>
        <v>28.8</v>
      </c>
      <c r="J38" s="14" t="str">
        <f ca="1">INDEX(INDIRECT($O$10),ROW(J38),COLUMN(J38))</f>
        <v xml:space="preserve"> </v>
      </c>
      <c r="K38" s="16" t="str">
        <f ca="1">INDEX(INDIRECT($O$10),ROW(K38),COLUMN(K38))</f>
        <v xml:space="preserve"> </v>
      </c>
      <c r="L38" s="27" t="str">
        <f ca="1">INDEX(INDIRECT($O$10),ROW(L38),COLUMN(L38))</f>
        <v xml:space="preserve"> </v>
      </c>
      <c r="M38" s="29" t="str">
        <f ca="1">INDEX(INDIRECT($O$10),ROW(M38),COLUMN(M38))</f>
        <v>ice</v>
      </c>
      <c r="N38" s="2" t="str">
        <f ca="1">IF(ISNUMBER($C38),codeEAN13(INT(C38/10)),"")</f>
        <v>8APASPA*aaaaae+</v>
      </c>
    </row>
    <row r="39" spans="1:14" ht="31.5" x14ac:dyDescent="0.45">
      <c r="A39" s="3" t="str">
        <f ca="1">INDEX(INDIRECT($O$10),ROW(A39),COLUMN(A39))</f>
        <v>'032</v>
      </c>
      <c r="B39" s="3">
        <f ca="1">INDEX(INDIRECT($O$10),ROW(B39),COLUMN(B39))</f>
        <v>58</v>
      </c>
      <c r="C39" s="5">
        <f ca="1">INDEX(INDIRECT($O$10),ROW(C39),COLUMN(C39))</f>
        <v>8050450000000</v>
      </c>
      <c r="D39" s="8" t="str">
        <f ca="1">INDEX(INDIRECT($O$10),ROW(D39),COLUMN(D39))</f>
        <v>OBAGB002-EVS00-076</v>
      </c>
      <c r="E39" s="12" t="str">
        <f ca="1">INDEX(INDIRECT($O$10),ROW(E39),COLUMN(E39))</f>
        <v>CORPS O BAG MINI EVA COMPOUND</v>
      </c>
      <c r="F39" s="18" t="str">
        <f ca="1">INDEX(INDIRECT($O$10),ROW(F39),COLUMN(F39))</f>
        <v>UNICA</v>
      </c>
      <c r="G39" s="10">
        <f ca="1">INDEX(INDIRECT($O$10),ROW(G39),COLUMN(G39))</f>
        <v>2</v>
      </c>
      <c r="H39" s="20">
        <f ca="1">INDEX(INDIRECT($O$10),ROW(H39),COLUMN(H39))</f>
        <v>14.4</v>
      </c>
      <c r="I39" s="22">
        <f ca="1">INDEX(INDIRECT($O$10),ROW(I39),COLUMN(I39))</f>
        <v>28.8</v>
      </c>
      <c r="J39" s="14" t="str">
        <f ca="1">INDEX(INDIRECT($O$10),ROW(J39),COLUMN(J39))</f>
        <v xml:space="preserve">MINIOBODY       </v>
      </c>
      <c r="K39" s="16" t="str">
        <f ca="1">INDEX(INDIRECT($O$10),ROW(K39),COLUMN(K39))</f>
        <v xml:space="preserve">RED  </v>
      </c>
      <c r="L39" s="27">
        <f ca="1">INDEX(INDIRECT($O$10),ROW(L39),COLUMN(L39))</f>
        <v>0</v>
      </c>
      <c r="M39" s="29" t="str">
        <f ca="1">INDEX(INDIRECT($O$10),ROW(M39),COLUMN(M39))</f>
        <v>rosso</v>
      </c>
      <c r="N39" s="2" t="str">
        <f ca="1">IF(ISNUMBER($C39),codeEAN13(INT(C39/10)),"")</f>
        <v>8APAOPA*aaaaai+</v>
      </c>
    </row>
    <row r="40" spans="1:14" ht="31.5" x14ac:dyDescent="0.45">
      <c r="A40" s="3" t="str">
        <f ca="1">INDEX(INDIRECT($O$10),ROW(A40),COLUMN(A40))</f>
        <v>'033</v>
      </c>
      <c r="B40" s="3">
        <f ca="1">INDEX(INDIRECT($O$10),ROW(B40),COLUMN(B40))</f>
        <v>153</v>
      </c>
      <c r="C40" s="5">
        <f ca="1">INDEX(INDIRECT($O$10),ROW(C40),COLUMN(C40))</f>
        <v>8050850000000</v>
      </c>
      <c r="D40" s="8" t="str">
        <f ca="1">INDEX(INDIRECT($O$10),ROW(D40),COLUMN(D40))</f>
        <v>OBAGB002-EVS00-132</v>
      </c>
      <c r="E40" s="12" t="str">
        <f ca="1">INDEX(INDIRECT($O$10),ROW(E40),COLUMN(E40))</f>
        <v>CORPS O BAG MINI EVA COMPOUND</v>
      </c>
      <c r="F40" s="18" t="str">
        <f ca="1">INDEX(INDIRECT($O$10),ROW(F40),COLUMN(F40))</f>
        <v>UNICA</v>
      </c>
      <c r="G40" s="10">
        <f ca="1">INDEX(INDIRECT($O$10),ROW(G40),COLUMN(G40))</f>
        <v>2</v>
      </c>
      <c r="H40" s="20">
        <f ca="1">INDEX(INDIRECT($O$10),ROW(H40),COLUMN(H40))</f>
        <v>14.4</v>
      </c>
      <c r="I40" s="22">
        <f ca="1">INDEX(INDIRECT($O$10),ROW(I40),COLUMN(I40))</f>
        <v>28.8</v>
      </c>
      <c r="J40" s="14" t="str">
        <f ca="1">INDEX(INDIRECT($O$10),ROW(J40),COLUMN(J40))</f>
        <v xml:space="preserve"> </v>
      </c>
      <c r="K40" s="16" t="str">
        <f ca="1">INDEX(INDIRECT($O$10),ROW(K40),COLUMN(K40))</f>
        <v xml:space="preserve"> </v>
      </c>
      <c r="L40" s="27" t="str">
        <f ca="1">INDEX(INDIRECT($O$10),ROW(L40),COLUMN(L40))</f>
        <v xml:space="preserve"> </v>
      </c>
      <c r="M40" s="29" t="str">
        <f ca="1">INDEX(INDIRECT($O$10),ROW(M40),COLUMN(M40))</f>
        <v>biscotto</v>
      </c>
      <c r="N40" s="2" t="str">
        <f ca="1">IF(ISNUMBER($C40),codeEAN13(INT(C40/10)),"")</f>
        <v>8APASPA*aaaaae+</v>
      </c>
    </row>
    <row r="41" spans="1:14" ht="31.5" x14ac:dyDescent="0.45">
      <c r="A41" s="3" t="str">
        <f ca="1">INDEX(INDIRECT($O$10),ROW(A41),COLUMN(A41))</f>
        <v>'034</v>
      </c>
      <c r="B41" s="3">
        <f ca="1">INDEX(INDIRECT($O$10),ROW(B41),COLUMN(B41))</f>
        <v>116</v>
      </c>
      <c r="C41" s="5">
        <f ca="1">INDEX(INDIRECT($O$10),ROW(C41),COLUMN(C41))</f>
        <v>8050850000000</v>
      </c>
      <c r="D41" s="8" t="str">
        <f ca="1">INDEX(INDIRECT($O$10),ROW(D41),COLUMN(D41))</f>
        <v>OBAGB002-EVS00-614</v>
      </c>
      <c r="E41" s="12" t="str">
        <f ca="1">INDEX(INDIRECT($O$10),ROW(E41),COLUMN(E41))</f>
        <v>CORPS O BAG MINI EVA COMPOUND</v>
      </c>
      <c r="F41" s="18" t="str">
        <f ca="1">INDEX(INDIRECT($O$10),ROW(F41),COLUMN(F41))</f>
        <v>UNICA</v>
      </c>
      <c r="G41" s="10">
        <f ca="1">INDEX(INDIRECT($O$10),ROW(G41),COLUMN(G41))</f>
        <v>2</v>
      </c>
      <c r="H41" s="20">
        <f ca="1">INDEX(INDIRECT($O$10),ROW(H41),COLUMN(H41))</f>
        <v>14.4</v>
      </c>
      <c r="I41" s="22">
        <f ca="1">INDEX(INDIRECT($O$10),ROW(I41),COLUMN(I41))</f>
        <v>28.8</v>
      </c>
      <c r="J41" s="14" t="str">
        <f ca="1">INDEX(INDIRECT($O$10),ROW(J41),COLUMN(J41))</f>
        <v xml:space="preserve"> </v>
      </c>
      <c r="K41" s="16" t="str">
        <f ca="1">INDEX(INDIRECT($O$10),ROW(K41),COLUMN(K41))</f>
        <v xml:space="preserve"> </v>
      </c>
      <c r="L41" s="27" t="str">
        <f ca="1">INDEX(INDIRECT($O$10),ROW(L41),COLUMN(L41))</f>
        <v xml:space="preserve"> </v>
      </c>
      <c r="M41" s="29" t="str">
        <f ca="1">INDEX(INDIRECT($O$10),ROW(M41),COLUMN(M41))</f>
        <v>imperial blu</v>
      </c>
      <c r="N41" s="2" t="str">
        <f ca="1">IF(ISNUMBER($C41),codeEAN13(INT(C41/10)),"")</f>
        <v>8APASPA*aaaaae+</v>
      </c>
    </row>
    <row r="42" spans="1:14" ht="31.5" x14ac:dyDescent="0.45">
      <c r="A42" s="3" t="str">
        <f ca="1">INDEX(INDIRECT($O$10),ROW(A42),COLUMN(A42))</f>
        <v>'035</v>
      </c>
      <c r="B42" s="3">
        <f ca="1">INDEX(INDIRECT($O$10),ROW(B42),COLUMN(B42))</f>
        <v>205</v>
      </c>
      <c r="C42" s="5">
        <f ca="1">INDEX(INDIRECT($O$10),ROW(C42),COLUMN(C42))</f>
        <v>8050850000000</v>
      </c>
      <c r="D42" s="8" t="str">
        <f ca="1">INDEX(INDIRECT($O$10),ROW(D42),COLUMN(D42))</f>
        <v>OBAGB002-EVS00-615</v>
      </c>
      <c r="E42" s="12" t="str">
        <f ca="1">INDEX(INDIRECT($O$10),ROW(E42),COLUMN(E42))</f>
        <v>CORPS O BAG MINI EVA COMPOUND</v>
      </c>
      <c r="F42" s="18" t="str">
        <f ca="1">INDEX(INDIRECT($O$10),ROW(F42),COLUMN(F42))</f>
        <v>UNICA</v>
      </c>
      <c r="G42" s="10">
        <f ca="1">INDEX(INDIRECT($O$10),ROW(G42),COLUMN(G42))</f>
        <v>2</v>
      </c>
      <c r="H42" s="20">
        <f ca="1">INDEX(INDIRECT($O$10),ROW(H42),COLUMN(H42))</f>
        <v>14.4</v>
      </c>
      <c r="I42" s="22">
        <f ca="1">INDEX(INDIRECT($O$10),ROW(I42),COLUMN(I42))</f>
        <v>28.8</v>
      </c>
      <c r="J42" s="14" t="str">
        <f ca="1">INDEX(INDIRECT($O$10),ROW(J42),COLUMN(J42))</f>
        <v xml:space="preserve"> </v>
      </c>
      <c r="K42" s="16" t="str">
        <f ca="1">INDEX(INDIRECT($O$10),ROW(K42),COLUMN(K42))</f>
        <v xml:space="preserve"> </v>
      </c>
      <c r="L42" s="27" t="str">
        <f ca="1">INDEX(INDIRECT($O$10),ROW(L42),COLUMN(L42))</f>
        <v xml:space="preserve"> </v>
      </c>
      <c r="M42" s="29" t="str">
        <f ca="1">INDEX(INDIRECT($O$10),ROW(M42),COLUMN(M42))</f>
        <v>military</v>
      </c>
      <c r="N42" s="2" t="str">
        <f ca="1">IF(ISNUMBER($C42),codeEAN13(INT(C42/10)),"")</f>
        <v>8APASPA*aaaaae+</v>
      </c>
    </row>
    <row r="43" spans="1:14" ht="31.5" x14ac:dyDescent="0.45">
      <c r="A43" s="3" t="str">
        <f ca="1">INDEX(INDIRECT($O$10),ROW(A43),COLUMN(A43))</f>
        <v>'036</v>
      </c>
      <c r="B43" s="3">
        <f ca="1">INDEX(INDIRECT($O$10),ROW(B43),COLUMN(B43))</f>
        <v>49</v>
      </c>
      <c r="C43" s="5">
        <f ca="1">INDEX(INDIRECT($O$10),ROW(C43),COLUMN(C43))</f>
        <v>8050450000000</v>
      </c>
      <c r="D43" s="8" t="str">
        <f ca="1">INDEX(INDIRECT($O$10),ROW(D43),COLUMN(D43))</f>
        <v>OBAGB002-EVS00-616</v>
      </c>
      <c r="E43" s="12" t="str">
        <f ca="1">INDEX(INDIRECT($O$10),ROW(E43),COLUMN(E43))</f>
        <v>CORPS O BAG MINI EVA COMPOUND</v>
      </c>
      <c r="F43" s="18" t="str">
        <f ca="1">INDEX(INDIRECT($O$10),ROW(F43),COLUMN(F43))</f>
        <v>UNICA</v>
      </c>
      <c r="G43" s="10">
        <f ca="1">INDEX(INDIRECT($O$10),ROW(G43),COLUMN(G43))</f>
        <v>2</v>
      </c>
      <c r="H43" s="20">
        <f ca="1">INDEX(INDIRECT($O$10),ROW(H43),COLUMN(H43))</f>
        <v>14.4</v>
      </c>
      <c r="I43" s="22">
        <f ca="1">INDEX(INDIRECT($O$10),ROW(I43),COLUMN(I43))</f>
        <v>28.8</v>
      </c>
      <c r="J43" s="14" t="str">
        <f ca="1">INDEX(INDIRECT($O$10),ROW(J43),COLUMN(J43))</f>
        <v xml:space="preserve">MINIOBODY       </v>
      </c>
      <c r="K43" s="16" t="str">
        <f ca="1">INDEX(INDIRECT($O$10),ROW(K43),COLUMN(K43))</f>
        <v xml:space="preserve">RED  </v>
      </c>
      <c r="L43" s="27">
        <f ca="1">INDEX(INDIRECT($O$10),ROW(L43),COLUMN(L43))</f>
        <v>0</v>
      </c>
      <c r="M43" s="29" t="str">
        <f ca="1">INDEX(INDIRECT($O$10),ROW(M43),COLUMN(M43))</f>
        <v>ice</v>
      </c>
      <c r="N43" s="2" t="str">
        <f ca="1">IF(ISNUMBER($C43),codeEAN13(INT(C43/10)),"")</f>
        <v>8APAOPA*aaaaai+</v>
      </c>
    </row>
    <row r="44" spans="1:14" ht="31.5" x14ac:dyDescent="0.45">
      <c r="A44" s="3" t="str">
        <f ca="1">INDEX(INDIRECT($O$10),ROW(A44),COLUMN(A44))</f>
        <v>'037</v>
      </c>
      <c r="B44" s="3">
        <f ca="1">INDEX(INDIRECT($O$10),ROW(B44),COLUMN(B44))</f>
        <v>163</v>
      </c>
      <c r="C44" s="5">
        <f ca="1">INDEX(INDIRECT($O$10),ROW(C44),COLUMN(C44))</f>
        <v>8050850000000</v>
      </c>
      <c r="D44" s="8" t="str">
        <f ca="1">INDEX(INDIRECT($O$10),ROW(D44),COLUMN(D44))</f>
        <v>OBAGB002-EVS18-055</v>
      </c>
      <c r="E44" s="12" t="str">
        <f ca="1">INDEX(INDIRECT($O$10),ROW(E44),COLUMN(E44))</f>
        <v>CORPS O BAG MINI EVA COMPOUND TEXTURE Ã€ CHEVRONS</v>
      </c>
      <c r="F44" s="18" t="str">
        <f ca="1">INDEX(INDIRECT($O$10),ROW(F44),COLUMN(F44))</f>
        <v>UNICA</v>
      </c>
      <c r="G44" s="10">
        <f ca="1">INDEX(INDIRECT($O$10),ROW(G44),COLUMN(G44))</f>
        <v>2</v>
      </c>
      <c r="H44" s="20">
        <f ca="1">INDEX(INDIRECT($O$10),ROW(H44),COLUMN(H44))</f>
        <v>15.6</v>
      </c>
      <c r="I44" s="22">
        <f ca="1">INDEX(INDIRECT($O$10),ROW(I44),COLUMN(I44))</f>
        <v>31.2</v>
      </c>
      <c r="J44" s="14" t="str">
        <f ca="1">INDEX(INDIRECT($O$10),ROW(J44),COLUMN(J44))</f>
        <v>MINIOBODYCHEVRON</v>
      </c>
      <c r="K44" s="16" t="str">
        <f ca="1">INDEX(INDIRECT($O$10),ROW(K44),COLUMN(K44))</f>
        <v>BLACK</v>
      </c>
      <c r="L44" s="27">
        <f ca="1">INDEX(INDIRECT($O$10),ROW(L44),COLUMN(L44))</f>
        <v>0</v>
      </c>
      <c r="M44" s="29" t="str">
        <f ca="1">INDEX(INDIRECT($O$10),ROW(M44),COLUMN(M44))</f>
        <v>nero</v>
      </c>
      <c r="N44" s="2" t="str">
        <f ca="1">IF(ISNUMBER($C44),codeEAN13(INT(C44/10)),"")</f>
        <v>8APASPA*aaaaae+</v>
      </c>
    </row>
    <row r="45" spans="1:14" ht="31.5" x14ac:dyDescent="0.45">
      <c r="A45" s="3" t="str">
        <f ca="1">INDEX(INDIRECT($O$10),ROW(A45),COLUMN(A45))</f>
        <v>'038</v>
      </c>
      <c r="B45" s="3">
        <f ca="1">INDEX(INDIRECT($O$10),ROW(B45),COLUMN(B45))</f>
        <v>209</v>
      </c>
      <c r="C45" s="5">
        <f ca="1">INDEX(INDIRECT($O$10),ROW(C45),COLUMN(C45))</f>
        <v>8050850000000</v>
      </c>
      <c r="D45" s="8" t="str">
        <f ca="1">INDEX(INDIRECT($O$10),ROW(D45),COLUMN(D45))</f>
        <v>OBAGB002-EVS18-067</v>
      </c>
      <c r="E45" s="12" t="str">
        <f ca="1">INDEX(INDIRECT($O$10),ROW(E45),COLUMN(E45))</f>
        <v>CORPS O BAG MINI EVA COMPOUND TEXTURE Ã€ CHEVRONS</v>
      </c>
      <c r="F45" s="18" t="str">
        <f ca="1">INDEX(INDIRECT($O$10),ROW(F45),COLUMN(F45))</f>
        <v>UNICA</v>
      </c>
      <c r="G45" s="10">
        <f ca="1">INDEX(INDIRECT($O$10),ROW(G45),COLUMN(G45))</f>
        <v>2</v>
      </c>
      <c r="H45" s="20">
        <f ca="1">INDEX(INDIRECT($O$10),ROW(H45),COLUMN(H45))</f>
        <v>15.6</v>
      </c>
      <c r="I45" s="22">
        <f ca="1">INDEX(INDIRECT($O$10),ROW(I45),COLUMN(I45))</f>
        <v>31.2</v>
      </c>
      <c r="J45" s="14" t="str">
        <f ca="1">INDEX(INDIRECT($O$10),ROW(J45),COLUMN(J45))</f>
        <v xml:space="preserve"> </v>
      </c>
      <c r="K45" s="16" t="str">
        <f ca="1">INDEX(INDIRECT($O$10),ROW(K45),COLUMN(K45))</f>
        <v xml:space="preserve"> </v>
      </c>
      <c r="L45" s="27" t="str">
        <f ca="1">INDEX(INDIRECT($O$10),ROW(L45),COLUMN(L45))</f>
        <v xml:space="preserve"> </v>
      </c>
      <c r="M45" s="29" t="str">
        <f ca="1">INDEX(INDIRECT($O$10),ROW(M45),COLUMN(M45))</f>
        <v>phard</v>
      </c>
      <c r="N45" s="2" t="str">
        <f ca="1">IF(ISNUMBER($C45),codeEAN13(INT(C45/10)),"")</f>
        <v>8APASPA*aaaaae+</v>
      </c>
    </row>
    <row r="46" spans="1:14" ht="31.5" x14ac:dyDescent="0.45">
      <c r="A46" s="3" t="str">
        <f ca="1">INDEX(INDIRECT($O$10),ROW(A46),COLUMN(A46))</f>
        <v>'039</v>
      </c>
      <c r="B46" s="3">
        <f ca="1">INDEX(INDIRECT($O$10),ROW(B46),COLUMN(B46))</f>
        <v>133</v>
      </c>
      <c r="C46" s="5">
        <f ca="1">INDEX(INDIRECT($O$10),ROW(C46),COLUMN(C46))</f>
        <v>8050850000000</v>
      </c>
      <c r="D46" s="8" t="str">
        <f ca="1">INDEX(INDIRECT($O$10),ROW(D46),COLUMN(D46))</f>
        <v>OBAGB002-EVS18-078</v>
      </c>
      <c r="E46" s="12" t="str">
        <f ca="1">INDEX(INDIRECT($O$10),ROW(E46),COLUMN(E46))</f>
        <v>CORPS O BAG MINI EVA COMPOUND TEXTURE Ã€ CHEVRONS</v>
      </c>
      <c r="F46" s="18" t="str">
        <f ca="1">INDEX(INDIRECT($O$10),ROW(F46),COLUMN(F46))</f>
        <v>UNICA</v>
      </c>
      <c r="G46" s="10">
        <f ca="1">INDEX(INDIRECT($O$10),ROW(G46),COLUMN(G46))</f>
        <v>2</v>
      </c>
      <c r="H46" s="20">
        <f ca="1">INDEX(INDIRECT($O$10),ROW(H46),COLUMN(H46))</f>
        <v>15.6</v>
      </c>
      <c r="I46" s="22">
        <f ca="1">INDEX(INDIRECT($O$10),ROW(I46),COLUMN(I46))</f>
        <v>31.2</v>
      </c>
      <c r="J46" s="14" t="str">
        <f ca="1">INDEX(INDIRECT($O$10),ROW(J46),COLUMN(J46))</f>
        <v xml:space="preserve"> </v>
      </c>
      <c r="K46" s="16" t="str">
        <f ca="1">INDEX(INDIRECT($O$10),ROW(K46),COLUMN(K46))</f>
        <v xml:space="preserve"> </v>
      </c>
      <c r="L46" s="27" t="str">
        <f ca="1">INDEX(INDIRECT($O$10),ROW(L46),COLUMN(L46))</f>
        <v xml:space="preserve"> </v>
      </c>
      <c r="M46" s="29" t="str">
        <f ca="1">INDEX(INDIRECT($O$10),ROW(M46),COLUMN(M46))</f>
        <v>sabbia</v>
      </c>
      <c r="N46" s="2" t="str">
        <f ca="1">IF(ISNUMBER($C46),codeEAN13(INT(C46/10)),"")</f>
        <v>8APASPA*aaaaae+</v>
      </c>
    </row>
    <row r="47" spans="1:14" ht="31.5" x14ac:dyDescent="0.45">
      <c r="A47" s="3" t="str">
        <f ca="1">INDEX(INDIRECT($O$10),ROW(A47),COLUMN(A47))</f>
        <v>'040</v>
      </c>
      <c r="B47" s="3">
        <f ca="1">INDEX(INDIRECT($O$10),ROW(B47),COLUMN(B47))</f>
        <v>54</v>
      </c>
      <c r="C47" s="5">
        <f ca="1">INDEX(INDIRECT($O$10),ROW(C47),COLUMN(C47))</f>
        <v>8050850000000</v>
      </c>
      <c r="D47" s="8" t="str">
        <f ca="1">INDEX(INDIRECT($O$10),ROW(D47),COLUMN(D47))</f>
        <v>OBAGB002-EVS18-371</v>
      </c>
      <c r="E47" s="12" t="str">
        <f ca="1">INDEX(INDIRECT($O$10),ROW(E47),COLUMN(E47))</f>
        <v>CORPS O BAG MINI EVA COMPOUND TEXTURE Ã€ CHEVRONS</v>
      </c>
      <c r="F47" s="18" t="str">
        <f ca="1">INDEX(INDIRECT($O$10),ROW(F47),COLUMN(F47))</f>
        <v>UNICA</v>
      </c>
      <c r="G47" s="10">
        <f ca="1">INDEX(INDIRECT($O$10),ROW(G47),COLUMN(G47))</f>
        <v>2</v>
      </c>
      <c r="H47" s="20">
        <f ca="1">INDEX(INDIRECT($O$10),ROW(H47),COLUMN(H47))</f>
        <v>15.6</v>
      </c>
      <c r="I47" s="22">
        <f ca="1">INDEX(INDIRECT($O$10),ROW(I47),COLUMN(I47))</f>
        <v>31.2</v>
      </c>
      <c r="J47" s="14" t="str">
        <f ca="1">INDEX(INDIRECT($O$10),ROW(J47),COLUMN(J47))</f>
        <v>MINIOBODYCHEVRON</v>
      </c>
      <c r="K47" s="16" t="str">
        <f ca="1">INDEX(INDIRECT($O$10),ROW(K47),COLUMN(K47))</f>
        <v>WHITE</v>
      </c>
      <c r="L47" s="27">
        <f ca="1">INDEX(INDIRECT($O$10),ROW(L47),COLUMN(L47))</f>
        <v>0</v>
      </c>
      <c r="M47" s="29" t="str">
        <f ca="1">INDEX(INDIRECT($O$10),ROW(M47),COLUMN(M47))</f>
        <v>latte</v>
      </c>
      <c r="N47" s="2" t="str">
        <f ca="1">IF(ISNUMBER($C47),codeEAN13(INT(C47/10)),"")</f>
        <v>8APASPA*aaaaae+</v>
      </c>
    </row>
    <row r="48" spans="1:14" ht="31.5" x14ac:dyDescent="0.45">
      <c r="A48" s="3" t="str">
        <f ca="1">INDEX(INDIRECT($O$10),ROW(A48),COLUMN(A48))</f>
        <v>'041</v>
      </c>
      <c r="B48" s="3">
        <f ca="1">INDEX(INDIRECT($O$10),ROW(B48),COLUMN(B48))</f>
        <v>189</v>
      </c>
      <c r="C48" s="5">
        <f ca="1">INDEX(INDIRECT($O$10),ROW(C48),COLUMN(C48))</f>
        <v>8050850000000</v>
      </c>
      <c r="D48" s="8" t="str">
        <f ca="1">INDEX(INDIRECT($O$10),ROW(D48),COLUMN(D48))</f>
        <v>OBAGB002-EVS18-614</v>
      </c>
      <c r="E48" s="12" t="str">
        <f ca="1">INDEX(INDIRECT($O$10),ROW(E48),COLUMN(E48))</f>
        <v>CORPS O BAG MINI EVA COMPOUND TEXTURE Ã€ CHEVRONS</v>
      </c>
      <c r="F48" s="18" t="str">
        <f ca="1">INDEX(INDIRECT($O$10),ROW(F48),COLUMN(F48))</f>
        <v>UNICA</v>
      </c>
      <c r="G48" s="10">
        <f ca="1">INDEX(INDIRECT($O$10),ROW(G48),COLUMN(G48))</f>
        <v>2</v>
      </c>
      <c r="H48" s="20">
        <f ca="1">INDEX(INDIRECT($O$10),ROW(H48),COLUMN(H48))</f>
        <v>15.6</v>
      </c>
      <c r="I48" s="22">
        <f ca="1">INDEX(INDIRECT($O$10),ROW(I48),COLUMN(I48))</f>
        <v>31.2</v>
      </c>
      <c r="J48" s="14" t="str">
        <f ca="1">INDEX(INDIRECT($O$10),ROW(J48),COLUMN(J48))</f>
        <v xml:space="preserve"> </v>
      </c>
      <c r="K48" s="16" t="str">
        <f ca="1">INDEX(INDIRECT($O$10),ROW(K48),COLUMN(K48))</f>
        <v xml:space="preserve"> </v>
      </c>
      <c r="L48" s="27" t="str">
        <f ca="1">INDEX(INDIRECT($O$10),ROW(L48),COLUMN(L48))</f>
        <v xml:space="preserve"> </v>
      </c>
      <c r="M48" s="29" t="str">
        <f ca="1">INDEX(INDIRECT($O$10),ROW(M48),COLUMN(M48))</f>
        <v>imperial blu</v>
      </c>
      <c r="N48" s="2" t="str">
        <f ca="1">IF(ISNUMBER($C48),codeEAN13(INT(C48/10)),"")</f>
        <v>8APASPA*aaaaae+</v>
      </c>
    </row>
    <row r="49" spans="1:14" ht="31.5" x14ac:dyDescent="0.45">
      <c r="A49" s="3" t="str">
        <f ca="1">INDEX(INDIRECT($O$10),ROW(A49),COLUMN(A49))</f>
        <v>'042</v>
      </c>
      <c r="B49" s="3">
        <f ca="1">INDEX(INDIRECT($O$10),ROW(B49),COLUMN(B49))</f>
        <v>221</v>
      </c>
      <c r="C49" s="5">
        <f ca="1">INDEX(INDIRECT($O$10),ROW(C49),COLUMN(C49))</f>
        <v>8050850000000</v>
      </c>
      <c r="D49" s="8" t="str">
        <f ca="1">INDEX(INDIRECT($O$10),ROW(D49),COLUMN(D49))</f>
        <v>OBAGB002-EVS18-615</v>
      </c>
      <c r="E49" s="12" t="str">
        <f ca="1">INDEX(INDIRECT($O$10),ROW(E49),COLUMN(E49))</f>
        <v>CORPS O BAG MINI EVA COMPOUND TEXTURE Ã€ CHEVRONS</v>
      </c>
      <c r="F49" s="18" t="str">
        <f ca="1">INDEX(INDIRECT($O$10),ROW(F49),COLUMN(F49))</f>
        <v>UNICA</v>
      </c>
      <c r="G49" s="10">
        <f ca="1">INDEX(INDIRECT($O$10),ROW(G49),COLUMN(G49))</f>
        <v>2</v>
      </c>
      <c r="H49" s="20">
        <f ca="1">INDEX(INDIRECT($O$10),ROW(H49),COLUMN(H49))</f>
        <v>15.6</v>
      </c>
      <c r="I49" s="22">
        <f ca="1">INDEX(INDIRECT($O$10),ROW(I49),COLUMN(I49))</f>
        <v>31.2</v>
      </c>
      <c r="J49" s="14" t="str">
        <f ca="1">INDEX(INDIRECT($O$10),ROW(J49),COLUMN(J49))</f>
        <v xml:space="preserve"> </v>
      </c>
      <c r="K49" s="16" t="str">
        <f ca="1">INDEX(INDIRECT($O$10),ROW(K49),COLUMN(K49))</f>
        <v xml:space="preserve"> </v>
      </c>
      <c r="L49" s="27" t="str">
        <f ca="1">INDEX(INDIRECT($O$10),ROW(L49),COLUMN(L49))</f>
        <v xml:space="preserve"> </v>
      </c>
      <c r="M49" s="29" t="str">
        <f ca="1">INDEX(INDIRECT($O$10),ROW(M49),COLUMN(M49))</f>
        <v>military</v>
      </c>
      <c r="N49" s="2" t="str">
        <f ca="1">IF(ISNUMBER($C49),codeEAN13(INT(C49/10)),"")</f>
        <v>8APASPA*aaaaae+</v>
      </c>
    </row>
    <row r="50" spans="1:14" ht="31.5" x14ac:dyDescent="0.45">
      <c r="A50" s="3" t="str">
        <f ca="1">INDEX(INDIRECT($O$10),ROW(A50),COLUMN(A50))</f>
        <v>'043</v>
      </c>
      <c r="B50" s="3">
        <f ca="1">INDEX(INDIRECT($O$10),ROW(B50),COLUMN(B50))</f>
        <v>55</v>
      </c>
      <c r="C50" s="5">
        <f ca="1">INDEX(INDIRECT($O$10),ROW(C50),COLUMN(C50))</f>
        <v>8050850000000</v>
      </c>
      <c r="D50" s="8" t="str">
        <f ca="1">INDEX(INDIRECT($O$10),ROW(D50),COLUMN(D50))</f>
        <v>OBAGB033-EVS00-017</v>
      </c>
      <c r="E50" s="12" t="str">
        <f ca="1">INDEX(INDIRECT($O$10),ROW(E50),COLUMN(E50))</f>
        <v>CORPS O BAG URBAN EVA COMPOUND</v>
      </c>
      <c r="F50" s="18" t="str">
        <f ca="1">INDEX(INDIRECT($O$10),ROW(F50),COLUMN(F50))</f>
        <v>UNICA</v>
      </c>
      <c r="G50" s="10">
        <f ca="1">INDEX(INDIRECT($O$10),ROW(G50),COLUMN(G50))</f>
        <v>2</v>
      </c>
      <c r="H50" s="20">
        <f ca="1">INDEX(INDIRECT($O$10),ROW(H50),COLUMN(H50))</f>
        <v>14.16</v>
      </c>
      <c r="I50" s="22">
        <f ca="1">INDEX(INDIRECT($O$10),ROW(I50),COLUMN(I50))</f>
        <v>28.32</v>
      </c>
      <c r="J50" s="14" t="str">
        <f ca="1">INDEX(INDIRECT($O$10),ROW(J50),COLUMN(J50))</f>
        <v xml:space="preserve">OURBAN          </v>
      </c>
      <c r="K50" s="16" t="str">
        <f ca="1">INDEX(INDIRECT($O$10),ROW(K50),COLUMN(K50))</f>
        <v xml:space="preserve">NAVY </v>
      </c>
      <c r="L50" s="27">
        <f ca="1">INDEX(INDIRECT($O$10),ROW(L50),COLUMN(L50))</f>
        <v>0</v>
      </c>
      <c r="M50" s="29" t="str">
        <f ca="1">INDEX(INDIRECT($O$10),ROW(M50),COLUMN(M50))</f>
        <v>blu navy</v>
      </c>
      <c r="N50" s="2" t="str">
        <f ca="1">IF(ISNUMBER($C50),codeEAN13(INT(C50/10)),"")</f>
        <v>8APASPA*aaaaae+</v>
      </c>
    </row>
    <row r="51" spans="1:14" ht="31.5" x14ac:dyDescent="0.45">
      <c r="A51" s="3" t="str">
        <f ca="1">INDEX(INDIRECT($O$10),ROW(A51),COLUMN(A51))</f>
        <v>'044</v>
      </c>
      <c r="B51" s="3">
        <f ca="1">INDEX(INDIRECT($O$10),ROW(B51),COLUMN(B51))</f>
        <v>190</v>
      </c>
      <c r="C51" s="5">
        <f ca="1">INDEX(INDIRECT($O$10),ROW(C51),COLUMN(C51))</f>
        <v>8050850000000</v>
      </c>
      <c r="D51" s="8" t="str">
        <f ca="1">INDEX(INDIRECT($O$10),ROW(D51),COLUMN(D51))</f>
        <v>OBAGB033-EVS00-038</v>
      </c>
      <c r="E51" s="12" t="str">
        <f ca="1">INDEX(INDIRECT($O$10),ROW(E51),COLUMN(E51))</f>
        <v>CORPS O BAG URBAN EVA COMPOUND</v>
      </c>
      <c r="F51" s="18" t="str">
        <f ca="1">INDEX(INDIRECT($O$10),ROW(F51),COLUMN(F51))</f>
        <v>UNICA</v>
      </c>
      <c r="G51" s="10">
        <f ca="1">INDEX(INDIRECT($O$10),ROW(G51),COLUMN(G51))</f>
        <v>2</v>
      </c>
      <c r="H51" s="20">
        <f ca="1">INDEX(INDIRECT($O$10),ROW(H51),COLUMN(H51))</f>
        <v>14.16</v>
      </c>
      <c r="I51" s="22">
        <f ca="1">INDEX(INDIRECT($O$10),ROW(I51),COLUMN(I51))</f>
        <v>28.32</v>
      </c>
      <c r="J51" s="14" t="str">
        <f ca="1">INDEX(INDIRECT($O$10),ROW(J51),COLUMN(J51))</f>
        <v xml:space="preserve"> </v>
      </c>
      <c r="K51" s="16" t="str">
        <f ca="1">INDEX(INDIRECT($O$10),ROW(K51),COLUMN(K51))</f>
        <v xml:space="preserve"> </v>
      </c>
      <c r="L51" s="27" t="str">
        <f ca="1">INDEX(INDIRECT($O$10),ROW(L51),COLUMN(L51))</f>
        <v xml:space="preserve"> </v>
      </c>
      <c r="M51" s="29" t="str">
        <f ca="1">INDEX(INDIRECT($O$10),ROW(M51),COLUMN(M51))</f>
        <v>grafite</v>
      </c>
      <c r="N51" s="2" t="str">
        <f ca="1">IF(ISNUMBER($C51),codeEAN13(INT(C51/10)),"")</f>
        <v>8APASPA*aaaaae+</v>
      </c>
    </row>
    <row r="52" spans="1:14" ht="31.5" x14ac:dyDescent="0.45">
      <c r="A52" s="3" t="str">
        <f ca="1">INDEX(INDIRECT($O$10),ROW(A52),COLUMN(A52))</f>
        <v>'045</v>
      </c>
      <c r="B52" s="3">
        <f ca="1">INDEX(INDIRECT($O$10),ROW(B52),COLUMN(B52))</f>
        <v>82</v>
      </c>
      <c r="C52" s="5">
        <f ca="1">INDEX(INDIRECT($O$10),ROW(C52),COLUMN(C52))</f>
        <v>8050850000000</v>
      </c>
      <c r="D52" s="8" t="str">
        <f ca="1">INDEX(INDIRECT($O$10),ROW(D52),COLUMN(D52))</f>
        <v>OBAGB033-EVS00-055</v>
      </c>
      <c r="E52" s="12" t="str">
        <f ca="1">INDEX(INDIRECT($O$10),ROW(E52),COLUMN(E52))</f>
        <v>CORPS O BAG URBAN EVA COMPOUND</v>
      </c>
      <c r="F52" s="18" t="str">
        <f ca="1">INDEX(INDIRECT($O$10),ROW(F52),COLUMN(F52))</f>
        <v>UNICA</v>
      </c>
      <c r="G52" s="10">
        <f ca="1">INDEX(INDIRECT($O$10),ROW(G52),COLUMN(G52))</f>
        <v>2</v>
      </c>
      <c r="H52" s="20">
        <f ca="1">INDEX(INDIRECT($O$10),ROW(H52),COLUMN(H52))</f>
        <v>14.16</v>
      </c>
      <c r="I52" s="22">
        <f ca="1">INDEX(INDIRECT($O$10),ROW(I52),COLUMN(I52))</f>
        <v>28.32</v>
      </c>
      <c r="J52" s="14" t="str">
        <f ca="1">INDEX(INDIRECT($O$10),ROW(J52),COLUMN(J52))</f>
        <v xml:space="preserve">OURBAN          </v>
      </c>
      <c r="K52" s="16" t="str">
        <f ca="1">INDEX(INDIRECT($O$10),ROW(K52),COLUMN(K52))</f>
        <v>BLACK</v>
      </c>
      <c r="L52" s="27">
        <f ca="1">INDEX(INDIRECT($O$10),ROW(L52),COLUMN(L52))</f>
        <v>0</v>
      </c>
      <c r="M52" s="29" t="str">
        <f ca="1">INDEX(INDIRECT($O$10),ROW(M52),COLUMN(M52))</f>
        <v>nero</v>
      </c>
      <c r="N52" s="2" t="str">
        <f ca="1">IF(ISNUMBER($C52),codeEAN13(INT(C52/10)),"")</f>
        <v>8APASPA*aaaaae+</v>
      </c>
    </row>
    <row r="53" spans="1:14" ht="31.5" x14ac:dyDescent="0.45">
      <c r="A53" s="3" t="str">
        <f ca="1">INDEX(INDIRECT($O$10),ROW(A53),COLUMN(A53))</f>
        <v>'046</v>
      </c>
      <c r="B53" s="3">
        <f ca="1">INDEX(INDIRECT($O$10),ROW(B53),COLUMN(B53))</f>
        <v>119</v>
      </c>
      <c r="C53" s="5">
        <f ca="1">INDEX(INDIRECT($O$10),ROW(C53),COLUMN(C53))</f>
        <v>8050850000000</v>
      </c>
      <c r="D53" s="8" t="str">
        <f ca="1">INDEX(INDIRECT($O$10),ROW(D53),COLUMN(D53))</f>
        <v>OBAGB033-EVS00-078</v>
      </c>
      <c r="E53" s="12" t="str">
        <f ca="1">INDEX(INDIRECT($O$10),ROW(E53),COLUMN(E53))</f>
        <v>CORPS O BAG URBAN EVA COMPOUND</v>
      </c>
      <c r="F53" s="18" t="str">
        <f ca="1">INDEX(INDIRECT($O$10),ROW(F53),COLUMN(F53))</f>
        <v>UNICA</v>
      </c>
      <c r="G53" s="10">
        <f ca="1">INDEX(INDIRECT($O$10),ROW(G53),COLUMN(G53))</f>
        <v>2</v>
      </c>
      <c r="H53" s="20">
        <f ca="1">INDEX(INDIRECT($O$10),ROW(H53),COLUMN(H53))</f>
        <v>14.16</v>
      </c>
      <c r="I53" s="22">
        <f ca="1">INDEX(INDIRECT($O$10),ROW(I53),COLUMN(I53))</f>
        <v>28.32</v>
      </c>
      <c r="J53" s="14" t="str">
        <f ca="1">INDEX(INDIRECT($O$10),ROW(J53),COLUMN(J53))</f>
        <v xml:space="preserve">OURBAN          </v>
      </c>
      <c r="K53" s="16" t="str">
        <f ca="1">INDEX(INDIRECT($O$10),ROW(K53),COLUMN(K53))</f>
        <v xml:space="preserve">SAND </v>
      </c>
      <c r="L53" s="27">
        <f ca="1">INDEX(INDIRECT($O$10),ROW(L53),COLUMN(L53))</f>
        <v>0</v>
      </c>
      <c r="M53" s="29" t="str">
        <f ca="1">INDEX(INDIRECT($O$10),ROW(M53),COLUMN(M53))</f>
        <v>sabbia</v>
      </c>
      <c r="N53" s="2" t="str">
        <f ca="1">IF(ISNUMBER($C53),codeEAN13(INT(C53/10)),"")</f>
        <v>8APASPA*aaaaae+</v>
      </c>
    </row>
    <row r="54" spans="1:14" ht="31.5" x14ac:dyDescent="0.45">
      <c r="A54" s="3" t="str">
        <f ca="1">INDEX(INDIRECT($O$10),ROW(A54),COLUMN(A54))</f>
        <v>'047</v>
      </c>
      <c r="B54" s="3">
        <f ca="1">INDEX(INDIRECT($O$10),ROW(B54),COLUMN(B54))</f>
        <v>122</v>
      </c>
      <c r="C54" s="5">
        <f ca="1">INDEX(INDIRECT($O$10),ROW(C54),COLUMN(C54))</f>
        <v>8050850000000</v>
      </c>
      <c r="D54" s="8" t="str">
        <f ca="1">INDEX(INDIRECT($O$10),ROW(D54),COLUMN(D54))</f>
        <v>OBAGB033-EVS00-615</v>
      </c>
      <c r="E54" s="12" t="str">
        <f ca="1">INDEX(INDIRECT($O$10),ROW(E54),COLUMN(E54))</f>
        <v>CORPS O BAG URBAN EVA COMPOUND</v>
      </c>
      <c r="F54" s="18" t="str">
        <f ca="1">INDEX(INDIRECT($O$10),ROW(F54),COLUMN(F54))</f>
        <v>UNICA</v>
      </c>
      <c r="G54" s="10">
        <f ca="1">INDEX(INDIRECT($O$10),ROW(G54),COLUMN(G54))</f>
        <v>2</v>
      </c>
      <c r="H54" s="20">
        <f ca="1">INDEX(INDIRECT($O$10),ROW(H54),COLUMN(H54))</f>
        <v>14.16</v>
      </c>
      <c r="I54" s="22">
        <f ca="1">INDEX(INDIRECT($O$10),ROW(I54),COLUMN(I54))</f>
        <v>28.32</v>
      </c>
      <c r="J54" s="14" t="str">
        <f ca="1">INDEX(INDIRECT($O$10),ROW(J54),COLUMN(J54))</f>
        <v xml:space="preserve"> </v>
      </c>
      <c r="K54" s="16" t="str">
        <f ca="1">INDEX(INDIRECT($O$10),ROW(K54),COLUMN(K54))</f>
        <v xml:space="preserve"> </v>
      </c>
      <c r="L54" s="27" t="str">
        <f ca="1">INDEX(INDIRECT($O$10),ROW(L54),COLUMN(L54))</f>
        <v xml:space="preserve"> </v>
      </c>
      <c r="M54" s="29" t="str">
        <f ca="1">INDEX(INDIRECT($O$10),ROW(M54),COLUMN(M54))</f>
        <v>military</v>
      </c>
      <c r="N54" s="2" t="str">
        <f ca="1">IF(ISNUMBER($C54),codeEAN13(INT(C54/10)),"")</f>
        <v>8APASPA*aaaaae+</v>
      </c>
    </row>
    <row r="55" spans="1:14" ht="31.5" x14ac:dyDescent="0.45">
      <c r="A55" s="3" t="str">
        <f ca="1">INDEX(INDIRECT($O$10),ROW(A55),COLUMN(A55))</f>
        <v>'048</v>
      </c>
      <c r="B55" s="3">
        <f ca="1">INDEX(INDIRECT($O$10),ROW(B55),COLUMN(B55))</f>
        <v>214</v>
      </c>
      <c r="C55" s="5">
        <f ca="1">INDEX(INDIRECT($O$10),ROW(C55),COLUMN(C55))</f>
        <v>8050850000000</v>
      </c>
      <c r="D55" s="8" t="str">
        <f ca="1">INDEX(INDIRECT($O$10),ROW(D55),COLUMN(D55))</f>
        <v>OBAGB033-EVS09-017</v>
      </c>
      <c r="E55" s="12" t="str">
        <f ca="1">INDEX(INDIRECT($O$10),ROW(E55),COLUMN(E55))</f>
        <v>CORPS O BAG URBAN EVA COMPOUND TEXTURE MATELASSEE</v>
      </c>
      <c r="F55" s="18" t="str">
        <f ca="1">INDEX(INDIRECT($O$10),ROW(F55),COLUMN(F55))</f>
        <v>UNICA</v>
      </c>
      <c r="G55" s="10">
        <f ca="1">INDEX(INDIRECT($O$10),ROW(G55),COLUMN(G55))</f>
        <v>2</v>
      </c>
      <c r="H55" s="20">
        <f ca="1">INDEX(INDIRECT($O$10),ROW(H55),COLUMN(H55))</f>
        <v>16.670000000000002</v>
      </c>
      <c r="I55" s="22">
        <f ca="1">INDEX(INDIRECT($O$10),ROW(I55),COLUMN(I55))</f>
        <v>33.340000000000003</v>
      </c>
      <c r="J55" s="14" t="str">
        <f ca="1">INDEX(INDIRECT($O$10),ROW(J55),COLUMN(J55))</f>
        <v xml:space="preserve"> </v>
      </c>
      <c r="K55" s="16" t="str">
        <f ca="1">INDEX(INDIRECT($O$10),ROW(K55),COLUMN(K55))</f>
        <v xml:space="preserve"> </v>
      </c>
      <c r="L55" s="27" t="str">
        <f ca="1">INDEX(INDIRECT($O$10),ROW(L55),COLUMN(L55))</f>
        <v xml:space="preserve"> </v>
      </c>
      <c r="M55" s="29" t="str">
        <f ca="1">INDEX(INDIRECT($O$10),ROW(M55),COLUMN(M55))</f>
        <v>blu navy</v>
      </c>
      <c r="N55" s="2" t="str">
        <f ca="1">IF(ISNUMBER($C55),codeEAN13(INT(C55/10)),"")</f>
        <v>8APASPA*aaaaae+</v>
      </c>
    </row>
    <row r="56" spans="1:14" ht="31.5" x14ac:dyDescent="0.45">
      <c r="A56" s="3" t="str">
        <f ca="1">INDEX(INDIRECT($O$10),ROW(A56),COLUMN(A56))</f>
        <v>'049</v>
      </c>
      <c r="B56" s="3">
        <f ca="1">INDEX(INDIRECT($O$10),ROW(B56),COLUMN(B56))</f>
        <v>111</v>
      </c>
      <c r="C56" s="5">
        <f ca="1">INDEX(INDIRECT($O$10),ROW(C56),COLUMN(C56))</f>
        <v>8050850000000</v>
      </c>
      <c r="D56" s="8" t="str">
        <f ca="1">INDEX(INDIRECT($O$10),ROW(D56),COLUMN(D56))</f>
        <v>OBAGB033-EVS09-038</v>
      </c>
      <c r="E56" s="12" t="str">
        <f ca="1">INDEX(INDIRECT($O$10),ROW(E56),COLUMN(E56))</f>
        <v>CORPS O BAG URBAN EVA COMPOUND TEXTURE MATELASSEE</v>
      </c>
      <c r="F56" s="18" t="str">
        <f ca="1">INDEX(INDIRECT($O$10),ROW(F56),COLUMN(F56))</f>
        <v>UNICA</v>
      </c>
      <c r="G56" s="10">
        <f ca="1">INDEX(INDIRECT($O$10),ROW(G56),COLUMN(G56))</f>
        <v>1</v>
      </c>
      <c r="H56" s="20">
        <f ca="1">INDEX(INDIRECT($O$10),ROW(H56),COLUMN(H56))</f>
        <v>16.670000000000002</v>
      </c>
      <c r="I56" s="22">
        <f ca="1">INDEX(INDIRECT($O$10),ROW(I56),COLUMN(I56))</f>
        <v>16.670000000000002</v>
      </c>
      <c r="J56" s="14" t="str">
        <f ca="1">INDEX(INDIRECT($O$10),ROW(J56),COLUMN(J56))</f>
        <v xml:space="preserve"> </v>
      </c>
      <c r="K56" s="16" t="str">
        <f ca="1">INDEX(INDIRECT($O$10),ROW(K56),COLUMN(K56))</f>
        <v xml:space="preserve"> </v>
      </c>
      <c r="L56" s="27" t="str">
        <f ca="1">INDEX(INDIRECT($O$10),ROW(L56),COLUMN(L56))</f>
        <v xml:space="preserve"> </v>
      </c>
      <c r="M56" s="29" t="str">
        <f ca="1">INDEX(INDIRECT($O$10),ROW(M56),COLUMN(M56))</f>
        <v>grafite</v>
      </c>
      <c r="N56" s="2" t="str">
        <f ca="1">IF(ISNUMBER($C56),codeEAN13(INT(C56/10)),"")</f>
        <v>8APASPA*aaaaae+</v>
      </c>
    </row>
    <row r="57" spans="1:14" ht="31.5" x14ac:dyDescent="0.45">
      <c r="A57" s="3" t="str">
        <f ca="1">INDEX(INDIRECT($O$10),ROW(A57),COLUMN(A57))</f>
        <v>'050</v>
      </c>
      <c r="B57" s="3">
        <f ca="1">INDEX(INDIRECT($O$10),ROW(B57),COLUMN(B57))</f>
        <v>197</v>
      </c>
      <c r="C57" s="5">
        <f ca="1">INDEX(INDIRECT($O$10),ROW(C57),COLUMN(C57))</f>
        <v>8050850000000</v>
      </c>
      <c r="D57" s="8" t="str">
        <f ca="1">INDEX(INDIRECT($O$10),ROW(D57),COLUMN(D57))</f>
        <v>OBAGB033-EVS09-055</v>
      </c>
      <c r="E57" s="12" t="str">
        <f ca="1">INDEX(INDIRECT($O$10),ROW(E57),COLUMN(E57))</f>
        <v>CORPS O BAG URBAN EVA COMPOUND TEXTURE MATELASSEE</v>
      </c>
      <c r="F57" s="18" t="str">
        <f ca="1">INDEX(INDIRECT($O$10),ROW(F57),COLUMN(F57))</f>
        <v>UNICA</v>
      </c>
      <c r="G57" s="10">
        <f ca="1">INDEX(INDIRECT($O$10),ROW(G57),COLUMN(G57))</f>
        <v>2</v>
      </c>
      <c r="H57" s="20">
        <f ca="1">INDEX(INDIRECT($O$10),ROW(H57),COLUMN(H57))</f>
        <v>16.670000000000002</v>
      </c>
      <c r="I57" s="22">
        <f ca="1">INDEX(INDIRECT($O$10),ROW(I57),COLUMN(I57))</f>
        <v>33.340000000000003</v>
      </c>
      <c r="J57" s="14" t="str">
        <f ca="1">INDEX(INDIRECT($O$10),ROW(J57),COLUMN(J57))</f>
        <v xml:space="preserve"> </v>
      </c>
      <c r="K57" s="16" t="str">
        <f ca="1">INDEX(INDIRECT($O$10),ROW(K57),COLUMN(K57))</f>
        <v xml:space="preserve"> </v>
      </c>
      <c r="L57" s="27" t="str">
        <f ca="1">INDEX(INDIRECT($O$10),ROW(L57),COLUMN(L57))</f>
        <v xml:space="preserve"> </v>
      </c>
      <c r="M57" s="29" t="str">
        <f ca="1">INDEX(INDIRECT($O$10),ROW(M57),COLUMN(M57))</f>
        <v>nero</v>
      </c>
      <c r="N57" s="2" t="str">
        <f ca="1">IF(ISNUMBER($C57),codeEAN13(INT(C57/10)),"")</f>
        <v>8APASPA*aaaaae+</v>
      </c>
    </row>
    <row r="58" spans="1:14" ht="31.5" x14ac:dyDescent="0.45">
      <c r="A58" s="3" t="str">
        <f ca="1">INDEX(INDIRECT($O$10),ROW(A58),COLUMN(A58))</f>
        <v>'051</v>
      </c>
      <c r="B58" s="3">
        <f ca="1">INDEX(INDIRECT($O$10),ROW(B58),COLUMN(B58))</f>
        <v>97</v>
      </c>
      <c r="C58" s="5">
        <f ca="1">INDEX(INDIRECT($O$10),ROW(C58),COLUMN(C58))</f>
        <v>8050850000000</v>
      </c>
      <c r="D58" s="8" t="str">
        <f ca="1">INDEX(INDIRECT($O$10),ROW(D58),COLUMN(D58))</f>
        <v>OBAGB033-EVS09-078</v>
      </c>
      <c r="E58" s="12" t="str">
        <f ca="1">INDEX(INDIRECT($O$10),ROW(E58),COLUMN(E58))</f>
        <v>CORPS O BAG URBAN EVA COMPOUND TEXTURE MATELASSEE</v>
      </c>
      <c r="F58" s="18" t="str">
        <f ca="1">INDEX(INDIRECT($O$10),ROW(F58),COLUMN(F58))</f>
        <v>UNICA</v>
      </c>
      <c r="G58" s="10">
        <f ca="1">INDEX(INDIRECT($O$10),ROW(G58),COLUMN(G58))</f>
        <v>1</v>
      </c>
      <c r="H58" s="20">
        <f ca="1">INDEX(INDIRECT($O$10),ROW(H58),COLUMN(H58))</f>
        <v>16.670000000000002</v>
      </c>
      <c r="I58" s="22">
        <f ca="1">INDEX(INDIRECT($O$10),ROW(I58),COLUMN(I58))</f>
        <v>16.670000000000002</v>
      </c>
      <c r="J58" s="14" t="str">
        <f ca="1">INDEX(INDIRECT($O$10),ROW(J58),COLUMN(J58))</f>
        <v xml:space="preserve"> </v>
      </c>
      <c r="K58" s="16" t="str">
        <f ca="1">INDEX(INDIRECT($O$10),ROW(K58),COLUMN(K58))</f>
        <v xml:space="preserve"> </v>
      </c>
      <c r="L58" s="27" t="str">
        <f ca="1">INDEX(INDIRECT($O$10),ROW(L58),COLUMN(L58))</f>
        <v xml:space="preserve"> </v>
      </c>
      <c r="M58" s="29" t="str">
        <f ca="1">INDEX(INDIRECT($O$10),ROW(M58),COLUMN(M58))</f>
        <v>sabbia</v>
      </c>
      <c r="N58" s="2" t="str">
        <f ca="1">IF(ISNUMBER($C58),codeEAN13(INT(C58/10)),"")</f>
        <v>8APASPA*aaaaae+</v>
      </c>
    </row>
    <row r="59" spans="1:14" ht="31.5" x14ac:dyDescent="0.45">
      <c r="A59" s="3" t="str">
        <f ca="1">INDEX(INDIRECT($O$10),ROW(A59),COLUMN(A59))</f>
        <v>'052</v>
      </c>
      <c r="B59" s="3">
        <f ca="1">INDEX(INDIRECT($O$10),ROW(B59),COLUMN(B59))</f>
        <v>139</v>
      </c>
      <c r="C59" s="5">
        <f ca="1">INDEX(INDIRECT($O$10),ROW(C59),COLUMN(C59))</f>
        <v>8050850000000</v>
      </c>
      <c r="D59" s="8" t="str">
        <f ca="1">INDEX(INDIRECT($O$10),ROW(D59),COLUMN(D59))</f>
        <v>OBAGB033-EVS09-615</v>
      </c>
      <c r="E59" s="12" t="str">
        <f ca="1">INDEX(INDIRECT($O$10),ROW(E59),COLUMN(E59))</f>
        <v>CORPS O BAG URBAN EVA COMPOUND TEXTURE MATELASSEE</v>
      </c>
      <c r="F59" s="18" t="str">
        <f ca="1">INDEX(INDIRECT($O$10),ROW(F59),COLUMN(F59))</f>
        <v>UNICA</v>
      </c>
      <c r="G59" s="10">
        <f ca="1">INDEX(INDIRECT($O$10),ROW(G59),COLUMN(G59))</f>
        <v>1</v>
      </c>
      <c r="H59" s="20">
        <f ca="1">INDEX(INDIRECT($O$10),ROW(H59),COLUMN(H59))</f>
        <v>16.670000000000002</v>
      </c>
      <c r="I59" s="22">
        <f ca="1">INDEX(INDIRECT($O$10),ROW(I59),COLUMN(I59))</f>
        <v>16.670000000000002</v>
      </c>
      <c r="J59" s="14" t="str">
        <f ca="1">INDEX(INDIRECT($O$10),ROW(J59),COLUMN(J59))</f>
        <v xml:space="preserve"> </v>
      </c>
      <c r="K59" s="16" t="str">
        <f ca="1">INDEX(INDIRECT($O$10),ROW(K59),COLUMN(K59))</f>
        <v xml:space="preserve"> </v>
      </c>
      <c r="L59" s="27" t="str">
        <f ca="1">INDEX(INDIRECT($O$10),ROW(L59),COLUMN(L59))</f>
        <v xml:space="preserve"> </v>
      </c>
      <c r="M59" s="29" t="str">
        <f ca="1">INDEX(INDIRECT($O$10),ROW(M59),COLUMN(M59))</f>
        <v>military</v>
      </c>
      <c r="N59" s="2" t="str">
        <f ca="1">IF(ISNUMBER($C59),codeEAN13(INT(C59/10)),"")</f>
        <v>8APASPA*aaaaae+</v>
      </c>
    </row>
    <row r="60" spans="1:14" ht="31.5" x14ac:dyDescent="0.45">
      <c r="A60" s="3" t="str">
        <f ca="1">INDEX(INDIRECT($O$10),ROW(A60),COLUMN(A60))</f>
        <v>'053</v>
      </c>
      <c r="B60" s="3">
        <f ca="1">INDEX(INDIRECT($O$10),ROW(B60),COLUMN(B60))</f>
        <v>11</v>
      </c>
      <c r="C60" s="5">
        <f ca="1">INDEX(INDIRECT($O$10),ROW(C60),COLUMN(C60))</f>
        <v>8050850000000</v>
      </c>
      <c r="D60" s="8" t="str">
        <f ca="1">INDEX(INDIRECT($O$10),ROW(D60),COLUMN(D60))</f>
        <v>OBAGB034-EVS00-017</v>
      </c>
      <c r="E60" s="12" t="str">
        <f ca="1">INDEX(INDIRECT($O$10),ROW(E60),COLUMN(E60))</f>
        <v>CORPS O BAG GLAM EVA COMPOUND</v>
      </c>
      <c r="F60" s="18" t="str">
        <f ca="1">INDEX(INDIRECT($O$10),ROW(F60),COLUMN(F60))</f>
        <v>UNICA</v>
      </c>
      <c r="G60" s="10">
        <f ca="1">INDEX(INDIRECT($O$10),ROW(G60),COLUMN(G60))</f>
        <v>2</v>
      </c>
      <c r="H60" s="20">
        <f ca="1">INDEX(INDIRECT($O$10),ROW(H60),COLUMN(H60))</f>
        <v>12.59</v>
      </c>
      <c r="I60" s="22">
        <f ca="1">INDEX(INDIRECT($O$10),ROW(I60),COLUMN(I60))</f>
        <v>25.18</v>
      </c>
      <c r="J60" s="14" t="str">
        <f ca="1">INDEX(INDIRECT($O$10),ROW(J60),COLUMN(J60))</f>
        <v xml:space="preserve">OGLAM           </v>
      </c>
      <c r="K60" s="16" t="str">
        <f ca="1">INDEX(INDIRECT($O$10),ROW(K60),COLUMN(K60))</f>
        <v xml:space="preserve">NAVY </v>
      </c>
      <c r="L60" s="27">
        <f ca="1">INDEX(INDIRECT($O$10),ROW(L60),COLUMN(L60))</f>
        <v>0</v>
      </c>
      <c r="M60" s="29" t="str">
        <f ca="1">INDEX(INDIRECT($O$10),ROW(M60),COLUMN(M60))</f>
        <v>blu navy</v>
      </c>
      <c r="N60" s="2" t="str">
        <f ca="1">IF(ISNUMBER($C60),codeEAN13(INT(C60/10)),"")</f>
        <v>8APASPA*aaaaae+</v>
      </c>
    </row>
    <row r="61" spans="1:14" ht="31.5" x14ac:dyDescent="0.45">
      <c r="A61" s="3" t="str">
        <f ca="1">INDEX(INDIRECT($O$10),ROW(A61),COLUMN(A61))</f>
        <v>'054</v>
      </c>
      <c r="B61" s="3">
        <f ca="1">INDEX(INDIRECT($O$10),ROW(B61),COLUMN(B61))</f>
        <v>210</v>
      </c>
      <c r="C61" s="5">
        <f ca="1">INDEX(INDIRECT($O$10),ROW(C61),COLUMN(C61))</f>
        <v>8050850000000</v>
      </c>
      <c r="D61" s="8" t="str">
        <f ca="1">INDEX(INDIRECT($O$10),ROW(D61),COLUMN(D61))</f>
        <v>OBAGB034-EVS00-038</v>
      </c>
      <c r="E61" s="12" t="str">
        <f ca="1">INDEX(INDIRECT($O$10),ROW(E61),COLUMN(E61))</f>
        <v>CORPS O BAG GLAM EVA COMPOUND</v>
      </c>
      <c r="F61" s="18" t="str">
        <f ca="1">INDEX(INDIRECT($O$10),ROW(F61),COLUMN(F61))</f>
        <v>UNICA</v>
      </c>
      <c r="G61" s="10">
        <f ca="1">INDEX(INDIRECT($O$10),ROW(G61),COLUMN(G61))</f>
        <v>2</v>
      </c>
      <c r="H61" s="20">
        <f ca="1">INDEX(INDIRECT($O$10),ROW(H61),COLUMN(H61))</f>
        <v>12.59</v>
      </c>
      <c r="I61" s="22">
        <f ca="1">INDEX(INDIRECT($O$10),ROW(I61),COLUMN(I61))</f>
        <v>25.18</v>
      </c>
      <c r="J61" s="14" t="str">
        <f ca="1">INDEX(INDIRECT($O$10),ROW(J61),COLUMN(J61))</f>
        <v xml:space="preserve"> </v>
      </c>
      <c r="K61" s="16" t="str">
        <f ca="1">INDEX(INDIRECT($O$10),ROW(K61),COLUMN(K61))</f>
        <v xml:space="preserve"> </v>
      </c>
      <c r="L61" s="27" t="str">
        <f ca="1">INDEX(INDIRECT($O$10),ROW(L61),COLUMN(L61))</f>
        <v xml:space="preserve"> </v>
      </c>
      <c r="M61" s="29" t="str">
        <f ca="1">INDEX(INDIRECT($O$10),ROW(M61),COLUMN(M61))</f>
        <v>grafite</v>
      </c>
      <c r="N61" s="2" t="str">
        <f ca="1">IF(ISNUMBER($C61),codeEAN13(INT(C61/10)),"")</f>
        <v>8APASPA*aaaaae+</v>
      </c>
    </row>
    <row r="62" spans="1:14" ht="31.5" x14ac:dyDescent="0.45">
      <c r="A62" s="3" t="str">
        <f ca="1">INDEX(INDIRECT($O$10),ROW(A62),COLUMN(A62))</f>
        <v>'055</v>
      </c>
      <c r="B62" s="3">
        <f ca="1">INDEX(INDIRECT($O$10),ROW(B62),COLUMN(B62))</f>
        <v>91</v>
      </c>
      <c r="C62" s="5">
        <f ca="1">INDEX(INDIRECT($O$10),ROW(C62),COLUMN(C62))</f>
        <v>8050850000000</v>
      </c>
      <c r="D62" s="8" t="str">
        <f ca="1">INDEX(INDIRECT($O$10),ROW(D62),COLUMN(D62))</f>
        <v>OBAGB034-EVS00-055</v>
      </c>
      <c r="E62" s="12" t="str">
        <f ca="1">INDEX(INDIRECT($O$10),ROW(E62),COLUMN(E62))</f>
        <v>CORPS O BAG GLAM EVA COMPOUND</v>
      </c>
      <c r="F62" s="18" t="str">
        <f ca="1">INDEX(INDIRECT($O$10),ROW(F62),COLUMN(F62))</f>
        <v>UNICA</v>
      </c>
      <c r="G62" s="10">
        <f ca="1">INDEX(INDIRECT($O$10),ROW(G62),COLUMN(G62))</f>
        <v>3</v>
      </c>
      <c r="H62" s="20">
        <f ca="1">INDEX(INDIRECT($O$10),ROW(H62),COLUMN(H62))</f>
        <v>12.59</v>
      </c>
      <c r="I62" s="22">
        <f ca="1">INDEX(INDIRECT($O$10),ROW(I62),COLUMN(I62))</f>
        <v>37.770000000000003</v>
      </c>
      <c r="J62" s="14" t="str">
        <f ca="1">INDEX(INDIRECT($O$10),ROW(J62),COLUMN(J62))</f>
        <v xml:space="preserve">OGLAM           </v>
      </c>
      <c r="K62" s="16" t="str">
        <f ca="1">INDEX(INDIRECT($O$10),ROW(K62),COLUMN(K62))</f>
        <v>BLACK</v>
      </c>
      <c r="L62" s="27">
        <f ca="1">INDEX(INDIRECT($O$10),ROW(L62),COLUMN(L62))</f>
        <v>0</v>
      </c>
      <c r="M62" s="29" t="str">
        <f ca="1">INDEX(INDIRECT($O$10),ROW(M62),COLUMN(M62))</f>
        <v>nero</v>
      </c>
      <c r="N62" s="2" t="str">
        <f ca="1">IF(ISNUMBER($C62),codeEAN13(INT(C62/10)),"")</f>
        <v>8APASPA*aaaaae+</v>
      </c>
    </row>
    <row r="63" spans="1:14" ht="31.5" x14ac:dyDescent="0.45">
      <c r="A63" s="3" t="str">
        <f ca="1">INDEX(INDIRECT($O$10),ROW(A63),COLUMN(A63))</f>
        <v>'056</v>
      </c>
      <c r="B63" s="3">
        <f ca="1">INDEX(INDIRECT($O$10),ROW(B63),COLUMN(B63))</f>
        <v>94</v>
      </c>
      <c r="C63" s="5">
        <f ca="1">INDEX(INDIRECT($O$10),ROW(C63),COLUMN(C63))</f>
        <v>8050850000000</v>
      </c>
      <c r="D63" s="8" t="str">
        <f ca="1">INDEX(INDIRECT($O$10),ROW(D63),COLUMN(D63))</f>
        <v>OBAGB034-EVS00-076</v>
      </c>
      <c r="E63" s="12" t="str">
        <f ca="1">INDEX(INDIRECT($O$10),ROW(E63),COLUMN(E63))</f>
        <v>CORPS O BAG GLAM EVA COMPOUND</v>
      </c>
      <c r="F63" s="18" t="str">
        <f ca="1">INDEX(INDIRECT($O$10),ROW(F63),COLUMN(F63))</f>
        <v>UNICA</v>
      </c>
      <c r="G63" s="10">
        <f ca="1">INDEX(INDIRECT($O$10),ROW(G63),COLUMN(G63))</f>
        <v>2</v>
      </c>
      <c r="H63" s="20">
        <f ca="1">INDEX(INDIRECT($O$10),ROW(H63),COLUMN(H63))</f>
        <v>12.59</v>
      </c>
      <c r="I63" s="22">
        <f ca="1">INDEX(INDIRECT($O$10),ROW(I63),COLUMN(I63))</f>
        <v>25.18</v>
      </c>
      <c r="J63" s="14" t="str">
        <f ca="1">INDEX(INDIRECT($O$10),ROW(J63),COLUMN(J63))</f>
        <v xml:space="preserve">OGLAM           </v>
      </c>
      <c r="K63" s="16" t="str">
        <f ca="1">INDEX(INDIRECT($O$10),ROW(K63),COLUMN(K63))</f>
        <v xml:space="preserve">RED  </v>
      </c>
      <c r="L63" s="27">
        <f ca="1">INDEX(INDIRECT($O$10),ROW(L63),COLUMN(L63))</f>
        <v>0</v>
      </c>
      <c r="M63" s="29" t="str">
        <f ca="1">INDEX(INDIRECT($O$10),ROW(M63),COLUMN(M63))</f>
        <v>rosso</v>
      </c>
      <c r="N63" s="2" t="str">
        <f ca="1">IF(ISNUMBER($C63),codeEAN13(INT(C63/10)),"")</f>
        <v>8APASPA*aaaaae+</v>
      </c>
    </row>
    <row r="64" spans="1:14" ht="31.5" x14ac:dyDescent="0.45">
      <c r="A64" s="3" t="str">
        <f ca="1">INDEX(INDIRECT($O$10),ROW(A64),COLUMN(A64))</f>
        <v>'057</v>
      </c>
      <c r="B64" s="3">
        <f ca="1">INDEX(INDIRECT($O$10),ROW(B64),COLUMN(B64))</f>
        <v>148</v>
      </c>
      <c r="C64" s="5">
        <f ca="1">INDEX(INDIRECT($O$10),ROW(C64),COLUMN(C64))</f>
        <v>8050850000000</v>
      </c>
      <c r="D64" s="8" t="str">
        <f ca="1">INDEX(INDIRECT($O$10),ROW(D64),COLUMN(D64))</f>
        <v>OBAGB034-EVS00-078</v>
      </c>
      <c r="E64" s="12" t="str">
        <f ca="1">INDEX(INDIRECT($O$10),ROW(E64),COLUMN(E64))</f>
        <v>CORPS O BAG GLAM EVA COMPOUND</v>
      </c>
      <c r="F64" s="18" t="str">
        <f ca="1">INDEX(INDIRECT($O$10),ROW(F64),COLUMN(F64))</f>
        <v>UNICA</v>
      </c>
      <c r="G64" s="10">
        <f ca="1">INDEX(INDIRECT($O$10),ROW(G64),COLUMN(G64))</f>
        <v>2</v>
      </c>
      <c r="H64" s="20">
        <f ca="1">INDEX(INDIRECT($O$10),ROW(H64),COLUMN(H64))</f>
        <v>12.59</v>
      </c>
      <c r="I64" s="22">
        <f ca="1">INDEX(INDIRECT($O$10),ROW(I64),COLUMN(I64))</f>
        <v>25.18</v>
      </c>
      <c r="J64" s="14" t="str">
        <f ca="1">INDEX(INDIRECT($O$10),ROW(J64),COLUMN(J64))</f>
        <v xml:space="preserve">OGLAM           </v>
      </c>
      <c r="K64" s="16" t="str">
        <f ca="1">INDEX(INDIRECT($O$10),ROW(K64),COLUMN(K64))</f>
        <v xml:space="preserve">SAND </v>
      </c>
      <c r="L64" s="27">
        <f ca="1">INDEX(INDIRECT($O$10),ROW(L64),COLUMN(L64))</f>
        <v>0</v>
      </c>
      <c r="M64" s="29" t="str">
        <f ca="1">INDEX(INDIRECT($O$10),ROW(M64),COLUMN(M64))</f>
        <v>sabbia</v>
      </c>
      <c r="N64" s="2" t="str">
        <f ca="1">IF(ISNUMBER($C64),codeEAN13(INT(C64/10)),"")</f>
        <v>8APASPA*aaaaae+</v>
      </c>
    </row>
    <row r="65" spans="1:14" ht="31.5" x14ac:dyDescent="0.45">
      <c r="A65" s="3" t="str">
        <f ca="1">INDEX(INDIRECT($O$10),ROW(A65),COLUMN(A65))</f>
        <v>'058</v>
      </c>
      <c r="B65" s="3">
        <f ca="1">INDEX(INDIRECT($O$10),ROW(B65),COLUMN(B65))</f>
        <v>98</v>
      </c>
      <c r="C65" s="5">
        <f ca="1">INDEX(INDIRECT($O$10),ROW(C65),COLUMN(C65))</f>
        <v>8050850000000</v>
      </c>
      <c r="D65" s="8" t="str">
        <f ca="1">INDEX(INDIRECT($O$10),ROW(D65),COLUMN(D65))</f>
        <v>OBAGB034-EVS00-614</v>
      </c>
      <c r="E65" s="12" t="str">
        <f ca="1">INDEX(INDIRECT($O$10),ROW(E65),COLUMN(E65))</f>
        <v>CORPS O BAG GLAM EVA COMPOUND</v>
      </c>
      <c r="F65" s="18" t="str">
        <f ca="1">INDEX(INDIRECT($O$10),ROW(F65),COLUMN(F65))</f>
        <v>UNICA</v>
      </c>
      <c r="G65" s="10">
        <f ca="1">INDEX(INDIRECT($O$10),ROW(G65),COLUMN(G65))</f>
        <v>2</v>
      </c>
      <c r="H65" s="20">
        <f ca="1">INDEX(INDIRECT($O$10),ROW(H65),COLUMN(H65))</f>
        <v>12.59</v>
      </c>
      <c r="I65" s="22">
        <f ca="1">INDEX(INDIRECT($O$10),ROW(I65),COLUMN(I65))</f>
        <v>25.18</v>
      </c>
      <c r="J65" s="14" t="str">
        <f ca="1">INDEX(INDIRECT($O$10),ROW(J65),COLUMN(J65))</f>
        <v xml:space="preserve"> </v>
      </c>
      <c r="K65" s="16" t="str">
        <f ca="1">INDEX(INDIRECT($O$10),ROW(K65),COLUMN(K65))</f>
        <v xml:space="preserve"> </v>
      </c>
      <c r="L65" s="27" t="str">
        <f ca="1">INDEX(INDIRECT($O$10),ROW(L65),COLUMN(L65))</f>
        <v xml:space="preserve"> </v>
      </c>
      <c r="M65" s="29" t="str">
        <f ca="1">INDEX(INDIRECT($O$10),ROW(M65),COLUMN(M65))</f>
        <v>imperial blu</v>
      </c>
      <c r="N65" s="2" t="str">
        <f ca="1">IF(ISNUMBER($C65),codeEAN13(INT(C65/10)),"")</f>
        <v>8APASPA*aaaaae+</v>
      </c>
    </row>
    <row r="66" spans="1:14" ht="31.5" x14ac:dyDescent="0.45">
      <c r="A66" s="3" t="str">
        <f ca="1">INDEX(INDIRECT($O$10),ROW(A66),COLUMN(A66))</f>
        <v>'059</v>
      </c>
      <c r="B66" s="3">
        <f ca="1">INDEX(INDIRECT($O$10),ROW(B66),COLUMN(B66))</f>
        <v>33</v>
      </c>
      <c r="C66" s="5">
        <f ca="1">INDEX(INDIRECT($O$10),ROW(C66),COLUMN(C66))</f>
        <v>8050850000000</v>
      </c>
      <c r="D66" s="8" t="str">
        <f ca="1">INDEX(INDIRECT($O$10),ROW(D66),COLUMN(D66))</f>
        <v>OBAGB034-EVS00-615</v>
      </c>
      <c r="E66" s="12" t="str">
        <f ca="1">INDEX(INDIRECT($O$10),ROW(E66),COLUMN(E66))</f>
        <v>CORPS O BAG GLAM EVA COMPOUND</v>
      </c>
      <c r="F66" s="18" t="str">
        <f ca="1">INDEX(INDIRECT($O$10),ROW(F66),COLUMN(F66))</f>
        <v>UNICA</v>
      </c>
      <c r="G66" s="10">
        <f ca="1">INDEX(INDIRECT($O$10),ROW(G66),COLUMN(G66))</f>
        <v>2</v>
      </c>
      <c r="H66" s="20">
        <f ca="1">INDEX(INDIRECT($O$10),ROW(H66),COLUMN(H66))</f>
        <v>12.59</v>
      </c>
      <c r="I66" s="22">
        <f ca="1">INDEX(INDIRECT($O$10),ROW(I66),COLUMN(I66))</f>
        <v>25.18</v>
      </c>
      <c r="J66" s="14" t="str">
        <f ca="1">INDEX(INDIRECT($O$10),ROW(J66),COLUMN(J66))</f>
        <v xml:space="preserve"> </v>
      </c>
      <c r="K66" s="16" t="str">
        <f ca="1">INDEX(INDIRECT($O$10),ROW(K66),COLUMN(K66))</f>
        <v xml:space="preserve"> </v>
      </c>
      <c r="L66" s="27" t="str">
        <f ca="1">INDEX(INDIRECT($O$10),ROW(L66),COLUMN(L66))</f>
        <v xml:space="preserve"> </v>
      </c>
      <c r="M66" s="29" t="str">
        <f ca="1">INDEX(INDIRECT($O$10),ROW(M66),COLUMN(M66))</f>
        <v>military</v>
      </c>
      <c r="N66" s="2" t="str">
        <f ca="1">IF(ISNUMBER($C66),codeEAN13(INT(C66/10)),"")</f>
        <v>8APASPA*aaaaae+</v>
      </c>
    </row>
    <row r="67" spans="1:14" ht="31.5" x14ac:dyDescent="0.45">
      <c r="A67" s="3" t="str">
        <f ca="1">INDEX(INDIRECT($O$10),ROW(A67),COLUMN(A67))</f>
        <v>'060</v>
      </c>
      <c r="B67" s="3">
        <f ca="1">INDEX(INDIRECT($O$10),ROW(B67),COLUMN(B67))</f>
        <v>56</v>
      </c>
      <c r="C67" s="5">
        <f ca="1">INDEX(INDIRECT($O$10),ROW(C67),COLUMN(C67))</f>
        <v>8050850000000</v>
      </c>
      <c r="D67" s="8" t="str">
        <f ca="1">INDEX(INDIRECT($O$10),ROW(D67),COLUMN(D67))</f>
        <v>OBAGB034-EVS00-616</v>
      </c>
      <c r="E67" s="12" t="str">
        <f ca="1">INDEX(INDIRECT($O$10),ROW(E67),COLUMN(E67))</f>
        <v>CORPS O BAG GLAM EVA COMPOUND</v>
      </c>
      <c r="F67" s="18" t="str">
        <f ca="1">INDEX(INDIRECT($O$10),ROW(F67),COLUMN(F67))</f>
        <v>UNICA</v>
      </c>
      <c r="G67" s="10">
        <f ca="1">INDEX(INDIRECT($O$10),ROW(G67),COLUMN(G67))</f>
        <v>2</v>
      </c>
      <c r="H67" s="20">
        <f ca="1">INDEX(INDIRECT($O$10),ROW(H67),COLUMN(H67))</f>
        <v>12.59</v>
      </c>
      <c r="I67" s="22">
        <f ca="1">INDEX(INDIRECT($O$10),ROW(I67),COLUMN(I67))</f>
        <v>25.18</v>
      </c>
      <c r="J67" s="14" t="str">
        <f ca="1">INDEX(INDIRECT($O$10),ROW(J67),COLUMN(J67))</f>
        <v xml:space="preserve"> </v>
      </c>
      <c r="K67" s="16" t="str">
        <f ca="1">INDEX(INDIRECT($O$10),ROW(K67),COLUMN(K67))</f>
        <v xml:space="preserve"> </v>
      </c>
      <c r="L67" s="27" t="str">
        <f ca="1">INDEX(INDIRECT($O$10),ROW(L67),COLUMN(L67))</f>
        <v xml:space="preserve"> </v>
      </c>
      <c r="M67" s="29" t="str">
        <f ca="1">INDEX(INDIRECT($O$10),ROW(M67),COLUMN(M67))</f>
        <v>ice</v>
      </c>
      <c r="N67" s="2" t="str">
        <f ca="1">IF(ISNUMBER($C67),codeEAN13(INT(C67/10)),"")</f>
        <v>8APASPA*aaaaae+</v>
      </c>
    </row>
    <row r="68" spans="1:14" ht="31.5" x14ac:dyDescent="0.45">
      <c r="A68" s="3" t="str">
        <f ca="1">INDEX(INDIRECT($O$10),ROW(A68),COLUMN(A68))</f>
        <v>'061</v>
      </c>
      <c r="B68" s="3">
        <f ca="1">INDEX(INDIRECT($O$10),ROW(B68),COLUMN(B68))</f>
        <v>184</v>
      </c>
      <c r="C68" s="5">
        <f ca="1">INDEX(INDIRECT($O$10),ROW(C68),COLUMN(C68))</f>
        <v>8050850000000</v>
      </c>
      <c r="D68" s="8" t="str">
        <f ca="1">INDEX(INDIRECT($O$10),ROW(D68),COLUMN(D68))</f>
        <v>OBAGB056-TESBK-055</v>
      </c>
      <c r="E68" s="12" t="str">
        <f ca="1">INDEX(INDIRECT($O$10),ROW(E68),COLUMN(E68))</f>
        <v>CORPS O BAG MARKET EN TISSU DOUDOUNE Ã€ CHEVRONS</v>
      </c>
      <c r="F68" s="18" t="str">
        <f ca="1">INDEX(INDIRECT($O$10),ROW(F68),COLUMN(F68))</f>
        <v>UNICA</v>
      </c>
      <c r="G68" s="10">
        <f ca="1">INDEX(INDIRECT($O$10),ROW(G68),COLUMN(G68))</f>
        <v>2</v>
      </c>
      <c r="H68" s="20">
        <f ca="1">INDEX(INDIRECT($O$10),ROW(H68),COLUMN(H68))</f>
        <v>18.52</v>
      </c>
      <c r="I68" s="22">
        <f ca="1">INDEX(INDIRECT($O$10),ROW(I68),COLUMN(I68))</f>
        <v>37.04</v>
      </c>
      <c r="J68" s="14" t="str">
        <f ca="1">INDEX(INDIRECT($O$10),ROW(J68),COLUMN(J68))</f>
        <v xml:space="preserve"> </v>
      </c>
      <c r="K68" s="16" t="str">
        <f ca="1">INDEX(INDIRECT($O$10),ROW(K68),COLUMN(K68))</f>
        <v xml:space="preserve"> </v>
      </c>
      <c r="L68" s="27" t="str">
        <f ca="1">INDEX(INDIRECT($O$10),ROW(L68),COLUMN(L68))</f>
        <v xml:space="preserve"> </v>
      </c>
      <c r="M68" s="29" t="str">
        <f ca="1">INDEX(INDIRECT($O$10),ROW(M68),COLUMN(M68))</f>
        <v>nero</v>
      </c>
      <c r="N68" s="2" t="str">
        <f ca="1">IF(ISNUMBER($C68),codeEAN13(INT(C68/10)),"")</f>
        <v>8APASPA*aaaaae+</v>
      </c>
    </row>
    <row r="69" spans="1:14" ht="31.5" x14ac:dyDescent="0.45">
      <c r="A69" s="3" t="str">
        <f ca="1">INDEX(INDIRECT($O$10),ROW(A69),COLUMN(A69))</f>
        <v>'062</v>
      </c>
      <c r="B69" s="3">
        <f ca="1">INDEX(INDIRECT($O$10),ROW(B69),COLUMN(B69))</f>
        <v>12</v>
      </c>
      <c r="C69" s="5">
        <f ca="1">INDEX(INDIRECT($O$10),ROW(C69),COLUMN(C69))</f>
        <v>8050850000000</v>
      </c>
      <c r="D69" s="8" t="str">
        <f ca="1">INDEX(INDIRECT($O$10),ROW(D69),COLUMN(D69))</f>
        <v>OBAGB056-TESBN-615</v>
      </c>
      <c r="E69" s="12" t="str">
        <f ca="1">INDEX(INDIRECT($O$10),ROW(E69),COLUMN(E69))</f>
        <v>CORPS O BAG MARKET EN TISSU DOUDOUNE Ã€ CHECK</v>
      </c>
      <c r="F69" s="18" t="str">
        <f ca="1">INDEX(INDIRECT($O$10),ROW(F69),COLUMN(F69))</f>
        <v>UNICA</v>
      </c>
      <c r="G69" s="10">
        <f ca="1">INDEX(INDIRECT($O$10),ROW(G69),COLUMN(G69))</f>
        <v>2</v>
      </c>
      <c r="H69" s="20">
        <f ca="1">INDEX(INDIRECT($O$10),ROW(H69),COLUMN(H69))</f>
        <v>18.52</v>
      </c>
      <c r="I69" s="22">
        <f ca="1">INDEX(INDIRECT($O$10),ROW(I69),COLUMN(I69))</f>
        <v>37.04</v>
      </c>
      <c r="J69" s="14" t="str">
        <f ca="1">INDEX(INDIRECT($O$10),ROW(J69),COLUMN(J69))</f>
        <v xml:space="preserve"> </v>
      </c>
      <c r="K69" s="16" t="str">
        <f ca="1">INDEX(INDIRECT($O$10),ROW(K69),COLUMN(K69))</f>
        <v xml:space="preserve"> </v>
      </c>
      <c r="L69" s="27" t="str">
        <f ca="1">INDEX(INDIRECT($O$10),ROW(L69),COLUMN(L69))</f>
        <v xml:space="preserve"> </v>
      </c>
      <c r="M69" s="29" t="str">
        <f ca="1">INDEX(INDIRECT($O$10),ROW(M69),COLUMN(M69))</f>
        <v>military</v>
      </c>
      <c r="N69" s="2" t="str">
        <f ca="1">IF(ISNUMBER($C69),codeEAN13(INT(C69/10)),"")</f>
        <v>8APASPA*aaaaae+</v>
      </c>
    </row>
    <row r="70" spans="1:14" ht="31.5" x14ac:dyDescent="0.45">
      <c r="A70" s="3" t="str">
        <f ca="1">INDEX(INDIRECT($O$10),ROW(A70),COLUMN(A70))</f>
        <v>'063</v>
      </c>
      <c r="B70" s="3">
        <f ca="1">INDEX(INDIRECT($O$10),ROW(B70),COLUMN(B70))</f>
        <v>50</v>
      </c>
      <c r="C70" s="5">
        <f ca="1">INDEX(INDIRECT($O$10),ROW(C70),COLUMN(C70))</f>
        <v>8056100000000</v>
      </c>
      <c r="D70" s="8" t="str">
        <f ca="1">INDEX(INDIRECT($O$10),ROW(D70),COLUMN(D70))</f>
        <v>OBAGB206-EVS00-076</v>
      </c>
      <c r="E70" s="12" t="str">
        <f ca="1">INDEX(INDIRECT($O$10),ROW(E70),COLUMN(E70))</f>
        <v>CORPS INFERIEUR O POCKET EVA COMPOUND</v>
      </c>
      <c r="F70" s="18" t="str">
        <f ca="1">INDEX(INDIRECT($O$10),ROW(F70),COLUMN(F70))</f>
        <v>UNICA</v>
      </c>
      <c r="G70" s="10">
        <f ca="1">INDEX(INDIRECT($O$10),ROW(G70),COLUMN(G70))</f>
        <v>2</v>
      </c>
      <c r="H70" s="20">
        <f ca="1">INDEX(INDIRECT($O$10),ROW(H70),COLUMN(H70))</f>
        <v>4.8</v>
      </c>
      <c r="I70" s="22">
        <f ca="1">INDEX(INDIRECT($O$10),ROW(I70),COLUMN(I70))</f>
        <v>9.6</v>
      </c>
      <c r="J70" s="14" t="str">
        <f ca="1">INDEX(INDIRECT($O$10),ROW(J70),COLUMN(J70))</f>
        <v xml:space="preserve">COQUOPOCKET     </v>
      </c>
      <c r="K70" s="16" t="str">
        <f ca="1">INDEX(INDIRECT($O$10),ROW(K70),COLUMN(K70))</f>
        <v xml:space="preserve">RED  </v>
      </c>
      <c r="L70" s="27">
        <f ca="1">INDEX(INDIRECT($O$10),ROW(L70),COLUMN(L70))</f>
        <v>0</v>
      </c>
      <c r="M70" s="29" t="str">
        <f ca="1">INDEX(INDIRECT($O$10),ROW(M70),COLUMN(M70))</f>
        <v>rosso</v>
      </c>
      <c r="N70" s="2" t="str">
        <f ca="1">IF(ISNUMBER($C70),codeEAN13(INT(C70/10)),"")</f>
        <v>8APGLKA*aaaaai+</v>
      </c>
    </row>
    <row r="71" spans="1:14" ht="31.5" x14ac:dyDescent="0.45">
      <c r="A71" s="3" t="str">
        <f ca="1">INDEX(INDIRECT($O$10),ROW(A71),COLUMN(A71))</f>
        <v>'064</v>
      </c>
      <c r="B71" s="3">
        <f ca="1">INDEX(INDIRECT($O$10),ROW(B71),COLUMN(B71))</f>
        <v>164</v>
      </c>
      <c r="C71" s="5">
        <f ca="1">INDEX(INDIRECT($O$10),ROW(C71),COLUMN(C71))</f>
        <v>8050850000000</v>
      </c>
      <c r="D71" s="8" t="str">
        <f ca="1">INDEX(INDIRECT($O$10),ROW(D71),COLUMN(D71))</f>
        <v>OBAGB206-EVS00-144</v>
      </c>
      <c r="E71" s="12" t="str">
        <f ca="1">INDEX(INDIRECT($O$10),ROW(E71),COLUMN(E71))</f>
        <v>CORPS INFERIEUR O POCKET EVA COMPOUND</v>
      </c>
      <c r="F71" s="18" t="str">
        <f ca="1">INDEX(INDIRECT($O$10),ROW(F71),COLUMN(F71))</f>
        <v>UNICA</v>
      </c>
      <c r="G71" s="10">
        <f ca="1">INDEX(INDIRECT($O$10),ROW(G71),COLUMN(G71))</f>
        <v>2</v>
      </c>
      <c r="H71" s="20">
        <f ca="1">INDEX(INDIRECT($O$10),ROW(H71),COLUMN(H71))</f>
        <v>4.8</v>
      </c>
      <c r="I71" s="22">
        <f ca="1">INDEX(INDIRECT($O$10),ROW(I71),COLUMN(I71))</f>
        <v>9.6</v>
      </c>
      <c r="J71" s="14" t="str">
        <f ca="1">INDEX(INDIRECT($O$10),ROW(J71),COLUMN(J71))</f>
        <v xml:space="preserve"> </v>
      </c>
      <c r="K71" s="16" t="str">
        <f ca="1">INDEX(INDIRECT($O$10),ROW(K71),COLUMN(K71))</f>
        <v xml:space="preserve"> </v>
      </c>
      <c r="L71" s="27" t="str">
        <f ca="1">INDEX(INDIRECT($O$10),ROW(L71),COLUMN(L71))</f>
        <v xml:space="preserve"> </v>
      </c>
      <c r="M71" s="29" t="str">
        <f ca="1">INDEX(INDIRECT($O$10),ROW(M71),COLUMN(M71))</f>
        <v>ginestra</v>
      </c>
      <c r="N71" s="2" t="str">
        <f ca="1">IF(ISNUMBER($C71),codeEAN13(INT(C71/10)),"")</f>
        <v>8APASPA*aaaaae+</v>
      </c>
    </row>
    <row r="72" spans="1:14" ht="31.5" x14ac:dyDescent="0.45">
      <c r="A72" s="3" t="str">
        <f ca="1">INDEX(INDIRECT($O$10),ROW(A72),COLUMN(A72))</f>
        <v>'065</v>
      </c>
      <c r="B72" s="3">
        <f ca="1">INDEX(INDIRECT($O$10),ROW(B72),COLUMN(B72))</f>
        <v>141</v>
      </c>
      <c r="C72" s="5">
        <f ca="1">INDEX(INDIRECT($O$10),ROW(C72),COLUMN(C72))</f>
        <v>8050540000000</v>
      </c>
      <c r="D72" s="8" t="str">
        <f ca="1">INDEX(INDIRECT($O$10),ROW(D72),COLUMN(D72))</f>
        <v>OBAGB206-EVS00-158</v>
      </c>
      <c r="E72" s="12" t="str">
        <f ca="1">INDEX(INDIRECT($O$10),ROW(E72),COLUMN(E72))</f>
        <v>CORPS INFERIEUR O POCKET EVA COMPOUND</v>
      </c>
      <c r="F72" s="18" t="str">
        <f ca="1">INDEX(INDIRECT($O$10),ROW(F72),COLUMN(F72))</f>
        <v>UNICA</v>
      </c>
      <c r="G72" s="10">
        <f ca="1">INDEX(INDIRECT($O$10),ROW(G72),COLUMN(G72))</f>
        <v>2</v>
      </c>
      <c r="H72" s="20">
        <f ca="1">INDEX(INDIRECT($O$10),ROW(H72),COLUMN(H72))</f>
        <v>4.8</v>
      </c>
      <c r="I72" s="22">
        <f ca="1">INDEX(INDIRECT($O$10),ROW(I72),COLUMN(I72))</f>
        <v>9.6</v>
      </c>
      <c r="J72" s="14" t="str">
        <f ca="1">INDEX(INDIRECT($O$10),ROW(J72),COLUMN(J72))</f>
        <v xml:space="preserve">COQUOPOCKET     </v>
      </c>
      <c r="K72" s="16" t="str">
        <f ca="1">INDEX(INDIRECT($O$10),ROW(K72),COLUMN(K72))</f>
        <v xml:space="preserve">VOLC </v>
      </c>
      <c r="L72" s="27">
        <f ca="1">INDEX(INDIRECT($O$10),ROW(L72),COLUMN(L72))</f>
        <v>0</v>
      </c>
      <c r="M72" s="29" t="str">
        <f ca="1">INDEX(INDIRECT($O$10),ROW(M72),COLUMN(M72))</f>
        <v>vulcano</v>
      </c>
      <c r="N72" s="2" t="str">
        <f ca="1">IF(ISNUMBER($C72),codeEAN13(INT(C72/10)),"")</f>
        <v>8APAPOA*aaaaaa+</v>
      </c>
    </row>
    <row r="73" spans="1:14" ht="31.5" x14ac:dyDescent="0.45">
      <c r="A73" s="3" t="str">
        <f ca="1">INDEX(INDIRECT($O$10),ROW(A73),COLUMN(A73))</f>
        <v>'066</v>
      </c>
      <c r="B73" s="3">
        <f ca="1">INDEX(INDIRECT($O$10),ROW(B73),COLUMN(B73))</f>
        <v>123</v>
      </c>
      <c r="C73" s="5">
        <f ca="1">INDEX(INDIRECT($O$10),ROW(C73),COLUMN(C73))</f>
        <v>8050850000000</v>
      </c>
      <c r="D73" s="8" t="str">
        <f ca="1">INDEX(INDIRECT($O$10),ROW(D73),COLUMN(D73))</f>
        <v>OBAGB206-EVS00-614</v>
      </c>
      <c r="E73" s="12" t="str">
        <f ca="1">INDEX(INDIRECT($O$10),ROW(E73),COLUMN(E73))</f>
        <v>CORPS INFERIEUR O POCKET EVA COMPOUND</v>
      </c>
      <c r="F73" s="18" t="str">
        <f ca="1">INDEX(INDIRECT($O$10),ROW(F73),COLUMN(F73))</f>
        <v>UNICA</v>
      </c>
      <c r="G73" s="10">
        <f ca="1">INDEX(INDIRECT($O$10),ROW(G73),COLUMN(G73))</f>
        <v>2</v>
      </c>
      <c r="H73" s="20">
        <f ca="1">INDEX(INDIRECT($O$10),ROW(H73),COLUMN(H73))</f>
        <v>4.8</v>
      </c>
      <c r="I73" s="22">
        <f ca="1">INDEX(INDIRECT($O$10),ROW(I73),COLUMN(I73))</f>
        <v>9.6</v>
      </c>
      <c r="J73" s="14" t="str">
        <f ca="1">INDEX(INDIRECT($O$10),ROW(J73),COLUMN(J73))</f>
        <v xml:space="preserve"> </v>
      </c>
      <c r="K73" s="16" t="str">
        <f ca="1">INDEX(INDIRECT($O$10),ROW(K73),COLUMN(K73))</f>
        <v xml:space="preserve"> </v>
      </c>
      <c r="L73" s="27" t="str">
        <f ca="1">INDEX(INDIRECT($O$10),ROW(L73),COLUMN(L73))</f>
        <v xml:space="preserve"> </v>
      </c>
      <c r="M73" s="29" t="str">
        <f ca="1">INDEX(INDIRECT($O$10),ROW(M73),COLUMN(M73))</f>
        <v>imperial blu</v>
      </c>
      <c r="N73" s="2" t="str">
        <f ca="1">IF(ISNUMBER($C73),codeEAN13(INT(C73/10)),"")</f>
        <v>8APASPA*aaaaae+</v>
      </c>
    </row>
    <row r="74" spans="1:14" ht="31.5" x14ac:dyDescent="0.45">
      <c r="A74" s="3" t="str">
        <f ca="1">INDEX(INDIRECT($O$10),ROW(A74),COLUMN(A74))</f>
        <v>'067</v>
      </c>
      <c r="B74" s="3">
        <f ca="1">INDEX(INDIRECT($O$10),ROW(B74),COLUMN(B74))</f>
        <v>37</v>
      </c>
      <c r="C74" s="5">
        <f ca="1">INDEX(INDIRECT($O$10),ROW(C74),COLUMN(C74))</f>
        <v>8050850000000</v>
      </c>
      <c r="D74" s="8" t="str">
        <f ca="1">INDEX(INDIRECT($O$10),ROW(D74),COLUMN(D74))</f>
        <v>OBAGB206-EVS00-615</v>
      </c>
      <c r="E74" s="12" t="str">
        <f ca="1">INDEX(INDIRECT($O$10),ROW(E74),COLUMN(E74))</f>
        <v>CORPS INFERIEUR O POCKET EVA COMPOUND</v>
      </c>
      <c r="F74" s="18" t="str">
        <f ca="1">INDEX(INDIRECT($O$10),ROW(F74),COLUMN(F74))</f>
        <v>UNICA</v>
      </c>
      <c r="G74" s="10">
        <f ca="1">INDEX(INDIRECT($O$10),ROW(G74),COLUMN(G74))</f>
        <v>2</v>
      </c>
      <c r="H74" s="20">
        <f ca="1">INDEX(INDIRECT($O$10),ROW(H74),COLUMN(H74))</f>
        <v>4.8</v>
      </c>
      <c r="I74" s="22">
        <f ca="1">INDEX(INDIRECT($O$10),ROW(I74),COLUMN(I74))</f>
        <v>9.6</v>
      </c>
      <c r="J74" s="14" t="str">
        <f ca="1">INDEX(INDIRECT($O$10),ROW(J74),COLUMN(J74))</f>
        <v xml:space="preserve"> </v>
      </c>
      <c r="K74" s="16" t="str">
        <f ca="1">INDEX(INDIRECT($O$10),ROW(K74),COLUMN(K74))</f>
        <v xml:space="preserve"> </v>
      </c>
      <c r="L74" s="27" t="str">
        <f ca="1">INDEX(INDIRECT($O$10),ROW(L74),COLUMN(L74))</f>
        <v xml:space="preserve"> </v>
      </c>
      <c r="M74" s="29" t="str">
        <f ca="1">INDEX(INDIRECT($O$10),ROW(M74),COLUMN(M74))</f>
        <v>military</v>
      </c>
      <c r="N74" s="2" t="str">
        <f ca="1">IF(ISNUMBER($C74),codeEAN13(INT(C74/10)),"")</f>
        <v>8APASPA*aaaaae+</v>
      </c>
    </row>
    <row r="75" spans="1:14" ht="31.5" x14ac:dyDescent="0.45">
      <c r="A75" s="3" t="str">
        <f ca="1">INDEX(INDIRECT($O$10),ROW(A75),COLUMN(A75))</f>
        <v>'068</v>
      </c>
      <c r="B75" s="3">
        <f ca="1">INDEX(INDIRECT($O$10),ROW(B75),COLUMN(B75))</f>
        <v>154</v>
      </c>
      <c r="C75" s="5">
        <f ca="1">INDEX(INDIRECT($O$10),ROW(C75),COLUMN(C75))</f>
        <v>8050850000000</v>
      </c>
      <c r="D75" s="8" t="str">
        <f ca="1">INDEX(INDIRECT($O$10),ROW(D75),COLUMN(D75))</f>
        <v>OBAGB206-EVS00-616</v>
      </c>
      <c r="E75" s="12" t="str">
        <f ca="1">INDEX(INDIRECT($O$10),ROW(E75),COLUMN(E75))</f>
        <v>CORPS INFERIEUR O POCKET EVA COMPOUND</v>
      </c>
      <c r="F75" s="18" t="str">
        <f ca="1">INDEX(INDIRECT($O$10),ROW(F75),COLUMN(F75))</f>
        <v>UNICA</v>
      </c>
      <c r="G75" s="10">
        <f ca="1">INDEX(INDIRECT($O$10),ROW(G75),COLUMN(G75))</f>
        <v>2</v>
      </c>
      <c r="H75" s="20">
        <f ca="1">INDEX(INDIRECT($O$10),ROW(H75),COLUMN(H75))</f>
        <v>4.8</v>
      </c>
      <c r="I75" s="22">
        <f ca="1">INDEX(INDIRECT($O$10),ROW(I75),COLUMN(I75))</f>
        <v>9.6</v>
      </c>
      <c r="J75" s="14" t="str">
        <f ca="1">INDEX(INDIRECT($O$10),ROW(J75),COLUMN(J75))</f>
        <v xml:space="preserve"> </v>
      </c>
      <c r="K75" s="16" t="str">
        <f ca="1">INDEX(INDIRECT($O$10),ROW(K75),COLUMN(K75))</f>
        <v xml:space="preserve"> </v>
      </c>
      <c r="L75" s="27" t="str">
        <f ca="1">INDEX(INDIRECT($O$10),ROW(L75),COLUMN(L75))</f>
        <v xml:space="preserve"> </v>
      </c>
      <c r="M75" s="29" t="str">
        <f ca="1">INDEX(INDIRECT($O$10),ROW(M75),COLUMN(M75))</f>
        <v>ice</v>
      </c>
      <c r="N75" s="2" t="str">
        <f ca="1">IF(ISNUMBER($C75),codeEAN13(INT(C75/10)),"")</f>
        <v>8APASPA*aaaaae+</v>
      </c>
    </row>
    <row r="76" spans="1:14" ht="31.5" x14ac:dyDescent="0.45">
      <c r="A76" s="3" t="str">
        <f ca="1">INDEX(INDIRECT($O$10),ROW(A76),COLUMN(A76))</f>
        <v>'069</v>
      </c>
      <c r="B76" s="3">
        <f ca="1">INDEX(INDIRECT($O$10),ROW(B76),COLUMN(B76))</f>
        <v>142</v>
      </c>
      <c r="C76" s="5">
        <f ca="1">INDEX(INDIRECT($O$10),ROW(C76),COLUMN(C76))</f>
        <v>8050850000000</v>
      </c>
      <c r="D76" s="8" t="str">
        <f ca="1">INDEX(INDIRECT($O$10),ROW(D76),COLUMN(D76))</f>
        <v>OBAGB426-ECSD3-227</v>
      </c>
      <c r="E76" s="12" t="str">
        <f ca="1">INDEX(INDIRECT($O$10),ROW(E76),COLUMN(E76))</f>
        <v>CORPS COMPLET O BAG TOTE EN FAUX CUIR IMPRIME MARIGOLD</v>
      </c>
      <c r="F76" s="18" t="str">
        <f ca="1">INDEX(INDIRECT($O$10),ROW(F76),COLUMN(F76))</f>
        <v>UNICA</v>
      </c>
      <c r="G76" s="10">
        <f ca="1">INDEX(INDIRECT($O$10),ROW(G76),COLUMN(G76))</f>
        <v>2</v>
      </c>
      <c r="H76" s="20">
        <f ca="1">INDEX(INDIRECT($O$10),ROW(H76),COLUMN(H76))</f>
        <v>31.48</v>
      </c>
      <c r="I76" s="22">
        <f ca="1">INDEX(INDIRECT($O$10),ROW(I76),COLUMN(I76))</f>
        <v>62.96</v>
      </c>
      <c r="J76" s="14" t="str">
        <f ca="1">INDEX(INDIRECT($O$10),ROW(J76),COLUMN(J76))</f>
        <v xml:space="preserve"> </v>
      </c>
      <c r="K76" s="16" t="str">
        <f ca="1">INDEX(INDIRECT($O$10),ROW(K76),COLUMN(K76))</f>
        <v xml:space="preserve"> </v>
      </c>
      <c r="L76" s="27" t="str">
        <f ca="1">INDEX(INDIRECT($O$10),ROW(L76),COLUMN(L76))</f>
        <v xml:space="preserve"> </v>
      </c>
      <c r="M76" s="29" t="str">
        <f ca="1">INDEX(INDIRECT($O$10),ROW(M76),COLUMN(M76))</f>
        <v>bianco/nero</v>
      </c>
      <c r="N76" s="2" t="str">
        <f ca="1">IF(ISNUMBER($C76),codeEAN13(INT(C76/10)),"")</f>
        <v>8APASPA*aaaaae+</v>
      </c>
    </row>
    <row r="77" spans="1:14" ht="31.5" x14ac:dyDescent="0.45">
      <c r="A77" s="3" t="str">
        <f ca="1">INDEX(INDIRECT($O$10),ROW(A77),COLUMN(A77))</f>
        <v>'070</v>
      </c>
      <c r="B77" s="3">
        <f ca="1">INDEX(INDIRECT($O$10),ROW(B77),COLUMN(B77))</f>
        <v>89</v>
      </c>
      <c r="C77" s="5">
        <f ca="1">INDEX(INDIRECT($O$10),ROW(C77),COLUMN(C77))</f>
        <v>8050850000000</v>
      </c>
      <c r="D77" s="8" t="str">
        <f ca="1">INDEX(INDIRECT($O$10),ROW(D77),COLUMN(D77))</f>
        <v>OBAGC534-ECS29-017</v>
      </c>
      <c r="E77" s="12" t="str">
        <f ca="1">INDEX(INDIRECT($O$10),ROW(E77),COLUMN(E77))</f>
        <v>FERMETURE Ã€ BANDEAU AVEC BOUCLE O BAG GLAM EN FAUX CUIR IMPRIME COCO</v>
      </c>
      <c r="F77" s="18" t="str">
        <f ca="1">INDEX(INDIRECT($O$10),ROW(F77),COLUMN(F77))</f>
        <v>UNICA</v>
      </c>
      <c r="G77" s="10">
        <f ca="1">INDEX(INDIRECT($O$10),ROW(G77),COLUMN(G77))</f>
        <v>1</v>
      </c>
      <c r="H77" s="20">
        <f ca="1">INDEX(INDIRECT($O$10),ROW(H77),COLUMN(H77))</f>
        <v>8.89</v>
      </c>
      <c r="I77" s="22">
        <f ca="1">INDEX(INDIRECT($O$10),ROW(I77),COLUMN(I77))</f>
        <v>8.89</v>
      </c>
      <c r="J77" s="14" t="str">
        <f ca="1">INDEX(INDIRECT($O$10),ROW(J77),COLUMN(J77))</f>
        <v xml:space="preserve"> </v>
      </c>
      <c r="K77" s="16" t="str">
        <f ca="1">INDEX(INDIRECT($O$10),ROW(K77),COLUMN(K77))</f>
        <v xml:space="preserve"> </v>
      </c>
      <c r="L77" s="27" t="str">
        <f ca="1">INDEX(INDIRECT($O$10),ROW(L77),COLUMN(L77))</f>
        <v xml:space="preserve"> </v>
      </c>
      <c r="M77" s="29" t="str">
        <f ca="1">INDEX(INDIRECT($O$10),ROW(M77),COLUMN(M77))</f>
        <v>blu navy</v>
      </c>
      <c r="N77" s="2" t="str">
        <f ca="1">IF(ISNUMBER($C77),codeEAN13(INT(C77/10)),"")</f>
        <v>8APASPA*aaaaae+</v>
      </c>
    </row>
    <row r="78" spans="1:14" ht="31.5" x14ac:dyDescent="0.45">
      <c r="A78" s="3" t="str">
        <f ca="1">INDEX(INDIRECT($O$10),ROW(A78),COLUMN(A78))</f>
        <v>'071</v>
      </c>
      <c r="B78" s="3">
        <f ca="1">INDEX(INDIRECT($O$10),ROW(B78),COLUMN(B78))</f>
        <v>218</v>
      </c>
      <c r="C78" s="5">
        <f ca="1">INDEX(INDIRECT($O$10),ROW(C78),COLUMN(C78))</f>
        <v>8050850000000</v>
      </c>
      <c r="D78" s="8" t="str">
        <f ca="1">INDEX(INDIRECT($O$10),ROW(D78),COLUMN(D78))</f>
        <v>OBAGC534-ECS29-084</v>
      </c>
      <c r="E78" s="12" t="str">
        <f ca="1">INDEX(INDIRECT($O$10),ROW(E78),COLUMN(E78))</f>
        <v>FERMETURE Ã€ BANDEAU AVEC BOUCLE O BAG GLAM EN FAUX CUIR IMPRIME COCO</v>
      </c>
      <c r="F78" s="18" t="str">
        <f ca="1">INDEX(INDIRECT($O$10),ROW(F78),COLUMN(F78))</f>
        <v>UNICA</v>
      </c>
      <c r="G78" s="10">
        <f ca="1">INDEX(INDIRECT($O$10),ROW(G78),COLUMN(G78))</f>
        <v>1</v>
      </c>
      <c r="H78" s="20">
        <f ca="1">INDEX(INDIRECT($O$10),ROW(H78),COLUMN(H78))</f>
        <v>8.89</v>
      </c>
      <c r="I78" s="22">
        <f ca="1">INDEX(INDIRECT($O$10),ROW(I78),COLUMN(I78))</f>
        <v>8.89</v>
      </c>
      <c r="J78" s="14" t="str">
        <f ca="1">INDEX(INDIRECT($O$10),ROW(J78),COLUMN(J78))</f>
        <v xml:space="preserve"> </v>
      </c>
      <c r="K78" s="16" t="str">
        <f ca="1">INDEX(INDIRECT($O$10),ROW(K78),COLUMN(K78))</f>
        <v xml:space="preserve"> </v>
      </c>
      <c r="L78" s="27" t="str">
        <f ca="1">INDEX(INDIRECT($O$10),ROW(L78),COLUMN(L78))</f>
        <v xml:space="preserve"> </v>
      </c>
      <c r="M78" s="29" t="str">
        <f ca="1">INDEX(INDIRECT($O$10),ROW(M78),COLUMN(M78))</f>
        <v>testa di moro</v>
      </c>
      <c r="N78" s="2" t="str">
        <f ca="1">IF(ISNUMBER($C78),codeEAN13(INT(C78/10)),"")</f>
        <v>8APASPA*aaaaae+</v>
      </c>
    </row>
    <row r="79" spans="1:14" ht="31.5" x14ac:dyDescent="0.45">
      <c r="A79" s="3" t="str">
        <f ca="1">INDEX(INDIRECT($O$10),ROW(A79),COLUMN(A79))</f>
        <v>'072</v>
      </c>
      <c r="B79" s="3">
        <f ca="1">INDEX(INDIRECT($O$10),ROW(B79),COLUMN(B79))</f>
        <v>173</v>
      </c>
      <c r="C79" s="5">
        <f ca="1">INDEX(INDIRECT($O$10),ROW(C79),COLUMN(C79))</f>
        <v>8050850000000</v>
      </c>
      <c r="D79" s="8" t="str">
        <f ca="1">INDEX(INDIRECT($O$10),ROW(D79),COLUMN(D79))</f>
        <v>OBAGC534-ECSC4-371</v>
      </c>
      <c r="E79" s="12" t="str">
        <f ca="1">INDEX(INDIRECT($O$10),ROW(E79),COLUMN(E79))</f>
        <v>FERMETURE Ã€ BANDEAU AVEC BOUCLE O BAG GLAM EN FAUX CUIR EFFET GRIFFE + CLOUS</v>
      </c>
      <c r="F79" s="18" t="str">
        <f ca="1">INDEX(INDIRECT($O$10),ROW(F79),COLUMN(F79))</f>
        <v>UNICA</v>
      </c>
      <c r="G79" s="10">
        <f ca="1">INDEX(INDIRECT($O$10),ROW(G79),COLUMN(G79))</f>
        <v>1</v>
      </c>
      <c r="H79" s="20">
        <f ca="1">INDEX(INDIRECT($O$10),ROW(H79),COLUMN(H79))</f>
        <v>11.85</v>
      </c>
      <c r="I79" s="22">
        <f ca="1">INDEX(INDIRECT($O$10),ROW(I79),COLUMN(I79))</f>
        <v>11.85</v>
      </c>
      <c r="J79" s="14" t="str">
        <f ca="1">INDEX(INDIRECT($O$10),ROW(J79),COLUMN(J79))</f>
        <v xml:space="preserve"> </v>
      </c>
      <c r="K79" s="16" t="str">
        <f ca="1">INDEX(INDIRECT($O$10),ROW(K79),COLUMN(K79))</f>
        <v xml:space="preserve"> </v>
      </c>
      <c r="L79" s="27" t="str">
        <f ca="1">INDEX(INDIRECT($O$10),ROW(L79),COLUMN(L79))</f>
        <v xml:space="preserve"> </v>
      </c>
      <c r="M79" s="29" t="str">
        <f ca="1">INDEX(INDIRECT($O$10),ROW(M79),COLUMN(M79))</f>
        <v>latte</v>
      </c>
      <c r="N79" s="2" t="str">
        <f ca="1">IF(ISNUMBER($C79),codeEAN13(INT(C79/10)),"")</f>
        <v>8APASPA*aaaaae+</v>
      </c>
    </row>
    <row r="80" spans="1:14" ht="31.5" x14ac:dyDescent="0.45">
      <c r="A80" s="3" t="str">
        <f ca="1">INDEX(INDIRECT($O$10),ROW(A80),COLUMN(A80))</f>
        <v>'073</v>
      </c>
      <c r="B80" s="3">
        <f ca="1">INDEX(INDIRECT($O$10),ROW(B80),COLUMN(B80))</f>
        <v>99</v>
      </c>
      <c r="C80" s="5">
        <f ca="1">INDEX(INDIRECT($O$10),ROW(C80),COLUMN(C80))</f>
        <v>8050850000000</v>
      </c>
      <c r="D80" s="8" t="str">
        <f ca="1">INDEX(INDIRECT($O$10),ROW(D80),COLUMN(D80))</f>
        <v>OBAGC534-ECSC9-055</v>
      </c>
      <c r="E80" s="12" t="str">
        <f ca="1">INDEX(INDIRECT($O$10),ROW(E80),COLUMN(E80))</f>
        <v>FERMETURE Ã€ BANDEAU AVEC BOUCLE O BAG GLAM EN FAUX CUIR IMPRIME ATHLEISURE</v>
      </c>
      <c r="F80" s="18" t="str">
        <f ca="1">INDEX(INDIRECT($O$10),ROW(F80),COLUMN(F80))</f>
        <v>UNICA</v>
      </c>
      <c r="G80" s="10">
        <f ca="1">INDEX(INDIRECT($O$10),ROW(G80),COLUMN(G80))</f>
        <v>1</v>
      </c>
      <c r="H80" s="20">
        <f ca="1">INDEX(INDIRECT($O$10),ROW(H80),COLUMN(H80))</f>
        <v>8.89</v>
      </c>
      <c r="I80" s="22">
        <f ca="1">INDEX(INDIRECT($O$10),ROW(I80),COLUMN(I80))</f>
        <v>8.89</v>
      </c>
      <c r="J80" s="14" t="str">
        <f ca="1">INDEX(INDIRECT($O$10),ROW(J80),COLUMN(J80))</f>
        <v xml:space="preserve"> </v>
      </c>
      <c r="K80" s="16" t="str">
        <f ca="1">INDEX(INDIRECT($O$10),ROW(K80),COLUMN(K80))</f>
        <v xml:space="preserve"> </v>
      </c>
      <c r="L80" s="27" t="str">
        <f ca="1">INDEX(INDIRECT($O$10),ROW(L80),COLUMN(L80))</f>
        <v xml:space="preserve"> </v>
      </c>
      <c r="M80" s="29" t="str">
        <f ca="1">INDEX(INDIRECT($O$10),ROW(M80),COLUMN(M80))</f>
        <v>nero</v>
      </c>
      <c r="N80" s="2" t="str">
        <f ca="1">IF(ISNUMBER($C80),codeEAN13(INT(C80/10)),"")</f>
        <v>8APASPA*aaaaae+</v>
      </c>
    </row>
    <row r="81" spans="1:14" ht="31.5" x14ac:dyDescent="0.45">
      <c r="A81" s="3" t="str">
        <f ca="1">INDEX(INDIRECT($O$10),ROW(A81),COLUMN(A81))</f>
        <v>'074</v>
      </c>
      <c r="B81" s="3">
        <f ca="1">INDEX(INDIRECT($O$10),ROW(B81),COLUMN(B81))</f>
        <v>114</v>
      </c>
      <c r="C81" s="5">
        <f ca="1">INDEX(INDIRECT($O$10),ROW(C81),COLUMN(C81))</f>
        <v>8050850000000</v>
      </c>
      <c r="D81" s="8" t="str">
        <f ca="1">INDEX(INDIRECT($O$10),ROW(D81),COLUMN(D81))</f>
        <v>OBAGC534-ECSC9-137</v>
      </c>
      <c r="E81" s="12" t="str">
        <f ca="1">INDEX(INDIRECT($O$10),ROW(E81),COLUMN(E81))</f>
        <v>FERMETURE Ã€ BANDEAU AVEC BOUCLE O BAG GLAM EN FAUX CUIR IMPRIME ATHLEISURE</v>
      </c>
      <c r="F81" s="18" t="str">
        <f ca="1">INDEX(INDIRECT($O$10),ROW(F81),COLUMN(F81))</f>
        <v>UNICA</v>
      </c>
      <c r="G81" s="10">
        <f ca="1">INDEX(INDIRECT($O$10),ROW(G81),COLUMN(G81))</f>
        <v>1</v>
      </c>
      <c r="H81" s="20">
        <f ca="1">INDEX(INDIRECT($O$10),ROW(H81),COLUMN(H81))</f>
        <v>8.89</v>
      </c>
      <c r="I81" s="22">
        <f ca="1">INDEX(INDIRECT($O$10),ROW(I81),COLUMN(I81))</f>
        <v>8.89</v>
      </c>
      <c r="J81" s="14" t="str">
        <f ca="1">INDEX(INDIRECT($O$10),ROW(J81),COLUMN(J81))</f>
        <v xml:space="preserve"> </v>
      </c>
      <c r="K81" s="16" t="str">
        <f ca="1">INDEX(INDIRECT($O$10),ROW(K81),COLUMN(K81))</f>
        <v xml:space="preserve"> </v>
      </c>
      <c r="L81" s="27" t="str">
        <f ca="1">INDEX(INDIRECT($O$10),ROW(L81),COLUMN(L81))</f>
        <v xml:space="preserve"> </v>
      </c>
      <c r="M81" s="29" t="str">
        <f ca="1">INDEX(INDIRECT($O$10),ROW(M81),COLUMN(M81))</f>
        <v>bluette</v>
      </c>
      <c r="N81" s="2" t="str">
        <f ca="1">IF(ISNUMBER($C81),codeEAN13(INT(C81/10)),"")</f>
        <v>8APASPA*aaaaae+</v>
      </c>
    </row>
    <row r="82" spans="1:14" ht="31.5" x14ac:dyDescent="0.45">
      <c r="A82" s="3" t="str">
        <f ca="1">INDEX(INDIRECT($O$10),ROW(A82),COLUMN(A82))</f>
        <v>'075</v>
      </c>
      <c r="B82" s="3">
        <f ca="1">INDEX(INDIRECT($O$10),ROW(B82),COLUMN(B82))</f>
        <v>2</v>
      </c>
      <c r="C82" s="5">
        <f ca="1">INDEX(INDIRECT($O$10),ROW(C82),COLUMN(C82))</f>
        <v>8050850000000</v>
      </c>
      <c r="D82" s="8" t="str">
        <f ca="1">INDEX(INDIRECT($O$10),ROW(D82),COLUMN(D82))</f>
        <v>OBAGC534-ECSD1-615</v>
      </c>
      <c r="E82" s="12" t="str">
        <f ca="1">INDEX(INDIRECT($O$10),ROW(E82),COLUMN(E82))</f>
        <v>FERMETURE Ã€ BANDEAU AVEC BOUCLE O BAG GLAM EN FAUX CUIR IMPRIME FLEURS GEOMETRIQUES</v>
      </c>
      <c r="F82" s="18" t="str">
        <f ca="1">INDEX(INDIRECT($O$10),ROW(F82),COLUMN(F82))</f>
        <v>UNICA</v>
      </c>
      <c r="G82" s="10">
        <f ca="1">INDEX(INDIRECT($O$10),ROW(G82),COLUMN(G82))</f>
        <v>1</v>
      </c>
      <c r="H82" s="20">
        <f ca="1">INDEX(INDIRECT($O$10),ROW(H82),COLUMN(H82))</f>
        <v>10</v>
      </c>
      <c r="I82" s="22">
        <f ca="1">INDEX(INDIRECT($O$10),ROW(I82),COLUMN(I82))</f>
        <v>10</v>
      </c>
      <c r="J82" s="14" t="str">
        <f ca="1">INDEX(INDIRECT($O$10),ROW(J82),COLUMN(J82))</f>
        <v xml:space="preserve"> </v>
      </c>
      <c r="K82" s="16" t="str">
        <f ca="1">INDEX(INDIRECT($O$10),ROW(K82),COLUMN(K82))</f>
        <v xml:space="preserve"> </v>
      </c>
      <c r="L82" s="27" t="str">
        <f ca="1">INDEX(INDIRECT($O$10),ROW(L82),COLUMN(L82))</f>
        <v xml:space="preserve"> </v>
      </c>
      <c r="M82" s="29" t="str">
        <f ca="1">INDEX(INDIRECT($O$10),ROW(M82),COLUMN(M82))</f>
        <v>military</v>
      </c>
      <c r="N82" s="2" t="str">
        <f ca="1">IF(ISNUMBER($C82),codeEAN13(INT(C82/10)),"")</f>
        <v>8APASPA*aaaaae+</v>
      </c>
    </row>
    <row r="83" spans="1:14" ht="31.5" x14ac:dyDescent="0.45">
      <c r="A83" s="3" t="str">
        <f ca="1">INDEX(INDIRECT($O$10),ROW(A83),COLUMN(A83))</f>
        <v>'076</v>
      </c>
      <c r="B83" s="3">
        <f ca="1">INDEX(INDIRECT($O$10),ROW(B83),COLUMN(B83))</f>
        <v>211</v>
      </c>
      <c r="C83" s="5">
        <f ca="1">INDEX(INDIRECT($O$10),ROW(C83),COLUMN(C83))</f>
        <v>8050850000000</v>
      </c>
      <c r="D83" s="8" t="str">
        <f ca="1">INDEX(INDIRECT($O$10),ROW(D83),COLUMN(D83))</f>
        <v>OBAGC534-ECSD2-227</v>
      </c>
      <c r="E83" s="12" t="str">
        <f ca="1">INDEX(INDIRECT($O$10),ROW(E83),COLUMN(E83))</f>
        <v>FERMETURE Ã€ BANDEAU AVEC BOUCLE O BAG GLAM EN FAUX CUIR IMPRIME GEOMETRIC LILY</v>
      </c>
      <c r="F83" s="18" t="str">
        <f ca="1">INDEX(INDIRECT($O$10),ROW(F83),COLUMN(F83))</f>
        <v>UNICA</v>
      </c>
      <c r="G83" s="10">
        <f ca="1">INDEX(INDIRECT($O$10),ROW(G83),COLUMN(G83))</f>
        <v>1</v>
      </c>
      <c r="H83" s="20">
        <f ca="1">INDEX(INDIRECT($O$10),ROW(H83),COLUMN(H83))</f>
        <v>10</v>
      </c>
      <c r="I83" s="22">
        <f ca="1">INDEX(INDIRECT($O$10),ROW(I83),COLUMN(I83))</f>
        <v>10</v>
      </c>
      <c r="J83" s="14" t="str">
        <f ca="1">INDEX(INDIRECT($O$10),ROW(J83),COLUMN(J83))</f>
        <v xml:space="preserve"> </v>
      </c>
      <c r="K83" s="16" t="str">
        <f ca="1">INDEX(INDIRECT($O$10),ROW(K83),COLUMN(K83))</f>
        <v xml:space="preserve"> </v>
      </c>
      <c r="L83" s="27" t="str">
        <f ca="1">INDEX(INDIRECT($O$10),ROW(L83),COLUMN(L83))</f>
        <v xml:space="preserve"> </v>
      </c>
      <c r="M83" s="29" t="str">
        <f ca="1">INDEX(INDIRECT($O$10),ROW(M83),COLUMN(M83))</f>
        <v>bianco/nero</v>
      </c>
      <c r="N83" s="2" t="str">
        <f ca="1">IF(ISNUMBER($C83),codeEAN13(INT(C83/10)),"")</f>
        <v>8APASPA*aaaaae+</v>
      </c>
    </row>
    <row r="84" spans="1:14" ht="31.5" x14ac:dyDescent="0.45">
      <c r="A84" s="3" t="str">
        <f ca="1">INDEX(INDIRECT($O$10),ROW(A84),COLUMN(A84))</f>
        <v>'077</v>
      </c>
      <c r="B84" s="3">
        <f ca="1">INDEX(INDIRECT($O$10),ROW(B84),COLUMN(B84))</f>
        <v>203</v>
      </c>
      <c r="C84" s="5">
        <f ca="1">INDEX(INDIRECT($O$10),ROW(C84),COLUMN(C84))</f>
        <v>8050850000000</v>
      </c>
      <c r="D84" s="8" t="str">
        <f ca="1">INDEX(INDIRECT($O$10),ROW(D84),COLUMN(D84))</f>
        <v>OBAGC534-ECSD6-615</v>
      </c>
      <c r="E84" s="12" t="str">
        <f ca="1">INDEX(INDIRECT($O$10),ROW(E84),COLUMN(E84))</f>
        <v>FERMETURE Ã€ BANDEAU AVEC BOUCLE O BAG GLAM EN FAUX CUIR IMPRIME DIANTHUS</v>
      </c>
      <c r="F84" s="18" t="str">
        <f ca="1">INDEX(INDIRECT($O$10),ROW(F84),COLUMN(F84))</f>
        <v>UNICA</v>
      </c>
      <c r="G84" s="10">
        <f ca="1">INDEX(INDIRECT($O$10),ROW(G84),COLUMN(G84))</f>
        <v>1</v>
      </c>
      <c r="H84" s="20">
        <f ca="1">INDEX(INDIRECT($O$10),ROW(H84),COLUMN(H84))</f>
        <v>10</v>
      </c>
      <c r="I84" s="22">
        <f ca="1">INDEX(INDIRECT($O$10),ROW(I84),COLUMN(I84))</f>
        <v>10</v>
      </c>
      <c r="J84" s="14" t="str">
        <f ca="1">INDEX(INDIRECT($O$10),ROW(J84),COLUMN(J84))</f>
        <v xml:space="preserve"> </v>
      </c>
      <c r="K84" s="16" t="str">
        <f ca="1">INDEX(INDIRECT($O$10),ROW(K84),COLUMN(K84))</f>
        <v xml:space="preserve"> </v>
      </c>
      <c r="L84" s="27" t="str">
        <f ca="1">INDEX(INDIRECT($O$10),ROW(L84),COLUMN(L84))</f>
        <v xml:space="preserve"> </v>
      </c>
      <c r="M84" s="29" t="str">
        <f ca="1">INDEX(INDIRECT($O$10),ROW(M84),COLUMN(M84))</f>
        <v>military</v>
      </c>
      <c r="N84" s="2" t="str">
        <f ca="1">IF(ISNUMBER($C84),codeEAN13(INT(C84/10)),"")</f>
        <v>8APASPA*aaaaae+</v>
      </c>
    </row>
    <row r="85" spans="1:14" ht="31.5" x14ac:dyDescent="0.45">
      <c r="A85" s="3" t="str">
        <f ca="1">INDEX(INDIRECT($O$10),ROW(A85),COLUMN(A85))</f>
        <v>'078</v>
      </c>
      <c r="B85" s="3">
        <f ca="1">INDEX(INDIRECT($O$10),ROW(B85),COLUMN(B85))</f>
        <v>149</v>
      </c>
      <c r="C85" s="5">
        <f ca="1">INDEX(INDIRECT($O$10),ROW(C85),COLUMN(C85))</f>
        <v>8050850000000</v>
      </c>
      <c r="D85" s="8" t="str">
        <f ca="1">INDEX(INDIRECT($O$10),ROW(D85),COLUMN(D85))</f>
        <v>OBAGP006-ECSD2-227</v>
      </c>
      <c r="E85" s="12" t="str">
        <f ca="1">INDEX(INDIRECT($O$10),ROW(E85),COLUMN(E85))</f>
        <v>RABAT O POCKET EN FAUX CUIR IMPRIME GEOMETRIC LILY</v>
      </c>
      <c r="F85" s="18" t="str">
        <f ca="1">INDEX(INDIRECT($O$10),ROW(F85),COLUMN(F85))</f>
        <v>UNICA</v>
      </c>
      <c r="G85" s="10">
        <f ca="1">INDEX(INDIRECT($O$10),ROW(G85),COLUMN(G85))</f>
        <v>2</v>
      </c>
      <c r="H85" s="20">
        <f ca="1">INDEX(INDIRECT($O$10),ROW(H85),COLUMN(H85))</f>
        <v>11.85</v>
      </c>
      <c r="I85" s="22">
        <f ca="1">INDEX(INDIRECT($O$10),ROW(I85),COLUMN(I85))</f>
        <v>23.7</v>
      </c>
      <c r="J85" s="14" t="str">
        <f ca="1">INDEX(INDIRECT($O$10),ROW(J85),COLUMN(J85))</f>
        <v xml:space="preserve"> </v>
      </c>
      <c r="K85" s="16" t="str">
        <f ca="1">INDEX(INDIRECT($O$10),ROW(K85),COLUMN(K85))</f>
        <v xml:space="preserve"> </v>
      </c>
      <c r="L85" s="27" t="str">
        <f ca="1">INDEX(INDIRECT($O$10),ROW(L85),COLUMN(L85))</f>
        <v xml:space="preserve"> </v>
      </c>
      <c r="M85" s="29" t="str">
        <f ca="1">INDEX(INDIRECT($O$10),ROW(M85),COLUMN(M85))</f>
        <v>bianco/nero</v>
      </c>
      <c r="N85" s="2" t="str">
        <f ca="1">IF(ISNUMBER($C85),codeEAN13(INT(C85/10)),"")</f>
        <v>8APASPA*aaaaae+</v>
      </c>
    </row>
    <row r="86" spans="1:14" ht="31.5" x14ac:dyDescent="0.45">
      <c r="A86" s="3" t="str">
        <f ca="1">INDEX(INDIRECT($O$10),ROW(A86),COLUMN(A86))</f>
        <v>'079</v>
      </c>
      <c r="B86" s="3">
        <f ca="1">INDEX(INDIRECT($O$10),ROW(B86),COLUMN(B86))</f>
        <v>115</v>
      </c>
      <c r="C86" s="5">
        <f ca="1">INDEX(INDIRECT($O$10),ROW(C86),COLUMN(C86))</f>
        <v>8050850000000</v>
      </c>
      <c r="D86" s="8" t="str">
        <f ca="1">INDEX(INDIRECT($O$10),ROW(D86),COLUMN(D86))</f>
        <v>OBAGP006-ECSD6-615</v>
      </c>
      <c r="E86" s="12" t="str">
        <f ca="1">INDEX(INDIRECT($O$10),ROW(E86),COLUMN(E86))</f>
        <v>RABAT O POCKET EN FAUX CUIR IMPRIME DIANTHUS</v>
      </c>
      <c r="F86" s="18" t="str">
        <f ca="1">INDEX(INDIRECT($O$10),ROW(F86),COLUMN(F86))</f>
        <v>UNICA</v>
      </c>
      <c r="G86" s="10">
        <f ca="1">INDEX(INDIRECT($O$10),ROW(G86),COLUMN(G86))</f>
        <v>2</v>
      </c>
      <c r="H86" s="20">
        <f ca="1">INDEX(INDIRECT($O$10),ROW(H86),COLUMN(H86))</f>
        <v>11.85</v>
      </c>
      <c r="I86" s="22">
        <f ca="1">INDEX(INDIRECT($O$10),ROW(I86),COLUMN(I86))</f>
        <v>23.7</v>
      </c>
      <c r="J86" s="14" t="str">
        <f ca="1">INDEX(INDIRECT($O$10),ROW(J86),COLUMN(J86))</f>
        <v xml:space="preserve"> </v>
      </c>
      <c r="K86" s="16" t="str">
        <f ca="1">INDEX(INDIRECT($O$10),ROW(K86),COLUMN(K86))</f>
        <v xml:space="preserve"> </v>
      </c>
      <c r="L86" s="27" t="str">
        <f ca="1">INDEX(INDIRECT($O$10),ROW(L86),COLUMN(L86))</f>
        <v xml:space="preserve"> </v>
      </c>
      <c r="M86" s="29" t="str">
        <f ca="1">INDEX(INDIRECT($O$10),ROW(M86),COLUMN(M86))</f>
        <v>military</v>
      </c>
      <c r="N86" s="2" t="str">
        <f ca="1">IF(ISNUMBER($C86),codeEAN13(INT(C86/10)),"")</f>
        <v>8APASPA*aaaaae+</v>
      </c>
    </row>
    <row r="87" spans="1:14" ht="31.5" x14ac:dyDescent="0.45">
      <c r="A87" s="3" t="str">
        <f ca="1">INDEX(INDIRECT($O$10),ROW(A87),COLUMN(A87))</f>
        <v>'080</v>
      </c>
      <c r="B87" s="3">
        <f ca="1">INDEX(INDIRECT($O$10),ROW(B87),COLUMN(B87))</f>
        <v>134</v>
      </c>
      <c r="C87" s="5">
        <f ca="1">INDEX(INDIRECT($O$10),ROW(C87),COLUMN(C87))</f>
        <v>8056100000000</v>
      </c>
      <c r="D87" s="8" t="str">
        <f ca="1">INDEX(INDIRECT($O$10),ROW(D87),COLUMN(D87))</f>
        <v>OBAGP006-FAS09-067</v>
      </c>
      <c r="E87" s="12" t="str">
        <f ca="1">INDEX(INDIRECT($O$10),ROW(E87),COLUMN(E87))</f>
        <v>RABAT O POCKET EN FAUSSE FOURRURE LAPIN REX</v>
      </c>
      <c r="F87" s="18" t="str">
        <f ca="1">INDEX(INDIRECT($O$10),ROW(F87),COLUMN(F87))</f>
        <v>UNICA</v>
      </c>
      <c r="G87" s="10">
        <f ca="1">INDEX(INDIRECT($O$10),ROW(G87),COLUMN(G87))</f>
        <v>2</v>
      </c>
      <c r="H87" s="20">
        <f ca="1">INDEX(INDIRECT($O$10),ROW(H87),COLUMN(H87))</f>
        <v>18</v>
      </c>
      <c r="I87" s="22">
        <f ca="1">INDEX(INDIRECT($O$10),ROW(I87),COLUMN(I87))</f>
        <v>36</v>
      </c>
      <c r="J87" s="14" t="str">
        <f ca="1">INDEX(INDIRECT($O$10),ROW(J87),COLUMN(J87))</f>
        <v xml:space="preserve">FLAPECOFOU      </v>
      </c>
      <c r="K87" s="16" t="str">
        <f ca="1">INDEX(INDIRECT($O$10),ROW(K87),COLUMN(K87))</f>
        <v>LAPHA</v>
      </c>
      <c r="L87" s="27">
        <f ca="1">INDEX(INDIRECT($O$10),ROW(L87),COLUMN(L87))</f>
        <v>0</v>
      </c>
      <c r="M87" s="29" t="str">
        <f ca="1">INDEX(INDIRECT($O$10),ROW(M87),COLUMN(M87))</f>
        <v>phard</v>
      </c>
      <c r="N87" s="2" t="str">
        <f ca="1">IF(ISNUMBER($C87),codeEAN13(INT(C87/10)),"")</f>
        <v>8APGLKA*aaaaai+</v>
      </c>
    </row>
    <row r="88" spans="1:14" ht="31.5" x14ac:dyDescent="0.45">
      <c r="A88" s="3" t="str">
        <f ca="1">INDEX(INDIRECT($O$10),ROW(A88),COLUMN(A88))</f>
        <v>'081</v>
      </c>
      <c r="B88" s="3">
        <f ca="1">INDEX(INDIRECT($O$10),ROW(B88),COLUMN(B88))</f>
        <v>65</v>
      </c>
      <c r="C88" s="5">
        <f ca="1">INDEX(INDIRECT($O$10),ROW(C88),COLUMN(C88))</f>
        <v>8050850000000</v>
      </c>
      <c r="D88" s="8" t="str">
        <f ca="1">INDEX(INDIRECT($O$10),ROW(D88),COLUMN(D88))</f>
        <v>OBAGP006-FAS09-615</v>
      </c>
      <c r="E88" s="12" t="str">
        <f ca="1">INDEX(INDIRECT($O$10),ROW(E88),COLUMN(E88))</f>
        <v>RABAT O POCKET EN FAUSSE FOURRURE LAPIN REX</v>
      </c>
      <c r="F88" s="18" t="str">
        <f ca="1">INDEX(INDIRECT($O$10),ROW(F88),COLUMN(F88))</f>
        <v>UNICA</v>
      </c>
      <c r="G88" s="10">
        <f ca="1">INDEX(INDIRECT($O$10),ROW(G88),COLUMN(G88))</f>
        <v>2</v>
      </c>
      <c r="H88" s="20">
        <f ca="1">INDEX(INDIRECT($O$10),ROW(H88),COLUMN(H88))</f>
        <v>18</v>
      </c>
      <c r="I88" s="22">
        <f ca="1">INDEX(INDIRECT($O$10),ROW(I88),COLUMN(I88))</f>
        <v>36</v>
      </c>
      <c r="J88" s="14" t="str">
        <f ca="1">INDEX(INDIRECT($O$10),ROW(J88),COLUMN(J88))</f>
        <v xml:space="preserve"> </v>
      </c>
      <c r="K88" s="16" t="str">
        <f ca="1">INDEX(INDIRECT($O$10),ROW(K88),COLUMN(K88))</f>
        <v xml:space="preserve"> </v>
      </c>
      <c r="L88" s="27" t="str">
        <f ca="1">INDEX(INDIRECT($O$10),ROW(L88),COLUMN(L88))</f>
        <v xml:space="preserve"> </v>
      </c>
      <c r="M88" s="29" t="str">
        <f ca="1">INDEX(INDIRECT($O$10),ROW(M88),COLUMN(M88))</f>
        <v>military</v>
      </c>
      <c r="N88" s="2" t="str">
        <f ca="1">IF(ISNUMBER($C88),codeEAN13(INT(C88/10)),"")</f>
        <v>8APASPA*aaaaae+</v>
      </c>
    </row>
    <row r="89" spans="1:14" ht="31.5" x14ac:dyDescent="0.45">
      <c r="A89" s="3" t="str">
        <f ca="1">INDEX(INDIRECT($O$10),ROW(A89),COLUMN(A89))</f>
        <v>'082</v>
      </c>
      <c r="B89" s="3">
        <f ca="1">INDEX(INDIRECT($O$10),ROW(B89),COLUMN(B89))</f>
        <v>78</v>
      </c>
      <c r="C89" s="5">
        <f ca="1">INDEX(INDIRECT($O$10),ROW(C89),COLUMN(C89))</f>
        <v>8050850000000</v>
      </c>
      <c r="D89" s="8" t="str">
        <f ca="1">INDEX(INDIRECT($O$10),ROW(D89),COLUMN(D89))</f>
        <v>OBAGP006-TESBG-227</v>
      </c>
      <c r="E89" s="12" t="str">
        <f ca="1">INDEX(INDIRECT($O$10),ROW(E89),COLUMN(E89))</f>
        <v>REVERS O POCKET EN TISSU PRINCE DE GALLES + FLEURS</v>
      </c>
      <c r="F89" s="18" t="str">
        <f ca="1">INDEX(INDIRECT($O$10),ROW(F89),COLUMN(F89))</f>
        <v>UNICA</v>
      </c>
      <c r="G89" s="10">
        <f ca="1">INDEX(INDIRECT($O$10),ROW(G89),COLUMN(G89))</f>
        <v>2</v>
      </c>
      <c r="H89" s="20">
        <f ca="1">INDEX(INDIRECT($O$10),ROW(H89),COLUMN(H89))</f>
        <v>12.59</v>
      </c>
      <c r="I89" s="22">
        <f ca="1">INDEX(INDIRECT($O$10),ROW(I89),COLUMN(I89))</f>
        <v>25.18</v>
      </c>
      <c r="J89" s="14" t="str">
        <f ca="1">INDEX(INDIRECT($O$10),ROW(J89),COLUMN(J89))</f>
        <v xml:space="preserve"> </v>
      </c>
      <c r="K89" s="16" t="str">
        <f ca="1">INDEX(INDIRECT($O$10),ROW(K89),COLUMN(K89))</f>
        <v xml:space="preserve"> </v>
      </c>
      <c r="L89" s="27" t="str">
        <f ca="1">INDEX(INDIRECT($O$10),ROW(L89),COLUMN(L89))</f>
        <v xml:space="preserve"> </v>
      </c>
      <c r="M89" s="29" t="str">
        <f ca="1">INDEX(INDIRECT($O$10),ROW(M89),COLUMN(M89))</f>
        <v>bianco/nero</v>
      </c>
      <c r="N89" s="2" t="str">
        <f ca="1">IF(ISNUMBER($C89),codeEAN13(INT(C89/10)),"")</f>
        <v>8APASPA*aaaaae+</v>
      </c>
    </row>
    <row r="90" spans="1:14" ht="31.5" x14ac:dyDescent="0.45">
      <c r="A90" s="3" t="str">
        <f ca="1">INDEX(INDIRECT($O$10),ROW(A90),COLUMN(A90))</f>
        <v>'083</v>
      </c>
      <c r="B90" s="3">
        <f ca="1">INDEX(INDIRECT($O$10),ROW(B90),COLUMN(B90))</f>
        <v>30</v>
      </c>
      <c r="C90" s="5">
        <f ca="1">INDEX(INDIRECT($O$10),ROW(C90),COLUMN(C90))</f>
        <v>8050850000000</v>
      </c>
      <c r="D90" s="8" t="str">
        <f ca="1">INDEX(INDIRECT($O$10),ROW(D90),COLUMN(D90))</f>
        <v>OBAGP034-ECSC3-615</v>
      </c>
      <c r="E90" s="12" t="str">
        <f ca="1">INDEX(INDIRECT($O$10),ROW(E90),COLUMN(E90))</f>
        <v>RABAT O BAG GLAM EN FAUX CUIR SUÃˆDE + CLOUS</v>
      </c>
      <c r="F90" s="18" t="str">
        <f ca="1">INDEX(INDIRECT($O$10),ROW(F90),COLUMN(F90))</f>
        <v>UNICA</v>
      </c>
      <c r="G90" s="10">
        <f ca="1">INDEX(INDIRECT($O$10),ROW(G90),COLUMN(G90))</f>
        <v>1</v>
      </c>
      <c r="H90" s="20">
        <f ca="1">INDEX(INDIRECT($O$10),ROW(H90),COLUMN(H90))</f>
        <v>16.670000000000002</v>
      </c>
      <c r="I90" s="22">
        <f ca="1">INDEX(INDIRECT($O$10),ROW(I90),COLUMN(I90))</f>
        <v>16.670000000000002</v>
      </c>
      <c r="J90" s="14" t="str">
        <f ca="1">INDEX(INDIRECT($O$10),ROW(J90),COLUMN(J90))</f>
        <v xml:space="preserve"> </v>
      </c>
      <c r="K90" s="16" t="str">
        <f ca="1">INDEX(INDIRECT($O$10),ROW(K90),COLUMN(K90))</f>
        <v xml:space="preserve"> </v>
      </c>
      <c r="L90" s="27" t="str">
        <f ca="1">INDEX(INDIRECT($O$10),ROW(L90),COLUMN(L90))</f>
        <v xml:space="preserve"> </v>
      </c>
      <c r="M90" s="29" t="str">
        <f ca="1">INDEX(INDIRECT($O$10),ROW(M90),COLUMN(M90))</f>
        <v>military</v>
      </c>
      <c r="N90" s="2" t="str">
        <f ca="1">IF(ISNUMBER($C90),codeEAN13(INT(C90/10)),"")</f>
        <v>8APASPA*aaaaae+</v>
      </c>
    </row>
    <row r="91" spans="1:14" ht="31.5" x14ac:dyDescent="0.45">
      <c r="A91" s="3" t="str">
        <f ca="1">INDEX(INDIRECT($O$10),ROW(A91),COLUMN(A91))</f>
        <v>'084</v>
      </c>
      <c r="B91" s="3">
        <f ca="1">INDEX(INDIRECT($O$10),ROW(B91),COLUMN(B91))</f>
        <v>165</v>
      </c>
      <c r="C91" s="5">
        <f ca="1">INDEX(INDIRECT($O$10),ROW(C91),COLUMN(C91))</f>
        <v>8050850000000</v>
      </c>
      <c r="D91" s="8" t="str">
        <f ca="1">INDEX(INDIRECT($O$10),ROW(D91),COLUMN(D91))</f>
        <v>OBAGP034-ECSC4-055</v>
      </c>
      <c r="E91" s="12" t="str">
        <f ca="1">INDEX(INDIRECT($O$10),ROW(E91),COLUMN(E91))</f>
        <v>RABAT O BAG GLAM EN FAUX CUIR EFFET GRIFFE + CLOUS</v>
      </c>
      <c r="F91" s="18" t="str">
        <f ca="1">INDEX(INDIRECT($O$10),ROW(F91),COLUMN(F91))</f>
        <v>UNICA</v>
      </c>
      <c r="G91" s="10">
        <f ca="1">INDEX(INDIRECT($O$10),ROW(G91),COLUMN(G91))</f>
        <v>1</v>
      </c>
      <c r="H91" s="20">
        <f ca="1">INDEX(INDIRECT($O$10),ROW(H91),COLUMN(H91))</f>
        <v>16.670000000000002</v>
      </c>
      <c r="I91" s="22">
        <f ca="1">INDEX(INDIRECT($O$10),ROW(I91),COLUMN(I91))</f>
        <v>16.670000000000002</v>
      </c>
      <c r="J91" s="14" t="str">
        <f ca="1">INDEX(INDIRECT($O$10),ROW(J91),COLUMN(J91))</f>
        <v xml:space="preserve"> </v>
      </c>
      <c r="K91" s="16" t="str">
        <f ca="1">INDEX(INDIRECT($O$10),ROW(K91),COLUMN(K91))</f>
        <v xml:space="preserve"> </v>
      </c>
      <c r="L91" s="27" t="str">
        <f ca="1">INDEX(INDIRECT($O$10),ROW(L91),COLUMN(L91))</f>
        <v xml:space="preserve"> </v>
      </c>
      <c r="M91" s="29" t="str">
        <f ca="1">INDEX(INDIRECT($O$10),ROW(M91),COLUMN(M91))</f>
        <v>nero</v>
      </c>
      <c r="N91" s="2" t="str">
        <f ca="1">IF(ISNUMBER($C91),codeEAN13(INT(C91/10)),"")</f>
        <v>8APASPA*aaaaae+</v>
      </c>
    </row>
    <row r="92" spans="1:14" ht="31.5" x14ac:dyDescent="0.45">
      <c r="A92" s="3" t="str">
        <f ca="1">INDEX(INDIRECT($O$10),ROW(A92),COLUMN(A92))</f>
        <v>'085</v>
      </c>
      <c r="B92" s="3">
        <f ca="1">INDEX(INDIRECT($O$10),ROW(B92),COLUMN(B92))</f>
        <v>3</v>
      </c>
      <c r="C92" s="5">
        <f ca="1">INDEX(INDIRECT($O$10),ROW(C92),COLUMN(C92))</f>
        <v>8050850000000</v>
      </c>
      <c r="D92" s="8" t="str">
        <f ca="1">INDEX(INDIRECT($O$10),ROW(D92),COLUMN(D92))</f>
        <v>OBAGP034-ECSC4-371</v>
      </c>
      <c r="E92" s="12" t="str">
        <f ca="1">INDEX(INDIRECT($O$10),ROW(E92),COLUMN(E92))</f>
        <v>RABAT O BAG GLAM EN FAUX CUIR EFFET GRIFFE + CLOUS</v>
      </c>
      <c r="F92" s="18" t="str">
        <f ca="1">INDEX(INDIRECT($O$10),ROW(F92),COLUMN(F92))</f>
        <v>UNICA</v>
      </c>
      <c r="G92" s="10">
        <f ca="1">INDEX(INDIRECT($O$10),ROW(G92),COLUMN(G92))</f>
        <v>1</v>
      </c>
      <c r="H92" s="20">
        <f ca="1">INDEX(INDIRECT($O$10),ROW(H92),COLUMN(H92))</f>
        <v>16.670000000000002</v>
      </c>
      <c r="I92" s="22">
        <f ca="1">INDEX(INDIRECT($O$10),ROW(I92),COLUMN(I92))</f>
        <v>16.670000000000002</v>
      </c>
      <c r="J92" s="14" t="str">
        <f ca="1">INDEX(INDIRECT($O$10),ROW(J92),COLUMN(J92))</f>
        <v xml:space="preserve"> </v>
      </c>
      <c r="K92" s="16" t="str">
        <f ca="1">INDEX(INDIRECT($O$10),ROW(K92),COLUMN(K92))</f>
        <v xml:space="preserve"> </v>
      </c>
      <c r="L92" s="27" t="str">
        <f ca="1">INDEX(INDIRECT($O$10),ROW(L92),COLUMN(L92))</f>
        <v xml:space="preserve"> </v>
      </c>
      <c r="M92" s="29" t="str">
        <f ca="1">INDEX(INDIRECT($O$10),ROW(M92),COLUMN(M92))</f>
        <v>latte</v>
      </c>
      <c r="N92" s="2" t="str">
        <f ca="1">IF(ISNUMBER($C92),codeEAN13(INT(C92/10)),"")</f>
        <v>8APASPA*aaaaae+</v>
      </c>
    </row>
    <row r="93" spans="1:14" ht="31.5" x14ac:dyDescent="0.45">
      <c r="A93" s="3" t="str">
        <f ca="1">INDEX(INDIRECT($O$10),ROW(A93),COLUMN(A93))</f>
        <v>'086</v>
      </c>
      <c r="B93" s="3">
        <f ca="1">INDEX(INDIRECT($O$10),ROW(B93),COLUMN(B93))</f>
        <v>151</v>
      </c>
      <c r="C93" s="5">
        <f ca="1">INDEX(INDIRECT($O$10),ROW(C93),COLUMN(C93))</f>
        <v>8050850000000</v>
      </c>
      <c r="D93" s="8" t="str">
        <f ca="1">INDEX(INDIRECT($O$10),ROW(D93),COLUMN(D93))</f>
        <v>OBAGP034-ECSD1-615</v>
      </c>
      <c r="E93" s="12" t="str">
        <f ca="1">INDEX(INDIRECT($O$10),ROW(E93),COLUMN(E93))</f>
        <v>RABAT O BAG GLAM EN FAUX CUIR IMPRIME FLEURS GEOMETRIQUES</v>
      </c>
      <c r="F93" s="18" t="str">
        <f ca="1">INDEX(INDIRECT($O$10),ROW(F93),COLUMN(F93))</f>
        <v>UNICA</v>
      </c>
      <c r="G93" s="10">
        <f ca="1">INDEX(INDIRECT($O$10),ROW(G93),COLUMN(G93))</f>
        <v>1</v>
      </c>
      <c r="H93" s="20">
        <f ca="1">INDEX(INDIRECT($O$10),ROW(H93),COLUMN(H93))</f>
        <v>15.56</v>
      </c>
      <c r="I93" s="22">
        <f ca="1">INDEX(INDIRECT($O$10),ROW(I93),COLUMN(I93))</f>
        <v>15.56</v>
      </c>
      <c r="J93" s="14" t="str">
        <f ca="1">INDEX(INDIRECT($O$10),ROW(J93),COLUMN(J93))</f>
        <v xml:space="preserve"> </v>
      </c>
      <c r="K93" s="16" t="str">
        <f ca="1">INDEX(INDIRECT($O$10),ROW(K93),COLUMN(K93))</f>
        <v xml:space="preserve"> </v>
      </c>
      <c r="L93" s="27" t="str">
        <f ca="1">INDEX(INDIRECT($O$10),ROW(L93),COLUMN(L93))</f>
        <v xml:space="preserve"> </v>
      </c>
      <c r="M93" s="29" t="str">
        <f ca="1">INDEX(INDIRECT($O$10),ROW(M93),COLUMN(M93))</f>
        <v>military</v>
      </c>
      <c r="N93" s="2" t="str">
        <f ca="1">IF(ISNUMBER($C93),codeEAN13(INT(C93/10)),"")</f>
        <v>8APASPA*aaaaae+</v>
      </c>
    </row>
    <row r="94" spans="1:14" ht="31.5" x14ac:dyDescent="0.45">
      <c r="A94" s="3" t="str">
        <f ca="1">INDEX(INDIRECT($O$10),ROW(A94),COLUMN(A94))</f>
        <v>'087</v>
      </c>
      <c r="B94" s="3">
        <f ca="1">INDEX(INDIRECT($O$10),ROW(B94),COLUMN(B94))</f>
        <v>17</v>
      </c>
      <c r="C94" s="5">
        <f ca="1">INDEX(INDIRECT($O$10),ROW(C94),COLUMN(C94))</f>
        <v>8050850000000</v>
      </c>
      <c r="D94" s="8" t="str">
        <f ca="1">INDEX(INDIRECT($O$10),ROW(D94),COLUMN(D94))</f>
        <v>OBAGP034-ECSD2-227</v>
      </c>
      <c r="E94" s="12" t="str">
        <f ca="1">INDEX(INDIRECT($O$10),ROW(E94),COLUMN(E94))</f>
        <v>RABAT O BAG GLAM EN FAUX CUIR IMPRIME GEOMETRIC LILY</v>
      </c>
      <c r="F94" s="18" t="str">
        <f ca="1">INDEX(INDIRECT($O$10),ROW(F94),COLUMN(F94))</f>
        <v>UNICA</v>
      </c>
      <c r="G94" s="10">
        <f ca="1">INDEX(INDIRECT($O$10),ROW(G94),COLUMN(G94))</f>
        <v>1</v>
      </c>
      <c r="H94" s="20">
        <f ca="1">INDEX(INDIRECT($O$10),ROW(H94),COLUMN(H94))</f>
        <v>15.56</v>
      </c>
      <c r="I94" s="22">
        <f ca="1">INDEX(INDIRECT($O$10),ROW(I94),COLUMN(I94))</f>
        <v>15.56</v>
      </c>
      <c r="J94" s="14" t="str">
        <f ca="1">INDEX(INDIRECT($O$10),ROW(J94),COLUMN(J94))</f>
        <v xml:space="preserve"> </v>
      </c>
      <c r="K94" s="16" t="str">
        <f ca="1">INDEX(INDIRECT($O$10),ROW(K94),COLUMN(K94))</f>
        <v xml:space="preserve"> </v>
      </c>
      <c r="L94" s="27" t="str">
        <f ca="1">INDEX(INDIRECT($O$10),ROW(L94),COLUMN(L94))</f>
        <v xml:space="preserve"> </v>
      </c>
      <c r="M94" s="29" t="str">
        <f ca="1">INDEX(INDIRECT($O$10),ROW(M94),COLUMN(M94))</f>
        <v>bianco/nero</v>
      </c>
      <c r="N94" s="2" t="str">
        <f ca="1">IF(ISNUMBER($C94),codeEAN13(INT(C94/10)),"")</f>
        <v>8APASPA*aaaaae+</v>
      </c>
    </row>
    <row r="95" spans="1:14" ht="31.5" x14ac:dyDescent="0.45">
      <c r="A95" s="3" t="str">
        <f ca="1">INDEX(INDIRECT($O$10),ROW(A95),COLUMN(A95))</f>
        <v>'088</v>
      </c>
      <c r="B95" s="3">
        <f ca="1">INDEX(INDIRECT($O$10),ROW(B95),COLUMN(B95))</f>
        <v>47</v>
      </c>
      <c r="C95" s="5">
        <f ca="1">INDEX(INDIRECT($O$10),ROW(C95),COLUMN(C95))</f>
        <v>8050850000000</v>
      </c>
      <c r="D95" s="8" t="str">
        <f ca="1">INDEX(INDIRECT($O$10),ROW(D95),COLUMN(D95))</f>
        <v>OBAGP034-ECSD4-227</v>
      </c>
      <c r="E95" s="12" t="str">
        <f ca="1">INDEX(INDIRECT($O$10),ROW(E95),COLUMN(E95))</f>
        <v>RABAT O BAG GLAM EN FAUX CUIR IMPRIME MARIGOLD 3D</v>
      </c>
      <c r="F95" s="18" t="str">
        <f ca="1">INDEX(INDIRECT($O$10),ROW(F95),COLUMN(F95))</f>
        <v>UNICA</v>
      </c>
      <c r="G95" s="10">
        <f ca="1">INDEX(INDIRECT($O$10),ROW(G95),COLUMN(G95))</f>
        <v>1</v>
      </c>
      <c r="H95" s="20">
        <f ca="1">INDEX(INDIRECT($O$10),ROW(H95),COLUMN(H95))</f>
        <v>20</v>
      </c>
      <c r="I95" s="22">
        <f ca="1">INDEX(INDIRECT($O$10),ROW(I95),COLUMN(I95))</f>
        <v>20</v>
      </c>
      <c r="J95" s="14" t="str">
        <f ca="1">INDEX(INDIRECT($O$10),ROW(J95),COLUMN(J95))</f>
        <v xml:space="preserve"> </v>
      </c>
      <c r="K95" s="16" t="str">
        <f ca="1">INDEX(INDIRECT($O$10),ROW(K95),COLUMN(K95))</f>
        <v xml:space="preserve"> </v>
      </c>
      <c r="L95" s="27" t="str">
        <f ca="1">INDEX(INDIRECT($O$10),ROW(L95),COLUMN(L95))</f>
        <v xml:space="preserve"> </v>
      </c>
      <c r="M95" s="29" t="str">
        <f ca="1">INDEX(INDIRECT($O$10),ROW(M95),COLUMN(M95))</f>
        <v>bianco/nero</v>
      </c>
      <c r="N95" s="2" t="str">
        <f ca="1">IF(ISNUMBER($C95),codeEAN13(INT(C95/10)),"")</f>
        <v>8APASPA*aaaaae+</v>
      </c>
    </row>
    <row r="96" spans="1:14" ht="31.5" x14ac:dyDescent="0.45">
      <c r="A96" s="3" t="str">
        <f ca="1">INDEX(INDIRECT($O$10),ROW(A96),COLUMN(A96))</f>
        <v>'089</v>
      </c>
      <c r="B96" s="3">
        <f ca="1">INDEX(INDIRECT($O$10),ROW(B96),COLUMN(B96))</f>
        <v>69</v>
      </c>
      <c r="C96" s="5">
        <f ca="1">INDEX(INDIRECT($O$10),ROW(C96),COLUMN(C96))</f>
        <v>8050850000000</v>
      </c>
      <c r="D96" s="8" t="str">
        <f ca="1">INDEX(INDIRECT($O$10),ROW(D96),COLUMN(D96))</f>
        <v>OBAGP106-ECSC4-227</v>
      </c>
      <c r="E96" s="12" t="str">
        <f ca="1">INDEX(INDIRECT($O$10),ROW(E96),COLUMN(E96))</f>
        <v>RABAT AVEC BANDEAU O POCKET EN FAUX CUIR EFFET GRIFFE + CLOUS</v>
      </c>
      <c r="F96" s="18" t="str">
        <f ca="1">INDEX(INDIRECT($O$10),ROW(F96),COLUMN(F96))</f>
        <v>UNICA</v>
      </c>
      <c r="G96" s="10">
        <f ca="1">INDEX(INDIRECT($O$10),ROW(G96),COLUMN(G96))</f>
        <v>2</v>
      </c>
      <c r="H96" s="20">
        <f ca="1">INDEX(INDIRECT($O$10),ROW(H96),COLUMN(H96))</f>
        <v>15.56</v>
      </c>
      <c r="I96" s="22">
        <f ca="1">INDEX(INDIRECT($O$10),ROW(I96),COLUMN(I96))</f>
        <v>31.12</v>
      </c>
      <c r="J96" s="14" t="str">
        <f ca="1">INDEX(INDIRECT($O$10),ROW(J96),COLUMN(J96))</f>
        <v xml:space="preserve"> </v>
      </c>
      <c r="K96" s="16" t="str">
        <f ca="1">INDEX(INDIRECT($O$10),ROW(K96),COLUMN(K96))</f>
        <v xml:space="preserve"> </v>
      </c>
      <c r="L96" s="27" t="str">
        <f ca="1">INDEX(INDIRECT($O$10),ROW(L96),COLUMN(L96))</f>
        <v xml:space="preserve"> </v>
      </c>
      <c r="M96" s="29" t="str">
        <f ca="1">INDEX(INDIRECT($O$10),ROW(M96),COLUMN(M96))</f>
        <v>bianco/nero</v>
      </c>
      <c r="N96" s="2" t="str">
        <f ca="1">IF(ISNUMBER($C96),codeEAN13(INT(C96/10)),"")</f>
        <v>8APASPA*aaaaae+</v>
      </c>
    </row>
    <row r="97" spans="1:14" ht="31.5" x14ac:dyDescent="0.45">
      <c r="A97" s="3" t="str">
        <f ca="1">INDEX(INDIRECT($O$10),ROW(A97),COLUMN(A97))</f>
        <v>'090</v>
      </c>
      <c r="B97" s="3">
        <f ca="1">INDEX(INDIRECT($O$10),ROW(B97),COLUMN(B97))</f>
        <v>137</v>
      </c>
      <c r="C97" s="5">
        <f ca="1">INDEX(INDIRECT($O$10),ROW(C97),COLUMN(C97))</f>
        <v>8050850000000</v>
      </c>
      <c r="D97" s="8" t="str">
        <f ca="1">INDEX(INDIRECT($O$10),ROW(D97),COLUMN(D97))</f>
        <v>OBAGP134-ECSC4-227</v>
      </c>
      <c r="E97" s="12" t="str">
        <f ca="1">INDEX(INDIRECT($O$10),ROW(E97),COLUMN(E97))</f>
        <v>RABAT AVEC BANDEAU O BAG GLAM EN FAUX CUIR EFFET GRIFFE + CLOUS</v>
      </c>
      <c r="F97" s="18" t="str">
        <f ca="1">INDEX(INDIRECT($O$10),ROW(F97),COLUMN(F97))</f>
        <v>UNICA</v>
      </c>
      <c r="G97" s="10">
        <f ca="1">INDEX(INDIRECT($O$10),ROW(G97),COLUMN(G97))</f>
        <v>2</v>
      </c>
      <c r="H97" s="20">
        <f ca="1">INDEX(INDIRECT($O$10),ROW(H97),COLUMN(H97))</f>
        <v>20</v>
      </c>
      <c r="I97" s="22">
        <f ca="1">INDEX(INDIRECT($O$10),ROW(I97),COLUMN(I97))</f>
        <v>40</v>
      </c>
      <c r="J97" s="14" t="str">
        <f ca="1">INDEX(INDIRECT($O$10),ROW(J97),COLUMN(J97))</f>
        <v xml:space="preserve"> </v>
      </c>
      <c r="K97" s="16" t="str">
        <f ca="1">INDEX(INDIRECT($O$10),ROW(K97),COLUMN(K97))</f>
        <v xml:space="preserve"> </v>
      </c>
      <c r="L97" s="27" t="str">
        <f ca="1">INDEX(INDIRECT($O$10),ROW(L97),COLUMN(L97))</f>
        <v xml:space="preserve"> </v>
      </c>
      <c r="M97" s="29" t="str">
        <f ca="1">INDEX(INDIRECT($O$10),ROW(M97),COLUMN(M97))</f>
        <v>bianco/nero</v>
      </c>
      <c r="N97" s="2" t="str">
        <f ca="1">IF(ISNUMBER($C97),codeEAN13(INT(C97/10)),"")</f>
        <v>8APASPA*aaaaae+</v>
      </c>
    </row>
    <row r="98" spans="1:14" ht="31.5" x14ac:dyDescent="0.45">
      <c r="A98" s="3" t="str">
        <f ca="1">INDEX(INDIRECT($O$10),ROW(A98),COLUMN(A98))</f>
        <v>'091</v>
      </c>
      <c r="B98" s="3">
        <f ca="1">INDEX(INDIRECT($O$10),ROW(B98),COLUMN(B98))</f>
        <v>42</v>
      </c>
      <c r="C98" s="5">
        <f ca="1">INDEX(INDIRECT($O$10),ROW(C98),COLUMN(C98))</f>
        <v>8050850000000</v>
      </c>
      <c r="D98" s="8" t="str">
        <f ca="1">INDEX(INDIRECT($O$10),ROW(D98),COLUMN(D98))</f>
        <v>OBAGP206-ECS03-067</v>
      </c>
      <c r="E98" s="12" t="str">
        <f ca="1">INDEX(INDIRECT($O$10),ROW(E98),COLUMN(E98))</f>
        <v>RABAT AVEC BOUCLE O POCKET EN FAUX CUIR SUÃˆDE</v>
      </c>
      <c r="F98" s="18" t="str">
        <f ca="1">INDEX(INDIRECT($O$10),ROW(F98),COLUMN(F98))</f>
        <v>UNICA</v>
      </c>
      <c r="G98" s="10">
        <f ca="1">INDEX(INDIRECT($O$10),ROW(G98),COLUMN(G98))</f>
        <v>2</v>
      </c>
      <c r="H98" s="20">
        <f ca="1">INDEX(INDIRECT($O$10),ROW(H98),COLUMN(H98))</f>
        <v>12.59</v>
      </c>
      <c r="I98" s="22">
        <f ca="1">INDEX(INDIRECT($O$10),ROW(I98),COLUMN(I98))</f>
        <v>25.18</v>
      </c>
      <c r="J98" s="14" t="str">
        <f ca="1">INDEX(INDIRECT($O$10),ROW(J98),COLUMN(J98))</f>
        <v xml:space="preserve"> </v>
      </c>
      <c r="K98" s="16" t="str">
        <f ca="1">INDEX(INDIRECT($O$10),ROW(K98),COLUMN(K98))</f>
        <v xml:space="preserve"> </v>
      </c>
      <c r="L98" s="27" t="str">
        <f ca="1">INDEX(INDIRECT($O$10),ROW(L98),COLUMN(L98))</f>
        <v xml:space="preserve"> </v>
      </c>
      <c r="M98" s="29" t="str">
        <f ca="1">INDEX(INDIRECT($O$10),ROW(M98),COLUMN(M98))</f>
        <v>phard</v>
      </c>
      <c r="N98" s="2" t="str">
        <f ca="1">IF(ISNUMBER($C98),codeEAN13(INT(C98/10)),"")</f>
        <v>8APASPA*aaaaae+</v>
      </c>
    </row>
    <row r="99" spans="1:14" ht="31.5" x14ac:dyDescent="0.45">
      <c r="A99" s="3" t="str">
        <f ca="1">INDEX(INDIRECT($O$10),ROW(A99),COLUMN(A99))</f>
        <v>'092</v>
      </c>
      <c r="B99" s="3">
        <f ca="1">INDEX(INDIRECT($O$10),ROW(B99),COLUMN(B99))</f>
        <v>66</v>
      </c>
      <c r="C99" s="5">
        <f ca="1">INDEX(INDIRECT($O$10),ROW(C99),COLUMN(C99))</f>
        <v>8050850000000</v>
      </c>
      <c r="D99" s="8" t="str">
        <f ca="1">INDEX(INDIRECT($O$10),ROW(D99),COLUMN(D99))</f>
        <v>OBAGP206-ECS03-615</v>
      </c>
      <c r="E99" s="12" t="str">
        <f ca="1">INDEX(INDIRECT($O$10),ROW(E99),COLUMN(E99))</f>
        <v>RABAT AVEC BOUCLE O POCKET EN FAUX CUIR SUÃˆDE</v>
      </c>
      <c r="F99" s="18" t="str">
        <f ca="1">INDEX(INDIRECT($O$10),ROW(F99),COLUMN(F99))</f>
        <v>UNICA</v>
      </c>
      <c r="G99" s="10">
        <f ca="1">INDEX(INDIRECT($O$10),ROW(G99),COLUMN(G99))</f>
        <v>2</v>
      </c>
      <c r="H99" s="20">
        <f ca="1">INDEX(INDIRECT($O$10),ROW(H99),COLUMN(H99))</f>
        <v>12.59</v>
      </c>
      <c r="I99" s="22">
        <f ca="1">INDEX(INDIRECT($O$10),ROW(I99),COLUMN(I99))</f>
        <v>25.18</v>
      </c>
      <c r="J99" s="14" t="str">
        <f ca="1">INDEX(INDIRECT($O$10),ROW(J99),COLUMN(J99))</f>
        <v xml:space="preserve"> </v>
      </c>
      <c r="K99" s="16" t="str">
        <f ca="1">INDEX(INDIRECT($O$10),ROW(K99),COLUMN(K99))</f>
        <v xml:space="preserve"> </v>
      </c>
      <c r="L99" s="27" t="str">
        <f ca="1">INDEX(INDIRECT($O$10),ROW(L99),COLUMN(L99))</f>
        <v xml:space="preserve"> </v>
      </c>
      <c r="M99" s="29" t="str">
        <f ca="1">INDEX(INDIRECT($O$10),ROW(M99),COLUMN(M99))</f>
        <v>military</v>
      </c>
      <c r="N99" s="2" t="str">
        <f ca="1">IF(ISNUMBER($C99),codeEAN13(INT(C99/10)),"")</f>
        <v>8APASPA*aaaaae+</v>
      </c>
    </row>
    <row r="100" spans="1:14" ht="31.5" x14ac:dyDescent="0.45">
      <c r="A100" s="3" t="str">
        <f ca="1">INDEX(INDIRECT($O$10),ROW(A100),COLUMN(A100))</f>
        <v>'093</v>
      </c>
      <c r="B100" s="3">
        <f ca="1">INDEX(INDIRECT($O$10),ROW(B100),COLUMN(B100))</f>
        <v>26</v>
      </c>
      <c r="C100" s="5">
        <f ca="1">INDEX(INDIRECT($O$10),ROW(C100),COLUMN(C100))</f>
        <v>8050850000000</v>
      </c>
      <c r="D100" s="8" t="str">
        <f ca="1">INDEX(INDIRECT($O$10),ROW(D100),COLUMN(D100))</f>
        <v>OBAGP206-ECS29-017</v>
      </c>
      <c r="E100" s="12" t="str">
        <f ca="1">INDEX(INDIRECT($O$10),ROW(E100),COLUMN(E100))</f>
        <v>RABAT AVEC BOUCLE O POCKET EN FAUX CUIR IMPRIME COCO</v>
      </c>
      <c r="F100" s="18" t="str">
        <f ca="1">INDEX(INDIRECT($O$10),ROW(F100),COLUMN(F100))</f>
        <v>UNICA</v>
      </c>
      <c r="G100" s="10">
        <f ca="1">INDEX(INDIRECT($O$10),ROW(G100),COLUMN(G100))</f>
        <v>2</v>
      </c>
      <c r="H100" s="20">
        <f ca="1">INDEX(INDIRECT($O$10),ROW(H100),COLUMN(H100))</f>
        <v>13.33</v>
      </c>
      <c r="I100" s="22">
        <f ca="1">INDEX(INDIRECT($O$10),ROW(I100),COLUMN(I100))</f>
        <v>26.66</v>
      </c>
      <c r="J100" s="14" t="str">
        <f ca="1">INDEX(INDIRECT($O$10),ROW(J100),COLUMN(J100))</f>
        <v xml:space="preserve"> </v>
      </c>
      <c r="K100" s="16" t="str">
        <f ca="1">INDEX(INDIRECT($O$10),ROW(K100),COLUMN(K100))</f>
        <v xml:space="preserve"> </v>
      </c>
      <c r="L100" s="27" t="str">
        <f ca="1">INDEX(INDIRECT($O$10),ROW(L100),COLUMN(L100))</f>
        <v xml:space="preserve"> </v>
      </c>
      <c r="M100" s="29" t="str">
        <f ca="1">INDEX(INDIRECT($O$10),ROW(M100),COLUMN(M100))</f>
        <v>blu navy</v>
      </c>
      <c r="N100" s="2" t="str">
        <f ca="1">IF(ISNUMBER($C100),codeEAN13(INT(C100/10)),"")</f>
        <v>8APASPA*aaaaae+</v>
      </c>
    </row>
    <row r="101" spans="1:14" ht="31.5" x14ac:dyDescent="0.45">
      <c r="A101" s="3" t="str">
        <f ca="1">INDEX(INDIRECT($O$10),ROW(A101),COLUMN(A101))</f>
        <v>'094</v>
      </c>
      <c r="B101" s="3">
        <f ca="1">INDEX(INDIRECT($O$10),ROW(B101),COLUMN(B101))</f>
        <v>100</v>
      </c>
      <c r="C101" s="5">
        <f ca="1">INDEX(INDIRECT($O$10),ROW(C101),COLUMN(C101))</f>
        <v>8050850000000</v>
      </c>
      <c r="D101" s="8" t="str">
        <f ca="1">INDEX(INDIRECT($O$10),ROW(D101),COLUMN(D101))</f>
        <v>OBAGP206-ECS29-084</v>
      </c>
      <c r="E101" s="12" t="str">
        <f ca="1">INDEX(INDIRECT($O$10),ROW(E101),COLUMN(E101))</f>
        <v>RABAT AVEC BOUCLE O POCKET EN FAUX CUIR IMPRIME COCO</v>
      </c>
      <c r="F101" s="18" t="str">
        <f ca="1">INDEX(INDIRECT($O$10),ROW(F101),COLUMN(F101))</f>
        <v>UNICA</v>
      </c>
      <c r="G101" s="10">
        <f ca="1">INDEX(INDIRECT($O$10),ROW(G101),COLUMN(G101))</f>
        <v>2</v>
      </c>
      <c r="H101" s="20">
        <f ca="1">INDEX(INDIRECT($O$10),ROW(H101),COLUMN(H101))</f>
        <v>13.33</v>
      </c>
      <c r="I101" s="22">
        <f ca="1">INDEX(INDIRECT($O$10),ROW(I101),COLUMN(I101))</f>
        <v>26.66</v>
      </c>
      <c r="J101" s="14" t="str">
        <f ca="1">INDEX(INDIRECT($O$10),ROW(J101),COLUMN(J101))</f>
        <v xml:space="preserve"> </v>
      </c>
      <c r="K101" s="16" t="str">
        <f ca="1">INDEX(INDIRECT($O$10),ROW(K101),COLUMN(K101))</f>
        <v xml:space="preserve"> </v>
      </c>
      <c r="L101" s="27" t="str">
        <f ca="1">INDEX(INDIRECT($O$10),ROW(L101),COLUMN(L101))</f>
        <v xml:space="preserve"> </v>
      </c>
      <c r="M101" s="29" t="str">
        <f ca="1">INDEX(INDIRECT($O$10),ROW(M101),COLUMN(M101))</f>
        <v>testa di moro</v>
      </c>
      <c r="N101" s="2" t="str">
        <f ca="1">IF(ISNUMBER($C101),codeEAN13(INT(C101/10)),"")</f>
        <v>8APASPA*aaaaae+</v>
      </c>
    </row>
    <row r="102" spans="1:14" ht="31.5" x14ac:dyDescent="0.45">
      <c r="A102" s="3" t="str">
        <f ca="1">INDEX(INDIRECT($O$10),ROW(A102),COLUMN(A102))</f>
        <v>'095</v>
      </c>
      <c r="B102" s="3">
        <f ca="1">INDEX(INDIRECT($O$10),ROW(B102),COLUMN(B102))</f>
        <v>166</v>
      </c>
      <c r="C102" s="5">
        <f ca="1">INDEX(INDIRECT($O$10),ROW(C102),COLUMN(C102))</f>
        <v>8050850000000</v>
      </c>
      <c r="D102" s="8" t="str">
        <f ca="1">INDEX(INDIRECT($O$10),ROW(D102),COLUMN(D102))</f>
        <v>OBAGPA06-ECSC8-055</v>
      </c>
      <c r="E102" s="12" t="str">
        <f ca="1">INDEX(INDIRECT($O$10),ROW(E102),COLUMN(E102))</f>
        <v>RABAT TOURNIQUET O POCKET EN FAUX CUIR ACTIVE STRIPES</v>
      </c>
      <c r="F102" s="18" t="str">
        <f ca="1">INDEX(INDIRECT($O$10),ROW(F102),COLUMN(F102))</f>
        <v>UNICA</v>
      </c>
      <c r="G102" s="10">
        <f ca="1">INDEX(INDIRECT($O$10),ROW(G102),COLUMN(G102))</f>
        <v>2</v>
      </c>
      <c r="H102" s="20">
        <f ca="1">INDEX(INDIRECT($O$10),ROW(H102),COLUMN(H102))</f>
        <v>11.85</v>
      </c>
      <c r="I102" s="22">
        <f ca="1">INDEX(INDIRECT($O$10),ROW(I102),COLUMN(I102))</f>
        <v>23.7</v>
      </c>
      <c r="J102" s="14" t="str">
        <f ca="1">INDEX(INDIRECT($O$10),ROW(J102),COLUMN(J102))</f>
        <v xml:space="preserve"> </v>
      </c>
      <c r="K102" s="16" t="str">
        <f ca="1">INDEX(INDIRECT($O$10),ROW(K102),COLUMN(K102))</f>
        <v xml:space="preserve"> </v>
      </c>
      <c r="L102" s="27" t="str">
        <f ca="1">INDEX(INDIRECT($O$10),ROW(L102),COLUMN(L102))</f>
        <v xml:space="preserve"> </v>
      </c>
      <c r="M102" s="29" t="str">
        <f ca="1">INDEX(INDIRECT($O$10),ROW(M102),COLUMN(M102))</f>
        <v>nero</v>
      </c>
      <c r="N102" s="2" t="str">
        <f ca="1">IF(ISNUMBER($C102),codeEAN13(INT(C102/10)),"")</f>
        <v>8APASPA*aaaaae+</v>
      </c>
    </row>
    <row r="103" spans="1:14" ht="31.5" x14ac:dyDescent="0.45">
      <c r="A103" s="3" t="str">
        <f ca="1">INDEX(INDIRECT($O$10),ROW(A103),COLUMN(A103))</f>
        <v>'096</v>
      </c>
      <c r="B103" s="3">
        <f ca="1">INDEX(INDIRECT($O$10),ROW(B103),COLUMN(B103))</f>
        <v>150</v>
      </c>
      <c r="C103" s="5">
        <f ca="1">INDEX(INDIRECT($O$10),ROW(C103),COLUMN(C103))</f>
        <v>8050850000000</v>
      </c>
      <c r="D103" s="8" t="str">
        <f ca="1">INDEX(INDIRECT($O$10),ROW(D103),COLUMN(D103))</f>
        <v>OBAGPA06-ECSC8-137</v>
      </c>
      <c r="E103" s="12" t="str">
        <f ca="1">INDEX(INDIRECT($O$10),ROW(E103),COLUMN(E103))</f>
        <v>RABAT TOURNIQUET O POCKET EN FAUX CUIR ACTIVE STRIPES</v>
      </c>
      <c r="F103" s="18" t="str">
        <f ca="1">INDEX(INDIRECT($O$10),ROW(F103),COLUMN(F103))</f>
        <v>UNICA</v>
      </c>
      <c r="G103" s="10">
        <f ca="1">INDEX(INDIRECT($O$10),ROW(G103),COLUMN(G103))</f>
        <v>2</v>
      </c>
      <c r="H103" s="20">
        <f ca="1">INDEX(INDIRECT($O$10),ROW(H103),COLUMN(H103))</f>
        <v>11.85</v>
      </c>
      <c r="I103" s="22">
        <f ca="1">INDEX(INDIRECT($O$10),ROW(I103),COLUMN(I103))</f>
        <v>23.7</v>
      </c>
      <c r="J103" s="14" t="str">
        <f ca="1">INDEX(INDIRECT($O$10),ROW(J103),COLUMN(J103))</f>
        <v xml:space="preserve"> </v>
      </c>
      <c r="K103" s="16" t="str">
        <f ca="1">INDEX(INDIRECT($O$10),ROW(K103),COLUMN(K103))</f>
        <v xml:space="preserve"> </v>
      </c>
      <c r="L103" s="27" t="str">
        <f ca="1">INDEX(INDIRECT($O$10),ROW(L103),COLUMN(L103))</f>
        <v xml:space="preserve"> </v>
      </c>
      <c r="M103" s="29" t="str">
        <f ca="1">INDEX(INDIRECT($O$10),ROW(M103),COLUMN(M103))</f>
        <v>bluette</v>
      </c>
      <c r="N103" s="2" t="str">
        <f ca="1">IF(ISNUMBER($C103),codeEAN13(INT(C103/10)),"")</f>
        <v>8APASPA*aaaaae+</v>
      </c>
    </row>
    <row r="104" spans="1:14" ht="31.5" x14ac:dyDescent="0.45">
      <c r="A104" s="3" t="str">
        <f ca="1">INDEX(INDIRECT($O$10),ROW(A104),COLUMN(A104))</f>
        <v>'097</v>
      </c>
      <c r="B104" s="3">
        <f ca="1">INDEX(INDIRECT($O$10),ROW(B104),COLUMN(B104))</f>
        <v>21</v>
      </c>
      <c r="C104" s="5">
        <f ca="1">INDEX(INDIRECT($O$10),ROW(C104),COLUMN(C104))</f>
        <v>8050850000000</v>
      </c>
      <c r="D104" s="8" t="str">
        <f ca="1">INDEX(INDIRECT($O$10),ROW(D104),COLUMN(D104))</f>
        <v>OBAGPB34-ECS29-017</v>
      </c>
      <c r="E104" s="12" t="str">
        <f ca="1">INDEX(INDIRECT($O$10),ROW(E104),COLUMN(E104))</f>
        <v>RABAT BASIC O BAG GLAM EN FAUX CUIR IMPRIME COCO</v>
      </c>
      <c r="F104" s="18" t="str">
        <f ca="1">INDEX(INDIRECT($O$10),ROW(F104),COLUMN(F104))</f>
        <v>UNICA</v>
      </c>
      <c r="G104" s="10">
        <f ca="1">INDEX(INDIRECT($O$10),ROW(G104),COLUMN(G104))</f>
        <v>1</v>
      </c>
      <c r="H104" s="20">
        <f ca="1">INDEX(INDIRECT($O$10),ROW(H104),COLUMN(H104))</f>
        <v>12.59</v>
      </c>
      <c r="I104" s="22">
        <f ca="1">INDEX(INDIRECT($O$10),ROW(I104),COLUMN(I104))</f>
        <v>12.59</v>
      </c>
      <c r="J104" s="14" t="str">
        <f ca="1">INDEX(INDIRECT($O$10),ROW(J104),COLUMN(J104))</f>
        <v xml:space="preserve"> </v>
      </c>
      <c r="K104" s="16" t="str">
        <f ca="1">INDEX(INDIRECT($O$10),ROW(K104),COLUMN(K104))</f>
        <v xml:space="preserve"> </v>
      </c>
      <c r="L104" s="27" t="str">
        <f ca="1">INDEX(INDIRECT($O$10),ROW(L104),COLUMN(L104))</f>
        <v xml:space="preserve"> </v>
      </c>
      <c r="M104" s="29" t="str">
        <f ca="1">INDEX(INDIRECT($O$10),ROW(M104),COLUMN(M104))</f>
        <v>blu navy</v>
      </c>
      <c r="N104" s="2" t="str">
        <f ca="1">IF(ISNUMBER($C104),codeEAN13(INT(C104/10)),"")</f>
        <v>8APASPA*aaaaae+</v>
      </c>
    </row>
    <row r="105" spans="1:14" ht="31.5" x14ac:dyDescent="0.45">
      <c r="A105" s="3" t="str">
        <f ca="1">INDEX(INDIRECT($O$10),ROW(A105),COLUMN(A105))</f>
        <v>'098</v>
      </c>
      <c r="B105" s="3">
        <f ca="1">INDEX(INDIRECT($O$10),ROW(B105),COLUMN(B105))</f>
        <v>105</v>
      </c>
      <c r="C105" s="5">
        <f ca="1">INDEX(INDIRECT($O$10),ROW(C105),COLUMN(C105))</f>
        <v>8050850000000</v>
      </c>
      <c r="D105" s="8" t="str">
        <f ca="1">INDEX(INDIRECT($O$10),ROW(D105),COLUMN(D105))</f>
        <v>OBAGPB34-ECS29-084</v>
      </c>
      <c r="E105" s="12" t="str">
        <f ca="1">INDEX(INDIRECT($O$10),ROW(E105),COLUMN(E105))</f>
        <v>RABAT BASIC O BAG GLAM EN FAUX CUIR IMPRIME COCO</v>
      </c>
      <c r="F105" s="18" t="str">
        <f ca="1">INDEX(INDIRECT($O$10),ROW(F105),COLUMN(F105))</f>
        <v>UNICA</v>
      </c>
      <c r="G105" s="10">
        <f ca="1">INDEX(INDIRECT($O$10),ROW(G105),COLUMN(G105))</f>
        <v>1</v>
      </c>
      <c r="H105" s="20">
        <f ca="1">INDEX(INDIRECT($O$10),ROW(H105),COLUMN(H105))</f>
        <v>12.59</v>
      </c>
      <c r="I105" s="22">
        <f ca="1">INDEX(INDIRECT($O$10),ROW(I105),COLUMN(I105))</f>
        <v>12.59</v>
      </c>
      <c r="J105" s="14" t="str">
        <f ca="1">INDEX(INDIRECT($O$10),ROW(J105),COLUMN(J105))</f>
        <v xml:space="preserve"> </v>
      </c>
      <c r="K105" s="16" t="str">
        <f ca="1">INDEX(INDIRECT($O$10),ROW(K105),COLUMN(K105))</f>
        <v xml:space="preserve"> </v>
      </c>
      <c r="L105" s="27" t="str">
        <f ca="1">INDEX(INDIRECT($O$10),ROW(L105),COLUMN(L105))</f>
        <v xml:space="preserve"> </v>
      </c>
      <c r="M105" s="29" t="str">
        <f ca="1">INDEX(INDIRECT($O$10),ROW(M105),COLUMN(M105))</f>
        <v>testa di moro</v>
      </c>
      <c r="N105" s="2" t="str">
        <f ca="1">IF(ISNUMBER($C105),codeEAN13(INT(C105/10)),"")</f>
        <v>8APASPA*aaaaae+</v>
      </c>
    </row>
    <row r="106" spans="1:14" ht="31.5" x14ac:dyDescent="0.45">
      <c r="A106" s="3" t="str">
        <f ca="1">INDEX(INDIRECT($O$10),ROW(A106),COLUMN(A106))</f>
        <v>'099</v>
      </c>
      <c r="B106" s="3">
        <f ca="1">INDEX(INDIRECT($O$10),ROW(B106),COLUMN(B106))</f>
        <v>120</v>
      </c>
      <c r="C106" s="5">
        <f ca="1">INDEX(INDIRECT($O$10),ROW(C106),COLUMN(C106))</f>
        <v>8050850000000</v>
      </c>
      <c r="D106" s="8" t="str">
        <f ca="1">INDEX(INDIRECT($O$10),ROW(D106),COLUMN(D106))</f>
        <v>OBAGPB34-ECSD5-137</v>
      </c>
      <c r="E106" s="12" t="str">
        <f ca="1">INDEX(INDIRECT($O$10),ROW(E106),COLUMN(E106))</f>
        <v>RABAT BASIC O BAG GLAM EN FAUX CUIR IMPRIME PATCH ACTIVE</v>
      </c>
      <c r="F106" s="18" t="str">
        <f ca="1">INDEX(INDIRECT($O$10),ROW(F106),COLUMN(F106))</f>
        <v>UNICA</v>
      </c>
      <c r="G106" s="10">
        <f ca="1">INDEX(INDIRECT($O$10),ROW(G106),COLUMN(G106))</f>
        <v>1</v>
      </c>
      <c r="H106" s="20">
        <f ca="1">INDEX(INDIRECT($O$10),ROW(H106),COLUMN(H106))</f>
        <v>13.33</v>
      </c>
      <c r="I106" s="22">
        <f ca="1">INDEX(INDIRECT($O$10),ROW(I106),COLUMN(I106))</f>
        <v>13.33</v>
      </c>
      <c r="J106" s="14" t="str">
        <f ca="1">INDEX(INDIRECT($O$10),ROW(J106),COLUMN(J106))</f>
        <v xml:space="preserve"> </v>
      </c>
      <c r="K106" s="16" t="str">
        <f ca="1">INDEX(INDIRECT($O$10),ROW(K106),COLUMN(K106))</f>
        <v xml:space="preserve"> </v>
      </c>
      <c r="L106" s="27" t="str">
        <f ca="1">INDEX(INDIRECT($O$10),ROW(L106),COLUMN(L106))</f>
        <v xml:space="preserve"> </v>
      </c>
      <c r="M106" s="29" t="str">
        <f ca="1">INDEX(INDIRECT($O$10),ROW(M106),COLUMN(M106))</f>
        <v>bluette</v>
      </c>
      <c r="N106" s="2" t="str">
        <f ca="1">IF(ISNUMBER($C106),codeEAN13(INT(C106/10)),"")</f>
        <v>8APASPA*aaaaae+</v>
      </c>
    </row>
    <row r="107" spans="1:14" ht="31.5" x14ac:dyDescent="0.45">
      <c r="A107" s="3" t="str">
        <f ca="1">INDEX(INDIRECT($O$10),ROW(A107),COLUMN(A107))</f>
        <v>'100</v>
      </c>
      <c r="B107" s="3">
        <f ca="1">INDEX(INDIRECT($O$10),ROW(B107),COLUMN(B107))</f>
        <v>18</v>
      </c>
      <c r="C107" s="5">
        <f ca="1">INDEX(INDIRECT($O$10),ROW(C107),COLUMN(C107))</f>
        <v>8050850000000</v>
      </c>
      <c r="D107" s="8" t="str">
        <f ca="1">INDEX(INDIRECT($O$10),ROW(D107),COLUMN(D107))</f>
        <v>OBAGPB34-ECSD5-371</v>
      </c>
      <c r="E107" s="12" t="str">
        <f ca="1">INDEX(INDIRECT($O$10),ROW(E107),COLUMN(E107))</f>
        <v>RABAT BASIC O BAG GLAM EN FAUX CUIR IMPRIME PATCH ACTIVE</v>
      </c>
      <c r="F107" s="18" t="str">
        <f ca="1">INDEX(INDIRECT($O$10),ROW(F107),COLUMN(F107))</f>
        <v>UNICA</v>
      </c>
      <c r="G107" s="10">
        <f ca="1">INDEX(INDIRECT($O$10),ROW(G107),COLUMN(G107))</f>
        <v>1</v>
      </c>
      <c r="H107" s="20">
        <f ca="1">INDEX(INDIRECT($O$10),ROW(H107),COLUMN(H107))</f>
        <v>13.33</v>
      </c>
      <c r="I107" s="22">
        <f ca="1">INDEX(INDIRECT($O$10),ROW(I107),COLUMN(I107))</f>
        <v>13.33</v>
      </c>
      <c r="J107" s="14" t="str">
        <f ca="1">INDEX(INDIRECT($O$10),ROW(J107),COLUMN(J107))</f>
        <v xml:space="preserve"> </v>
      </c>
      <c r="K107" s="16" t="str">
        <f ca="1">INDEX(INDIRECT($O$10),ROW(K107),COLUMN(K107))</f>
        <v xml:space="preserve"> </v>
      </c>
      <c r="L107" s="27" t="str">
        <f ca="1">INDEX(INDIRECT($O$10),ROW(L107),COLUMN(L107))</f>
        <v xml:space="preserve"> </v>
      </c>
      <c r="M107" s="29" t="str">
        <f ca="1">INDEX(INDIRECT($O$10),ROW(M107),COLUMN(M107))</f>
        <v>latte</v>
      </c>
      <c r="N107" s="2" t="str">
        <f ca="1">IF(ISNUMBER($C107),codeEAN13(INT(C107/10)),"")</f>
        <v>8APASPA*aaaaae+</v>
      </c>
    </row>
    <row r="108" spans="1:14" ht="31.5" x14ac:dyDescent="0.45">
      <c r="A108" s="3" t="str">
        <f ca="1">INDEX(INDIRECT($O$10),ROW(A108),COLUMN(A108))</f>
        <v>'101</v>
      </c>
      <c r="B108" s="3">
        <f ca="1">INDEX(INDIRECT($O$10),ROW(B108),COLUMN(B108))</f>
        <v>169</v>
      </c>
      <c r="C108" s="5">
        <f ca="1">INDEX(INDIRECT($O$10),ROW(C108),COLUMN(C108))</f>
        <v>8050850000000</v>
      </c>
      <c r="D108" s="8" t="str">
        <f ca="1">INDEX(INDIRECT($O$10),ROW(D108),COLUMN(D108))</f>
        <v>OBAGPC48-ECSE2-017</v>
      </c>
      <c r="E108" s="12" t="str">
        <f ca="1">INDEX(INDIRECT($O$10),ROW(E108),COLUMN(E108))</f>
        <v>RABAT AVEC CHAINE O BAG SHEEN EN FAUX CUIR EFFET GRIFFE ARABESQUE</v>
      </c>
      <c r="F108" s="18" t="str">
        <f ca="1">INDEX(INDIRECT($O$10),ROW(F108),COLUMN(F108))</f>
        <v>UNICA</v>
      </c>
      <c r="G108" s="10">
        <f ca="1">INDEX(INDIRECT($O$10),ROW(G108),COLUMN(G108))</f>
        <v>1</v>
      </c>
      <c r="H108" s="20">
        <f ca="1">INDEX(INDIRECT($O$10),ROW(H108),COLUMN(H108))</f>
        <v>20</v>
      </c>
      <c r="I108" s="22">
        <f ca="1">INDEX(INDIRECT($O$10),ROW(I108),COLUMN(I108))</f>
        <v>20</v>
      </c>
      <c r="J108" s="14" t="str">
        <f ca="1">INDEX(INDIRECT($O$10),ROW(J108),COLUMN(J108))</f>
        <v xml:space="preserve"> </v>
      </c>
      <c r="K108" s="16" t="str">
        <f ca="1">INDEX(INDIRECT($O$10),ROW(K108),COLUMN(K108))</f>
        <v xml:space="preserve"> </v>
      </c>
      <c r="L108" s="27" t="str">
        <f ca="1">INDEX(INDIRECT($O$10),ROW(L108),COLUMN(L108))</f>
        <v xml:space="preserve"> </v>
      </c>
      <c r="M108" s="29" t="str">
        <f ca="1">INDEX(INDIRECT($O$10),ROW(M108),COLUMN(M108))</f>
        <v>blu navy</v>
      </c>
      <c r="N108" s="2" t="str">
        <f ca="1">IF(ISNUMBER($C108),codeEAN13(INT(C108/10)),"")</f>
        <v>8APASPA*aaaaae+</v>
      </c>
    </row>
    <row r="109" spans="1:14" ht="31.5" x14ac:dyDescent="0.45">
      <c r="A109" s="3" t="str">
        <f ca="1">INDEX(INDIRECT($O$10),ROW(A109),COLUMN(A109))</f>
        <v>'102</v>
      </c>
      <c r="B109" s="3">
        <f ca="1">INDEX(INDIRECT($O$10),ROW(B109),COLUMN(B109))</f>
        <v>51</v>
      </c>
      <c r="C109" s="5">
        <f ca="1">INDEX(INDIRECT($O$10),ROW(C109),COLUMN(C109))</f>
        <v>8050850000000</v>
      </c>
      <c r="D109" s="8" t="str">
        <f ca="1">INDEX(INDIRECT($O$10),ROW(D109),COLUMN(D109))</f>
        <v>OBAGPC48-ECSE3-055</v>
      </c>
      <c r="E109" s="12" t="str">
        <f ca="1">INDEX(INDIRECT($O$10),ROW(E109),COLUMN(E109))</f>
        <v>RABAT AVEC CHAINE O BAG SHEEN EN FAUX CUIR EFFET GRIFFE ORCHIDEE</v>
      </c>
      <c r="F109" s="18" t="str">
        <f ca="1">INDEX(INDIRECT($O$10),ROW(F109),COLUMN(F109))</f>
        <v>UNICA</v>
      </c>
      <c r="G109" s="10">
        <f ca="1">INDEX(INDIRECT($O$10),ROW(G109),COLUMN(G109))</f>
        <v>1</v>
      </c>
      <c r="H109" s="20">
        <f ca="1">INDEX(INDIRECT($O$10),ROW(H109),COLUMN(H109))</f>
        <v>20</v>
      </c>
      <c r="I109" s="22">
        <f ca="1">INDEX(INDIRECT($O$10),ROW(I109),COLUMN(I109))</f>
        <v>20</v>
      </c>
      <c r="J109" s="14" t="str">
        <f ca="1">INDEX(INDIRECT($O$10),ROW(J109),COLUMN(J109))</f>
        <v xml:space="preserve"> </v>
      </c>
      <c r="K109" s="16" t="str">
        <f ca="1">INDEX(INDIRECT($O$10),ROW(K109),COLUMN(K109))</f>
        <v xml:space="preserve"> </v>
      </c>
      <c r="L109" s="27" t="str">
        <f ca="1">INDEX(INDIRECT($O$10),ROW(L109),COLUMN(L109))</f>
        <v xml:space="preserve"> </v>
      </c>
      <c r="M109" s="29" t="str">
        <f ca="1">INDEX(INDIRECT($O$10),ROW(M109),COLUMN(M109))</f>
        <v>nero</v>
      </c>
      <c r="N109" s="2" t="str">
        <f ca="1">IF(ISNUMBER($C109),codeEAN13(INT(C109/10)),"")</f>
        <v>8APASPA*aaaaae+</v>
      </c>
    </row>
    <row r="110" spans="1:14" ht="31.5" x14ac:dyDescent="0.45">
      <c r="A110" s="3" t="str">
        <f ca="1">INDEX(INDIRECT($O$10),ROW(A110),COLUMN(A110))</f>
        <v>'103</v>
      </c>
      <c r="B110" s="3">
        <f ca="1">INDEX(INDIRECT($O$10),ROW(B110),COLUMN(B110))</f>
        <v>194</v>
      </c>
      <c r="C110" s="5">
        <f ca="1">INDEX(INDIRECT($O$10),ROW(C110),COLUMN(C110))</f>
        <v>8050850000000</v>
      </c>
      <c r="D110" s="8" t="str">
        <f ca="1">INDEX(INDIRECT($O$10),ROW(D110),COLUMN(D110))</f>
        <v>OBAGPF34-ECSC9-055</v>
      </c>
      <c r="E110" s="12" t="str">
        <f ca="1">INDEX(INDIRECT($O$10),ROW(E110),COLUMN(E110))</f>
        <v>RABAT TROUE Ã€ BANDEAU O BAG GLAM EN FAUX CUIR IMPRIME ATHLEISURE</v>
      </c>
      <c r="F110" s="18" t="str">
        <f ca="1">INDEX(INDIRECT($O$10),ROW(F110),COLUMN(F110))</f>
        <v>UNICA</v>
      </c>
      <c r="G110" s="10">
        <f ca="1">INDEX(INDIRECT($O$10),ROW(G110),COLUMN(G110))</f>
        <v>1</v>
      </c>
      <c r="H110" s="20">
        <f ca="1">INDEX(INDIRECT($O$10),ROW(H110),COLUMN(H110))</f>
        <v>20</v>
      </c>
      <c r="I110" s="22">
        <f ca="1">INDEX(INDIRECT($O$10),ROW(I110),COLUMN(I110))</f>
        <v>20</v>
      </c>
      <c r="J110" s="14" t="str">
        <f ca="1">INDEX(INDIRECT($O$10),ROW(J110),COLUMN(J110))</f>
        <v xml:space="preserve"> </v>
      </c>
      <c r="K110" s="16" t="str">
        <f ca="1">INDEX(INDIRECT($O$10),ROW(K110),COLUMN(K110))</f>
        <v xml:space="preserve"> </v>
      </c>
      <c r="L110" s="27" t="str">
        <f ca="1">INDEX(INDIRECT($O$10),ROW(L110),COLUMN(L110))</f>
        <v xml:space="preserve"> </v>
      </c>
      <c r="M110" s="29" t="str">
        <f ca="1">INDEX(INDIRECT($O$10),ROW(M110),COLUMN(M110))</f>
        <v>nero</v>
      </c>
      <c r="N110" s="2" t="str">
        <f ca="1">IF(ISNUMBER($C110),codeEAN13(INT(C110/10)),"")</f>
        <v>8APASPA*aaaaae+</v>
      </c>
    </row>
    <row r="111" spans="1:14" ht="31.5" x14ac:dyDescent="0.45">
      <c r="A111" s="3" t="str">
        <f ca="1">INDEX(INDIRECT($O$10),ROW(A111),COLUMN(A111))</f>
        <v>'104</v>
      </c>
      <c r="B111" s="3">
        <f ca="1">INDEX(INDIRECT($O$10),ROW(B111),COLUMN(B111))</f>
        <v>106</v>
      </c>
      <c r="C111" s="5">
        <f ca="1">INDEX(INDIRECT($O$10),ROW(C111),COLUMN(C111))</f>
        <v>8050850000000</v>
      </c>
      <c r="D111" s="8" t="str">
        <f ca="1">INDEX(INDIRECT($O$10),ROW(D111),COLUMN(D111))</f>
        <v>OBAGPF34-ECSC9-137</v>
      </c>
      <c r="E111" s="12" t="str">
        <f ca="1">INDEX(INDIRECT($O$10),ROW(E111),COLUMN(E111))</f>
        <v>RABAT TROUE Ã€ BANDEAU O BAG GLAM EN FAUX CUIR IMPRIME ATHLEISURE</v>
      </c>
      <c r="F111" s="18" t="str">
        <f ca="1">INDEX(INDIRECT($O$10),ROW(F111),COLUMN(F111))</f>
        <v>UNICA</v>
      </c>
      <c r="G111" s="10">
        <f ca="1">INDEX(INDIRECT($O$10),ROW(G111),COLUMN(G111))</f>
        <v>1</v>
      </c>
      <c r="H111" s="20">
        <f ca="1">INDEX(INDIRECT($O$10),ROW(H111),COLUMN(H111))</f>
        <v>20</v>
      </c>
      <c r="I111" s="22">
        <f ca="1">INDEX(INDIRECT($O$10),ROW(I111),COLUMN(I111))</f>
        <v>20</v>
      </c>
      <c r="J111" s="14" t="str">
        <f ca="1">INDEX(INDIRECT($O$10),ROW(J111),COLUMN(J111))</f>
        <v xml:space="preserve"> </v>
      </c>
      <c r="K111" s="16" t="str">
        <f ca="1">INDEX(INDIRECT($O$10),ROW(K111),COLUMN(K111))</f>
        <v xml:space="preserve"> </v>
      </c>
      <c r="L111" s="27" t="str">
        <f ca="1">INDEX(INDIRECT($O$10),ROW(L111),COLUMN(L111))</f>
        <v xml:space="preserve"> </v>
      </c>
      <c r="M111" s="29" t="str">
        <f ca="1">INDEX(INDIRECT($O$10),ROW(M111),COLUMN(M111))</f>
        <v>bluette</v>
      </c>
      <c r="N111" s="2" t="str">
        <f ca="1">IF(ISNUMBER($C111),codeEAN13(INT(C111/10)),"")</f>
        <v>8APASPA*aaaaae+</v>
      </c>
    </row>
    <row r="112" spans="1:14" ht="31.5" x14ac:dyDescent="0.45">
      <c r="A112" s="3" t="str">
        <f ca="1">INDEX(INDIRECT($O$10),ROW(A112),COLUMN(A112))</f>
        <v>'105</v>
      </c>
      <c r="B112" s="3">
        <f ca="1">INDEX(INDIRECT($O$10),ROW(B112),COLUMN(B112))</f>
        <v>112</v>
      </c>
      <c r="C112" s="5">
        <f ca="1">INDEX(INDIRECT($O$10),ROW(C112),COLUMN(C112))</f>
        <v>8050850000000</v>
      </c>
      <c r="D112" s="8" t="str">
        <f ca="1">INDEX(INDIRECT($O$10),ROW(D112),COLUMN(D112))</f>
        <v>OBAGPK06-ECS00-076</v>
      </c>
      <c r="E112" s="12" t="str">
        <f ca="1">INDEX(INDIRECT($O$10),ROW(E112),COLUMN(E112))</f>
        <v>RABAT EN CARTABLE O POCKET EN FAUX CUIR</v>
      </c>
      <c r="F112" s="18" t="str">
        <f ca="1">INDEX(INDIRECT($O$10),ROW(F112),COLUMN(F112))</f>
        <v>UNICA</v>
      </c>
      <c r="G112" s="10">
        <f ca="1">INDEX(INDIRECT($O$10),ROW(G112),COLUMN(G112))</f>
        <v>2</v>
      </c>
      <c r="H112" s="20">
        <f ca="1">INDEX(INDIRECT($O$10),ROW(H112),COLUMN(H112))</f>
        <v>13.33</v>
      </c>
      <c r="I112" s="22">
        <f ca="1">INDEX(INDIRECT($O$10),ROW(I112),COLUMN(I112))</f>
        <v>26.66</v>
      </c>
      <c r="J112" s="14" t="str">
        <f ca="1">INDEX(INDIRECT($O$10),ROW(J112),COLUMN(J112))</f>
        <v xml:space="preserve"> </v>
      </c>
      <c r="K112" s="16" t="str">
        <f ca="1">INDEX(INDIRECT($O$10),ROW(K112),COLUMN(K112))</f>
        <v xml:space="preserve"> </v>
      </c>
      <c r="L112" s="27" t="str">
        <f ca="1">INDEX(INDIRECT($O$10),ROW(L112),COLUMN(L112))</f>
        <v xml:space="preserve"> </v>
      </c>
      <c r="M112" s="29" t="str">
        <f ca="1">INDEX(INDIRECT($O$10),ROW(M112),COLUMN(M112))</f>
        <v>rosso</v>
      </c>
      <c r="N112" s="2" t="str">
        <f ca="1">IF(ISNUMBER($C112),codeEAN13(INT(C112/10)),"")</f>
        <v>8APASPA*aaaaae+</v>
      </c>
    </row>
    <row r="113" spans="1:14" ht="31.5" x14ac:dyDescent="0.45">
      <c r="A113" s="3" t="str">
        <f ca="1">INDEX(INDIRECT($O$10),ROW(A113),COLUMN(A113))</f>
        <v>'106</v>
      </c>
      <c r="B113" s="3">
        <f ca="1">INDEX(INDIRECT($O$10),ROW(B113),COLUMN(B113))</f>
        <v>143</v>
      </c>
      <c r="C113" s="5">
        <f ca="1">INDEX(INDIRECT($O$10),ROW(C113),COLUMN(C113))</f>
        <v>8050850000000</v>
      </c>
      <c r="D113" s="8" t="str">
        <f ca="1">INDEX(INDIRECT($O$10),ROW(D113),COLUMN(D113))</f>
        <v>OBAGPK06-ECS00-144</v>
      </c>
      <c r="E113" s="12" t="str">
        <f ca="1">INDEX(INDIRECT($O$10),ROW(E113),COLUMN(E113))</f>
        <v>RABAT EN CARTABLE O POCKET EN FAUX CUIR</v>
      </c>
      <c r="F113" s="18" t="str">
        <f ca="1">INDEX(INDIRECT($O$10),ROW(F113),COLUMN(F113))</f>
        <v>UNICA</v>
      </c>
      <c r="G113" s="10">
        <f ca="1">INDEX(INDIRECT($O$10),ROW(G113),COLUMN(G113))</f>
        <v>2</v>
      </c>
      <c r="H113" s="20">
        <f ca="1">INDEX(INDIRECT($O$10),ROW(H113),COLUMN(H113))</f>
        <v>13.33</v>
      </c>
      <c r="I113" s="22">
        <f ca="1">INDEX(INDIRECT($O$10),ROW(I113),COLUMN(I113))</f>
        <v>26.66</v>
      </c>
      <c r="J113" s="14" t="str">
        <f ca="1">INDEX(INDIRECT($O$10),ROW(J113),COLUMN(J113))</f>
        <v xml:space="preserve"> </v>
      </c>
      <c r="K113" s="16" t="str">
        <f ca="1">INDEX(INDIRECT($O$10),ROW(K113),COLUMN(K113))</f>
        <v xml:space="preserve"> </v>
      </c>
      <c r="L113" s="27" t="str">
        <f ca="1">INDEX(INDIRECT($O$10),ROW(L113),COLUMN(L113))</f>
        <v xml:space="preserve"> </v>
      </c>
      <c r="M113" s="29" t="str">
        <f ca="1">INDEX(INDIRECT($O$10),ROW(M113),COLUMN(M113))</f>
        <v>ginestra</v>
      </c>
      <c r="N113" s="2" t="str">
        <f ca="1">IF(ISNUMBER($C113),codeEAN13(INT(C113/10)),"")</f>
        <v>8APASPA*aaaaae+</v>
      </c>
    </row>
    <row r="114" spans="1:14" ht="31.5" x14ac:dyDescent="0.45">
      <c r="A114" s="3" t="str">
        <f ca="1">INDEX(INDIRECT($O$10),ROW(A114),COLUMN(A114))</f>
        <v>'107</v>
      </c>
      <c r="B114" s="3">
        <f ca="1">INDEX(INDIRECT($O$10),ROW(B114),COLUMN(B114))</f>
        <v>159</v>
      </c>
      <c r="C114" s="5">
        <f ca="1">INDEX(INDIRECT($O$10),ROW(C114),COLUMN(C114))</f>
        <v>8050850000000</v>
      </c>
      <c r="D114" s="8" t="str">
        <f ca="1">INDEX(INDIRECT($O$10),ROW(D114),COLUMN(D114))</f>
        <v>OBAGS001-TESBG-227</v>
      </c>
      <c r="E114" s="12" t="str">
        <f ca="1">INDEX(INDIRECT($O$10),ROW(E114),COLUMN(E114))</f>
        <v>POCHETTE INTERIEURE FERMETURE ECLAIR O BAG MINI EN TISSU PRINCE DE GALLES+ FLEURS</v>
      </c>
      <c r="F114" s="18" t="str">
        <f ca="1">INDEX(INDIRECT($O$10),ROW(F114),COLUMN(F114))</f>
        <v>UNICA</v>
      </c>
      <c r="G114" s="10">
        <f ca="1">INDEX(INDIRECT($O$10),ROW(G114),COLUMN(G114))</f>
        <v>2</v>
      </c>
      <c r="H114" s="20">
        <f ca="1">INDEX(INDIRECT($O$10),ROW(H114),COLUMN(H114))</f>
        <v>13.33</v>
      </c>
      <c r="I114" s="22">
        <f ca="1">INDEX(INDIRECT($O$10),ROW(I114),COLUMN(I114))</f>
        <v>26.66</v>
      </c>
      <c r="J114" s="14" t="str">
        <f ca="1">INDEX(INDIRECT($O$10),ROW(J114),COLUMN(J114))</f>
        <v xml:space="preserve"> </v>
      </c>
      <c r="K114" s="16" t="str">
        <f ca="1">INDEX(INDIRECT($O$10),ROW(K114),COLUMN(K114))</f>
        <v xml:space="preserve"> </v>
      </c>
      <c r="L114" s="27" t="str">
        <f ca="1">INDEX(INDIRECT($O$10),ROW(L114),COLUMN(L114))</f>
        <v xml:space="preserve"> </v>
      </c>
      <c r="M114" s="29" t="str">
        <f ca="1">INDEX(INDIRECT($O$10),ROW(M114),COLUMN(M114))</f>
        <v>bianco/nero</v>
      </c>
      <c r="N114" s="2" t="str">
        <f ca="1">IF(ISNUMBER($C114),codeEAN13(INT(C114/10)),"")</f>
        <v>8APASPA*aaaaae+</v>
      </c>
    </row>
    <row r="115" spans="1:14" ht="31.5" x14ac:dyDescent="0.45">
      <c r="A115" s="3" t="str">
        <f ca="1">INDEX(INDIRECT($O$10),ROW(A115),COLUMN(A115))</f>
        <v>'108</v>
      </c>
      <c r="B115" s="3">
        <f ca="1">INDEX(INDIRECT($O$10),ROW(B115),COLUMN(B115))</f>
        <v>215</v>
      </c>
      <c r="C115" s="5">
        <f ca="1">INDEX(INDIRECT($O$10),ROW(C115),COLUMN(C115))</f>
        <v>8050850000000</v>
      </c>
      <c r="D115" s="8" t="str">
        <f ca="1">INDEX(INDIRECT($O$10),ROW(D115),COLUMN(D115))</f>
        <v>OBAGS001-TESBK-055</v>
      </c>
      <c r="E115" s="12" t="str">
        <f ca="1">INDEX(INDIRECT($O$10),ROW(E115),COLUMN(E115))</f>
        <v>POCHETTE INTERIEURE FERMETURE ECLAIR O BAG EN TISSU DOUDOUNE Ã€ CHEVRONS</v>
      </c>
      <c r="F115" s="18" t="str">
        <f ca="1">INDEX(INDIRECT($O$10),ROW(F115),COLUMN(F115))</f>
        <v>UNICA</v>
      </c>
      <c r="G115" s="10">
        <f ca="1">INDEX(INDIRECT($O$10),ROW(G115),COLUMN(G115))</f>
        <v>2</v>
      </c>
      <c r="H115" s="20">
        <f ca="1">INDEX(INDIRECT($O$10),ROW(H115),COLUMN(H115))</f>
        <v>11.85</v>
      </c>
      <c r="I115" s="22">
        <f ca="1">INDEX(INDIRECT($O$10),ROW(I115),COLUMN(I115))</f>
        <v>23.7</v>
      </c>
      <c r="J115" s="14" t="str">
        <f ca="1">INDEX(INDIRECT($O$10),ROW(J115),COLUMN(J115))</f>
        <v xml:space="preserve"> </v>
      </c>
      <c r="K115" s="16" t="str">
        <f ca="1">INDEX(INDIRECT($O$10),ROW(K115),COLUMN(K115))</f>
        <v xml:space="preserve"> </v>
      </c>
      <c r="L115" s="27" t="str">
        <f ca="1">INDEX(INDIRECT($O$10),ROW(L115),COLUMN(L115))</f>
        <v xml:space="preserve"> </v>
      </c>
      <c r="M115" s="29" t="str">
        <f ca="1">INDEX(INDIRECT($O$10),ROW(M115),COLUMN(M115))</f>
        <v>nero</v>
      </c>
      <c r="N115" s="2" t="str">
        <f ca="1">IF(ISNUMBER($C115),codeEAN13(INT(C115/10)),"")</f>
        <v>8APASPA*aaaaae+</v>
      </c>
    </row>
    <row r="116" spans="1:14" ht="31.5" x14ac:dyDescent="0.45">
      <c r="A116" s="3" t="str">
        <f ca="1">INDEX(INDIRECT($O$10),ROW(A116),COLUMN(A116))</f>
        <v>'109</v>
      </c>
      <c r="B116" s="3">
        <f ca="1">INDEX(INDIRECT($O$10),ROW(B116),COLUMN(B116))</f>
        <v>43</v>
      </c>
      <c r="C116" s="5">
        <f ca="1">INDEX(INDIRECT($O$10),ROW(C116),COLUMN(C116))</f>
        <v>8050850000000</v>
      </c>
      <c r="D116" s="8" t="str">
        <f ca="1">INDEX(INDIRECT($O$10),ROW(D116),COLUMN(D116))</f>
        <v>OBAGS001-TESBK-137</v>
      </c>
      <c r="E116" s="12" t="str">
        <f ca="1">INDEX(INDIRECT($O$10),ROW(E116),COLUMN(E116))</f>
        <v>POCHETTE INTERIEURE FERMETURE ECLAIR O BAG EN TISSU DOUDOUNE Ã€ CHEVRONS</v>
      </c>
      <c r="F116" s="18" t="str">
        <f ca="1">INDEX(INDIRECT($O$10),ROW(F116),COLUMN(F116))</f>
        <v>UNICA</v>
      </c>
      <c r="G116" s="10">
        <f ca="1">INDEX(INDIRECT($O$10),ROW(G116),COLUMN(G116))</f>
        <v>2</v>
      </c>
      <c r="H116" s="20">
        <f ca="1">INDEX(INDIRECT($O$10),ROW(H116),COLUMN(H116))</f>
        <v>11.85</v>
      </c>
      <c r="I116" s="22">
        <f ca="1">INDEX(INDIRECT($O$10),ROW(I116),COLUMN(I116))</f>
        <v>23.7</v>
      </c>
      <c r="J116" s="14" t="str">
        <f ca="1">INDEX(INDIRECT($O$10),ROW(J116),COLUMN(J116))</f>
        <v xml:space="preserve"> </v>
      </c>
      <c r="K116" s="16" t="str">
        <f ca="1">INDEX(INDIRECT($O$10),ROW(K116),COLUMN(K116))</f>
        <v xml:space="preserve"> </v>
      </c>
      <c r="L116" s="27" t="str">
        <f ca="1">INDEX(INDIRECT($O$10),ROW(L116),COLUMN(L116))</f>
        <v xml:space="preserve"> </v>
      </c>
      <c r="M116" s="29" t="str">
        <f ca="1">INDEX(INDIRECT($O$10),ROW(M116),COLUMN(M116))</f>
        <v>bluette</v>
      </c>
      <c r="N116" s="2" t="str">
        <f ca="1">IF(ISNUMBER($C116),codeEAN13(INT(C116/10)),"")</f>
        <v>8APASPA*aaaaae+</v>
      </c>
    </row>
    <row r="117" spans="1:14" ht="31.5" x14ac:dyDescent="0.45">
      <c r="A117" s="3" t="str">
        <f ca="1">INDEX(INDIRECT($O$10),ROW(A117),COLUMN(A117))</f>
        <v>'110</v>
      </c>
      <c r="B117" s="3">
        <f ca="1">INDEX(INDIRECT($O$10),ROW(B117),COLUMN(B117))</f>
        <v>88</v>
      </c>
      <c r="C117" s="5">
        <f ca="1">INDEX(INDIRECT($O$10),ROW(C117),COLUMN(C117))</f>
        <v>8050850000000</v>
      </c>
      <c r="D117" s="8" t="str">
        <f ca="1">INDEX(INDIRECT($O$10),ROW(D117),COLUMN(D117))</f>
        <v>OBAGS001-TESD5-067</v>
      </c>
      <c r="E117" s="12" t="str">
        <f ca="1">INDEX(INDIRECT($O$10),ROW(E117),COLUMN(E117))</f>
        <v>POCHETTE INTERIEURE FERMETURE ECLAIR O BAG EN MICROFIBRE COULEUR UNIE</v>
      </c>
      <c r="F117" s="18" t="str">
        <f ca="1">INDEX(INDIRECT($O$10),ROW(F117),COLUMN(F117))</f>
        <v>UNICA</v>
      </c>
      <c r="G117" s="10">
        <f ca="1">INDEX(INDIRECT($O$10),ROW(G117),COLUMN(G117))</f>
        <v>2</v>
      </c>
      <c r="H117" s="20">
        <f ca="1">INDEX(INDIRECT($O$10),ROW(H117),COLUMN(H117))</f>
        <v>10.8</v>
      </c>
      <c r="I117" s="22">
        <f ca="1">INDEX(INDIRECT($O$10),ROW(I117),COLUMN(I117))</f>
        <v>21.6</v>
      </c>
      <c r="J117" s="14" t="str">
        <f ca="1">INDEX(INDIRECT($O$10),ROW(J117),COLUMN(J117))</f>
        <v xml:space="preserve"> </v>
      </c>
      <c r="K117" s="16" t="str">
        <f ca="1">INDEX(INDIRECT($O$10),ROW(K117),COLUMN(K117))</f>
        <v xml:space="preserve"> </v>
      </c>
      <c r="L117" s="27" t="str">
        <f ca="1">INDEX(INDIRECT($O$10),ROW(L117),COLUMN(L117))</f>
        <v xml:space="preserve"> </v>
      </c>
      <c r="M117" s="29" t="str">
        <f ca="1">INDEX(INDIRECT($O$10),ROW(M117),COLUMN(M117))</f>
        <v>phard</v>
      </c>
      <c r="N117" s="2" t="str">
        <f ca="1">IF(ISNUMBER($C117),codeEAN13(INT(C117/10)),"")</f>
        <v>8APASPA*aaaaae+</v>
      </c>
    </row>
    <row r="118" spans="1:14" ht="31.5" x14ac:dyDescent="0.45">
      <c r="A118" s="3" t="str">
        <f ca="1">INDEX(INDIRECT($O$10),ROW(A118),COLUMN(A118))</f>
        <v>'111</v>
      </c>
      <c r="B118" s="3">
        <f ca="1">INDEX(INDIRECT($O$10),ROW(B118),COLUMN(B118))</f>
        <v>129</v>
      </c>
      <c r="C118" s="5">
        <f ca="1">INDEX(INDIRECT($O$10),ROW(C118),COLUMN(C118))</f>
        <v>8050850000000</v>
      </c>
      <c r="D118" s="8" t="str">
        <f ca="1">INDEX(INDIRECT($O$10),ROW(D118),COLUMN(D118))</f>
        <v>OBAGS001-TESD5-615</v>
      </c>
      <c r="E118" s="12" t="str">
        <f ca="1">INDEX(INDIRECT($O$10),ROW(E118),COLUMN(E118))</f>
        <v>POCHETTE INTERIEURE FERMETURE ECLAIR O BAG EN MICROFIBRE COULEUR UNIE</v>
      </c>
      <c r="F118" s="18" t="str">
        <f ca="1">INDEX(INDIRECT($O$10),ROW(F118),COLUMN(F118))</f>
        <v>UNICA</v>
      </c>
      <c r="G118" s="10">
        <f ca="1">INDEX(INDIRECT($O$10),ROW(G118),COLUMN(G118))</f>
        <v>2</v>
      </c>
      <c r="H118" s="20">
        <f ca="1">INDEX(INDIRECT($O$10),ROW(H118),COLUMN(H118))</f>
        <v>10.8</v>
      </c>
      <c r="I118" s="22">
        <f ca="1">INDEX(INDIRECT($O$10),ROW(I118),COLUMN(I118))</f>
        <v>21.6</v>
      </c>
      <c r="J118" s="14" t="str">
        <f ca="1">INDEX(INDIRECT($O$10),ROW(J118),COLUMN(J118))</f>
        <v xml:space="preserve"> </v>
      </c>
      <c r="K118" s="16" t="str">
        <f ca="1">INDEX(INDIRECT($O$10),ROW(K118),COLUMN(K118))</f>
        <v xml:space="preserve"> </v>
      </c>
      <c r="L118" s="27" t="str">
        <f ca="1">INDEX(INDIRECT($O$10),ROW(L118),COLUMN(L118))</f>
        <v xml:space="preserve"> </v>
      </c>
      <c r="M118" s="29" t="str">
        <f ca="1">INDEX(INDIRECT($O$10),ROW(M118),COLUMN(M118))</f>
        <v>military</v>
      </c>
      <c r="N118" s="2" t="str">
        <f ca="1">IF(ISNUMBER($C118),codeEAN13(INT(C118/10)),"")</f>
        <v>8APASPA*aaaaae+</v>
      </c>
    </row>
    <row r="119" spans="1:14" ht="31.5" x14ac:dyDescent="0.45">
      <c r="A119" s="3" t="str">
        <f ca="1">INDEX(INDIRECT($O$10),ROW(A119),COLUMN(A119))</f>
        <v>'112</v>
      </c>
      <c r="B119" s="3">
        <f ca="1">INDEX(INDIRECT($O$10),ROW(B119),COLUMN(B119))</f>
        <v>34</v>
      </c>
      <c r="C119" s="5">
        <f ca="1">INDEX(INDIRECT($O$10),ROW(C119),COLUMN(C119))</f>
        <v>8050450000000</v>
      </c>
      <c r="D119" s="8" t="str">
        <f ca="1">INDEX(INDIRECT($O$10),ROW(D119),COLUMN(D119))</f>
        <v>OBAGS002-TES01-008</v>
      </c>
      <c r="E119" s="12" t="str">
        <f ca="1">INDEX(INDIRECT($O$10),ROW(E119),COLUMN(E119))</f>
        <v>POCHETTE INTERIEURE FERMETURE ECLAIR O BAG MINI EN TISSU CANVAS</v>
      </c>
      <c r="F119" s="18" t="str">
        <f ca="1">INDEX(INDIRECT($O$10),ROW(F119),COLUMN(F119))</f>
        <v>UNICA</v>
      </c>
      <c r="G119" s="10">
        <f ca="1">INDEX(INDIRECT($O$10),ROW(G119),COLUMN(G119))</f>
        <v>3</v>
      </c>
      <c r="H119" s="20">
        <f ca="1">INDEX(INDIRECT($O$10),ROW(H119),COLUMN(H119))</f>
        <v>7.08</v>
      </c>
      <c r="I119" s="22">
        <f ca="1">INDEX(INDIRECT($O$10),ROW(I119),COLUMN(I119))</f>
        <v>21.24</v>
      </c>
      <c r="J119" s="14" t="str">
        <f ca="1">INDEX(INDIRECT($O$10),ROW(J119),COLUMN(J119))</f>
        <v xml:space="preserve">MINICANVAS      </v>
      </c>
      <c r="K119" s="16" t="str">
        <f ca="1">INDEX(INDIRECT($O$10),ROW(K119),COLUMN(K119))</f>
        <v>WHITE</v>
      </c>
      <c r="L119" s="27">
        <f ca="1">INDEX(INDIRECT($O$10),ROW(L119),COLUMN(L119))</f>
        <v>0</v>
      </c>
      <c r="M119" s="29" t="str">
        <f ca="1">INDEX(INDIRECT($O$10),ROW(M119),COLUMN(M119))</f>
        <v>bianco</v>
      </c>
      <c r="N119" s="2" t="str">
        <f ca="1">IF(ISNUMBER($C119),codeEAN13(INT(C119/10)),"")</f>
        <v>8APAOPA*aaaaai+</v>
      </c>
    </row>
    <row r="120" spans="1:14" ht="31.5" x14ac:dyDescent="0.45">
      <c r="A120" s="3" t="str">
        <f ca="1">INDEX(INDIRECT($O$10),ROW(A120),COLUMN(A120))</f>
        <v>'113</v>
      </c>
      <c r="B120" s="3">
        <f ca="1">INDEX(INDIRECT($O$10),ROW(B120),COLUMN(B120))</f>
        <v>160</v>
      </c>
      <c r="C120" s="5">
        <f ca="1">INDEX(INDIRECT($O$10),ROW(C120),COLUMN(C120))</f>
        <v>8058980000000</v>
      </c>
      <c r="D120" s="8" t="str">
        <f ca="1">INDEX(INDIRECT($O$10),ROW(D120),COLUMN(D120))</f>
        <v>OBAGS002-TES01-009</v>
      </c>
      <c r="E120" s="12" t="str">
        <f ca="1">INDEX(INDIRECT($O$10),ROW(E120),COLUMN(E120))</f>
        <v>POCHETTE INTERIEURE FERMETURE ECLAIR O BAG MINI EN TISSU CANVAS</v>
      </c>
      <c r="F120" s="18" t="str">
        <f ca="1">INDEX(INDIRECT($O$10),ROW(F120),COLUMN(F120))</f>
        <v>UNICA</v>
      </c>
      <c r="G120" s="10">
        <f ca="1">INDEX(INDIRECT($O$10),ROW(G120),COLUMN(G120))</f>
        <v>3</v>
      </c>
      <c r="H120" s="20">
        <f ca="1">INDEX(INDIRECT($O$10),ROW(H120),COLUMN(H120))</f>
        <v>7.08</v>
      </c>
      <c r="I120" s="22">
        <f ca="1">INDEX(INDIRECT($O$10),ROW(I120),COLUMN(I120))</f>
        <v>21.24</v>
      </c>
      <c r="J120" s="14" t="str">
        <f ca="1">INDEX(INDIRECT($O$10),ROW(J120),COLUMN(J120))</f>
        <v xml:space="preserve">MINICANVAS      </v>
      </c>
      <c r="K120" s="16" t="str">
        <f ca="1">INDEX(INDIRECT($O$10),ROW(K120),COLUMN(K120))</f>
        <v xml:space="preserve">BLUE </v>
      </c>
      <c r="L120" s="27">
        <f ca="1">INDEX(INDIRECT($O$10),ROW(L120),COLUMN(L120))</f>
        <v>0</v>
      </c>
      <c r="M120" s="29" t="str">
        <f ca="1">INDEX(INDIRECT($O$10),ROW(M120),COLUMN(M120))</f>
        <v>blu</v>
      </c>
      <c r="N120" s="2" t="str">
        <f ca="1">IF(ISNUMBER($C120),codeEAN13(INT(C120/10)),"")</f>
        <v>8APITSA*aaaaaa+</v>
      </c>
    </row>
    <row r="121" spans="1:14" ht="31.5" x14ac:dyDescent="0.45">
      <c r="A121" s="3" t="str">
        <f ca="1">INDEX(INDIRECT($O$10),ROW(A121),COLUMN(A121))</f>
        <v>'114</v>
      </c>
      <c r="B121" s="3">
        <f ca="1">INDEX(INDIRECT($O$10),ROW(B121),COLUMN(B121))</f>
        <v>70</v>
      </c>
      <c r="C121" s="5">
        <f ca="1">INDEX(INDIRECT($O$10),ROW(C121),COLUMN(C121))</f>
        <v>8050450000000</v>
      </c>
      <c r="D121" s="8" t="str">
        <f ca="1">INDEX(INDIRECT($O$10),ROW(D121),COLUMN(D121))</f>
        <v>OBAGS002-TES01-054</v>
      </c>
      <c r="E121" s="12" t="str">
        <f ca="1">INDEX(INDIRECT($O$10),ROW(E121),COLUMN(E121))</f>
        <v>POCHETTE INTERIEURE FERMETURE ECLAIR O BAG MINI EN TISSU CANVAS</v>
      </c>
      <c r="F121" s="18" t="str">
        <f ca="1">INDEX(INDIRECT($O$10),ROW(F121),COLUMN(F121))</f>
        <v>UNICA</v>
      </c>
      <c r="G121" s="10">
        <f ca="1">INDEX(INDIRECT($O$10),ROW(G121),COLUMN(G121))</f>
        <v>4</v>
      </c>
      <c r="H121" s="20">
        <f ca="1">INDEX(INDIRECT($O$10),ROW(H121),COLUMN(H121))</f>
        <v>7.08</v>
      </c>
      <c r="I121" s="22">
        <f ca="1">INDEX(INDIRECT($O$10),ROW(I121),COLUMN(I121))</f>
        <v>28.32</v>
      </c>
      <c r="J121" s="14" t="str">
        <f ca="1">INDEX(INDIRECT($O$10),ROW(J121),COLUMN(J121))</f>
        <v xml:space="preserve">MINICANVAS      </v>
      </c>
      <c r="K121" s="16" t="str">
        <f ca="1">INDEX(INDIRECT($O$10),ROW(K121),COLUMN(K121))</f>
        <v>NATUR</v>
      </c>
      <c r="L121" s="27">
        <f ca="1">INDEX(INDIRECT($O$10),ROW(L121),COLUMN(L121))</f>
        <v>0</v>
      </c>
      <c r="M121" s="29" t="str">
        <f ca="1">INDEX(INDIRECT($O$10),ROW(M121),COLUMN(M121))</f>
        <v>naturale</v>
      </c>
      <c r="N121" s="2" t="str">
        <f ca="1">IF(ISNUMBER($C121),codeEAN13(INT(C121/10)),"")</f>
        <v>8APAOPA*aaaaai+</v>
      </c>
    </row>
    <row r="122" spans="1:14" ht="31.5" x14ac:dyDescent="0.45">
      <c r="A122" s="3" t="str">
        <f ca="1">INDEX(INDIRECT($O$10),ROW(A122),COLUMN(A122))</f>
        <v>'115</v>
      </c>
      <c r="B122" s="3">
        <f ca="1">INDEX(INDIRECT($O$10),ROW(B122),COLUMN(B122))</f>
        <v>101</v>
      </c>
      <c r="C122" s="5">
        <f ca="1">INDEX(INDIRECT($O$10),ROW(C122),COLUMN(C122))</f>
        <v>8050450000000</v>
      </c>
      <c r="D122" s="8" t="str">
        <f ca="1">INDEX(INDIRECT($O$10),ROW(D122),COLUMN(D122))</f>
        <v>OBAGS002-TES01-055</v>
      </c>
      <c r="E122" s="12" t="str">
        <f ca="1">INDEX(INDIRECT($O$10),ROW(E122),COLUMN(E122))</f>
        <v>POCHETTE INTERIEURE FERMETURE ECLAIR O BAG MINI EN TISSU CANVAS</v>
      </c>
      <c r="F122" s="18" t="str">
        <f ca="1">INDEX(INDIRECT($O$10),ROW(F122),COLUMN(F122))</f>
        <v>UNICA</v>
      </c>
      <c r="G122" s="10">
        <f ca="1">INDEX(INDIRECT($O$10),ROW(G122),COLUMN(G122))</f>
        <v>4</v>
      </c>
      <c r="H122" s="20">
        <f ca="1">INDEX(INDIRECT($O$10),ROW(H122),COLUMN(H122))</f>
        <v>7.08</v>
      </c>
      <c r="I122" s="22">
        <f ca="1">INDEX(INDIRECT($O$10),ROW(I122),COLUMN(I122))</f>
        <v>28.32</v>
      </c>
      <c r="J122" s="14" t="str">
        <f ca="1">INDEX(INDIRECT($O$10),ROW(J122),COLUMN(J122))</f>
        <v xml:space="preserve">MINICANVAS      </v>
      </c>
      <c r="K122" s="16" t="str">
        <f ca="1">INDEX(INDIRECT($O$10),ROW(K122),COLUMN(K122))</f>
        <v>BLACK</v>
      </c>
      <c r="L122" s="27">
        <f ca="1">INDEX(INDIRECT($O$10),ROW(L122),COLUMN(L122))</f>
        <v>0</v>
      </c>
      <c r="M122" s="29" t="str">
        <f ca="1">INDEX(INDIRECT($O$10),ROW(M122),COLUMN(M122))</f>
        <v>nero</v>
      </c>
      <c r="N122" s="2" t="str">
        <f ca="1">IF(ISNUMBER($C122),codeEAN13(INT(C122/10)),"")</f>
        <v>8APAOPA*aaaaai+</v>
      </c>
    </row>
    <row r="123" spans="1:14" ht="31.5" x14ac:dyDescent="0.45">
      <c r="A123" s="3" t="str">
        <f ca="1">INDEX(INDIRECT($O$10),ROW(A123),COLUMN(A123))</f>
        <v>'116</v>
      </c>
      <c r="B123" s="3">
        <f ca="1">INDEX(INDIRECT($O$10),ROW(B123),COLUMN(B123))</f>
        <v>155</v>
      </c>
      <c r="C123" s="5">
        <f ca="1">INDEX(INDIRECT($O$10),ROW(C123),COLUMN(C123))</f>
        <v>8050850000000</v>
      </c>
      <c r="D123" s="8" t="str">
        <f ca="1">INDEX(INDIRECT($O$10),ROW(D123),COLUMN(D123))</f>
        <v>OBAGS002-TESBG-227</v>
      </c>
      <c r="E123" s="12" t="str">
        <f ca="1">INDEX(INDIRECT($O$10),ROW(E123),COLUMN(E123))</f>
        <v>POCHETTE INTERIEURE FERMETURE ECLAIR O BAG MINI EN TISSU PRINCE DE GALLES+ FLEURS</v>
      </c>
      <c r="F123" s="18" t="str">
        <f ca="1">INDEX(INDIRECT($O$10),ROW(F123),COLUMN(F123))</f>
        <v>UNICA</v>
      </c>
      <c r="G123" s="10">
        <f ca="1">INDEX(INDIRECT($O$10),ROW(G123),COLUMN(G123))</f>
        <v>2</v>
      </c>
      <c r="H123" s="20">
        <f ca="1">INDEX(INDIRECT($O$10),ROW(H123),COLUMN(H123))</f>
        <v>13.33</v>
      </c>
      <c r="I123" s="22">
        <f ca="1">INDEX(INDIRECT($O$10),ROW(I123),COLUMN(I123))</f>
        <v>26.66</v>
      </c>
      <c r="J123" s="14" t="str">
        <f ca="1">INDEX(INDIRECT($O$10),ROW(J123),COLUMN(J123))</f>
        <v xml:space="preserve"> </v>
      </c>
      <c r="K123" s="16" t="str">
        <f ca="1">INDEX(INDIRECT($O$10),ROW(K123),COLUMN(K123))</f>
        <v xml:space="preserve"> </v>
      </c>
      <c r="L123" s="27" t="str">
        <f ca="1">INDEX(INDIRECT($O$10),ROW(L123),COLUMN(L123))</f>
        <v xml:space="preserve"> </v>
      </c>
      <c r="M123" s="29" t="str">
        <f ca="1">INDEX(INDIRECT($O$10),ROW(M123),COLUMN(M123))</f>
        <v>bianco/nero</v>
      </c>
      <c r="N123" s="2" t="str">
        <f ca="1">IF(ISNUMBER($C123),codeEAN13(INT(C123/10)),"")</f>
        <v>8APASPA*aaaaae+</v>
      </c>
    </row>
    <row r="124" spans="1:14" ht="31.5" x14ac:dyDescent="0.45">
      <c r="A124" s="3" t="str">
        <f ca="1">INDEX(INDIRECT($O$10),ROW(A124),COLUMN(A124))</f>
        <v>'117</v>
      </c>
      <c r="B124" s="3">
        <f ca="1">INDEX(INDIRECT($O$10),ROW(B124),COLUMN(B124))</f>
        <v>198</v>
      </c>
      <c r="C124" s="5">
        <f ca="1">INDEX(INDIRECT($O$10),ROW(C124),COLUMN(C124))</f>
        <v>8050850000000</v>
      </c>
      <c r="D124" s="8" t="str">
        <f ca="1">INDEX(INDIRECT($O$10),ROW(D124),COLUMN(D124))</f>
        <v>OBAGS002-TESBK-055</v>
      </c>
      <c r="E124" s="12" t="str">
        <f ca="1">INDEX(INDIRECT($O$10),ROW(E124),COLUMN(E124))</f>
        <v>POCHETTE INTERIEURE FERMETURE ECLAIR O BAG MINI EN TISSU DOUDOUNE Ã€ CHEVRONS</v>
      </c>
      <c r="F124" s="18" t="str">
        <f ca="1">INDEX(INDIRECT($O$10),ROW(F124),COLUMN(F124))</f>
        <v>UNICA</v>
      </c>
      <c r="G124" s="10">
        <f ca="1">INDEX(INDIRECT($O$10),ROW(G124),COLUMN(G124))</f>
        <v>2</v>
      </c>
      <c r="H124" s="20">
        <f ca="1">INDEX(INDIRECT($O$10),ROW(H124),COLUMN(H124))</f>
        <v>11.85</v>
      </c>
      <c r="I124" s="22">
        <f ca="1">INDEX(INDIRECT($O$10),ROW(I124),COLUMN(I124))</f>
        <v>23.7</v>
      </c>
      <c r="J124" s="14" t="str">
        <f ca="1">INDEX(INDIRECT($O$10),ROW(J124),COLUMN(J124))</f>
        <v xml:space="preserve"> </v>
      </c>
      <c r="K124" s="16" t="str">
        <f ca="1">INDEX(INDIRECT($O$10),ROW(K124),COLUMN(K124))</f>
        <v xml:space="preserve"> </v>
      </c>
      <c r="L124" s="27" t="str">
        <f ca="1">INDEX(INDIRECT($O$10),ROW(L124),COLUMN(L124))</f>
        <v xml:space="preserve"> </v>
      </c>
      <c r="M124" s="29" t="str">
        <f ca="1">INDEX(INDIRECT($O$10),ROW(M124),COLUMN(M124))</f>
        <v>nero</v>
      </c>
      <c r="N124" s="2" t="str">
        <f ca="1">IF(ISNUMBER($C124),codeEAN13(INT(C124/10)),"")</f>
        <v>8APASPA*aaaaae+</v>
      </c>
    </row>
    <row r="125" spans="1:14" ht="31.5" x14ac:dyDescent="0.45">
      <c r="A125" s="3" t="str">
        <f ca="1">INDEX(INDIRECT($O$10),ROW(A125),COLUMN(A125))</f>
        <v>'118</v>
      </c>
      <c r="B125" s="3">
        <f ca="1">INDEX(INDIRECT($O$10),ROW(B125),COLUMN(B125))</f>
        <v>79</v>
      </c>
      <c r="C125" s="5">
        <f ca="1">INDEX(INDIRECT($O$10),ROW(C125),COLUMN(C125))</f>
        <v>8050850000000</v>
      </c>
      <c r="D125" s="8" t="str">
        <f ca="1">INDEX(INDIRECT($O$10),ROW(D125),COLUMN(D125))</f>
        <v>OBAGS002-TESBK-137</v>
      </c>
      <c r="E125" s="12" t="str">
        <f ca="1">INDEX(INDIRECT($O$10),ROW(E125),COLUMN(E125))</f>
        <v>POCHETTE INTERIEURE FERMETURE ECLAIR O BAG MINI EN TISSU DOUDOUNE Ã€ CHEVRONS</v>
      </c>
      <c r="F125" s="18" t="str">
        <f ca="1">INDEX(INDIRECT($O$10),ROW(F125),COLUMN(F125))</f>
        <v>UNICA</v>
      </c>
      <c r="G125" s="10">
        <f ca="1">INDEX(INDIRECT($O$10),ROW(G125),COLUMN(G125))</f>
        <v>2</v>
      </c>
      <c r="H125" s="20">
        <f ca="1">INDEX(INDIRECT($O$10),ROW(H125),COLUMN(H125))</f>
        <v>11.85</v>
      </c>
      <c r="I125" s="22">
        <f ca="1">INDEX(INDIRECT($O$10),ROW(I125),COLUMN(I125))</f>
        <v>23.7</v>
      </c>
      <c r="J125" s="14" t="str">
        <f ca="1">INDEX(INDIRECT($O$10),ROW(J125),COLUMN(J125))</f>
        <v xml:space="preserve"> </v>
      </c>
      <c r="K125" s="16" t="str">
        <f ca="1">INDEX(INDIRECT($O$10),ROW(K125),COLUMN(K125))</f>
        <v xml:space="preserve"> </v>
      </c>
      <c r="L125" s="27" t="str">
        <f ca="1">INDEX(INDIRECT($O$10),ROW(L125),COLUMN(L125))</f>
        <v xml:space="preserve"> </v>
      </c>
      <c r="M125" s="29" t="str">
        <f ca="1">INDEX(INDIRECT($O$10),ROW(M125),COLUMN(M125))</f>
        <v>bluette</v>
      </c>
      <c r="N125" s="2" t="str">
        <f ca="1">IF(ISNUMBER($C125),codeEAN13(INT(C125/10)),"")</f>
        <v>8APASPA*aaaaae+</v>
      </c>
    </row>
    <row r="126" spans="1:14" ht="31.5" x14ac:dyDescent="0.45">
      <c r="A126" s="3" t="str">
        <f ca="1">INDEX(INDIRECT($O$10),ROW(A126),COLUMN(A126))</f>
        <v>'119</v>
      </c>
      <c r="B126" s="3">
        <f ca="1">INDEX(INDIRECT($O$10),ROW(B126),COLUMN(B126))</f>
        <v>8</v>
      </c>
      <c r="C126" s="5">
        <f ca="1">INDEX(INDIRECT($O$10),ROW(C126),COLUMN(C126))</f>
        <v>8050850000000</v>
      </c>
      <c r="D126" s="8" t="str">
        <f ca="1">INDEX(INDIRECT($O$10),ROW(D126),COLUMN(D126))</f>
        <v>OBAGS002-TESD5-067</v>
      </c>
      <c r="E126" s="12" t="str">
        <f ca="1">INDEX(INDIRECT($O$10),ROW(E126),COLUMN(E126))</f>
        <v>POCHETTE INTERIEURE FERMETURE ECLAIR O BAG MINI EN MICROFIBRE COULEUR UNIE</v>
      </c>
      <c r="F126" s="18" t="str">
        <f ca="1">INDEX(INDIRECT($O$10),ROW(F126),COLUMN(F126))</f>
        <v>UNICA</v>
      </c>
      <c r="G126" s="10">
        <f ca="1">INDEX(INDIRECT($O$10),ROW(G126),COLUMN(G126))</f>
        <v>2</v>
      </c>
      <c r="H126" s="20">
        <f ca="1">INDEX(INDIRECT($O$10),ROW(H126),COLUMN(H126))</f>
        <v>10.8</v>
      </c>
      <c r="I126" s="22">
        <f ca="1">INDEX(INDIRECT($O$10),ROW(I126),COLUMN(I126))</f>
        <v>21.6</v>
      </c>
      <c r="J126" s="14" t="str">
        <f ca="1">INDEX(INDIRECT($O$10),ROW(J126),COLUMN(J126))</f>
        <v xml:space="preserve"> </v>
      </c>
      <c r="K126" s="16" t="str">
        <f ca="1">INDEX(INDIRECT($O$10),ROW(K126),COLUMN(K126))</f>
        <v xml:space="preserve"> </v>
      </c>
      <c r="L126" s="27" t="str">
        <f ca="1">INDEX(INDIRECT($O$10),ROW(L126),COLUMN(L126))</f>
        <v xml:space="preserve"> </v>
      </c>
      <c r="M126" s="29" t="str">
        <f ca="1">INDEX(INDIRECT($O$10),ROW(M126),COLUMN(M126))</f>
        <v>phard</v>
      </c>
      <c r="N126" s="2" t="str">
        <f ca="1">IF(ISNUMBER($C126),codeEAN13(INT(C126/10)),"")</f>
        <v>8APASPA*aaaaae+</v>
      </c>
    </row>
    <row r="127" spans="1:14" ht="31.5" x14ac:dyDescent="0.45">
      <c r="A127" s="3" t="str">
        <f ca="1">INDEX(INDIRECT($O$10),ROW(A127),COLUMN(A127))</f>
        <v>'120</v>
      </c>
      <c r="B127" s="3">
        <f ca="1">INDEX(INDIRECT($O$10),ROW(B127),COLUMN(B127))</f>
        <v>144</v>
      </c>
      <c r="C127" s="5">
        <f ca="1">INDEX(INDIRECT($O$10),ROW(C127),COLUMN(C127))</f>
        <v>8050850000000</v>
      </c>
      <c r="D127" s="8" t="str">
        <f ca="1">INDEX(INDIRECT($O$10),ROW(D127),COLUMN(D127))</f>
        <v>OBAGS002-TESD5-615</v>
      </c>
      <c r="E127" s="12" t="str">
        <f ca="1">INDEX(INDIRECT($O$10),ROW(E127),COLUMN(E127))</f>
        <v>POCHETTE INTERIEURE FERMETURE ECLAIR O BAG MINI EN MICROFIBRE COULEUR UNIE</v>
      </c>
      <c r="F127" s="18" t="str">
        <f ca="1">INDEX(INDIRECT($O$10),ROW(F127),COLUMN(F127))</f>
        <v>UNICA</v>
      </c>
      <c r="G127" s="10">
        <f ca="1">INDEX(INDIRECT($O$10),ROW(G127),COLUMN(G127))</f>
        <v>2</v>
      </c>
      <c r="H127" s="20">
        <f ca="1">INDEX(INDIRECT($O$10),ROW(H127),COLUMN(H127))</f>
        <v>10.8</v>
      </c>
      <c r="I127" s="22">
        <f ca="1">INDEX(INDIRECT($O$10),ROW(I127),COLUMN(I127))</f>
        <v>21.6</v>
      </c>
      <c r="J127" s="14" t="str">
        <f ca="1">INDEX(INDIRECT($O$10),ROW(J127),COLUMN(J127))</f>
        <v xml:space="preserve"> </v>
      </c>
      <c r="K127" s="16" t="str">
        <f ca="1">INDEX(INDIRECT($O$10),ROW(K127),COLUMN(K127))</f>
        <v xml:space="preserve"> </v>
      </c>
      <c r="L127" s="27" t="str">
        <f ca="1">INDEX(INDIRECT($O$10),ROW(L127),COLUMN(L127))</f>
        <v xml:space="preserve"> </v>
      </c>
      <c r="M127" s="29" t="str">
        <f ca="1">INDEX(INDIRECT($O$10),ROW(M127),COLUMN(M127))</f>
        <v>military</v>
      </c>
      <c r="N127" s="2" t="str">
        <f ca="1">IF(ISNUMBER($C127),codeEAN13(INT(C127/10)),"")</f>
        <v>8APASPA*aaaaae+</v>
      </c>
    </row>
    <row r="128" spans="1:14" ht="31.5" x14ac:dyDescent="0.45">
      <c r="A128" s="3" t="str">
        <f ca="1">INDEX(INDIRECT($O$10),ROW(A128),COLUMN(A128))</f>
        <v>'121</v>
      </c>
      <c r="B128" s="3">
        <f ca="1">INDEX(INDIRECT($O$10),ROW(B128),COLUMN(B128))</f>
        <v>4</v>
      </c>
      <c r="C128" s="5" t="str">
        <f ca="1">INDEX(INDIRECT($O$10),ROW(C128),COLUMN(C128))</f>
        <v>CodeBarre</v>
      </c>
      <c r="D128" s="8" t="str">
        <f ca="1">INDEX(INDIRECT($O$10),ROW(D128),COLUMN(D128))</f>
        <v>OBAGS033-TESBG-227</v>
      </c>
      <c r="E128" s="12" t="str">
        <f ca="1">INDEX(INDIRECT($O$10),ROW(E128),COLUMN(E128))</f>
        <v>POCHETTE INTERIEURE FERMETURE ECLAIR O BAG URBAN EN TISSU PRINCE DE GALLES+ FLEURS</v>
      </c>
      <c r="F128" s="18" t="str">
        <f ca="1">INDEX(INDIRECT($O$10),ROW(F128),COLUMN(F128))</f>
        <v>UNICA</v>
      </c>
      <c r="G128" s="10">
        <f ca="1">INDEX(INDIRECT($O$10),ROW(G128),COLUMN(G128))</f>
        <v>2</v>
      </c>
      <c r="H128" s="20">
        <f ca="1">INDEX(INDIRECT($O$10),ROW(H128),COLUMN(H128))</f>
        <v>14.81</v>
      </c>
      <c r="I128" s="22">
        <f ca="1">INDEX(INDIRECT($O$10),ROW(I128),COLUMN(I128))</f>
        <v>29.62</v>
      </c>
      <c r="J128" s="14" t="str">
        <f ca="1">INDEX(INDIRECT($O$10),ROW(J128),COLUMN(J128))</f>
        <v>CodeBarre</v>
      </c>
      <c r="K128" s="16" t="str">
        <f ca="1">INDEX(INDIRECT($O$10),ROW(K128),COLUMN(K128))</f>
        <v>CodeBarre</v>
      </c>
      <c r="L128" s="27" t="str">
        <f ca="1">INDEX(INDIRECT($O$10),ROW(L128),COLUMN(L128))</f>
        <v>CodeBarre</v>
      </c>
      <c r="M128" s="29" t="str">
        <f ca="1">INDEX(INDIRECT($O$10),ROW(M128),COLUMN(M128))</f>
        <v>CodeBarre</v>
      </c>
      <c r="N128" s="2" t="str">
        <f ca="1">IF(ISNUMBER($C128),codeEAN13(INT(C128/10)),"")</f>
        <v/>
      </c>
    </row>
    <row r="129" spans="1:14" ht="31.5" x14ac:dyDescent="0.45">
      <c r="A129" s="3" t="str">
        <f ca="1">INDEX(INDIRECT($O$10),ROW(A129),COLUMN(A129))</f>
        <v>'122</v>
      </c>
      <c r="B129" s="3">
        <f ca="1">INDEX(INDIRECT($O$10),ROW(B129),COLUMN(B129))</f>
        <v>170</v>
      </c>
      <c r="C129" s="5">
        <f ca="1">INDEX(INDIRECT($O$10),ROW(C129),COLUMN(C129))</f>
        <v>8050850000000</v>
      </c>
      <c r="D129" s="8" t="str">
        <f ca="1">INDEX(INDIRECT($O$10),ROW(D129),COLUMN(D129))</f>
        <v>OBAGS033-TESBI-227</v>
      </c>
      <c r="E129" s="12" t="str">
        <f ca="1">INDEX(INDIRECT($O$10),ROW(E129),COLUMN(E129))</f>
        <v>POCHETTE INTERIEURE FERMETURE ECLAIR O BAG URBAN EN TISSU MARBLE</v>
      </c>
      <c r="F129" s="18" t="str">
        <f ca="1">INDEX(INDIRECT($O$10),ROW(F129),COLUMN(F129))</f>
        <v>UNICA</v>
      </c>
      <c r="G129" s="10">
        <f ca="1">INDEX(INDIRECT($O$10),ROW(G129),COLUMN(G129))</f>
        <v>2</v>
      </c>
      <c r="H129" s="20">
        <f ca="1">INDEX(INDIRECT($O$10),ROW(H129),COLUMN(H129))</f>
        <v>13.33</v>
      </c>
      <c r="I129" s="22">
        <f ca="1">INDEX(INDIRECT($O$10),ROW(I129),COLUMN(I129))</f>
        <v>26.66</v>
      </c>
      <c r="J129" s="14" t="str">
        <f ca="1">INDEX(INDIRECT($O$10),ROW(J129),COLUMN(J129))</f>
        <v xml:space="preserve"> </v>
      </c>
      <c r="K129" s="16" t="str">
        <f ca="1">INDEX(INDIRECT($O$10),ROW(K129),COLUMN(K129))</f>
        <v xml:space="preserve"> </v>
      </c>
      <c r="L129" s="27" t="str">
        <f ca="1">INDEX(INDIRECT($O$10),ROW(L129),COLUMN(L129))</f>
        <v xml:space="preserve"> </v>
      </c>
      <c r="M129" s="29" t="str">
        <f ca="1">INDEX(INDIRECT($O$10),ROW(M129),COLUMN(M129))</f>
        <v>bianco/nero</v>
      </c>
      <c r="N129" s="2" t="str">
        <f ca="1">IF(ISNUMBER($C129),codeEAN13(INT(C129/10)),"")</f>
        <v>8APASPA*aaaaae+</v>
      </c>
    </row>
    <row r="130" spans="1:14" ht="31.5" x14ac:dyDescent="0.45">
      <c r="A130" s="3" t="str">
        <f ca="1">INDEX(INDIRECT($O$10),ROW(A130),COLUMN(A130))</f>
        <v>'123</v>
      </c>
      <c r="B130" s="3">
        <f ca="1">INDEX(INDIRECT($O$10),ROW(B130),COLUMN(B130))</f>
        <v>52</v>
      </c>
      <c r="C130" s="5">
        <f ca="1">INDEX(INDIRECT($O$10),ROW(C130),COLUMN(C130))</f>
        <v>8050850000000</v>
      </c>
      <c r="D130" s="8" t="str">
        <f ca="1">INDEX(INDIRECT($O$10),ROW(D130),COLUMN(D130))</f>
        <v>OBAGS033-TESBK-055</v>
      </c>
      <c r="E130" s="12" t="str">
        <f ca="1">INDEX(INDIRECT($O$10),ROW(E130),COLUMN(E130))</f>
        <v>POCHETTE INTERIEURE FERMETURE ECLAIR O BAG URBAN EN TISSU DOUDOUNE Ã€ CHEVRONS</v>
      </c>
      <c r="F130" s="18" t="str">
        <f ca="1">INDEX(INDIRECT($O$10),ROW(F130),COLUMN(F130))</f>
        <v>UNICA</v>
      </c>
      <c r="G130" s="10">
        <f ca="1">INDEX(INDIRECT($O$10),ROW(G130),COLUMN(G130))</f>
        <v>2</v>
      </c>
      <c r="H130" s="20">
        <f ca="1">INDEX(INDIRECT($O$10),ROW(H130),COLUMN(H130))</f>
        <v>12.59</v>
      </c>
      <c r="I130" s="22">
        <f ca="1">INDEX(INDIRECT($O$10),ROW(I130),COLUMN(I130))</f>
        <v>25.18</v>
      </c>
      <c r="J130" s="14" t="str">
        <f ca="1">INDEX(INDIRECT($O$10),ROW(J130),COLUMN(J130))</f>
        <v xml:space="preserve"> </v>
      </c>
      <c r="K130" s="16" t="str">
        <f ca="1">INDEX(INDIRECT($O$10),ROW(K130),COLUMN(K130))</f>
        <v xml:space="preserve"> </v>
      </c>
      <c r="L130" s="27" t="str">
        <f ca="1">INDEX(INDIRECT($O$10),ROW(L130),COLUMN(L130))</f>
        <v xml:space="preserve"> </v>
      </c>
      <c r="M130" s="29" t="str">
        <f ca="1">INDEX(INDIRECT($O$10),ROW(M130),COLUMN(M130))</f>
        <v>nero</v>
      </c>
      <c r="N130" s="2" t="str">
        <f ca="1">IF(ISNUMBER($C130),codeEAN13(INT(C130/10)),"")</f>
        <v>8APASPA*aaaaae+</v>
      </c>
    </row>
    <row r="131" spans="1:14" ht="31.5" x14ac:dyDescent="0.45">
      <c r="A131" s="3" t="str">
        <f ca="1">INDEX(INDIRECT($O$10),ROW(A131),COLUMN(A131))</f>
        <v>'124</v>
      </c>
      <c r="B131" s="3">
        <f ca="1">INDEX(INDIRECT($O$10),ROW(B131),COLUMN(B131))</f>
        <v>171</v>
      </c>
      <c r="C131" s="5">
        <f ca="1">INDEX(INDIRECT($O$10),ROW(C131),COLUMN(C131))</f>
        <v>8050850000000</v>
      </c>
      <c r="D131" s="8" t="str">
        <f ca="1">INDEX(INDIRECT($O$10),ROW(D131),COLUMN(D131))</f>
        <v>OBAGS033-TESBK-137</v>
      </c>
      <c r="E131" s="12" t="str">
        <f ca="1">INDEX(INDIRECT($O$10),ROW(E131),COLUMN(E131))</f>
        <v>POCHETTE INTERIEURE FERMETURE ECLAIR O BAG URBAN EN TISSU DOUDOUNE Ã€ CHEVRONS</v>
      </c>
      <c r="F131" s="18" t="str">
        <f ca="1">INDEX(INDIRECT($O$10),ROW(F131),COLUMN(F131))</f>
        <v>UNICA</v>
      </c>
      <c r="G131" s="10">
        <f ca="1">INDEX(INDIRECT($O$10),ROW(G131),COLUMN(G131))</f>
        <v>2</v>
      </c>
      <c r="H131" s="20">
        <f ca="1">INDEX(INDIRECT($O$10),ROW(H131),COLUMN(H131))</f>
        <v>12.59</v>
      </c>
      <c r="I131" s="22">
        <f ca="1">INDEX(INDIRECT($O$10),ROW(I131),COLUMN(I131))</f>
        <v>25.18</v>
      </c>
      <c r="J131" s="14" t="str">
        <f ca="1">INDEX(INDIRECT($O$10),ROW(J131),COLUMN(J131))</f>
        <v xml:space="preserve"> </v>
      </c>
      <c r="K131" s="16" t="str">
        <f ca="1">INDEX(INDIRECT($O$10),ROW(K131),COLUMN(K131))</f>
        <v xml:space="preserve"> </v>
      </c>
      <c r="L131" s="27" t="str">
        <f ca="1">INDEX(INDIRECT($O$10),ROW(L131),COLUMN(L131))</f>
        <v xml:space="preserve"> </v>
      </c>
      <c r="M131" s="29" t="str">
        <f ca="1">INDEX(INDIRECT($O$10),ROW(M131),COLUMN(M131))</f>
        <v>bluette</v>
      </c>
      <c r="N131" s="2" t="str">
        <f ca="1">IF(ISNUMBER($C131),codeEAN13(INT(C131/10)),"")</f>
        <v>8APASPA*aaaaae+</v>
      </c>
    </row>
    <row r="132" spans="1:14" ht="31.5" x14ac:dyDescent="0.45">
      <c r="A132" s="3" t="str">
        <f ca="1">INDEX(INDIRECT($O$10),ROW(A132),COLUMN(A132))</f>
        <v>'125</v>
      </c>
      <c r="B132" s="3">
        <f ca="1">INDEX(INDIRECT($O$10),ROW(B132),COLUMN(B132))</f>
        <v>27</v>
      </c>
      <c r="C132" s="5">
        <f ca="1">INDEX(INDIRECT($O$10),ROW(C132),COLUMN(C132))</f>
        <v>8050850000000</v>
      </c>
      <c r="D132" s="8" t="str">
        <f ca="1">INDEX(INDIRECT($O$10),ROW(D132),COLUMN(D132))</f>
        <v>OBAGS033-TESBN-615</v>
      </c>
      <c r="E132" s="12" t="str">
        <f ca="1">INDEX(INDIRECT($O$10),ROW(E132),COLUMN(E132))</f>
        <v>POCHETTE INTERIEURE FERMETURE ECLAIR O BAG URBAN EN TISSU IMPRIME CHECK</v>
      </c>
      <c r="F132" s="18" t="str">
        <f ca="1">INDEX(INDIRECT($O$10),ROW(F132),COLUMN(F132))</f>
        <v>UNICA</v>
      </c>
      <c r="G132" s="10">
        <f ca="1">INDEX(INDIRECT($O$10),ROW(G132),COLUMN(G132))</f>
        <v>2</v>
      </c>
      <c r="H132" s="20">
        <f ca="1">INDEX(INDIRECT($O$10),ROW(H132),COLUMN(H132))</f>
        <v>14.81</v>
      </c>
      <c r="I132" s="22">
        <f ca="1">INDEX(INDIRECT($O$10),ROW(I132),COLUMN(I132))</f>
        <v>29.62</v>
      </c>
      <c r="J132" s="14" t="str">
        <f ca="1">INDEX(INDIRECT($O$10),ROW(J132),COLUMN(J132))</f>
        <v xml:space="preserve"> </v>
      </c>
      <c r="K132" s="16" t="str">
        <f ca="1">INDEX(INDIRECT($O$10),ROW(K132),COLUMN(K132))</f>
        <v xml:space="preserve"> </v>
      </c>
      <c r="L132" s="27" t="str">
        <f ca="1">INDEX(INDIRECT($O$10),ROW(L132),COLUMN(L132))</f>
        <v xml:space="preserve"> </v>
      </c>
      <c r="M132" s="29" t="str">
        <f ca="1">INDEX(INDIRECT($O$10),ROW(M132),COLUMN(M132))</f>
        <v>military</v>
      </c>
      <c r="N132" s="2" t="str">
        <f ca="1">IF(ISNUMBER($C132),codeEAN13(INT(C132/10)),"")</f>
        <v>8APASPA*aaaaae+</v>
      </c>
    </row>
    <row r="133" spans="1:14" ht="31.5" x14ac:dyDescent="0.45">
      <c r="A133" s="3" t="str">
        <f ca="1">INDEX(INDIRECT($O$10),ROW(A133),COLUMN(A133))</f>
        <v>'126</v>
      </c>
      <c r="B133" s="3">
        <f ca="1">INDEX(INDIRECT($O$10),ROW(B133),COLUMN(B133))</f>
        <v>44</v>
      </c>
      <c r="C133" s="5">
        <f ca="1">INDEX(INDIRECT($O$10),ROW(C133),COLUMN(C133))</f>
        <v>8050850000000</v>
      </c>
      <c r="D133" s="8" t="str">
        <f ca="1">INDEX(INDIRECT($O$10),ROW(D133),COLUMN(D133))</f>
        <v>OBAGS033-TESD5-055</v>
      </c>
      <c r="E133" s="12" t="str">
        <f ca="1">INDEX(INDIRECT($O$10),ROW(E133),COLUMN(E133))</f>
        <v>POCHETTE INTERIEURE FERMETURE ECLAIR O BAG URBAN EN MICROFIBRE COULEUR UNIE</v>
      </c>
      <c r="F133" s="18" t="str">
        <f ca="1">INDEX(INDIRECT($O$10),ROW(F133),COLUMN(F133))</f>
        <v>UNICA</v>
      </c>
      <c r="G133" s="10">
        <f ca="1">INDEX(INDIRECT($O$10),ROW(G133),COLUMN(G133))</f>
        <v>3</v>
      </c>
      <c r="H133" s="20">
        <f ca="1">INDEX(INDIRECT($O$10),ROW(H133),COLUMN(H133))</f>
        <v>11.85</v>
      </c>
      <c r="I133" s="22">
        <f ca="1">INDEX(INDIRECT($O$10),ROW(I133),COLUMN(I133))</f>
        <v>35.549999999999997</v>
      </c>
      <c r="J133" s="14" t="str">
        <f ca="1">INDEX(INDIRECT($O$10),ROW(J133),COLUMN(J133))</f>
        <v xml:space="preserve"> </v>
      </c>
      <c r="K133" s="16" t="str">
        <f ca="1">INDEX(INDIRECT($O$10),ROW(K133),COLUMN(K133))</f>
        <v xml:space="preserve"> </v>
      </c>
      <c r="L133" s="27" t="str">
        <f ca="1">INDEX(INDIRECT($O$10),ROW(L133),COLUMN(L133))</f>
        <v xml:space="preserve"> </v>
      </c>
      <c r="M133" s="29" t="str">
        <f ca="1">INDEX(INDIRECT($O$10),ROW(M133),COLUMN(M133))</f>
        <v>nero</v>
      </c>
      <c r="N133" s="2" t="str">
        <f ca="1">IF(ISNUMBER($C133),codeEAN13(INT(C133/10)),"")</f>
        <v>8APASPA*aaaaae+</v>
      </c>
    </row>
    <row r="134" spans="1:14" ht="31.5" x14ac:dyDescent="0.45">
      <c r="A134" s="3" t="str">
        <f ca="1">INDEX(INDIRECT($O$10),ROW(A134),COLUMN(A134))</f>
        <v>'127</v>
      </c>
      <c r="B134" s="3">
        <f ca="1">INDEX(INDIRECT($O$10),ROW(B134),COLUMN(B134))</f>
        <v>113</v>
      </c>
      <c r="C134" s="5">
        <f ca="1">INDEX(INDIRECT($O$10),ROW(C134),COLUMN(C134))</f>
        <v>8050850000000</v>
      </c>
      <c r="D134" s="8" t="str">
        <f ca="1">INDEX(INDIRECT($O$10),ROW(D134),COLUMN(D134))</f>
        <v>OBAGS033-TESD5-078</v>
      </c>
      <c r="E134" s="12" t="str">
        <f ca="1">INDEX(INDIRECT($O$10),ROW(E134),COLUMN(E134))</f>
        <v>POCHETTE INTERIEURE FERMETURE ECLAIR O BAG URBAN EN MICROFIBRE COULEUR UNIE</v>
      </c>
      <c r="F134" s="18" t="str">
        <f ca="1">INDEX(INDIRECT($O$10),ROW(F134),COLUMN(F134))</f>
        <v>UNICA</v>
      </c>
      <c r="G134" s="10">
        <f ca="1">INDEX(INDIRECT($O$10),ROW(G134),COLUMN(G134))</f>
        <v>1</v>
      </c>
      <c r="H134" s="20">
        <f ca="1">INDEX(INDIRECT($O$10),ROW(H134),COLUMN(H134))</f>
        <v>11.85</v>
      </c>
      <c r="I134" s="22">
        <f ca="1">INDEX(INDIRECT($O$10),ROW(I134),COLUMN(I134))</f>
        <v>11.85</v>
      </c>
      <c r="J134" s="14" t="str">
        <f ca="1">INDEX(INDIRECT($O$10),ROW(J134),COLUMN(J134))</f>
        <v xml:space="preserve"> </v>
      </c>
      <c r="K134" s="16" t="str">
        <f ca="1">INDEX(INDIRECT($O$10),ROW(K134),COLUMN(K134))</f>
        <v xml:space="preserve"> </v>
      </c>
      <c r="L134" s="27" t="str">
        <f ca="1">INDEX(INDIRECT($O$10),ROW(L134),COLUMN(L134))</f>
        <v xml:space="preserve"> </v>
      </c>
      <c r="M134" s="29" t="str">
        <f ca="1">INDEX(INDIRECT($O$10),ROW(M134),COLUMN(M134))</f>
        <v>sabbia</v>
      </c>
      <c r="N134" s="2" t="str">
        <f ca="1">IF(ISNUMBER($C134),codeEAN13(INT(C134/10)),"")</f>
        <v>8APASPA*aaaaae+</v>
      </c>
    </row>
    <row r="135" spans="1:14" ht="31.5" x14ac:dyDescent="0.45">
      <c r="A135" s="3" t="str">
        <f ca="1">INDEX(INDIRECT($O$10),ROW(A135),COLUMN(A135))</f>
        <v>'128</v>
      </c>
      <c r="B135" s="3">
        <f ca="1">INDEX(INDIRECT($O$10),ROW(B135),COLUMN(B135))</f>
        <v>185</v>
      </c>
      <c r="C135" s="5">
        <f ca="1">INDEX(INDIRECT($O$10),ROW(C135),COLUMN(C135))</f>
        <v>8050850000000</v>
      </c>
      <c r="D135" s="8" t="str">
        <f ca="1">INDEX(INDIRECT($O$10),ROW(D135),COLUMN(D135))</f>
        <v>OBAGS033-TESD5-615</v>
      </c>
      <c r="E135" s="12" t="str">
        <f ca="1">INDEX(INDIRECT($O$10),ROW(E135),COLUMN(E135))</f>
        <v>POCHETTE INTERIEURE FERMETURE ECLAIR O BAG URBAN EN MICROFIBRE COULEUR UNIE</v>
      </c>
      <c r="F135" s="18" t="str">
        <f ca="1">INDEX(INDIRECT($O$10),ROW(F135),COLUMN(F135))</f>
        <v>UNICA</v>
      </c>
      <c r="G135" s="10">
        <f ca="1">INDEX(INDIRECT($O$10),ROW(G135),COLUMN(G135))</f>
        <v>3</v>
      </c>
      <c r="H135" s="20">
        <f ca="1">INDEX(INDIRECT($O$10),ROW(H135),COLUMN(H135))</f>
        <v>11.85</v>
      </c>
      <c r="I135" s="22">
        <f ca="1">INDEX(INDIRECT($O$10),ROW(I135),COLUMN(I135))</f>
        <v>35.549999999999997</v>
      </c>
      <c r="J135" s="14" t="str">
        <f ca="1">INDEX(INDIRECT($O$10),ROW(J135),COLUMN(J135))</f>
        <v xml:space="preserve"> </v>
      </c>
      <c r="K135" s="16" t="str">
        <f ca="1">INDEX(INDIRECT($O$10),ROW(K135),COLUMN(K135))</f>
        <v xml:space="preserve"> </v>
      </c>
      <c r="L135" s="27" t="str">
        <f ca="1">INDEX(INDIRECT($O$10),ROW(L135),COLUMN(L135))</f>
        <v xml:space="preserve"> </v>
      </c>
      <c r="M135" s="29" t="str">
        <f ca="1">INDEX(INDIRECT($O$10),ROW(M135),COLUMN(M135))</f>
        <v>military</v>
      </c>
      <c r="N135" s="2" t="str">
        <f ca="1">IF(ISNUMBER($C135),codeEAN13(INT(C135/10)),"")</f>
        <v>8APASPA*aaaaae+</v>
      </c>
    </row>
    <row r="136" spans="1:14" ht="31.5" x14ac:dyDescent="0.45">
      <c r="A136" s="3" t="str">
        <f ca="1">INDEX(INDIRECT($O$10),ROW(A136),COLUMN(A136))</f>
        <v>'129</v>
      </c>
      <c r="B136" s="3">
        <f ca="1">INDEX(INDIRECT($O$10),ROW(B136),COLUMN(B136))</f>
        <v>216</v>
      </c>
      <c r="C136" s="5">
        <f ca="1">INDEX(INDIRECT($O$10),ROW(C136),COLUMN(C136))</f>
        <v>8050850000000</v>
      </c>
      <c r="D136" s="8" t="str">
        <f ca="1">INDEX(INDIRECT($O$10),ROW(D136),COLUMN(D136))</f>
        <v>OBAGS034-TESD5-009</v>
      </c>
      <c r="E136" s="12" t="str">
        <f ca="1">INDEX(INDIRECT($O$10),ROW(E136),COLUMN(E136))</f>
        <v>POCHETTE INTERIEURE FERMETURE ECLAIR O BAG GLAM EN MICROFIBRE COULEUR UNIE</v>
      </c>
      <c r="F136" s="18" t="str">
        <f ca="1">INDEX(INDIRECT($O$10),ROW(F136),COLUMN(F136))</f>
        <v>UNICA</v>
      </c>
      <c r="G136" s="10">
        <f ca="1">INDEX(INDIRECT($O$10),ROW(G136),COLUMN(G136))</f>
        <v>2</v>
      </c>
      <c r="H136" s="20">
        <f ca="1">INDEX(INDIRECT($O$10),ROW(H136),COLUMN(H136))</f>
        <v>10.74</v>
      </c>
      <c r="I136" s="22">
        <f ca="1">INDEX(INDIRECT($O$10),ROW(I136),COLUMN(I136))</f>
        <v>21.48</v>
      </c>
      <c r="J136" s="14" t="str">
        <f ca="1">INDEX(INDIRECT($O$10),ROW(J136),COLUMN(J136))</f>
        <v xml:space="preserve"> </v>
      </c>
      <c r="K136" s="16" t="str">
        <f ca="1">INDEX(INDIRECT($O$10),ROW(K136),COLUMN(K136))</f>
        <v xml:space="preserve"> </v>
      </c>
      <c r="L136" s="27" t="str">
        <f ca="1">INDEX(INDIRECT($O$10),ROW(L136),COLUMN(L136))</f>
        <v xml:space="preserve"> </v>
      </c>
      <c r="M136" s="29" t="str">
        <f ca="1">INDEX(INDIRECT($O$10),ROW(M136),COLUMN(M136))</f>
        <v>blu</v>
      </c>
      <c r="N136" s="2" t="str">
        <f ca="1">IF(ISNUMBER($C136),codeEAN13(INT(C136/10)),"")</f>
        <v>8APASPA*aaaaae+</v>
      </c>
    </row>
    <row r="137" spans="1:14" ht="31.5" x14ac:dyDescent="0.45">
      <c r="A137" s="3" t="str">
        <f ca="1">INDEX(INDIRECT($O$10),ROW(A137),COLUMN(A137))</f>
        <v>'130</v>
      </c>
      <c r="B137" s="3">
        <f ca="1">INDEX(INDIRECT($O$10),ROW(B137),COLUMN(B137))</f>
        <v>19</v>
      </c>
      <c r="C137" s="5">
        <f ca="1">INDEX(INDIRECT($O$10),ROW(C137),COLUMN(C137))</f>
        <v>8050850000000</v>
      </c>
      <c r="D137" s="8" t="str">
        <f ca="1">INDEX(INDIRECT($O$10),ROW(D137),COLUMN(D137))</f>
        <v>OBAGS034-TESD5-055</v>
      </c>
      <c r="E137" s="12" t="str">
        <f ca="1">INDEX(INDIRECT($O$10),ROW(E137),COLUMN(E137))</f>
        <v>POCHETTE INTERIEURE FERMETURE ECLAIR O BAG GLAM EN MICROFIBRE COULEUR UNIE</v>
      </c>
      <c r="F137" s="18" t="str">
        <f ca="1">INDEX(INDIRECT($O$10),ROW(F137),COLUMN(F137))</f>
        <v>UNICA</v>
      </c>
      <c r="G137" s="10">
        <f ca="1">INDEX(INDIRECT($O$10),ROW(G137),COLUMN(G137))</f>
        <v>2</v>
      </c>
      <c r="H137" s="20">
        <f ca="1">INDEX(INDIRECT($O$10),ROW(H137),COLUMN(H137))</f>
        <v>10.74</v>
      </c>
      <c r="I137" s="22">
        <f ca="1">INDEX(INDIRECT($O$10),ROW(I137),COLUMN(I137))</f>
        <v>21.48</v>
      </c>
      <c r="J137" s="14" t="str">
        <f ca="1">INDEX(INDIRECT($O$10),ROW(J137),COLUMN(J137))</f>
        <v xml:space="preserve">CANOGLAM        </v>
      </c>
      <c r="K137" s="16" t="str">
        <f ca="1">INDEX(INDIRECT($O$10),ROW(K137),COLUMN(K137))</f>
        <v>MIBLA</v>
      </c>
      <c r="L137" s="27">
        <f ca="1">INDEX(INDIRECT($O$10),ROW(L137),COLUMN(L137))</f>
        <v>0</v>
      </c>
      <c r="M137" s="29" t="str">
        <f ca="1">INDEX(INDIRECT($O$10),ROW(M137),COLUMN(M137))</f>
        <v>nero</v>
      </c>
      <c r="N137" s="2" t="str">
        <f ca="1">IF(ISNUMBER($C137),codeEAN13(INT(C137/10)),"")</f>
        <v>8APASPA*aaaaae+</v>
      </c>
    </row>
    <row r="138" spans="1:14" ht="31.5" x14ac:dyDescent="0.45">
      <c r="A138" s="3" t="str">
        <f ca="1">INDEX(INDIRECT($O$10),ROW(A138),COLUMN(A138))</f>
        <v>'131</v>
      </c>
      <c r="B138" s="3">
        <f ca="1">INDEX(INDIRECT($O$10),ROW(B138),COLUMN(B138))</f>
        <v>174</v>
      </c>
      <c r="C138" s="5">
        <f ca="1">INDEX(INDIRECT($O$10),ROW(C138),COLUMN(C138))</f>
        <v>8050850000000</v>
      </c>
      <c r="D138" s="8" t="str">
        <f ca="1">INDEX(INDIRECT($O$10),ROW(D138),COLUMN(D138))</f>
        <v>OBAGS034-TESD5-078</v>
      </c>
      <c r="E138" s="12" t="str">
        <f ca="1">INDEX(INDIRECT($O$10),ROW(E138),COLUMN(E138))</f>
        <v>POCHETTE INTERIEURE FERMETURE ECLAIR O BAG GLAM EN MICROFIBRE COULEUR UNIE</v>
      </c>
      <c r="F138" s="18" t="str">
        <f ca="1">INDEX(INDIRECT($O$10),ROW(F138),COLUMN(F138))</f>
        <v>UNICA</v>
      </c>
      <c r="G138" s="10">
        <f ca="1">INDEX(INDIRECT($O$10),ROW(G138),COLUMN(G138))</f>
        <v>2</v>
      </c>
      <c r="H138" s="20">
        <f ca="1">INDEX(INDIRECT($O$10),ROW(H138),COLUMN(H138))</f>
        <v>10.74</v>
      </c>
      <c r="I138" s="22">
        <f ca="1">INDEX(INDIRECT($O$10),ROW(I138),COLUMN(I138))</f>
        <v>21.48</v>
      </c>
      <c r="J138" s="14" t="str">
        <f ca="1">INDEX(INDIRECT($O$10),ROW(J138),COLUMN(J138))</f>
        <v xml:space="preserve"> </v>
      </c>
      <c r="K138" s="16" t="str">
        <f ca="1">INDEX(INDIRECT($O$10),ROW(K138),COLUMN(K138))</f>
        <v xml:space="preserve"> </v>
      </c>
      <c r="L138" s="27" t="str">
        <f ca="1">INDEX(INDIRECT($O$10),ROW(L138),COLUMN(L138))</f>
        <v xml:space="preserve"> </v>
      </c>
      <c r="M138" s="29" t="str">
        <f ca="1">INDEX(INDIRECT($O$10),ROW(M138),COLUMN(M138))</f>
        <v>sabbia</v>
      </c>
      <c r="N138" s="2" t="str">
        <f ca="1">IF(ISNUMBER($C138),codeEAN13(INT(C138/10)),"")</f>
        <v>8APASPA*aaaaae+</v>
      </c>
    </row>
    <row r="139" spans="1:14" ht="31.5" x14ac:dyDescent="0.45">
      <c r="A139" s="3" t="str">
        <f ca="1">INDEX(INDIRECT($O$10),ROW(A139),COLUMN(A139))</f>
        <v>'132</v>
      </c>
      <c r="B139" s="3">
        <f ca="1">INDEX(INDIRECT($O$10),ROW(B139),COLUMN(B139))</f>
        <v>124</v>
      </c>
      <c r="C139" s="5">
        <f ca="1">INDEX(INDIRECT($O$10),ROW(C139),COLUMN(C139))</f>
        <v>8050850000000</v>
      </c>
      <c r="D139" s="8" t="str">
        <f ca="1">INDEX(INDIRECT($O$10),ROW(D139),COLUMN(D139))</f>
        <v>OBAGS034-TESD5-371</v>
      </c>
      <c r="E139" s="12" t="str">
        <f ca="1">INDEX(INDIRECT($O$10),ROW(E139),COLUMN(E139))</f>
        <v>POCHETTE INTERIEURE FERMETURE ECLAIR O BAG GLAM EN MICROFIBRE COULEUR UNIE</v>
      </c>
      <c r="F139" s="18" t="str">
        <f ca="1">INDEX(INDIRECT($O$10),ROW(F139),COLUMN(F139))</f>
        <v>UNICA</v>
      </c>
      <c r="G139" s="10">
        <f ca="1">INDEX(INDIRECT($O$10),ROW(G139),COLUMN(G139))</f>
        <v>2</v>
      </c>
      <c r="H139" s="20">
        <f ca="1">INDEX(INDIRECT($O$10),ROW(H139),COLUMN(H139))</f>
        <v>10.74</v>
      </c>
      <c r="I139" s="22">
        <f ca="1">INDEX(INDIRECT($O$10),ROW(I139),COLUMN(I139))</f>
        <v>21.48</v>
      </c>
      <c r="J139" s="14" t="str">
        <f ca="1">INDEX(INDIRECT($O$10),ROW(J139),COLUMN(J139))</f>
        <v xml:space="preserve">CANOGLAM        </v>
      </c>
      <c r="K139" s="16" t="str">
        <f ca="1">INDEX(INDIRECT($O$10),ROW(K139),COLUMN(K139))</f>
        <v>MICLA</v>
      </c>
      <c r="L139" s="27">
        <f ca="1">INDEX(INDIRECT($O$10),ROW(L139),COLUMN(L139))</f>
        <v>0</v>
      </c>
      <c r="M139" s="29" t="str">
        <f ca="1">INDEX(INDIRECT($O$10),ROW(M139),COLUMN(M139))</f>
        <v>latte</v>
      </c>
      <c r="N139" s="2" t="str">
        <f ca="1">IF(ISNUMBER($C139),codeEAN13(INT(C139/10)),"")</f>
        <v>8APASPA*aaaaae+</v>
      </c>
    </row>
    <row r="140" spans="1:14" ht="31.5" x14ac:dyDescent="0.45">
      <c r="A140" s="3" t="str">
        <f ca="1">INDEX(INDIRECT($O$10),ROW(A140),COLUMN(A140))</f>
        <v>'133</v>
      </c>
      <c r="B140" s="3">
        <f ca="1">INDEX(INDIRECT($O$10),ROW(B140),COLUMN(B140))</f>
        <v>20</v>
      </c>
      <c r="C140" s="5">
        <f ca="1">INDEX(INDIRECT($O$10),ROW(C140),COLUMN(C140))</f>
        <v>8050850000000</v>
      </c>
      <c r="D140" s="8" t="str">
        <f ca="1">INDEX(INDIRECT($O$10),ROW(D140),COLUMN(D140))</f>
        <v>OBAGS034-TESD5-615</v>
      </c>
      <c r="E140" s="12" t="str">
        <f ca="1">INDEX(INDIRECT($O$10),ROW(E140),COLUMN(E140))</f>
        <v>POCHETTE INTERIEURE FERMETURE ECLAIR O BAG GLAM EN MICROFIBRE COULEUR UNIE</v>
      </c>
      <c r="F140" s="18" t="str">
        <f ca="1">INDEX(INDIRECT($O$10),ROW(F140),COLUMN(F140))</f>
        <v>UNICA</v>
      </c>
      <c r="G140" s="10">
        <f ca="1">INDEX(INDIRECT($O$10),ROW(G140),COLUMN(G140))</f>
        <v>2</v>
      </c>
      <c r="H140" s="20">
        <f ca="1">INDEX(INDIRECT($O$10),ROW(H140),COLUMN(H140))</f>
        <v>10.74</v>
      </c>
      <c r="I140" s="22">
        <f ca="1">INDEX(INDIRECT($O$10),ROW(I140),COLUMN(I140))</f>
        <v>21.48</v>
      </c>
      <c r="J140" s="14" t="str">
        <f ca="1">INDEX(INDIRECT($O$10),ROW(J140),COLUMN(J140))</f>
        <v xml:space="preserve"> </v>
      </c>
      <c r="K140" s="16" t="str">
        <f ca="1">INDEX(INDIRECT($O$10),ROW(K140),COLUMN(K140))</f>
        <v xml:space="preserve"> </v>
      </c>
      <c r="L140" s="27" t="str">
        <f ca="1">INDEX(INDIRECT($O$10),ROW(L140),COLUMN(L140))</f>
        <v xml:space="preserve"> </v>
      </c>
      <c r="M140" s="29" t="str">
        <f ca="1">INDEX(INDIRECT($O$10),ROW(M140),COLUMN(M140))</f>
        <v>military</v>
      </c>
      <c r="N140" s="2" t="str">
        <f ca="1">IF(ISNUMBER($C140),codeEAN13(INT(C140/10)),"")</f>
        <v>8APASPA*aaaaae+</v>
      </c>
    </row>
    <row r="141" spans="1:14" ht="31.5" x14ac:dyDescent="0.45">
      <c r="A141" s="3" t="str">
        <f ca="1">INDEX(INDIRECT($O$10),ROW(A141),COLUMN(A141))</f>
        <v>'134</v>
      </c>
      <c r="B141" s="3">
        <f ca="1">INDEX(INDIRECT($O$10),ROW(B141),COLUMN(B141))</f>
        <v>95</v>
      </c>
      <c r="C141" s="5">
        <f ca="1">INDEX(INDIRECT($O$10),ROW(C141),COLUMN(C141))</f>
        <v>8050850000000</v>
      </c>
      <c r="D141" s="8" t="str">
        <f ca="1">INDEX(INDIRECT($O$10),ROW(D141),COLUMN(D141))</f>
        <v>OBAGS533-TESBF-076</v>
      </c>
      <c r="E141" s="12" t="str">
        <f ca="1">INDEX(INDIRECT($O$10),ROW(E141),COLUMN(E141))</f>
        <v>POCHETTE INTERIEURE OVER O BAG URBAN EN TISSU CORDURA CONTRASTE</v>
      </c>
      <c r="F141" s="18" t="str">
        <f ca="1">INDEX(INDIRECT($O$10),ROW(F141),COLUMN(F141))</f>
        <v>UNICA</v>
      </c>
      <c r="G141" s="10">
        <f ca="1">INDEX(INDIRECT($O$10),ROW(G141),COLUMN(G141))</f>
        <v>1</v>
      </c>
      <c r="H141" s="20">
        <f ca="1">INDEX(INDIRECT($O$10),ROW(H141),COLUMN(H141))</f>
        <v>14.81</v>
      </c>
      <c r="I141" s="22">
        <f ca="1">INDEX(INDIRECT($O$10),ROW(I141),COLUMN(I141))</f>
        <v>14.81</v>
      </c>
      <c r="J141" s="14" t="str">
        <f ca="1">INDEX(INDIRECT($O$10),ROW(J141),COLUMN(J141))</f>
        <v xml:space="preserve"> </v>
      </c>
      <c r="K141" s="16" t="str">
        <f ca="1">INDEX(INDIRECT($O$10),ROW(K141),COLUMN(K141))</f>
        <v xml:space="preserve"> </v>
      </c>
      <c r="L141" s="27" t="str">
        <f ca="1">INDEX(INDIRECT($O$10),ROW(L141),COLUMN(L141))</f>
        <v xml:space="preserve"> </v>
      </c>
      <c r="M141" s="29" t="str">
        <f ca="1">INDEX(INDIRECT($O$10),ROW(M141),COLUMN(M141))</f>
        <v>rosso</v>
      </c>
      <c r="N141" s="2" t="str">
        <f ca="1">IF(ISNUMBER($C141),codeEAN13(INT(C141/10)),"")</f>
        <v>8APASPA*aaaaae+</v>
      </c>
    </row>
    <row r="142" spans="1:14" ht="31.5" x14ac:dyDescent="0.45">
      <c r="A142" s="3" t="str">
        <f ca="1">INDEX(INDIRECT($O$10),ROW(A142),COLUMN(A142))</f>
        <v>'135</v>
      </c>
      <c r="B142" s="3">
        <f ca="1">INDEX(INDIRECT($O$10),ROW(B142),COLUMN(B142))</f>
        <v>161</v>
      </c>
      <c r="C142" s="5">
        <f ca="1">INDEX(INDIRECT($O$10),ROW(C142),COLUMN(C142))</f>
        <v>8050850000000</v>
      </c>
      <c r="D142" s="8" t="str">
        <f ca="1">INDEX(INDIRECT($O$10),ROW(D142),COLUMN(D142))</f>
        <v>OBAGS533-TESBF-137</v>
      </c>
      <c r="E142" s="12" t="str">
        <f ca="1">INDEX(INDIRECT($O$10),ROW(E142),COLUMN(E142))</f>
        <v>POCHETTE INTERIEURE OVER O BAG URBAN EN TISSU CORDURA CONTRASTE</v>
      </c>
      <c r="F142" s="18" t="str">
        <f ca="1">INDEX(INDIRECT($O$10),ROW(F142),COLUMN(F142))</f>
        <v>UNICA</v>
      </c>
      <c r="G142" s="10">
        <f ca="1">INDEX(INDIRECT($O$10),ROW(G142),COLUMN(G142))</f>
        <v>1</v>
      </c>
      <c r="H142" s="20">
        <f ca="1">INDEX(INDIRECT($O$10),ROW(H142),COLUMN(H142))</f>
        <v>14.81</v>
      </c>
      <c r="I142" s="22">
        <f ca="1">INDEX(INDIRECT($O$10),ROW(I142),COLUMN(I142))</f>
        <v>14.81</v>
      </c>
      <c r="J142" s="14" t="str">
        <f ca="1">INDEX(INDIRECT($O$10),ROW(J142),COLUMN(J142))</f>
        <v xml:space="preserve"> </v>
      </c>
      <c r="K142" s="16" t="str">
        <f ca="1">INDEX(INDIRECT($O$10),ROW(K142),COLUMN(K142))</f>
        <v xml:space="preserve"> </v>
      </c>
      <c r="L142" s="27" t="str">
        <f ca="1">INDEX(INDIRECT($O$10),ROW(L142),COLUMN(L142))</f>
        <v xml:space="preserve"> </v>
      </c>
      <c r="M142" s="29" t="str">
        <f ca="1">INDEX(INDIRECT($O$10),ROW(M142),COLUMN(M142))</f>
        <v>bluette</v>
      </c>
      <c r="N142" s="2" t="str">
        <f ca="1">IF(ISNUMBER($C142),codeEAN13(INT(C142/10)),"")</f>
        <v>8APASPA*aaaaae+</v>
      </c>
    </row>
    <row r="143" spans="1:14" ht="31.5" x14ac:dyDescent="0.45">
      <c r="A143" s="3" t="str">
        <f ca="1">INDEX(INDIRECT($O$10),ROW(A143),COLUMN(A143))</f>
        <v>'136</v>
      </c>
      <c r="B143" s="3">
        <f ca="1">INDEX(INDIRECT($O$10),ROW(B143),COLUMN(B143))</f>
        <v>138</v>
      </c>
      <c r="C143" s="5">
        <f ca="1">INDEX(INDIRECT($O$10),ROW(C143),COLUMN(C143))</f>
        <v>8050850000000</v>
      </c>
      <c r="D143" s="8" t="str">
        <f ca="1">INDEX(INDIRECT($O$10),ROW(D143),COLUMN(D143))</f>
        <v>OBAGS601-TESBB-615</v>
      </c>
      <c r="E143" s="12" t="str">
        <f ca="1">INDEX(INDIRECT($O$10),ROW(E143),COLUMN(E143))</f>
        <v>POCHETTE INTERIEURE SWITCH O BAG EN TISSU IMPRIME DIANTHUS</v>
      </c>
      <c r="F143" s="18" t="str">
        <f ca="1">INDEX(INDIRECT($O$10),ROW(F143),COLUMN(F143))</f>
        <v>UNICA</v>
      </c>
      <c r="G143" s="10">
        <f ca="1">INDEX(INDIRECT($O$10),ROW(G143),COLUMN(G143))</f>
        <v>2</v>
      </c>
      <c r="H143" s="20">
        <f ca="1">INDEX(INDIRECT($O$10),ROW(H143),COLUMN(H143))</f>
        <v>13.33</v>
      </c>
      <c r="I143" s="22">
        <f ca="1">INDEX(INDIRECT($O$10),ROW(I143),COLUMN(I143))</f>
        <v>26.66</v>
      </c>
      <c r="J143" s="14" t="str">
        <f ca="1">INDEX(INDIRECT($O$10),ROW(J143),COLUMN(J143))</f>
        <v xml:space="preserve"> </v>
      </c>
      <c r="K143" s="16" t="str">
        <f ca="1">INDEX(INDIRECT($O$10),ROW(K143),COLUMN(K143))</f>
        <v xml:space="preserve"> </v>
      </c>
      <c r="L143" s="27" t="str">
        <f ca="1">INDEX(INDIRECT($O$10),ROW(L143),COLUMN(L143))</f>
        <v xml:space="preserve"> </v>
      </c>
      <c r="M143" s="29" t="str">
        <f ca="1">INDEX(INDIRECT($O$10),ROW(M143),COLUMN(M143))</f>
        <v>military</v>
      </c>
      <c r="N143" s="2" t="str">
        <f ca="1">IF(ISNUMBER($C143),codeEAN13(INT(C143/10)),"")</f>
        <v>8APASPA*aaaaae+</v>
      </c>
    </row>
    <row r="144" spans="1:14" ht="31.5" x14ac:dyDescent="0.45">
      <c r="A144" s="3" t="str">
        <f ca="1">INDEX(INDIRECT($O$10),ROW(A144),COLUMN(A144))</f>
        <v>'137</v>
      </c>
      <c r="B144" s="3">
        <f ca="1">INDEX(INDIRECT($O$10),ROW(B144),COLUMN(B144))</f>
        <v>146</v>
      </c>
      <c r="C144" s="5">
        <f ca="1">INDEX(INDIRECT($O$10),ROW(C144),COLUMN(C144))</f>
        <v>8050850000000</v>
      </c>
      <c r="D144" s="8" t="str">
        <f ca="1">INDEX(INDIRECT($O$10),ROW(D144),COLUMN(D144))</f>
        <v>OBAGS601-TESBD-227</v>
      </c>
      <c r="E144" s="12" t="str">
        <f ca="1">INDEX(INDIRECT($O$10),ROW(E144),COLUMN(E144))</f>
        <v>POCHETTE INTERIEURE SWITCH O BAG EN TISSU CHECK EFFET LAINE</v>
      </c>
      <c r="F144" s="18" t="str">
        <f ca="1">INDEX(INDIRECT($O$10),ROW(F144),COLUMN(F144))</f>
        <v>UNICA</v>
      </c>
      <c r="G144" s="10">
        <f ca="1">INDEX(INDIRECT($O$10),ROW(G144),COLUMN(G144))</f>
        <v>2</v>
      </c>
      <c r="H144" s="20">
        <f ca="1">INDEX(INDIRECT($O$10),ROW(H144),COLUMN(H144))</f>
        <v>11.85</v>
      </c>
      <c r="I144" s="22">
        <f ca="1">INDEX(INDIRECT($O$10),ROW(I144),COLUMN(I144))</f>
        <v>23.7</v>
      </c>
      <c r="J144" s="14" t="str">
        <f ca="1">INDEX(INDIRECT($O$10),ROW(J144),COLUMN(J144))</f>
        <v xml:space="preserve"> </v>
      </c>
      <c r="K144" s="16" t="str">
        <f ca="1">INDEX(INDIRECT($O$10),ROW(K144),COLUMN(K144))</f>
        <v xml:space="preserve"> </v>
      </c>
      <c r="L144" s="27" t="str">
        <f ca="1">INDEX(INDIRECT($O$10),ROW(L144),COLUMN(L144))</f>
        <v xml:space="preserve"> </v>
      </c>
      <c r="M144" s="29" t="str">
        <f ca="1">INDEX(INDIRECT($O$10),ROW(M144),COLUMN(M144))</f>
        <v>bianco/nero</v>
      </c>
      <c r="N144" s="2" t="str">
        <f ca="1">IF(ISNUMBER($C144),codeEAN13(INT(C144/10)),"")</f>
        <v>8APASPA*aaaaae+</v>
      </c>
    </row>
    <row r="145" spans="1:14" ht="31.5" x14ac:dyDescent="0.45">
      <c r="A145" s="3" t="str">
        <f ca="1">INDEX(INDIRECT($O$10),ROW(A145),COLUMN(A145))</f>
        <v>'138</v>
      </c>
      <c r="B145" s="3">
        <f ca="1">INDEX(INDIRECT($O$10),ROW(B145),COLUMN(B145))</f>
        <v>195</v>
      </c>
      <c r="C145" s="5">
        <f ca="1">INDEX(INDIRECT($O$10),ROW(C145),COLUMN(C145))</f>
        <v>8050850000000</v>
      </c>
      <c r="D145" s="8" t="str">
        <f ca="1">INDEX(INDIRECT($O$10),ROW(D145),COLUMN(D145))</f>
        <v>OBAGS601-TESBF-076</v>
      </c>
      <c r="E145" s="12" t="str">
        <f ca="1">INDEX(INDIRECT($O$10),ROW(E145),COLUMN(E145))</f>
        <v>POCHETTE INTERIEURE SWITCH O BAG EN TISSU CORDURA CONTRASTE</v>
      </c>
      <c r="F145" s="18" t="str">
        <f ca="1">INDEX(INDIRECT($O$10),ROW(F145),COLUMN(F145))</f>
        <v>UNICA</v>
      </c>
      <c r="G145" s="10">
        <f ca="1">INDEX(INDIRECT($O$10),ROW(G145),COLUMN(G145))</f>
        <v>2</v>
      </c>
      <c r="H145" s="20">
        <f ca="1">INDEX(INDIRECT($O$10),ROW(H145),COLUMN(H145))</f>
        <v>11.85</v>
      </c>
      <c r="I145" s="22">
        <f ca="1">INDEX(INDIRECT($O$10),ROW(I145),COLUMN(I145))</f>
        <v>23.7</v>
      </c>
      <c r="J145" s="14" t="str">
        <f ca="1">INDEX(INDIRECT($O$10),ROW(J145),COLUMN(J145))</f>
        <v xml:space="preserve"> </v>
      </c>
      <c r="K145" s="16" t="str">
        <f ca="1">INDEX(INDIRECT($O$10),ROW(K145),COLUMN(K145))</f>
        <v xml:space="preserve"> </v>
      </c>
      <c r="L145" s="27" t="str">
        <f ca="1">INDEX(INDIRECT($O$10),ROW(L145),COLUMN(L145))</f>
        <v xml:space="preserve"> </v>
      </c>
      <c r="M145" s="29" t="str">
        <f ca="1">INDEX(INDIRECT($O$10),ROW(M145),COLUMN(M145))</f>
        <v>rosso</v>
      </c>
      <c r="N145" s="2" t="str">
        <f ca="1">IF(ISNUMBER($C145),codeEAN13(INT(C145/10)),"")</f>
        <v>8APASPA*aaaaae+</v>
      </c>
    </row>
    <row r="146" spans="1:14" ht="31.5" x14ac:dyDescent="0.45">
      <c r="A146" s="3" t="str">
        <f ca="1">INDEX(INDIRECT($O$10),ROW(A146),COLUMN(A146))</f>
        <v>'139</v>
      </c>
      <c r="B146" s="3">
        <f ca="1">INDEX(INDIRECT($O$10),ROW(B146),COLUMN(B146))</f>
        <v>38</v>
      </c>
      <c r="C146" s="5">
        <f ca="1">INDEX(INDIRECT($O$10),ROW(C146),COLUMN(C146))</f>
        <v>8050850000000</v>
      </c>
      <c r="D146" s="8" t="str">
        <f ca="1">INDEX(INDIRECT($O$10),ROW(D146),COLUMN(D146))</f>
        <v>OBAGS601-TESBF-137</v>
      </c>
      <c r="E146" s="12" t="str">
        <f ca="1">INDEX(INDIRECT($O$10),ROW(E146),COLUMN(E146))</f>
        <v>POCHETTE INTERIEURE SWITCH O BAG EN TISSU CORDURA CONTRASTE</v>
      </c>
      <c r="F146" s="18" t="str">
        <f ca="1">INDEX(INDIRECT($O$10),ROW(F146),COLUMN(F146))</f>
        <v>UNICA</v>
      </c>
      <c r="G146" s="10">
        <f ca="1">INDEX(INDIRECT($O$10),ROW(G146),COLUMN(G146))</f>
        <v>2</v>
      </c>
      <c r="H146" s="20">
        <f ca="1">INDEX(INDIRECT($O$10),ROW(H146),COLUMN(H146))</f>
        <v>11.85</v>
      </c>
      <c r="I146" s="22">
        <f ca="1">INDEX(INDIRECT($O$10),ROW(I146),COLUMN(I146))</f>
        <v>23.7</v>
      </c>
      <c r="J146" s="14" t="str">
        <f ca="1">INDEX(INDIRECT($O$10),ROW(J146),COLUMN(J146))</f>
        <v xml:space="preserve"> </v>
      </c>
      <c r="K146" s="16" t="str">
        <f ca="1">INDEX(INDIRECT($O$10),ROW(K146),COLUMN(K146))</f>
        <v xml:space="preserve"> </v>
      </c>
      <c r="L146" s="27" t="str">
        <f ca="1">INDEX(INDIRECT($O$10),ROW(L146),COLUMN(L146))</f>
        <v xml:space="preserve"> </v>
      </c>
      <c r="M146" s="29" t="str">
        <f ca="1">INDEX(INDIRECT($O$10),ROW(M146),COLUMN(M146))</f>
        <v>bluette</v>
      </c>
      <c r="N146" s="2" t="str">
        <f ca="1">IF(ISNUMBER($C146),codeEAN13(INT(C146/10)),"")</f>
        <v>8APASPA*aaaaae+</v>
      </c>
    </row>
    <row r="147" spans="1:14" ht="31.5" x14ac:dyDescent="0.45">
      <c r="A147" s="3" t="str">
        <f ca="1">INDEX(INDIRECT($O$10),ROW(A147),COLUMN(A147))</f>
        <v>'140</v>
      </c>
      <c r="B147" s="3">
        <f ca="1">INDEX(INDIRECT($O$10),ROW(B147),COLUMN(B147))</f>
        <v>217</v>
      </c>
      <c r="C147" s="5">
        <f ca="1">INDEX(INDIRECT($O$10),ROW(C147),COLUMN(C147))</f>
        <v>8050850000000</v>
      </c>
      <c r="D147" s="8" t="str">
        <f ca="1">INDEX(INDIRECT($O$10),ROW(D147),COLUMN(D147))</f>
        <v>OBAGS601-TESBF-144</v>
      </c>
      <c r="E147" s="12" t="str">
        <f ca="1">INDEX(INDIRECT($O$10),ROW(E147),COLUMN(E147))</f>
        <v>POCHETTE INTERIEURE SWITCH O BAG EN TISSU CORDURA CONTRASTE</v>
      </c>
      <c r="F147" s="18" t="str">
        <f ca="1">INDEX(INDIRECT($O$10),ROW(F147),COLUMN(F147))</f>
        <v>UNICA</v>
      </c>
      <c r="G147" s="10">
        <f ca="1">INDEX(INDIRECT($O$10),ROW(G147),COLUMN(G147))</f>
        <v>2</v>
      </c>
      <c r="H147" s="20">
        <f ca="1">INDEX(INDIRECT($O$10),ROW(H147),COLUMN(H147))</f>
        <v>11.85</v>
      </c>
      <c r="I147" s="22">
        <f ca="1">INDEX(INDIRECT($O$10),ROW(I147),COLUMN(I147))</f>
        <v>23.7</v>
      </c>
      <c r="J147" s="14" t="str">
        <f ca="1">INDEX(INDIRECT($O$10),ROW(J147),COLUMN(J147))</f>
        <v xml:space="preserve"> </v>
      </c>
      <c r="K147" s="16" t="str">
        <f ca="1">INDEX(INDIRECT($O$10),ROW(K147),COLUMN(K147))</f>
        <v xml:space="preserve"> </v>
      </c>
      <c r="L147" s="27" t="str">
        <f ca="1">INDEX(INDIRECT($O$10),ROW(L147),COLUMN(L147))</f>
        <v xml:space="preserve"> </v>
      </c>
      <c r="M147" s="29" t="str">
        <f ca="1">INDEX(INDIRECT($O$10),ROW(M147),COLUMN(M147))</f>
        <v>ginestra</v>
      </c>
      <c r="N147" s="2" t="str">
        <f ca="1">IF(ISNUMBER($C147),codeEAN13(INT(C147/10)),"")</f>
        <v>8APASPA*aaaaae+</v>
      </c>
    </row>
    <row r="148" spans="1:14" ht="31.5" x14ac:dyDescent="0.45">
      <c r="A148" s="3" t="str">
        <f ca="1">INDEX(INDIRECT($O$10),ROW(A148),COLUMN(A148))</f>
        <v>'141</v>
      </c>
      <c r="B148" s="3">
        <f ca="1">INDEX(INDIRECT($O$10),ROW(B148),COLUMN(B148))</f>
        <v>176</v>
      </c>
      <c r="C148" s="5">
        <f ca="1">INDEX(INDIRECT($O$10),ROW(C148),COLUMN(C148))</f>
        <v>8050850000000</v>
      </c>
      <c r="D148" s="8" t="str">
        <f ca="1">INDEX(INDIRECT($O$10),ROW(D148),COLUMN(D148))</f>
        <v>OBAGS601-TESBH-017</v>
      </c>
      <c r="E148" s="12" t="str">
        <f ca="1">INDEX(INDIRECT($O$10),ROW(E148),COLUMN(E148))</f>
        <v>POCHETTE INTERIEURE SWITCH O BAG EN TISSU JACQUARD MICRO FANTAISIE</v>
      </c>
      <c r="F148" s="18" t="str">
        <f ca="1">INDEX(INDIRECT($O$10),ROW(F148),COLUMN(F148))</f>
        <v>UNICA</v>
      </c>
      <c r="G148" s="10">
        <f ca="1">INDEX(INDIRECT($O$10),ROW(G148),COLUMN(G148))</f>
        <v>2</v>
      </c>
      <c r="H148" s="20">
        <f ca="1">INDEX(INDIRECT($O$10),ROW(H148),COLUMN(H148))</f>
        <v>13.33</v>
      </c>
      <c r="I148" s="22">
        <f ca="1">INDEX(INDIRECT($O$10),ROW(I148),COLUMN(I148))</f>
        <v>26.66</v>
      </c>
      <c r="J148" s="14" t="str">
        <f ca="1">INDEX(INDIRECT($O$10),ROW(J148),COLUMN(J148))</f>
        <v xml:space="preserve"> </v>
      </c>
      <c r="K148" s="16" t="str">
        <f ca="1">INDEX(INDIRECT($O$10),ROW(K148),COLUMN(K148))</f>
        <v xml:space="preserve"> </v>
      </c>
      <c r="L148" s="27" t="str">
        <f ca="1">INDEX(INDIRECT($O$10),ROW(L148),COLUMN(L148))</f>
        <v xml:space="preserve"> </v>
      </c>
      <c r="M148" s="29" t="str">
        <f ca="1">INDEX(INDIRECT($O$10),ROW(M148),COLUMN(M148))</f>
        <v>blu navy</v>
      </c>
      <c r="N148" s="2" t="str">
        <f ca="1">IF(ISNUMBER($C148),codeEAN13(INT(C148/10)),"")</f>
        <v>8APASPA*aaaaae+</v>
      </c>
    </row>
    <row r="149" spans="1:14" ht="31.5" x14ac:dyDescent="0.45">
      <c r="A149" s="3" t="str">
        <f ca="1">INDEX(INDIRECT($O$10),ROW(A149),COLUMN(A149))</f>
        <v>'142</v>
      </c>
      <c r="B149" s="3">
        <f ca="1">INDEX(INDIRECT($O$10),ROW(B149),COLUMN(B149))</f>
        <v>156</v>
      </c>
      <c r="C149" s="5">
        <f ca="1">INDEX(INDIRECT($O$10),ROW(C149),COLUMN(C149))</f>
        <v>8050850000000</v>
      </c>
      <c r="D149" s="8" t="str">
        <f ca="1">INDEX(INDIRECT($O$10),ROW(D149),COLUMN(D149))</f>
        <v>OBAGS601-TESBM-227</v>
      </c>
      <c r="E149" s="12" t="str">
        <f ca="1">INDEX(INDIRECT($O$10),ROW(E149),COLUMN(E149))</f>
        <v>POCHETTE INTERIEURE SWITCH O BAG EN TISSU IMPRIME GEOMETRIC LILY</v>
      </c>
      <c r="F149" s="18" t="str">
        <f ca="1">INDEX(INDIRECT($O$10),ROW(F149),COLUMN(F149))</f>
        <v>UNICA</v>
      </c>
      <c r="G149" s="10">
        <f ca="1">INDEX(INDIRECT($O$10),ROW(G149),COLUMN(G149))</f>
        <v>2</v>
      </c>
      <c r="H149" s="20">
        <f ca="1">INDEX(INDIRECT($O$10),ROW(H149),COLUMN(H149))</f>
        <v>11.85</v>
      </c>
      <c r="I149" s="22">
        <f ca="1">INDEX(INDIRECT($O$10),ROW(I149),COLUMN(I149))</f>
        <v>23.7</v>
      </c>
      <c r="J149" s="14" t="str">
        <f ca="1">INDEX(INDIRECT($O$10),ROW(J149),COLUMN(J149))</f>
        <v xml:space="preserve"> </v>
      </c>
      <c r="K149" s="16" t="str">
        <f ca="1">INDEX(INDIRECT($O$10),ROW(K149),COLUMN(K149))</f>
        <v xml:space="preserve"> </v>
      </c>
      <c r="L149" s="27" t="str">
        <f ca="1">INDEX(INDIRECT($O$10),ROW(L149),COLUMN(L149))</f>
        <v xml:space="preserve"> </v>
      </c>
      <c r="M149" s="29" t="str">
        <f ca="1">INDEX(INDIRECT($O$10),ROW(M149),COLUMN(M149))</f>
        <v>bianco/nero</v>
      </c>
      <c r="N149" s="2" t="str">
        <f ca="1">IF(ISNUMBER($C149),codeEAN13(INT(C149/10)),"")</f>
        <v>8APASPA*aaaaae+</v>
      </c>
    </row>
    <row r="150" spans="1:14" ht="31.5" x14ac:dyDescent="0.45">
      <c r="A150" s="3" t="str">
        <f ca="1">INDEX(INDIRECT($O$10),ROW(A150),COLUMN(A150))</f>
        <v>'143</v>
      </c>
      <c r="B150" s="3">
        <f ca="1">INDEX(INDIRECT($O$10),ROW(B150),COLUMN(B150))</f>
        <v>180</v>
      </c>
      <c r="C150" s="5">
        <f ca="1">INDEX(INDIRECT($O$10),ROW(C150),COLUMN(C150))</f>
        <v>8050850000000</v>
      </c>
      <c r="D150" s="8" t="str">
        <f ca="1">INDEX(INDIRECT($O$10),ROW(D150),COLUMN(D150))</f>
        <v>OBAGS602-TESBB-615</v>
      </c>
      <c r="E150" s="12" t="str">
        <f ca="1">INDEX(INDIRECT($O$10),ROW(E150),COLUMN(E150))</f>
        <v>POCHETTE INTERIEURE SWITCH O BAG MINI EN TISSU IMPRIME DIANTHUS</v>
      </c>
      <c r="F150" s="18" t="str">
        <f ca="1">INDEX(INDIRECT($O$10),ROW(F150),COLUMN(F150))</f>
        <v>UNICA</v>
      </c>
      <c r="G150" s="10">
        <f ca="1">INDEX(INDIRECT($O$10),ROW(G150),COLUMN(G150))</f>
        <v>2</v>
      </c>
      <c r="H150" s="20">
        <f ca="1">INDEX(INDIRECT($O$10),ROW(H150),COLUMN(H150))</f>
        <v>13.33</v>
      </c>
      <c r="I150" s="22">
        <f ca="1">INDEX(INDIRECT($O$10),ROW(I150),COLUMN(I150))</f>
        <v>26.66</v>
      </c>
      <c r="J150" s="14" t="str">
        <f ca="1">INDEX(INDIRECT($O$10),ROW(J150),COLUMN(J150))</f>
        <v xml:space="preserve"> </v>
      </c>
      <c r="K150" s="16" t="str">
        <f ca="1">INDEX(INDIRECT($O$10),ROW(K150),COLUMN(K150))</f>
        <v xml:space="preserve"> </v>
      </c>
      <c r="L150" s="27" t="str">
        <f ca="1">INDEX(INDIRECT($O$10),ROW(L150),COLUMN(L150))</f>
        <v xml:space="preserve"> </v>
      </c>
      <c r="M150" s="29" t="str">
        <f ca="1">INDEX(INDIRECT($O$10),ROW(M150),COLUMN(M150))</f>
        <v>military</v>
      </c>
      <c r="N150" s="2" t="str">
        <f ca="1">IF(ISNUMBER($C150),codeEAN13(INT(C150/10)),"")</f>
        <v>8APASPA*aaaaae+</v>
      </c>
    </row>
    <row r="151" spans="1:14" ht="31.5" x14ac:dyDescent="0.45">
      <c r="A151" s="3" t="str">
        <f ca="1">INDEX(INDIRECT($O$10),ROW(A151),COLUMN(A151))</f>
        <v>'144</v>
      </c>
      <c r="B151" s="3">
        <f ca="1">INDEX(INDIRECT($O$10),ROW(B151),COLUMN(B151))</f>
        <v>107</v>
      </c>
      <c r="C151" s="5">
        <f ca="1">INDEX(INDIRECT($O$10),ROW(C151),COLUMN(C151))</f>
        <v>8050850000000</v>
      </c>
      <c r="D151" s="8" t="str">
        <f ca="1">INDEX(INDIRECT($O$10),ROW(D151),COLUMN(D151))</f>
        <v>OBAGS602-TESBD-227</v>
      </c>
      <c r="E151" s="12" t="str">
        <f ca="1">INDEX(INDIRECT($O$10),ROW(E151),COLUMN(E151))</f>
        <v>POCHETTE INTERIEURE SWITCH O BAG MINI EN TISSU CHECK EFFET LAINE</v>
      </c>
      <c r="F151" s="18" t="str">
        <f ca="1">INDEX(INDIRECT($O$10),ROW(F151),COLUMN(F151))</f>
        <v>UNICA</v>
      </c>
      <c r="G151" s="10">
        <f ca="1">INDEX(INDIRECT($O$10),ROW(G151),COLUMN(G151))</f>
        <v>2</v>
      </c>
      <c r="H151" s="20">
        <f ca="1">INDEX(INDIRECT($O$10),ROW(H151),COLUMN(H151))</f>
        <v>11.85</v>
      </c>
      <c r="I151" s="22">
        <f ca="1">INDEX(INDIRECT($O$10),ROW(I151),COLUMN(I151))</f>
        <v>23.7</v>
      </c>
      <c r="J151" s="14" t="str">
        <f ca="1">INDEX(INDIRECT($O$10),ROW(J151),COLUMN(J151))</f>
        <v xml:space="preserve"> </v>
      </c>
      <c r="K151" s="16" t="str">
        <f ca="1">INDEX(INDIRECT($O$10),ROW(K151),COLUMN(K151))</f>
        <v xml:space="preserve"> </v>
      </c>
      <c r="L151" s="27" t="str">
        <f ca="1">INDEX(INDIRECT($O$10),ROW(L151),COLUMN(L151))</f>
        <v xml:space="preserve"> </v>
      </c>
      <c r="M151" s="29" t="str">
        <f ca="1">INDEX(INDIRECT($O$10),ROW(M151),COLUMN(M151))</f>
        <v>bianco/nero</v>
      </c>
      <c r="N151" s="2" t="str">
        <f ca="1">IF(ISNUMBER($C151),codeEAN13(INT(C151/10)),"")</f>
        <v>8APASPA*aaaaae+</v>
      </c>
    </row>
    <row r="152" spans="1:14" ht="31.5" x14ac:dyDescent="0.45">
      <c r="A152" s="3" t="str">
        <f ca="1">INDEX(INDIRECT($O$10),ROW(A152),COLUMN(A152))</f>
        <v>'145</v>
      </c>
      <c r="B152" s="3">
        <f ca="1">INDEX(INDIRECT($O$10),ROW(B152),COLUMN(B152))</f>
        <v>152</v>
      </c>
      <c r="C152" s="5">
        <f ca="1">INDEX(INDIRECT($O$10),ROW(C152),COLUMN(C152))</f>
        <v>8050850000000</v>
      </c>
      <c r="D152" s="8" t="str">
        <f ca="1">INDEX(INDIRECT($O$10),ROW(D152),COLUMN(D152))</f>
        <v>OBAGS602-TESBF-076</v>
      </c>
      <c r="E152" s="12" t="str">
        <f ca="1">INDEX(INDIRECT($O$10),ROW(E152),COLUMN(E152))</f>
        <v>POCHETTE INTERIEURE SWITCH O BAG MINI EN TISSU CORDURA CONTRASTE</v>
      </c>
      <c r="F152" s="18" t="str">
        <f ca="1">INDEX(INDIRECT($O$10),ROW(F152),COLUMN(F152))</f>
        <v>UNICA</v>
      </c>
      <c r="G152" s="10">
        <f ca="1">INDEX(INDIRECT($O$10),ROW(G152),COLUMN(G152))</f>
        <v>2</v>
      </c>
      <c r="H152" s="20">
        <f ca="1">INDEX(INDIRECT($O$10),ROW(H152),COLUMN(H152))</f>
        <v>11.85</v>
      </c>
      <c r="I152" s="22">
        <f ca="1">INDEX(INDIRECT($O$10),ROW(I152),COLUMN(I152))</f>
        <v>23.7</v>
      </c>
      <c r="J152" s="14" t="str">
        <f ca="1">INDEX(INDIRECT($O$10),ROW(J152),COLUMN(J152))</f>
        <v xml:space="preserve"> </v>
      </c>
      <c r="K152" s="16" t="str">
        <f ca="1">INDEX(INDIRECT($O$10),ROW(K152),COLUMN(K152))</f>
        <v xml:space="preserve"> </v>
      </c>
      <c r="L152" s="27" t="str">
        <f ca="1">INDEX(INDIRECT($O$10),ROW(L152),COLUMN(L152))</f>
        <v xml:space="preserve"> </v>
      </c>
      <c r="M152" s="29" t="str">
        <f ca="1">INDEX(INDIRECT($O$10),ROW(M152),COLUMN(M152))</f>
        <v>rosso</v>
      </c>
      <c r="N152" s="2" t="str">
        <f ca="1">IF(ISNUMBER($C152),codeEAN13(INT(C152/10)),"")</f>
        <v>8APASPA*aaaaae+</v>
      </c>
    </row>
    <row r="153" spans="1:14" ht="31.5" x14ac:dyDescent="0.45">
      <c r="A153" s="3" t="str">
        <f ca="1">INDEX(INDIRECT($O$10),ROW(A153),COLUMN(A153))</f>
        <v>'146</v>
      </c>
      <c r="B153" s="3">
        <f ca="1">INDEX(INDIRECT($O$10),ROW(B153),COLUMN(B153))</f>
        <v>35</v>
      </c>
      <c r="C153" s="5">
        <f ca="1">INDEX(INDIRECT($O$10),ROW(C153),COLUMN(C153))</f>
        <v>8050850000000</v>
      </c>
      <c r="D153" s="8" t="str">
        <f ca="1">INDEX(INDIRECT($O$10),ROW(D153),COLUMN(D153))</f>
        <v>OBAGS602-TESBF-137</v>
      </c>
      <c r="E153" s="12" t="str">
        <f ca="1">INDEX(INDIRECT($O$10),ROW(E153),COLUMN(E153))</f>
        <v>POCHETTE INTERIEURE SWITCH O BAG MINI EN TISSU CORDURA CONTRASTE</v>
      </c>
      <c r="F153" s="18" t="str">
        <f ca="1">INDEX(INDIRECT($O$10),ROW(F153),COLUMN(F153))</f>
        <v>UNICA</v>
      </c>
      <c r="G153" s="10">
        <f ca="1">INDEX(INDIRECT($O$10),ROW(G153),COLUMN(G153))</f>
        <v>2</v>
      </c>
      <c r="H153" s="20">
        <f ca="1">INDEX(INDIRECT($O$10),ROW(H153),COLUMN(H153))</f>
        <v>11.85</v>
      </c>
      <c r="I153" s="22">
        <f ca="1">INDEX(INDIRECT($O$10),ROW(I153),COLUMN(I153))</f>
        <v>23.7</v>
      </c>
      <c r="J153" s="14" t="str">
        <f ca="1">INDEX(INDIRECT($O$10),ROW(J153),COLUMN(J153))</f>
        <v xml:space="preserve"> </v>
      </c>
      <c r="K153" s="16" t="str">
        <f ca="1">INDEX(INDIRECT($O$10),ROW(K153),COLUMN(K153))</f>
        <v xml:space="preserve"> </v>
      </c>
      <c r="L153" s="27" t="str">
        <f ca="1">INDEX(INDIRECT($O$10),ROW(L153),COLUMN(L153))</f>
        <v xml:space="preserve"> </v>
      </c>
      <c r="M153" s="29" t="str">
        <f ca="1">INDEX(INDIRECT($O$10),ROW(M153),COLUMN(M153))</f>
        <v>bluette</v>
      </c>
      <c r="N153" s="2" t="str">
        <f ca="1">IF(ISNUMBER($C153),codeEAN13(INT(C153/10)),"")</f>
        <v>8APASPA*aaaaae+</v>
      </c>
    </row>
    <row r="154" spans="1:14" ht="31.5" x14ac:dyDescent="0.45">
      <c r="A154" s="3" t="str">
        <f ca="1">INDEX(INDIRECT($O$10),ROW(A154),COLUMN(A154))</f>
        <v>'147</v>
      </c>
      <c r="B154" s="3">
        <f ca="1">INDEX(INDIRECT($O$10),ROW(B154),COLUMN(B154))</f>
        <v>130</v>
      </c>
      <c r="C154" s="5">
        <f ca="1">INDEX(INDIRECT($O$10),ROW(C154),COLUMN(C154))</f>
        <v>8050850000000</v>
      </c>
      <c r="D154" s="8" t="str">
        <f ca="1">INDEX(INDIRECT($O$10),ROW(D154),COLUMN(D154))</f>
        <v>OBAGS602-TESBF-144</v>
      </c>
      <c r="E154" s="12" t="str">
        <f ca="1">INDEX(INDIRECT($O$10),ROW(E154),COLUMN(E154))</f>
        <v>POCHETTE INTERIEURE SWITCH O BAG MINI EN TISSU CORDURA CONTRASTE</v>
      </c>
      <c r="F154" s="18" t="str">
        <f ca="1">INDEX(INDIRECT($O$10),ROW(F154),COLUMN(F154))</f>
        <v>UNICA</v>
      </c>
      <c r="G154" s="10">
        <f ca="1">INDEX(INDIRECT($O$10),ROW(G154),COLUMN(G154))</f>
        <v>2</v>
      </c>
      <c r="H154" s="20">
        <f ca="1">INDEX(INDIRECT($O$10),ROW(H154),COLUMN(H154))</f>
        <v>11.85</v>
      </c>
      <c r="I154" s="22">
        <f ca="1">INDEX(INDIRECT($O$10),ROW(I154),COLUMN(I154))</f>
        <v>23.7</v>
      </c>
      <c r="J154" s="14" t="str">
        <f ca="1">INDEX(INDIRECT($O$10),ROW(J154),COLUMN(J154))</f>
        <v xml:space="preserve"> </v>
      </c>
      <c r="K154" s="16" t="str">
        <f ca="1">INDEX(INDIRECT($O$10),ROW(K154),COLUMN(K154))</f>
        <v xml:space="preserve"> </v>
      </c>
      <c r="L154" s="27" t="str">
        <f ca="1">INDEX(INDIRECT($O$10),ROW(L154),COLUMN(L154))</f>
        <v xml:space="preserve"> </v>
      </c>
      <c r="M154" s="29" t="str">
        <f ca="1">INDEX(INDIRECT($O$10),ROW(M154),COLUMN(M154))</f>
        <v>ginestra</v>
      </c>
      <c r="N154" s="2" t="str">
        <f ca="1">IF(ISNUMBER($C154),codeEAN13(INT(C154/10)),"")</f>
        <v>8APASPA*aaaaae+</v>
      </c>
    </row>
    <row r="155" spans="1:14" ht="31.5" x14ac:dyDescent="0.45">
      <c r="A155" s="3" t="str">
        <f ca="1">INDEX(INDIRECT($O$10),ROW(A155),COLUMN(A155))</f>
        <v>'148</v>
      </c>
      <c r="B155" s="3">
        <f ca="1">INDEX(INDIRECT($O$10),ROW(B155),COLUMN(B155))</f>
        <v>5</v>
      </c>
      <c r="C155" s="5">
        <f ca="1">INDEX(INDIRECT($O$10),ROW(C155),COLUMN(C155))</f>
        <v>8050850000000</v>
      </c>
      <c r="D155" s="8" t="str">
        <f ca="1">INDEX(INDIRECT($O$10),ROW(D155),COLUMN(D155))</f>
        <v>OBAGS602-TESBH-017</v>
      </c>
      <c r="E155" s="12" t="str">
        <f ca="1">INDEX(INDIRECT($O$10),ROW(E155),COLUMN(E155))</f>
        <v>POCHETTE INTERIEURE SWITCH O BAG MINI EN TISSU JACQUARD MICRO FANTAISIE</v>
      </c>
      <c r="F155" s="18" t="str">
        <f ca="1">INDEX(INDIRECT($O$10),ROW(F155),COLUMN(F155))</f>
        <v>UNICA</v>
      </c>
      <c r="G155" s="10">
        <f ca="1">INDEX(INDIRECT($O$10),ROW(G155),COLUMN(G155))</f>
        <v>2</v>
      </c>
      <c r="H155" s="20">
        <f ca="1">INDEX(INDIRECT($O$10),ROW(H155),COLUMN(H155))</f>
        <v>13.33</v>
      </c>
      <c r="I155" s="22">
        <f ca="1">INDEX(INDIRECT($O$10),ROW(I155),COLUMN(I155))</f>
        <v>26.66</v>
      </c>
      <c r="J155" s="14" t="str">
        <f ca="1">INDEX(INDIRECT($O$10),ROW(J155),COLUMN(J155))</f>
        <v xml:space="preserve"> </v>
      </c>
      <c r="K155" s="16" t="str">
        <f ca="1">INDEX(INDIRECT($O$10),ROW(K155),COLUMN(K155))</f>
        <v xml:space="preserve"> </v>
      </c>
      <c r="L155" s="27" t="str">
        <f ca="1">INDEX(INDIRECT($O$10),ROW(L155),COLUMN(L155))</f>
        <v xml:space="preserve"> </v>
      </c>
      <c r="M155" s="29" t="str">
        <f ca="1">INDEX(INDIRECT($O$10),ROW(M155),COLUMN(M155))</f>
        <v>blu navy</v>
      </c>
      <c r="N155" s="2" t="str">
        <f ca="1">IF(ISNUMBER($C155),codeEAN13(INT(C155/10)),"")</f>
        <v>8APASPA*aaaaae+</v>
      </c>
    </row>
    <row r="156" spans="1:14" ht="31.5" x14ac:dyDescent="0.45">
      <c r="A156" s="3" t="str">
        <f ca="1">INDEX(INDIRECT($O$10),ROW(A156),COLUMN(A156))</f>
        <v>'149</v>
      </c>
      <c r="B156" s="3">
        <f ca="1">INDEX(INDIRECT($O$10),ROW(B156),COLUMN(B156))</f>
        <v>206</v>
      </c>
      <c r="C156" s="5">
        <f ca="1">INDEX(INDIRECT($O$10),ROW(C156),COLUMN(C156))</f>
        <v>8050850000000</v>
      </c>
      <c r="D156" s="8" t="str">
        <f ca="1">INDEX(INDIRECT($O$10),ROW(D156),COLUMN(D156))</f>
        <v>OBAGS602-TESBM-227</v>
      </c>
      <c r="E156" s="12" t="str">
        <f ca="1">INDEX(INDIRECT($O$10),ROW(E156),COLUMN(E156))</f>
        <v>POCHETTE INTERIEURE SWITCH O BAG MINI EN TISSU IMPRIME GEOMETRIC LILY</v>
      </c>
      <c r="F156" s="18" t="str">
        <f ca="1">INDEX(INDIRECT($O$10),ROW(F156),COLUMN(F156))</f>
        <v>UNICA</v>
      </c>
      <c r="G156" s="10">
        <f ca="1">INDEX(INDIRECT($O$10),ROW(G156),COLUMN(G156))</f>
        <v>2</v>
      </c>
      <c r="H156" s="20">
        <f ca="1">INDEX(INDIRECT($O$10),ROW(H156),COLUMN(H156))</f>
        <v>11.85</v>
      </c>
      <c r="I156" s="22">
        <f ca="1">INDEX(INDIRECT($O$10),ROW(I156),COLUMN(I156))</f>
        <v>23.7</v>
      </c>
      <c r="J156" s="14" t="str">
        <f ca="1">INDEX(INDIRECT($O$10),ROW(J156),COLUMN(J156))</f>
        <v xml:space="preserve"> </v>
      </c>
      <c r="K156" s="16" t="str">
        <f ca="1">INDEX(INDIRECT($O$10),ROW(K156),COLUMN(K156))</f>
        <v xml:space="preserve"> </v>
      </c>
      <c r="L156" s="27" t="str">
        <f ca="1">INDEX(INDIRECT($O$10),ROW(L156),COLUMN(L156))</f>
        <v xml:space="preserve"> </v>
      </c>
      <c r="M156" s="29" t="str">
        <f ca="1">INDEX(INDIRECT($O$10),ROW(M156),COLUMN(M156))</f>
        <v>bianco/nero</v>
      </c>
      <c r="N156" s="2" t="str">
        <f ca="1">IF(ISNUMBER($C156),codeEAN13(INT(C156/10)),"")</f>
        <v>8APASPA*aaaaae+</v>
      </c>
    </row>
    <row r="157" spans="1:14" ht="31.5" x14ac:dyDescent="0.45">
      <c r="A157" s="3" t="str">
        <f ca="1">INDEX(INDIRECT($O$10),ROW(A157),COLUMN(A157))</f>
        <v>'150</v>
      </c>
      <c r="B157" s="3">
        <f ca="1">INDEX(INDIRECT($O$10),ROW(B157),COLUMN(B157))</f>
        <v>199</v>
      </c>
      <c r="C157" s="5">
        <f ca="1">INDEX(INDIRECT($O$10),ROW(C157),COLUMN(C157))</f>
        <v>8050540000000</v>
      </c>
      <c r="D157" s="8" t="str">
        <f ca="1">INDEX(INDIRECT($O$10),ROW(D157),COLUMN(D157))</f>
        <v>OBAGT001-FAS09-067</v>
      </c>
      <c r="E157" s="12" t="str">
        <f ca="1">INDEX(INDIRECT($O$10),ROW(E157),COLUMN(E157))</f>
        <v>REVERS O BAG EN FAUSSE FOURRURE LAPIN REX</v>
      </c>
      <c r="F157" s="18" t="str">
        <f ca="1">INDEX(INDIRECT($O$10),ROW(F157),COLUMN(F157))</f>
        <v>UNICA</v>
      </c>
      <c r="G157" s="10">
        <f ca="1">INDEX(INDIRECT($O$10),ROW(G157),COLUMN(G157))</f>
        <v>2</v>
      </c>
      <c r="H157" s="20">
        <f ca="1">INDEX(INDIRECT($O$10),ROW(H157),COLUMN(H157))</f>
        <v>18.48</v>
      </c>
      <c r="I157" s="22">
        <f ca="1">INDEX(INDIRECT($O$10),ROW(I157),COLUMN(I157))</f>
        <v>36.96</v>
      </c>
      <c r="J157" s="14" t="str">
        <f ca="1">INDEX(INDIRECT($O$10),ROW(J157),COLUMN(J157))</f>
        <v xml:space="preserve">ECOFOURRURE     </v>
      </c>
      <c r="K157" s="16" t="str">
        <f ca="1">INDEX(INDIRECT($O$10),ROW(K157),COLUMN(K157))</f>
        <v>LAPHA</v>
      </c>
      <c r="L157" s="27">
        <f ca="1">INDEX(INDIRECT($O$10),ROW(L157),COLUMN(L157))</f>
        <v>0</v>
      </c>
      <c r="M157" s="29" t="str">
        <f ca="1">INDEX(INDIRECT($O$10),ROW(M157),COLUMN(M157))</f>
        <v>phard</v>
      </c>
      <c r="N157" s="2" t="str">
        <f ca="1">IF(ISNUMBER($C157),codeEAN13(INT(C157/10)),"")</f>
        <v>8APAPOA*aaaaaa+</v>
      </c>
    </row>
    <row r="158" spans="1:14" ht="31.5" x14ac:dyDescent="0.45">
      <c r="A158" s="3" t="str">
        <f ca="1">INDEX(INDIRECT($O$10),ROW(A158),COLUMN(A158))</f>
        <v>'151</v>
      </c>
      <c r="B158" s="3">
        <f ca="1">INDEX(INDIRECT($O$10),ROW(B158),COLUMN(B158))</f>
        <v>31</v>
      </c>
      <c r="C158" s="5">
        <f ca="1">INDEX(INDIRECT($O$10),ROW(C158),COLUMN(C158))</f>
        <v>8050850000000</v>
      </c>
      <c r="D158" s="8" t="str">
        <f ca="1">INDEX(INDIRECT($O$10),ROW(D158),COLUMN(D158))</f>
        <v>OBAGT001-FAS09-615</v>
      </c>
      <c r="E158" s="12" t="str">
        <f ca="1">INDEX(INDIRECT($O$10),ROW(E158),COLUMN(E158))</f>
        <v>REVERS O BAG EN FAUSSE FOURRURE LAPIN REX</v>
      </c>
      <c r="F158" s="18" t="str">
        <f ca="1">INDEX(INDIRECT($O$10),ROW(F158),COLUMN(F158))</f>
        <v>UNICA</v>
      </c>
      <c r="G158" s="10">
        <f ca="1">INDEX(INDIRECT($O$10),ROW(G158),COLUMN(G158))</f>
        <v>2</v>
      </c>
      <c r="H158" s="20">
        <f ca="1">INDEX(INDIRECT($O$10),ROW(H158),COLUMN(H158))</f>
        <v>18.48</v>
      </c>
      <c r="I158" s="22">
        <f ca="1">INDEX(INDIRECT($O$10),ROW(I158),COLUMN(I158))</f>
        <v>36.96</v>
      </c>
      <c r="J158" s="14" t="str">
        <f ca="1">INDEX(INDIRECT($O$10),ROW(J158),COLUMN(J158))</f>
        <v xml:space="preserve"> </v>
      </c>
      <c r="K158" s="16" t="str">
        <f ca="1">INDEX(INDIRECT($O$10),ROW(K158),COLUMN(K158))</f>
        <v xml:space="preserve"> </v>
      </c>
      <c r="L158" s="27" t="str">
        <f ca="1">INDEX(INDIRECT($O$10),ROW(L158),COLUMN(L158))</f>
        <v xml:space="preserve"> </v>
      </c>
      <c r="M158" s="29" t="str">
        <f ca="1">INDEX(INDIRECT($O$10),ROW(M158),COLUMN(M158))</f>
        <v>military</v>
      </c>
      <c r="N158" s="2" t="str">
        <f ca="1">IF(ISNUMBER($C158),codeEAN13(INT(C158/10)),"")</f>
        <v>8APASPA*aaaaae+</v>
      </c>
    </row>
    <row r="159" spans="1:14" ht="31.5" x14ac:dyDescent="0.45">
      <c r="A159" s="3" t="str">
        <f ca="1">INDEX(INDIRECT($O$10),ROW(A159),COLUMN(A159))</f>
        <v>'152</v>
      </c>
      <c r="B159" s="3">
        <f ca="1">INDEX(INDIRECT($O$10),ROW(B159),COLUMN(B159))</f>
        <v>45</v>
      </c>
      <c r="C159" s="5">
        <f ca="1">INDEX(INDIRECT($O$10),ROW(C159),COLUMN(C159))</f>
        <v>8050850000000</v>
      </c>
      <c r="D159" s="8" t="str">
        <f ca="1">INDEX(INDIRECT($O$10),ROW(D159),COLUMN(D159))</f>
        <v>OBAGT001-FAS58-078</v>
      </c>
      <c r="E159" s="12" t="str">
        <f ca="1">INDEX(INDIRECT($O$10),ROW(E159),COLUMN(E159))</f>
        <v>REVERS O BAG EN FAUSSE FOURRURE CASTOR</v>
      </c>
      <c r="F159" s="18" t="str">
        <f ca="1">INDEX(INDIRECT($O$10),ROW(F159),COLUMN(F159))</f>
        <v>UNICA</v>
      </c>
      <c r="G159" s="10">
        <f ca="1">INDEX(INDIRECT($O$10),ROW(G159),COLUMN(G159))</f>
        <v>2</v>
      </c>
      <c r="H159" s="20">
        <f ca="1">INDEX(INDIRECT($O$10),ROW(H159),COLUMN(H159))</f>
        <v>24.07</v>
      </c>
      <c r="I159" s="22">
        <f ca="1">INDEX(INDIRECT($O$10),ROW(I159),COLUMN(I159))</f>
        <v>48.14</v>
      </c>
      <c r="J159" s="14" t="str">
        <f ca="1">INDEX(INDIRECT($O$10),ROW(J159),COLUMN(J159))</f>
        <v xml:space="preserve"> </v>
      </c>
      <c r="K159" s="16" t="str">
        <f ca="1">INDEX(INDIRECT($O$10),ROW(K159),COLUMN(K159))</f>
        <v xml:space="preserve"> </v>
      </c>
      <c r="L159" s="27" t="str">
        <f ca="1">INDEX(INDIRECT($O$10),ROW(L159),COLUMN(L159))</f>
        <v xml:space="preserve"> </v>
      </c>
      <c r="M159" s="29" t="str">
        <f ca="1">INDEX(INDIRECT($O$10),ROW(M159),COLUMN(M159))</f>
        <v>sabbia</v>
      </c>
      <c r="N159" s="2" t="str">
        <f ca="1">IF(ISNUMBER($C159),codeEAN13(INT(C159/10)),"")</f>
        <v>8APASPA*aaaaae+</v>
      </c>
    </row>
    <row r="160" spans="1:14" ht="31.5" x14ac:dyDescent="0.45">
      <c r="A160" s="3" t="str">
        <f ca="1">INDEX(INDIRECT($O$10),ROW(A160),COLUMN(A160))</f>
        <v>'153</v>
      </c>
      <c r="B160" s="3">
        <f ca="1">INDEX(INDIRECT($O$10),ROW(B160),COLUMN(B160))</f>
        <v>117</v>
      </c>
      <c r="C160" s="5">
        <f ca="1">INDEX(INDIRECT($O$10),ROW(C160),COLUMN(C160))</f>
        <v>8050850000000</v>
      </c>
      <c r="D160" s="8" t="str">
        <f ca="1">INDEX(INDIRECT($O$10),ROW(D160),COLUMN(D160))</f>
        <v>OBAGT001-FAS58-084</v>
      </c>
      <c r="E160" s="12" t="str">
        <f ca="1">INDEX(INDIRECT($O$10),ROW(E160),COLUMN(E160))</f>
        <v>REVERS O BAG EN FAUSSE FOURRURE CASTOR</v>
      </c>
      <c r="F160" s="18" t="str">
        <f ca="1">INDEX(INDIRECT($O$10),ROW(F160),COLUMN(F160))</f>
        <v>UNICA</v>
      </c>
      <c r="G160" s="10">
        <f ca="1">INDEX(INDIRECT($O$10),ROW(G160),COLUMN(G160))</f>
        <v>2</v>
      </c>
      <c r="H160" s="20">
        <f ca="1">INDEX(INDIRECT($O$10),ROW(H160),COLUMN(H160))</f>
        <v>24.07</v>
      </c>
      <c r="I160" s="22">
        <f ca="1">INDEX(INDIRECT($O$10),ROW(I160),COLUMN(I160))</f>
        <v>48.14</v>
      </c>
      <c r="J160" s="14" t="str">
        <f ca="1">INDEX(INDIRECT($O$10),ROW(J160),COLUMN(J160))</f>
        <v xml:space="preserve"> </v>
      </c>
      <c r="K160" s="16" t="str">
        <f ca="1">INDEX(INDIRECT($O$10),ROW(K160),COLUMN(K160))</f>
        <v xml:space="preserve"> </v>
      </c>
      <c r="L160" s="27" t="str">
        <f ca="1">INDEX(INDIRECT($O$10),ROW(L160),COLUMN(L160))</f>
        <v xml:space="preserve"> </v>
      </c>
      <c r="M160" s="29" t="str">
        <f ca="1">INDEX(INDIRECT($O$10),ROW(M160),COLUMN(M160))</f>
        <v>testa di moro</v>
      </c>
      <c r="N160" s="2" t="str">
        <f ca="1">IF(ISNUMBER($C160),codeEAN13(INT(C160/10)),"")</f>
        <v>8APASPA*aaaaae+</v>
      </c>
    </row>
    <row r="161" spans="1:14" ht="31.5" x14ac:dyDescent="0.45">
      <c r="A161" s="3" t="str">
        <f ca="1">INDEX(INDIRECT($O$10),ROW(A161),COLUMN(A161))</f>
        <v>'154</v>
      </c>
      <c r="B161" s="3">
        <f ca="1">INDEX(INDIRECT($O$10),ROW(B161),COLUMN(B161))</f>
        <v>67</v>
      </c>
      <c r="C161" s="5">
        <f ca="1">INDEX(INDIRECT($O$10),ROW(C161),COLUMN(C161))</f>
        <v>8050850000000</v>
      </c>
      <c r="D161" s="8" t="str">
        <f ca="1">INDEX(INDIRECT($O$10),ROW(D161),COLUMN(D161))</f>
        <v>OBAGT001-FAS59-227</v>
      </c>
      <c r="E161" s="12" t="str">
        <f ca="1">INDEX(INDIRECT($O$10),ROW(E161),COLUMN(E161))</f>
        <v>REVERS O BAG EN FAUSSE FOURRURE LAPIN MARBLE</v>
      </c>
      <c r="F161" s="18" t="str">
        <f ca="1">INDEX(INDIRECT($O$10),ROW(F161),COLUMN(F161))</f>
        <v>UNICA</v>
      </c>
      <c r="G161" s="10">
        <f ca="1">INDEX(INDIRECT($O$10),ROW(G161),COLUMN(G161))</f>
        <v>2</v>
      </c>
      <c r="H161" s="20">
        <f ca="1">INDEX(INDIRECT($O$10),ROW(H161),COLUMN(H161))</f>
        <v>20.37</v>
      </c>
      <c r="I161" s="22">
        <f ca="1">INDEX(INDIRECT($O$10),ROW(I161),COLUMN(I161))</f>
        <v>40.74</v>
      </c>
      <c r="J161" s="14" t="str">
        <f ca="1">INDEX(INDIRECT($O$10),ROW(J161),COLUMN(J161))</f>
        <v xml:space="preserve"> </v>
      </c>
      <c r="K161" s="16" t="str">
        <f ca="1">INDEX(INDIRECT($O$10),ROW(K161),COLUMN(K161))</f>
        <v xml:space="preserve"> </v>
      </c>
      <c r="L161" s="27" t="str">
        <f ca="1">INDEX(INDIRECT($O$10),ROW(L161),COLUMN(L161))</f>
        <v xml:space="preserve"> </v>
      </c>
      <c r="M161" s="29" t="str">
        <f ca="1">INDEX(INDIRECT($O$10),ROW(M161),COLUMN(M161))</f>
        <v>bianco/nero</v>
      </c>
      <c r="N161" s="2" t="str">
        <f ca="1">IF(ISNUMBER($C161),codeEAN13(INT(C161/10)),"")</f>
        <v>8APASPA*aaaaae+</v>
      </c>
    </row>
    <row r="162" spans="1:14" ht="31.5" x14ac:dyDescent="0.45">
      <c r="A162" s="3" t="str">
        <f ca="1">INDEX(INDIRECT($O$10),ROW(A162),COLUMN(A162))</f>
        <v>'155</v>
      </c>
      <c r="B162" s="3">
        <f ca="1">INDEX(INDIRECT($O$10),ROW(B162),COLUMN(B162))</f>
        <v>186</v>
      </c>
      <c r="C162" s="5">
        <f ca="1">INDEX(INDIRECT($O$10),ROW(C162),COLUMN(C162))</f>
        <v>8050850000000</v>
      </c>
      <c r="D162" s="8" t="str">
        <f ca="1">INDEX(INDIRECT($O$10),ROW(D162),COLUMN(D162))</f>
        <v>OBAGT001-FAS60-227</v>
      </c>
      <c r="E162" s="12" t="str">
        <f ca="1">INDEX(INDIRECT($O$10),ROW(E162),COLUMN(E162))</f>
        <v>REVERS O BAG EN FAUSSE FOURRURE RENARD MARQUETEE</v>
      </c>
      <c r="F162" s="18" t="str">
        <f ca="1">INDEX(INDIRECT($O$10),ROW(F162),COLUMN(F162))</f>
        <v>UNICA</v>
      </c>
      <c r="G162" s="10">
        <f ca="1">INDEX(INDIRECT($O$10),ROW(G162),COLUMN(G162))</f>
        <v>2</v>
      </c>
      <c r="H162" s="20">
        <f ca="1">INDEX(INDIRECT($O$10),ROW(H162),COLUMN(H162))</f>
        <v>27.04</v>
      </c>
      <c r="I162" s="22">
        <f ca="1">INDEX(INDIRECT($O$10),ROW(I162),COLUMN(I162))</f>
        <v>54.08</v>
      </c>
      <c r="J162" s="14" t="str">
        <f ca="1">INDEX(INDIRECT($O$10),ROW(J162),COLUMN(J162))</f>
        <v xml:space="preserve"> </v>
      </c>
      <c r="K162" s="16" t="str">
        <f ca="1">INDEX(INDIRECT($O$10),ROW(K162),COLUMN(K162))</f>
        <v xml:space="preserve"> </v>
      </c>
      <c r="L162" s="27" t="str">
        <f ca="1">INDEX(INDIRECT($O$10),ROW(L162),COLUMN(L162))</f>
        <v xml:space="preserve"> </v>
      </c>
      <c r="M162" s="29" t="str">
        <f ca="1">INDEX(INDIRECT($O$10),ROW(M162),COLUMN(M162))</f>
        <v>bianco/nero</v>
      </c>
      <c r="N162" s="2" t="str">
        <f ca="1">IF(ISNUMBER($C162),codeEAN13(INT(C162/10)),"")</f>
        <v>8APASPA*aaaaae+</v>
      </c>
    </row>
    <row r="163" spans="1:14" ht="31.5" x14ac:dyDescent="0.45">
      <c r="A163" s="3" t="str">
        <f ca="1">INDEX(INDIRECT($O$10),ROW(A163),COLUMN(A163))</f>
        <v>'156</v>
      </c>
      <c r="B163" s="3">
        <f ca="1">INDEX(INDIRECT($O$10),ROW(B163),COLUMN(B163))</f>
        <v>219</v>
      </c>
      <c r="C163" s="5">
        <f ca="1">INDEX(INDIRECT($O$10),ROW(C163),COLUMN(C163))</f>
        <v>8050850000000</v>
      </c>
      <c r="D163" s="8" t="str">
        <f ca="1">INDEX(INDIRECT($O$10),ROW(D163),COLUMN(D163))</f>
        <v>OBAGT001-LAS44-017</v>
      </c>
      <c r="E163" s="12" t="str">
        <f ca="1">INDEX(INDIRECT($O$10),ROW(E163),COLUMN(E163))</f>
        <v>REVERS O BAG EN LAINE HANOVRE</v>
      </c>
      <c r="F163" s="18" t="str">
        <f ca="1">INDEX(INDIRECT($O$10),ROW(F163),COLUMN(F163))</f>
        <v>UNICA</v>
      </c>
      <c r="G163" s="10">
        <f ca="1">INDEX(INDIRECT($O$10),ROW(G163),COLUMN(G163))</f>
        <v>2</v>
      </c>
      <c r="H163" s="20">
        <f ca="1">INDEX(INDIRECT($O$10),ROW(H163),COLUMN(H163))</f>
        <v>10.74</v>
      </c>
      <c r="I163" s="22">
        <f ca="1">INDEX(INDIRECT($O$10),ROW(I163),COLUMN(I163))</f>
        <v>21.48</v>
      </c>
      <c r="J163" s="14" t="str">
        <f ca="1">INDEX(INDIRECT($O$10),ROW(J163),COLUMN(J163))</f>
        <v xml:space="preserve"> </v>
      </c>
      <c r="K163" s="16" t="str">
        <f ca="1">INDEX(INDIRECT($O$10),ROW(K163),COLUMN(K163))</f>
        <v xml:space="preserve"> </v>
      </c>
      <c r="L163" s="27" t="str">
        <f ca="1">INDEX(INDIRECT($O$10),ROW(L163),COLUMN(L163))</f>
        <v xml:space="preserve"> </v>
      </c>
      <c r="M163" s="29" t="str">
        <f ca="1">INDEX(INDIRECT($O$10),ROW(M163),COLUMN(M163))</f>
        <v>blu navy</v>
      </c>
      <c r="N163" s="2" t="str">
        <f ca="1">IF(ISNUMBER($C163),codeEAN13(INT(C163/10)),"")</f>
        <v>8APASPA*aaaaae+</v>
      </c>
    </row>
    <row r="164" spans="1:14" ht="31.5" x14ac:dyDescent="0.45">
      <c r="A164" s="3" t="str">
        <f ca="1">INDEX(INDIRECT($O$10),ROW(A164),COLUMN(A164))</f>
        <v>'157</v>
      </c>
      <c r="B164" s="3">
        <f ca="1">INDEX(INDIRECT($O$10),ROW(B164),COLUMN(B164))</f>
        <v>86</v>
      </c>
      <c r="C164" s="5">
        <f ca="1">INDEX(INDIRECT($O$10),ROW(C164),COLUMN(C164))</f>
        <v>8050850000000</v>
      </c>
      <c r="D164" s="8" t="str">
        <f ca="1">INDEX(INDIRECT($O$10),ROW(D164),COLUMN(D164))</f>
        <v>OBAGT001-LAS44-078</v>
      </c>
      <c r="E164" s="12" t="str">
        <f ca="1">INDEX(INDIRECT($O$10),ROW(E164),COLUMN(E164))</f>
        <v>REVERS O BAG EN LAINE HANOVRE</v>
      </c>
      <c r="F164" s="18" t="str">
        <f ca="1">INDEX(INDIRECT($O$10),ROW(F164),COLUMN(F164))</f>
        <v>UNICA</v>
      </c>
      <c r="G164" s="10">
        <f ca="1">INDEX(INDIRECT($O$10),ROW(G164),COLUMN(G164))</f>
        <v>2</v>
      </c>
      <c r="H164" s="20">
        <f ca="1">INDEX(INDIRECT($O$10),ROW(H164),COLUMN(H164))</f>
        <v>10.74</v>
      </c>
      <c r="I164" s="22">
        <f ca="1">INDEX(INDIRECT($O$10),ROW(I164),COLUMN(I164))</f>
        <v>21.48</v>
      </c>
      <c r="J164" s="14" t="str">
        <f ca="1">INDEX(INDIRECT($O$10),ROW(J164),COLUMN(J164))</f>
        <v xml:space="preserve"> </v>
      </c>
      <c r="K164" s="16" t="str">
        <f ca="1">INDEX(INDIRECT($O$10),ROW(K164),COLUMN(K164))</f>
        <v xml:space="preserve"> </v>
      </c>
      <c r="L164" s="27" t="str">
        <f ca="1">INDEX(INDIRECT($O$10),ROW(L164),COLUMN(L164))</f>
        <v xml:space="preserve"> </v>
      </c>
      <c r="M164" s="29" t="str">
        <f ca="1">INDEX(INDIRECT($O$10),ROW(M164),COLUMN(M164))</f>
        <v>sabbia</v>
      </c>
      <c r="N164" s="2" t="str">
        <f ca="1">IF(ISNUMBER($C164),codeEAN13(INT(C164/10)),"")</f>
        <v>8APASPA*aaaaae+</v>
      </c>
    </row>
    <row r="165" spans="1:14" ht="31.5" x14ac:dyDescent="0.45">
      <c r="A165" s="3" t="str">
        <f ca="1">INDEX(INDIRECT($O$10),ROW(A165),COLUMN(A165))</f>
        <v>'158</v>
      </c>
      <c r="B165" s="3">
        <f ca="1">INDEX(INDIRECT($O$10),ROW(B165),COLUMN(B165))</f>
        <v>204</v>
      </c>
      <c r="C165" s="5">
        <f ca="1">INDEX(INDIRECT($O$10),ROW(C165),COLUMN(C165))</f>
        <v>8050850000000</v>
      </c>
      <c r="D165" s="8" t="str">
        <f ca="1">INDEX(INDIRECT($O$10),ROW(D165),COLUMN(D165))</f>
        <v>OBAGT001-LAS44-615</v>
      </c>
      <c r="E165" s="12" t="str">
        <f ca="1">INDEX(INDIRECT($O$10),ROW(E165),COLUMN(E165))</f>
        <v>REVERS O BAG EN LAINE HANOVRE</v>
      </c>
      <c r="F165" s="18" t="str">
        <f ca="1">INDEX(INDIRECT($O$10),ROW(F165),COLUMN(F165))</f>
        <v>UNICA</v>
      </c>
      <c r="G165" s="10">
        <f ca="1">INDEX(INDIRECT($O$10),ROW(G165),COLUMN(G165))</f>
        <v>2</v>
      </c>
      <c r="H165" s="20">
        <f ca="1">INDEX(INDIRECT($O$10),ROW(H165),COLUMN(H165))</f>
        <v>10.74</v>
      </c>
      <c r="I165" s="22">
        <f ca="1">INDEX(INDIRECT($O$10),ROW(I165),COLUMN(I165))</f>
        <v>21.48</v>
      </c>
      <c r="J165" s="14" t="str">
        <f ca="1">INDEX(INDIRECT($O$10),ROW(J165),COLUMN(J165))</f>
        <v xml:space="preserve"> </v>
      </c>
      <c r="K165" s="16" t="str">
        <f ca="1">INDEX(INDIRECT($O$10),ROW(K165),COLUMN(K165))</f>
        <v xml:space="preserve"> </v>
      </c>
      <c r="L165" s="27" t="str">
        <f ca="1">INDEX(INDIRECT($O$10),ROW(L165),COLUMN(L165))</f>
        <v xml:space="preserve"> </v>
      </c>
      <c r="M165" s="29" t="str">
        <f ca="1">INDEX(INDIRECT($O$10),ROW(M165),COLUMN(M165))</f>
        <v>military</v>
      </c>
      <c r="N165" s="2" t="str">
        <f ca="1">IF(ISNUMBER($C165),codeEAN13(INT(C165/10)),"")</f>
        <v>8APASPA*aaaaae+</v>
      </c>
    </row>
    <row r="166" spans="1:14" ht="31.5" x14ac:dyDescent="0.45">
      <c r="A166" s="3" t="str">
        <f ca="1">INDEX(INDIRECT($O$10),ROW(A166),COLUMN(A166))</f>
        <v>'159</v>
      </c>
      <c r="B166" s="3">
        <f ca="1">INDEX(INDIRECT($O$10),ROW(B166),COLUMN(B166))</f>
        <v>57</v>
      </c>
      <c r="C166" s="5">
        <f ca="1">INDEX(INDIRECT($O$10),ROW(C166),COLUMN(C166))</f>
        <v>8050850000000</v>
      </c>
      <c r="D166" s="8" t="str">
        <f ca="1">INDEX(INDIRECT($O$10),ROW(D166),COLUMN(D166))</f>
        <v>OBAGT001-LAS47-227</v>
      </c>
      <c r="E166" s="12" t="str">
        <f ca="1">INDEX(INDIRECT($O$10),ROW(E166),COLUMN(E166))</f>
        <v>REVERS O BAG EN LAINE HELSINKI</v>
      </c>
      <c r="F166" s="18" t="str">
        <f ca="1">INDEX(INDIRECT($O$10),ROW(F166),COLUMN(F166))</f>
        <v>UNICA</v>
      </c>
      <c r="G166" s="10">
        <f ca="1">INDEX(INDIRECT($O$10),ROW(G166),COLUMN(G166))</f>
        <v>2</v>
      </c>
      <c r="H166" s="20">
        <f ca="1">INDEX(INDIRECT($O$10),ROW(H166),COLUMN(H166))</f>
        <v>11.85</v>
      </c>
      <c r="I166" s="22">
        <f ca="1">INDEX(INDIRECT($O$10),ROW(I166),COLUMN(I166))</f>
        <v>23.7</v>
      </c>
      <c r="J166" s="14" t="str">
        <f ca="1">INDEX(INDIRECT($O$10),ROW(J166),COLUMN(J166))</f>
        <v xml:space="preserve"> </v>
      </c>
      <c r="K166" s="16" t="str">
        <f ca="1">INDEX(INDIRECT($O$10),ROW(K166),COLUMN(K166))</f>
        <v xml:space="preserve"> </v>
      </c>
      <c r="L166" s="27" t="str">
        <f ca="1">INDEX(INDIRECT($O$10),ROW(L166),COLUMN(L166))</f>
        <v xml:space="preserve"> </v>
      </c>
      <c r="M166" s="29" t="str">
        <f ca="1">INDEX(INDIRECT($O$10),ROW(M166),COLUMN(M166))</f>
        <v>bianco/nero</v>
      </c>
      <c r="N166" s="2" t="str">
        <f ca="1">IF(ISNUMBER($C166),codeEAN13(INT(C166/10)),"")</f>
        <v>8APASPA*aaaaae+</v>
      </c>
    </row>
    <row r="167" spans="1:14" ht="31.5" x14ac:dyDescent="0.45">
      <c r="A167" s="3" t="str">
        <f ca="1">INDEX(INDIRECT($O$10),ROW(A167),COLUMN(A167))</f>
        <v>'160</v>
      </c>
      <c r="B167" s="3">
        <f ca="1">INDEX(INDIRECT($O$10),ROW(B167),COLUMN(B167))</f>
        <v>83</v>
      </c>
      <c r="C167" s="5">
        <f ca="1">INDEX(INDIRECT($O$10),ROW(C167),COLUMN(C167))</f>
        <v>8050850000000</v>
      </c>
      <c r="D167" s="8" t="str">
        <f ca="1">INDEX(INDIRECT($O$10),ROW(D167),COLUMN(D167))</f>
        <v>OBAGT001-TESBB-615</v>
      </c>
      <c r="E167" s="12" t="str">
        <f ca="1">INDEX(INDIRECT($O$10),ROW(E167),COLUMN(E167))</f>
        <v>REVERS O BAG EN TISSU IMPRIME DIANTHUS</v>
      </c>
      <c r="F167" s="18" t="str">
        <f ca="1">INDEX(INDIRECT($O$10),ROW(F167),COLUMN(F167))</f>
        <v>UNICA</v>
      </c>
      <c r="G167" s="10">
        <f ca="1">INDEX(INDIRECT($O$10),ROW(G167),COLUMN(G167))</f>
        <v>2</v>
      </c>
      <c r="H167" s="20">
        <f ca="1">INDEX(INDIRECT($O$10),ROW(H167),COLUMN(H167))</f>
        <v>13.33</v>
      </c>
      <c r="I167" s="22">
        <f ca="1">INDEX(INDIRECT($O$10),ROW(I167),COLUMN(I167))</f>
        <v>26.66</v>
      </c>
      <c r="J167" s="14" t="str">
        <f ca="1">INDEX(INDIRECT($O$10),ROW(J167),COLUMN(J167))</f>
        <v xml:space="preserve"> </v>
      </c>
      <c r="K167" s="16" t="str">
        <f ca="1">INDEX(INDIRECT($O$10),ROW(K167),COLUMN(K167))</f>
        <v xml:space="preserve"> </v>
      </c>
      <c r="L167" s="27" t="str">
        <f ca="1">INDEX(INDIRECT($O$10),ROW(L167),COLUMN(L167))</f>
        <v xml:space="preserve"> </v>
      </c>
      <c r="M167" s="29" t="str">
        <f ca="1">INDEX(INDIRECT($O$10),ROW(M167),COLUMN(M167))</f>
        <v>military</v>
      </c>
      <c r="N167" s="2" t="str">
        <f ca="1">IF(ISNUMBER($C167),codeEAN13(INT(C167/10)),"")</f>
        <v>8APASPA*aaaaae+</v>
      </c>
    </row>
    <row r="168" spans="1:14" ht="31.5" x14ac:dyDescent="0.45">
      <c r="A168" s="3" t="str">
        <f ca="1">INDEX(INDIRECT($O$10),ROW(A168),COLUMN(A168))</f>
        <v>'161</v>
      </c>
      <c r="B168" s="3">
        <f ca="1">INDEX(INDIRECT($O$10),ROW(B168),COLUMN(B168))</f>
        <v>125</v>
      </c>
      <c r="C168" s="5">
        <f ca="1">INDEX(INDIRECT($O$10),ROW(C168),COLUMN(C168))</f>
        <v>8050850000000</v>
      </c>
      <c r="D168" s="8" t="str">
        <f ca="1">INDEX(INDIRECT($O$10),ROW(D168),COLUMN(D168))</f>
        <v>OBAGT001-TESBD-227</v>
      </c>
      <c r="E168" s="12" t="str">
        <f ca="1">INDEX(INDIRECT($O$10),ROW(E168),COLUMN(E168))</f>
        <v>REVERS O BAG EN TISSU CHECK EFFET LAINE</v>
      </c>
      <c r="F168" s="18" t="str">
        <f ca="1">INDEX(INDIRECT($O$10),ROW(F168),COLUMN(F168))</f>
        <v>UNICA</v>
      </c>
      <c r="G168" s="10">
        <f ca="1">INDEX(INDIRECT($O$10),ROW(G168),COLUMN(G168))</f>
        <v>2</v>
      </c>
      <c r="H168" s="20">
        <f ca="1">INDEX(INDIRECT($O$10),ROW(H168),COLUMN(H168))</f>
        <v>13.33</v>
      </c>
      <c r="I168" s="22">
        <f ca="1">INDEX(INDIRECT($O$10),ROW(I168),COLUMN(I168))</f>
        <v>26.66</v>
      </c>
      <c r="J168" s="14" t="str">
        <f ca="1">INDEX(INDIRECT($O$10),ROW(J168),COLUMN(J168))</f>
        <v xml:space="preserve"> </v>
      </c>
      <c r="K168" s="16" t="str">
        <f ca="1">INDEX(INDIRECT($O$10),ROW(K168),COLUMN(K168))</f>
        <v xml:space="preserve"> </v>
      </c>
      <c r="L168" s="27" t="str">
        <f ca="1">INDEX(INDIRECT($O$10),ROW(L168),COLUMN(L168))</f>
        <v xml:space="preserve"> </v>
      </c>
      <c r="M168" s="29" t="str">
        <f ca="1">INDEX(INDIRECT($O$10),ROW(M168),COLUMN(M168))</f>
        <v>bianco/nero</v>
      </c>
      <c r="N168" s="2" t="str">
        <f ca="1">IF(ISNUMBER($C168),codeEAN13(INT(C168/10)),"")</f>
        <v>8APASPA*aaaaae+</v>
      </c>
    </row>
    <row r="169" spans="1:14" ht="31.5" x14ac:dyDescent="0.45">
      <c r="A169" s="3" t="str">
        <f ca="1">INDEX(INDIRECT($O$10),ROW(A169),COLUMN(A169))</f>
        <v>'162</v>
      </c>
      <c r="B169" s="3">
        <f ca="1">INDEX(INDIRECT($O$10),ROW(B169),COLUMN(B169))</f>
        <v>9</v>
      </c>
      <c r="C169" s="5">
        <f ca="1">INDEX(INDIRECT($O$10),ROW(C169),COLUMN(C169))</f>
        <v>8050850000000</v>
      </c>
      <c r="D169" s="8" t="str">
        <f ca="1">INDEX(INDIRECT($O$10),ROW(D169),COLUMN(D169))</f>
        <v>OBAGT001-TESBE-227</v>
      </c>
      <c r="E169" s="12" t="str">
        <f ca="1">INDEX(INDIRECT($O$10),ROW(E169),COLUMN(E169))</f>
        <v>REVERS O BAG EN TISSU Ã€ CHEVRONS</v>
      </c>
      <c r="F169" s="18" t="str">
        <f ca="1">INDEX(INDIRECT($O$10),ROW(F169),COLUMN(F169))</f>
        <v>UNICA</v>
      </c>
      <c r="G169" s="10">
        <f ca="1">INDEX(INDIRECT($O$10),ROW(G169),COLUMN(G169))</f>
        <v>2</v>
      </c>
      <c r="H169" s="20">
        <f ca="1">INDEX(INDIRECT($O$10),ROW(H169),COLUMN(H169))</f>
        <v>13.33</v>
      </c>
      <c r="I169" s="22">
        <f ca="1">INDEX(INDIRECT($O$10),ROW(I169),COLUMN(I169))</f>
        <v>26.66</v>
      </c>
      <c r="J169" s="14" t="str">
        <f ca="1">INDEX(INDIRECT($O$10),ROW(J169),COLUMN(J169))</f>
        <v xml:space="preserve"> </v>
      </c>
      <c r="K169" s="16" t="str">
        <f ca="1">INDEX(INDIRECT($O$10),ROW(K169),COLUMN(K169))</f>
        <v xml:space="preserve"> </v>
      </c>
      <c r="L169" s="27" t="str">
        <f ca="1">INDEX(INDIRECT($O$10),ROW(L169),COLUMN(L169))</f>
        <v xml:space="preserve"> </v>
      </c>
      <c r="M169" s="29" t="str">
        <f ca="1">INDEX(INDIRECT($O$10),ROW(M169),COLUMN(M169))</f>
        <v>bianco/nero</v>
      </c>
      <c r="N169" s="2" t="str">
        <f ca="1">IF(ISNUMBER($C169),codeEAN13(INT(C169/10)),"")</f>
        <v>8APASPA*aaaaae+</v>
      </c>
    </row>
    <row r="170" spans="1:14" ht="31.5" x14ac:dyDescent="0.45">
      <c r="A170" s="3" t="str">
        <f ca="1">INDEX(INDIRECT($O$10),ROW(A170),COLUMN(A170))</f>
        <v>'163</v>
      </c>
      <c r="B170" s="3">
        <f ca="1">INDEX(INDIRECT($O$10),ROW(B170),COLUMN(B170))</f>
        <v>13</v>
      </c>
      <c r="C170" s="5">
        <f ca="1">INDEX(INDIRECT($O$10),ROW(C170),COLUMN(C170))</f>
        <v>8050850000000</v>
      </c>
      <c r="D170" s="8" t="str">
        <f ca="1">INDEX(INDIRECT($O$10),ROW(D170),COLUMN(D170))</f>
        <v>OBAGT001-TESBG-227</v>
      </c>
      <c r="E170" s="12" t="str">
        <f ca="1">INDEX(INDIRECT($O$10),ROW(E170),COLUMN(E170))</f>
        <v>REVERS O BAG EN TISSU PRINCE DE GALLES + FLEURS</v>
      </c>
      <c r="F170" s="18" t="str">
        <f ca="1">INDEX(INDIRECT($O$10),ROW(F170),COLUMN(F170))</f>
        <v>UNICA</v>
      </c>
      <c r="G170" s="10">
        <f ca="1">INDEX(INDIRECT($O$10),ROW(G170),COLUMN(G170))</f>
        <v>2</v>
      </c>
      <c r="H170" s="20">
        <f ca="1">INDEX(INDIRECT($O$10),ROW(H170),COLUMN(H170))</f>
        <v>15.56</v>
      </c>
      <c r="I170" s="22">
        <f ca="1">INDEX(INDIRECT($O$10),ROW(I170),COLUMN(I170))</f>
        <v>31.12</v>
      </c>
      <c r="J170" s="14" t="str">
        <f ca="1">INDEX(INDIRECT($O$10),ROW(J170),COLUMN(J170))</f>
        <v xml:space="preserve"> </v>
      </c>
      <c r="K170" s="16" t="str">
        <f ca="1">INDEX(INDIRECT($O$10),ROW(K170),COLUMN(K170))</f>
        <v xml:space="preserve"> </v>
      </c>
      <c r="L170" s="27" t="str">
        <f ca="1">INDEX(INDIRECT($O$10),ROW(L170),COLUMN(L170))</f>
        <v xml:space="preserve"> </v>
      </c>
      <c r="M170" s="29" t="str">
        <f ca="1">INDEX(INDIRECT($O$10),ROW(M170),COLUMN(M170))</f>
        <v>bianco/nero</v>
      </c>
      <c r="N170" s="2" t="str">
        <f ca="1">IF(ISNUMBER($C170),codeEAN13(INT(C170/10)),"")</f>
        <v>8APASPA*aaaaae+</v>
      </c>
    </row>
    <row r="171" spans="1:14" ht="31.5" x14ac:dyDescent="0.45">
      <c r="A171" s="3" t="str">
        <f ca="1">INDEX(INDIRECT($O$10),ROW(A171),COLUMN(A171))</f>
        <v>'164</v>
      </c>
      <c r="B171" s="3">
        <f ca="1">INDEX(INDIRECT($O$10),ROW(B171),COLUMN(B171))</f>
        <v>71</v>
      </c>
      <c r="C171" s="5">
        <f ca="1">INDEX(INDIRECT($O$10),ROW(C171),COLUMN(C171))</f>
        <v>8050850000000</v>
      </c>
      <c r="D171" s="8" t="str">
        <f ca="1">INDEX(INDIRECT($O$10),ROW(D171),COLUMN(D171))</f>
        <v>OBAGT001-TESBH-017</v>
      </c>
      <c r="E171" s="12" t="str">
        <f ca="1">INDEX(INDIRECT($O$10),ROW(E171),COLUMN(E171))</f>
        <v>REVERS O BAG EN TISSU IMPRIME JACQUARD MICRO FANTAISIE</v>
      </c>
      <c r="F171" s="18" t="str">
        <f ca="1">INDEX(INDIRECT($O$10),ROW(F171),COLUMN(F171))</f>
        <v>UNICA</v>
      </c>
      <c r="G171" s="10">
        <f ca="1">INDEX(INDIRECT($O$10),ROW(G171),COLUMN(G171))</f>
        <v>2</v>
      </c>
      <c r="H171" s="20">
        <f ca="1">INDEX(INDIRECT($O$10),ROW(H171),COLUMN(H171))</f>
        <v>13.33</v>
      </c>
      <c r="I171" s="22">
        <f ca="1">INDEX(INDIRECT($O$10),ROW(I171),COLUMN(I171))</f>
        <v>26.66</v>
      </c>
      <c r="J171" s="14" t="str">
        <f ca="1">INDEX(INDIRECT($O$10),ROW(J171),COLUMN(J171))</f>
        <v xml:space="preserve"> </v>
      </c>
      <c r="K171" s="16" t="str">
        <f ca="1">INDEX(INDIRECT($O$10),ROW(K171),COLUMN(K171))</f>
        <v xml:space="preserve"> </v>
      </c>
      <c r="L171" s="27" t="str">
        <f ca="1">INDEX(INDIRECT($O$10),ROW(L171),COLUMN(L171))</f>
        <v xml:space="preserve"> </v>
      </c>
      <c r="M171" s="29" t="str">
        <f ca="1">INDEX(INDIRECT($O$10),ROW(M171),COLUMN(M171))</f>
        <v>blu navy</v>
      </c>
      <c r="N171" s="2" t="str">
        <f ca="1">IF(ISNUMBER($C171),codeEAN13(INT(C171/10)),"")</f>
        <v>8APASPA*aaaaae+</v>
      </c>
    </row>
    <row r="172" spans="1:14" ht="31.5" x14ac:dyDescent="0.45">
      <c r="A172" s="3" t="str">
        <f ca="1">INDEX(INDIRECT($O$10),ROW(A172),COLUMN(A172))</f>
        <v>'165</v>
      </c>
      <c r="B172" s="3">
        <f ca="1">INDEX(INDIRECT($O$10),ROW(B172),COLUMN(B172))</f>
        <v>208</v>
      </c>
      <c r="C172" s="5">
        <f ca="1">INDEX(INDIRECT($O$10),ROW(C172),COLUMN(C172))</f>
        <v>8050850000000</v>
      </c>
      <c r="D172" s="8" t="str">
        <f ca="1">INDEX(INDIRECT($O$10),ROW(D172),COLUMN(D172))</f>
        <v>OBAGT001-TESBJ-227</v>
      </c>
      <c r="E172" s="12" t="str">
        <f ca="1">INDEX(INDIRECT($O$10),ROW(E172),COLUMN(E172))</f>
        <v>REVERS O BAG EN TISSU OPTICAL STRIPES</v>
      </c>
      <c r="F172" s="18" t="str">
        <f ca="1">INDEX(INDIRECT($O$10),ROW(F172),COLUMN(F172))</f>
        <v>UNICA</v>
      </c>
      <c r="G172" s="10">
        <f ca="1">INDEX(INDIRECT($O$10),ROW(G172),COLUMN(G172))</f>
        <v>2</v>
      </c>
      <c r="H172" s="20">
        <f ca="1">INDEX(INDIRECT($O$10),ROW(H172),COLUMN(H172))</f>
        <v>11.85</v>
      </c>
      <c r="I172" s="22">
        <f ca="1">INDEX(INDIRECT($O$10),ROW(I172),COLUMN(I172))</f>
        <v>23.7</v>
      </c>
      <c r="J172" s="14" t="str">
        <f ca="1">INDEX(INDIRECT($O$10),ROW(J172),COLUMN(J172))</f>
        <v xml:space="preserve"> </v>
      </c>
      <c r="K172" s="16" t="str">
        <f ca="1">INDEX(INDIRECT($O$10),ROW(K172),COLUMN(K172))</f>
        <v xml:space="preserve"> </v>
      </c>
      <c r="L172" s="27" t="str">
        <f ca="1">INDEX(INDIRECT($O$10),ROW(L172),COLUMN(L172))</f>
        <v xml:space="preserve"> </v>
      </c>
      <c r="M172" s="29" t="str">
        <f ca="1">INDEX(INDIRECT($O$10),ROW(M172),COLUMN(M172))</f>
        <v>bianco/nero</v>
      </c>
      <c r="N172" s="2" t="str">
        <f ca="1">IF(ISNUMBER($C172),codeEAN13(INT(C172/10)),"")</f>
        <v>8APASPA*aaaaae+</v>
      </c>
    </row>
    <row r="173" spans="1:14" ht="31.5" x14ac:dyDescent="0.45">
      <c r="A173" s="3" t="str">
        <f ca="1">INDEX(INDIRECT($O$10),ROW(A173),COLUMN(A173))</f>
        <v>'166</v>
      </c>
      <c r="B173" s="3">
        <f ca="1">INDEX(INDIRECT($O$10),ROW(B173),COLUMN(B173))</f>
        <v>10</v>
      </c>
      <c r="C173" s="5">
        <f ca="1">INDEX(INDIRECT($O$10),ROW(C173),COLUMN(C173))</f>
        <v>8050850000000</v>
      </c>
      <c r="D173" s="8" t="str">
        <f ca="1">INDEX(INDIRECT($O$10),ROW(D173),COLUMN(D173))</f>
        <v>OBAGT001-TESBK-055</v>
      </c>
      <c r="E173" s="12" t="str">
        <f ca="1">INDEX(INDIRECT($O$10),ROW(E173),COLUMN(E173))</f>
        <v>REVERS O BAG EN TISSU DOUDOUNE Ã€ CHEVRONS</v>
      </c>
      <c r="F173" s="18" t="str">
        <f ca="1">INDEX(INDIRECT($O$10),ROW(F173),COLUMN(F173))</f>
        <v>UNICA</v>
      </c>
      <c r="G173" s="10">
        <f ca="1">INDEX(INDIRECT($O$10),ROW(G173),COLUMN(G173))</f>
        <v>2</v>
      </c>
      <c r="H173" s="20">
        <f ca="1">INDEX(INDIRECT($O$10),ROW(H173),COLUMN(H173))</f>
        <v>11.85</v>
      </c>
      <c r="I173" s="22">
        <f ca="1">INDEX(INDIRECT($O$10),ROW(I173),COLUMN(I173))</f>
        <v>23.7</v>
      </c>
      <c r="J173" s="14" t="str">
        <f ca="1">INDEX(INDIRECT($O$10),ROW(J173),COLUMN(J173))</f>
        <v xml:space="preserve"> </v>
      </c>
      <c r="K173" s="16" t="str">
        <f ca="1">INDEX(INDIRECT($O$10),ROW(K173),COLUMN(K173))</f>
        <v xml:space="preserve"> </v>
      </c>
      <c r="L173" s="27" t="str">
        <f ca="1">INDEX(INDIRECT($O$10),ROW(L173),COLUMN(L173))</f>
        <v xml:space="preserve"> </v>
      </c>
      <c r="M173" s="29" t="str">
        <f ca="1">INDEX(INDIRECT($O$10),ROW(M173),COLUMN(M173))</f>
        <v>nero</v>
      </c>
      <c r="N173" s="2" t="str">
        <f ca="1">IF(ISNUMBER($C173),codeEAN13(INT(C173/10)),"")</f>
        <v>8APASPA*aaaaae+</v>
      </c>
    </row>
    <row r="174" spans="1:14" ht="31.5" x14ac:dyDescent="0.45">
      <c r="A174" s="3" t="str">
        <f ca="1">INDEX(INDIRECT($O$10),ROW(A174),COLUMN(A174))</f>
        <v>'167</v>
      </c>
      <c r="B174" s="3">
        <f ca="1">INDEX(INDIRECT($O$10),ROW(B174),COLUMN(B174))</f>
        <v>59</v>
      </c>
      <c r="C174" s="5">
        <f ca="1">INDEX(INDIRECT($O$10),ROW(C174),COLUMN(C174))</f>
        <v>8050850000000</v>
      </c>
      <c r="D174" s="8" t="str">
        <f ca="1">INDEX(INDIRECT($O$10),ROW(D174),COLUMN(D174))</f>
        <v>OBAGT001-TESBK-137</v>
      </c>
      <c r="E174" s="12" t="str">
        <f ca="1">INDEX(INDIRECT($O$10),ROW(E174),COLUMN(E174))</f>
        <v>REVERS O BAG EN TISSU DOUDOUNE Ã€ CHEVRONS</v>
      </c>
      <c r="F174" s="18" t="str">
        <f ca="1">INDEX(INDIRECT($O$10),ROW(F174),COLUMN(F174))</f>
        <v>UNICA</v>
      </c>
      <c r="G174" s="10">
        <f ca="1">INDEX(INDIRECT($O$10),ROW(G174),COLUMN(G174))</f>
        <v>2</v>
      </c>
      <c r="H174" s="20">
        <f ca="1">INDEX(INDIRECT($O$10),ROW(H174),COLUMN(H174))</f>
        <v>11.85</v>
      </c>
      <c r="I174" s="22">
        <f ca="1">INDEX(INDIRECT($O$10),ROW(I174),COLUMN(I174))</f>
        <v>23.7</v>
      </c>
      <c r="J174" s="14" t="str">
        <f ca="1">INDEX(INDIRECT($O$10),ROW(J174),COLUMN(J174))</f>
        <v xml:space="preserve"> </v>
      </c>
      <c r="K174" s="16" t="str">
        <f ca="1">INDEX(INDIRECT($O$10),ROW(K174),COLUMN(K174))</f>
        <v xml:space="preserve"> </v>
      </c>
      <c r="L174" s="27" t="str">
        <f ca="1">INDEX(INDIRECT($O$10),ROW(L174),COLUMN(L174))</f>
        <v xml:space="preserve"> </v>
      </c>
      <c r="M174" s="29" t="str">
        <f ca="1">INDEX(INDIRECT($O$10),ROW(M174),COLUMN(M174))</f>
        <v>bluette</v>
      </c>
      <c r="N174" s="2" t="str">
        <f ca="1">IF(ISNUMBER($C174),codeEAN13(INT(C174/10)),"")</f>
        <v>8APASPA*aaaaae+</v>
      </c>
    </row>
    <row r="175" spans="1:14" ht="31.5" x14ac:dyDescent="0.45">
      <c r="A175" s="3" t="str">
        <f ca="1">INDEX(INDIRECT($O$10),ROW(A175),COLUMN(A175))</f>
        <v>'168</v>
      </c>
      <c r="B175" s="3">
        <f ca="1">INDEX(INDIRECT($O$10),ROW(B175),COLUMN(B175))</f>
        <v>72</v>
      </c>
      <c r="C175" s="5">
        <f ca="1">INDEX(INDIRECT($O$10),ROW(C175),COLUMN(C175))</f>
        <v>8050850000000</v>
      </c>
      <c r="D175" s="8" t="str">
        <f ca="1">INDEX(INDIRECT($O$10),ROW(D175),COLUMN(D175))</f>
        <v>OBAGT001-TESBN-615</v>
      </c>
      <c r="E175" s="12" t="str">
        <f ca="1">INDEX(INDIRECT($O$10),ROW(E175),COLUMN(E175))</f>
        <v>REVERS O BAG EN TISSU DOUDOUNE CHECK</v>
      </c>
      <c r="F175" s="18" t="str">
        <f ca="1">INDEX(INDIRECT($O$10),ROW(F175),COLUMN(F175))</f>
        <v>UNICA</v>
      </c>
      <c r="G175" s="10">
        <f ca="1">INDEX(INDIRECT($O$10),ROW(G175),COLUMN(G175))</f>
        <v>2</v>
      </c>
      <c r="H175" s="20">
        <f ca="1">INDEX(INDIRECT($O$10),ROW(H175),COLUMN(H175))</f>
        <v>15.56</v>
      </c>
      <c r="I175" s="22">
        <f ca="1">INDEX(INDIRECT($O$10),ROW(I175),COLUMN(I175))</f>
        <v>31.12</v>
      </c>
      <c r="J175" s="14" t="str">
        <f ca="1">INDEX(INDIRECT($O$10),ROW(J175),COLUMN(J175))</f>
        <v xml:space="preserve"> </v>
      </c>
      <c r="K175" s="16" t="str">
        <f ca="1">INDEX(INDIRECT($O$10),ROW(K175),COLUMN(K175))</f>
        <v xml:space="preserve"> </v>
      </c>
      <c r="L175" s="27" t="str">
        <f ca="1">INDEX(INDIRECT($O$10),ROW(L175),COLUMN(L175))</f>
        <v xml:space="preserve"> </v>
      </c>
      <c r="M175" s="29" t="str">
        <f ca="1">INDEX(INDIRECT($O$10),ROW(M175),COLUMN(M175))</f>
        <v>military</v>
      </c>
      <c r="N175" s="2" t="str">
        <f ca="1">IF(ISNUMBER($C175),codeEAN13(INT(C175/10)),"")</f>
        <v>8APASPA*aaaaae+</v>
      </c>
    </row>
    <row r="176" spans="1:14" ht="31.5" x14ac:dyDescent="0.45">
      <c r="A176" s="3" t="str">
        <f ca="1">INDEX(INDIRECT($O$10),ROW(A176),COLUMN(A176))</f>
        <v>'169</v>
      </c>
      <c r="B176" s="3">
        <f ca="1">INDEX(INDIRECT($O$10),ROW(B176),COLUMN(B176))</f>
        <v>84</v>
      </c>
      <c r="C176" s="5">
        <f ca="1">INDEX(INDIRECT($O$10),ROW(C176),COLUMN(C176))</f>
        <v>8050850000000</v>
      </c>
      <c r="D176" s="8" t="str">
        <f ca="1">INDEX(INDIRECT($O$10),ROW(D176),COLUMN(D176))</f>
        <v>OBAGT002-FAS04-615</v>
      </c>
      <c r="E176" s="12" t="str">
        <f ca="1">INDEX(INDIRECT($O$10),ROW(E176),COLUMN(E176))</f>
        <v>REVERS O BAG MINI EN FAUSSE FOURRURE MURMANSKY</v>
      </c>
      <c r="F176" s="18" t="str">
        <f ca="1">INDEX(INDIRECT($O$10),ROW(F176),COLUMN(F176))</f>
        <v>UNICA</v>
      </c>
      <c r="G176" s="10">
        <f ca="1">INDEX(INDIRECT($O$10),ROW(G176),COLUMN(G176))</f>
        <v>2</v>
      </c>
      <c r="H176" s="20">
        <f ca="1">INDEX(INDIRECT($O$10),ROW(H176),COLUMN(H176))</f>
        <v>24</v>
      </c>
      <c r="I176" s="22">
        <f ca="1">INDEX(INDIRECT($O$10),ROW(I176),COLUMN(I176))</f>
        <v>48</v>
      </c>
      <c r="J176" s="14" t="str">
        <f ca="1">INDEX(INDIRECT($O$10),ROW(J176),COLUMN(J176))</f>
        <v xml:space="preserve"> </v>
      </c>
      <c r="K176" s="16" t="str">
        <f ca="1">INDEX(INDIRECT($O$10),ROW(K176),COLUMN(K176))</f>
        <v xml:space="preserve"> </v>
      </c>
      <c r="L176" s="27" t="str">
        <f ca="1">INDEX(INDIRECT($O$10),ROW(L176),COLUMN(L176))</f>
        <v xml:space="preserve"> </v>
      </c>
      <c r="M176" s="29" t="str">
        <f ca="1">INDEX(INDIRECT($O$10),ROW(M176),COLUMN(M176))</f>
        <v>military</v>
      </c>
      <c r="N176" s="2" t="str">
        <f ca="1">IF(ISNUMBER($C176),codeEAN13(INT(C176/10)),"")</f>
        <v>8APASPA*aaaaae+</v>
      </c>
    </row>
    <row r="177" spans="1:14" ht="31.5" x14ac:dyDescent="0.45">
      <c r="A177" s="3" t="str">
        <f ca="1">INDEX(INDIRECT($O$10),ROW(A177),COLUMN(A177))</f>
        <v>'170</v>
      </c>
      <c r="B177" s="3">
        <f ca="1">INDEX(INDIRECT($O$10),ROW(B177),COLUMN(B177))</f>
        <v>53</v>
      </c>
      <c r="C177" s="5">
        <f ca="1">INDEX(INDIRECT($O$10),ROW(C177),COLUMN(C177))</f>
        <v>8056100000000</v>
      </c>
      <c r="D177" s="8" t="str">
        <f ca="1">INDEX(INDIRECT($O$10),ROW(D177),COLUMN(D177))</f>
        <v>OBAGT002-FAS09-067</v>
      </c>
      <c r="E177" s="12" t="str">
        <f ca="1">INDEX(INDIRECT($O$10),ROW(E177),COLUMN(E177))</f>
        <v>REVERS O BAG MINI EN FAUSSE FOURRURE LAPIN REX</v>
      </c>
      <c r="F177" s="18" t="str">
        <f ca="1">INDEX(INDIRECT($O$10),ROW(F177),COLUMN(F177))</f>
        <v>UNICA</v>
      </c>
      <c r="G177" s="10">
        <f ca="1">INDEX(INDIRECT($O$10),ROW(G177),COLUMN(G177))</f>
        <v>2</v>
      </c>
      <c r="H177" s="20">
        <f ca="1">INDEX(INDIRECT($O$10),ROW(H177),COLUMN(H177))</f>
        <v>18.48</v>
      </c>
      <c r="I177" s="22">
        <f ca="1">INDEX(INDIRECT($O$10),ROW(I177),COLUMN(I177))</f>
        <v>36.96</v>
      </c>
      <c r="J177" s="14" t="str">
        <f ca="1">INDEX(INDIRECT($O$10),ROW(J177),COLUMN(J177))</f>
        <v xml:space="preserve">MINIECOFOURRURE </v>
      </c>
      <c r="K177" s="16" t="str">
        <f ca="1">INDEX(INDIRECT($O$10),ROW(K177),COLUMN(K177))</f>
        <v>LAPHA</v>
      </c>
      <c r="L177" s="27">
        <f ca="1">INDEX(INDIRECT($O$10),ROW(L177),COLUMN(L177))</f>
        <v>0</v>
      </c>
      <c r="M177" s="29" t="str">
        <f ca="1">INDEX(INDIRECT($O$10),ROW(M177),COLUMN(M177))</f>
        <v>phard</v>
      </c>
      <c r="N177" s="2" t="str">
        <f ca="1">IF(ISNUMBER($C177),codeEAN13(INT(C177/10)),"")</f>
        <v>8APGLKA*aaaaai+</v>
      </c>
    </row>
    <row r="178" spans="1:14" ht="31.5" x14ac:dyDescent="0.45">
      <c r="A178" s="3" t="str">
        <f ca="1">INDEX(INDIRECT($O$10),ROW(A178),COLUMN(A178))</f>
        <v>'171</v>
      </c>
      <c r="B178" s="3">
        <f ca="1">INDEX(INDIRECT($O$10),ROW(B178),COLUMN(B178))</f>
        <v>126</v>
      </c>
      <c r="C178" s="5">
        <f ca="1">INDEX(INDIRECT($O$10),ROW(C178),COLUMN(C178))</f>
        <v>8050850000000</v>
      </c>
      <c r="D178" s="8" t="str">
        <f ca="1">INDEX(INDIRECT($O$10),ROW(D178),COLUMN(D178))</f>
        <v>OBAGT002-FAS09-615</v>
      </c>
      <c r="E178" s="12" t="str">
        <f ca="1">INDEX(INDIRECT($O$10),ROW(E178),COLUMN(E178))</f>
        <v>REVERS O BAG MINI EN FAUSSE FOURRURE LAPIN REX</v>
      </c>
      <c r="F178" s="18" t="str">
        <f ca="1">INDEX(INDIRECT($O$10),ROW(F178),COLUMN(F178))</f>
        <v>UNICA</v>
      </c>
      <c r="G178" s="10">
        <f ca="1">INDEX(INDIRECT($O$10),ROW(G178),COLUMN(G178))</f>
        <v>2</v>
      </c>
      <c r="H178" s="20">
        <f ca="1">INDEX(INDIRECT($O$10),ROW(H178),COLUMN(H178))</f>
        <v>18.48</v>
      </c>
      <c r="I178" s="22">
        <f ca="1">INDEX(INDIRECT($O$10),ROW(I178),COLUMN(I178))</f>
        <v>36.96</v>
      </c>
      <c r="J178" s="14" t="str">
        <f ca="1">INDEX(INDIRECT($O$10),ROW(J178),COLUMN(J178))</f>
        <v xml:space="preserve"> </v>
      </c>
      <c r="K178" s="16" t="str">
        <f ca="1">INDEX(INDIRECT($O$10),ROW(K178),COLUMN(K178))</f>
        <v xml:space="preserve"> </v>
      </c>
      <c r="L178" s="27" t="str">
        <f ca="1">INDEX(INDIRECT($O$10),ROW(L178),COLUMN(L178))</f>
        <v xml:space="preserve"> </v>
      </c>
      <c r="M178" s="29" t="str">
        <f ca="1">INDEX(INDIRECT($O$10),ROW(M178),COLUMN(M178))</f>
        <v>military</v>
      </c>
      <c r="N178" s="2" t="str">
        <f ca="1">IF(ISNUMBER($C178),codeEAN13(INT(C178/10)),"")</f>
        <v>8APASPA*aaaaae+</v>
      </c>
    </row>
    <row r="179" spans="1:14" ht="31.5" x14ac:dyDescent="0.45">
      <c r="A179" s="3" t="str">
        <f ca="1">INDEX(INDIRECT($O$10),ROW(A179),COLUMN(A179))</f>
        <v>'172</v>
      </c>
      <c r="B179" s="3">
        <f ca="1">INDEX(INDIRECT($O$10),ROW(B179),COLUMN(B179))</f>
        <v>39</v>
      </c>
      <c r="C179" s="5">
        <f ca="1">INDEX(INDIRECT($O$10),ROW(C179),COLUMN(C179))</f>
        <v>8050850000000</v>
      </c>
      <c r="D179" s="8" t="str">
        <f ca="1">INDEX(INDIRECT($O$10),ROW(D179),COLUMN(D179))</f>
        <v>OBAGT002-FAS58-078</v>
      </c>
      <c r="E179" s="12" t="str">
        <f ca="1">INDEX(INDIRECT($O$10),ROW(E179),COLUMN(E179))</f>
        <v>REVERS O BAG MINI EN FAUSSE FOURRURE CASTOR</v>
      </c>
      <c r="F179" s="18" t="str">
        <f ca="1">INDEX(INDIRECT($O$10),ROW(F179),COLUMN(F179))</f>
        <v>UNICA</v>
      </c>
      <c r="G179" s="10">
        <f ca="1">INDEX(INDIRECT($O$10),ROW(G179),COLUMN(G179))</f>
        <v>2</v>
      </c>
      <c r="H179" s="20">
        <f ca="1">INDEX(INDIRECT($O$10),ROW(H179),COLUMN(H179))</f>
        <v>24.07</v>
      </c>
      <c r="I179" s="22">
        <f ca="1">INDEX(INDIRECT($O$10),ROW(I179),COLUMN(I179))</f>
        <v>48.14</v>
      </c>
      <c r="J179" s="14" t="str">
        <f ca="1">INDEX(INDIRECT($O$10),ROW(J179),COLUMN(J179))</f>
        <v xml:space="preserve"> </v>
      </c>
      <c r="K179" s="16" t="str">
        <f ca="1">INDEX(INDIRECT($O$10),ROW(K179),COLUMN(K179))</f>
        <v xml:space="preserve"> </v>
      </c>
      <c r="L179" s="27" t="str">
        <f ca="1">INDEX(INDIRECT($O$10),ROW(L179),COLUMN(L179))</f>
        <v xml:space="preserve"> </v>
      </c>
      <c r="M179" s="29" t="str">
        <f ca="1">INDEX(INDIRECT($O$10),ROW(M179),COLUMN(M179))</f>
        <v>sabbia</v>
      </c>
      <c r="N179" s="2" t="str">
        <f ca="1">IF(ISNUMBER($C179),codeEAN13(INT(C179/10)),"")</f>
        <v>8APASPA*aaaaae+</v>
      </c>
    </row>
    <row r="180" spans="1:14" ht="31.5" x14ac:dyDescent="0.45">
      <c r="A180" s="3" t="str">
        <f ca="1">INDEX(INDIRECT($O$10),ROW(A180),COLUMN(A180))</f>
        <v>'173</v>
      </c>
      <c r="B180" s="3">
        <f ca="1">INDEX(INDIRECT($O$10),ROW(B180),COLUMN(B180))</f>
        <v>135</v>
      </c>
      <c r="C180" s="5">
        <f ca="1">INDEX(INDIRECT($O$10),ROW(C180),COLUMN(C180))</f>
        <v>8050850000000</v>
      </c>
      <c r="D180" s="8" t="str">
        <f ca="1">INDEX(INDIRECT($O$10),ROW(D180),COLUMN(D180))</f>
        <v>OBAGT002-FAS58-084</v>
      </c>
      <c r="E180" s="12" t="str">
        <f ca="1">INDEX(INDIRECT($O$10),ROW(E180),COLUMN(E180))</f>
        <v>REVERS O BAG MINI EN FAUSSE FOURRURE CASTOR</v>
      </c>
      <c r="F180" s="18" t="str">
        <f ca="1">INDEX(INDIRECT($O$10),ROW(F180),COLUMN(F180))</f>
        <v>UNICA</v>
      </c>
      <c r="G180" s="10">
        <f ca="1">INDEX(INDIRECT($O$10),ROW(G180),COLUMN(G180))</f>
        <v>2</v>
      </c>
      <c r="H180" s="20">
        <f ca="1">INDEX(INDIRECT($O$10),ROW(H180),COLUMN(H180))</f>
        <v>24.07</v>
      </c>
      <c r="I180" s="22">
        <f ca="1">INDEX(INDIRECT($O$10),ROW(I180),COLUMN(I180))</f>
        <v>48.14</v>
      </c>
      <c r="J180" s="14" t="str">
        <f ca="1">INDEX(INDIRECT($O$10),ROW(J180),COLUMN(J180))</f>
        <v xml:space="preserve"> </v>
      </c>
      <c r="K180" s="16" t="str">
        <f ca="1">INDEX(INDIRECT($O$10),ROW(K180),COLUMN(K180))</f>
        <v xml:space="preserve"> </v>
      </c>
      <c r="L180" s="27" t="str">
        <f ca="1">INDEX(INDIRECT($O$10),ROW(L180),COLUMN(L180))</f>
        <v xml:space="preserve"> </v>
      </c>
      <c r="M180" s="29" t="str">
        <f ca="1">INDEX(INDIRECT($O$10),ROW(M180),COLUMN(M180))</f>
        <v>testa di moro</v>
      </c>
      <c r="N180" s="2" t="str">
        <f ca="1">IF(ISNUMBER($C180),codeEAN13(INT(C180/10)),"")</f>
        <v>8APASPA*aaaaae+</v>
      </c>
    </row>
    <row r="181" spans="1:14" ht="31.5" x14ac:dyDescent="0.45">
      <c r="A181" s="3" t="str">
        <f ca="1">INDEX(INDIRECT($O$10),ROW(A181),COLUMN(A181))</f>
        <v>'174</v>
      </c>
      <c r="B181" s="3">
        <f ca="1">INDEX(INDIRECT($O$10),ROW(B181),COLUMN(B181))</f>
        <v>68</v>
      </c>
      <c r="C181" s="5">
        <f ca="1">INDEX(INDIRECT($O$10),ROW(C181),COLUMN(C181))</f>
        <v>8050850000000</v>
      </c>
      <c r="D181" s="8" t="str">
        <f ca="1">INDEX(INDIRECT($O$10),ROW(D181),COLUMN(D181))</f>
        <v>OBAGT002-FAS59-227</v>
      </c>
      <c r="E181" s="12" t="str">
        <f ca="1">INDEX(INDIRECT($O$10),ROW(E181),COLUMN(E181))</f>
        <v>REVERS O BAG MINI EN FAUSSE FOURRURE LAPIN MARBLE</v>
      </c>
      <c r="F181" s="18" t="str">
        <f ca="1">INDEX(INDIRECT($O$10),ROW(F181),COLUMN(F181))</f>
        <v>UNICA</v>
      </c>
      <c r="G181" s="10">
        <f ca="1">INDEX(INDIRECT($O$10),ROW(G181),COLUMN(G181))</f>
        <v>2</v>
      </c>
      <c r="H181" s="20">
        <f ca="1">INDEX(INDIRECT($O$10),ROW(H181),COLUMN(H181))</f>
        <v>20.37</v>
      </c>
      <c r="I181" s="22">
        <f ca="1">INDEX(INDIRECT($O$10),ROW(I181),COLUMN(I181))</f>
        <v>40.74</v>
      </c>
      <c r="J181" s="14" t="str">
        <f ca="1">INDEX(INDIRECT($O$10),ROW(J181),COLUMN(J181))</f>
        <v xml:space="preserve"> </v>
      </c>
      <c r="K181" s="16" t="str">
        <f ca="1">INDEX(INDIRECT($O$10),ROW(K181),COLUMN(K181))</f>
        <v xml:space="preserve"> </v>
      </c>
      <c r="L181" s="27" t="str">
        <f ca="1">INDEX(INDIRECT($O$10),ROW(L181),COLUMN(L181))</f>
        <v xml:space="preserve"> </v>
      </c>
      <c r="M181" s="29" t="str">
        <f ca="1">INDEX(INDIRECT($O$10),ROW(M181),COLUMN(M181))</f>
        <v>bianco/nero</v>
      </c>
      <c r="N181" s="2" t="str">
        <f ca="1">IF(ISNUMBER($C181),codeEAN13(INT(C181/10)),"")</f>
        <v>8APASPA*aaaaae+</v>
      </c>
    </row>
    <row r="182" spans="1:14" ht="31.5" x14ac:dyDescent="0.45">
      <c r="A182" s="3" t="str">
        <f ca="1">INDEX(INDIRECT($O$10),ROW(A182),COLUMN(A182))</f>
        <v>'175</v>
      </c>
      <c r="B182" s="3">
        <f ca="1">INDEX(INDIRECT($O$10),ROW(B182),COLUMN(B182))</f>
        <v>6</v>
      </c>
      <c r="C182" s="5">
        <f ca="1">INDEX(INDIRECT($O$10),ROW(C182),COLUMN(C182))</f>
        <v>8050850000000</v>
      </c>
      <c r="D182" s="8" t="str">
        <f ca="1">INDEX(INDIRECT($O$10),ROW(D182),COLUMN(D182))</f>
        <v>OBAGT002-FAS60-227</v>
      </c>
      <c r="E182" s="12" t="str">
        <f ca="1">INDEX(INDIRECT($O$10),ROW(E182),COLUMN(E182))</f>
        <v>REVERS O BAG MINI EN FAUSSE FOURRURE RENARD MARQUETEE</v>
      </c>
      <c r="F182" s="18" t="str">
        <f ca="1">INDEX(INDIRECT($O$10),ROW(F182),COLUMN(F182))</f>
        <v>UNICA</v>
      </c>
      <c r="G182" s="10">
        <f ca="1">INDEX(INDIRECT($O$10),ROW(G182),COLUMN(G182))</f>
        <v>2</v>
      </c>
      <c r="H182" s="20">
        <f ca="1">INDEX(INDIRECT($O$10),ROW(H182),COLUMN(H182))</f>
        <v>27.04</v>
      </c>
      <c r="I182" s="22">
        <f ca="1">INDEX(INDIRECT($O$10),ROW(I182),COLUMN(I182))</f>
        <v>54.08</v>
      </c>
      <c r="J182" s="14" t="str">
        <f ca="1">INDEX(INDIRECT($O$10),ROW(J182),COLUMN(J182))</f>
        <v xml:space="preserve"> </v>
      </c>
      <c r="K182" s="16" t="str">
        <f ca="1">INDEX(INDIRECT($O$10),ROW(K182),COLUMN(K182))</f>
        <v xml:space="preserve"> </v>
      </c>
      <c r="L182" s="27" t="str">
        <f ca="1">INDEX(INDIRECT($O$10),ROW(L182),COLUMN(L182))</f>
        <v xml:space="preserve"> </v>
      </c>
      <c r="M182" s="29" t="str">
        <f ca="1">INDEX(INDIRECT($O$10),ROW(M182),COLUMN(M182))</f>
        <v>bianco/nero</v>
      </c>
      <c r="N182" s="2" t="str">
        <f ca="1">IF(ISNUMBER($C182),codeEAN13(INT(C182/10)),"")</f>
        <v>8APASPA*aaaaae+</v>
      </c>
    </row>
    <row r="183" spans="1:14" ht="31.5" x14ac:dyDescent="0.45">
      <c r="A183" s="3" t="str">
        <f ca="1">INDEX(INDIRECT($O$10),ROW(A183),COLUMN(A183))</f>
        <v>'176</v>
      </c>
      <c r="B183" s="3">
        <f ca="1">INDEX(INDIRECT($O$10),ROW(B183),COLUMN(B183))</f>
        <v>177</v>
      </c>
      <c r="C183" s="5">
        <f ca="1">INDEX(INDIRECT($O$10),ROW(C183),COLUMN(C183))</f>
        <v>8050850000000</v>
      </c>
      <c r="D183" s="8" t="str">
        <f ca="1">INDEX(INDIRECT($O$10),ROW(D183),COLUMN(D183))</f>
        <v>OBAGT002-LAS43-017</v>
      </c>
      <c r="E183" s="12" t="str">
        <f ca="1">INDEX(INDIRECT($O$10),ROW(E183),COLUMN(E183))</f>
        <v>REVERS O BAG MINI EN LAINE COPENHAGUE</v>
      </c>
      <c r="F183" s="18" t="str">
        <f ca="1">INDEX(INDIRECT($O$10),ROW(F183),COLUMN(F183))</f>
        <v>UNICA</v>
      </c>
      <c r="G183" s="10">
        <f ca="1">INDEX(INDIRECT($O$10),ROW(G183),COLUMN(G183))</f>
        <v>2</v>
      </c>
      <c r="H183" s="20">
        <f ca="1">INDEX(INDIRECT($O$10),ROW(H183),COLUMN(H183))</f>
        <v>10.74</v>
      </c>
      <c r="I183" s="22">
        <f ca="1">INDEX(INDIRECT($O$10),ROW(I183),COLUMN(I183))</f>
        <v>21.48</v>
      </c>
      <c r="J183" s="14" t="str">
        <f ca="1">INDEX(INDIRECT($O$10),ROW(J183),COLUMN(J183))</f>
        <v xml:space="preserve"> </v>
      </c>
      <c r="K183" s="16" t="str">
        <f ca="1">INDEX(INDIRECT($O$10),ROW(K183),COLUMN(K183))</f>
        <v xml:space="preserve"> </v>
      </c>
      <c r="L183" s="27" t="str">
        <f ca="1">INDEX(INDIRECT($O$10),ROW(L183),COLUMN(L183))</f>
        <v xml:space="preserve"> </v>
      </c>
      <c r="M183" s="29" t="str">
        <f ca="1">INDEX(INDIRECT($O$10),ROW(M183),COLUMN(M183))</f>
        <v>blu navy</v>
      </c>
      <c r="N183" s="2" t="str">
        <f ca="1">IF(ISNUMBER($C183),codeEAN13(INT(C183/10)),"")</f>
        <v>8APASPA*aaaaae+</v>
      </c>
    </row>
    <row r="184" spans="1:14" ht="31.5" x14ac:dyDescent="0.45">
      <c r="A184" s="3" t="str">
        <f ca="1">INDEX(INDIRECT($O$10),ROW(A184),COLUMN(A184))</f>
        <v>'177</v>
      </c>
      <c r="B184" s="3">
        <f ca="1">INDEX(INDIRECT($O$10),ROW(B184),COLUMN(B184))</f>
        <v>121</v>
      </c>
      <c r="C184" s="5">
        <f ca="1">INDEX(INDIRECT($O$10),ROW(C184),COLUMN(C184))</f>
        <v>8050850000000</v>
      </c>
      <c r="D184" s="8" t="str">
        <f ca="1">INDEX(INDIRECT($O$10),ROW(D184),COLUMN(D184))</f>
        <v>OBAGT002-LAS43-078</v>
      </c>
      <c r="E184" s="12" t="str">
        <f ca="1">INDEX(INDIRECT($O$10),ROW(E184),COLUMN(E184))</f>
        <v>REVERS O BAG MINI EN LAINE COPENHAGUE</v>
      </c>
      <c r="F184" s="18" t="str">
        <f ca="1">INDEX(INDIRECT($O$10),ROW(F184),COLUMN(F184))</f>
        <v>UNICA</v>
      </c>
      <c r="G184" s="10">
        <f ca="1">INDEX(INDIRECT($O$10),ROW(G184),COLUMN(G184))</f>
        <v>2</v>
      </c>
      <c r="H184" s="20">
        <f ca="1">INDEX(INDIRECT($O$10),ROW(H184),COLUMN(H184))</f>
        <v>10.74</v>
      </c>
      <c r="I184" s="22">
        <f ca="1">INDEX(INDIRECT($O$10),ROW(I184),COLUMN(I184))</f>
        <v>21.48</v>
      </c>
      <c r="J184" s="14" t="str">
        <f ca="1">INDEX(INDIRECT($O$10),ROW(J184),COLUMN(J184))</f>
        <v xml:space="preserve"> </v>
      </c>
      <c r="K184" s="16" t="str">
        <f ca="1">INDEX(INDIRECT($O$10),ROW(K184),COLUMN(K184))</f>
        <v xml:space="preserve"> </v>
      </c>
      <c r="L184" s="27" t="str">
        <f ca="1">INDEX(INDIRECT($O$10),ROW(L184),COLUMN(L184))</f>
        <v xml:space="preserve"> </v>
      </c>
      <c r="M184" s="29" t="str">
        <f ca="1">INDEX(INDIRECT($O$10),ROW(M184),COLUMN(M184))</f>
        <v>sabbia</v>
      </c>
      <c r="N184" s="2" t="str">
        <f ca="1">IF(ISNUMBER($C184),codeEAN13(INT(C184/10)),"")</f>
        <v>8APASPA*aaaaae+</v>
      </c>
    </row>
    <row r="185" spans="1:14" ht="31.5" x14ac:dyDescent="0.45">
      <c r="A185" s="3" t="str">
        <f ca="1">INDEX(INDIRECT($O$10),ROW(A185),COLUMN(A185))</f>
        <v>'178</v>
      </c>
      <c r="B185" s="3">
        <f ca="1">INDEX(INDIRECT($O$10),ROW(B185),COLUMN(B185))</f>
        <v>73</v>
      </c>
      <c r="C185" s="5">
        <f ca="1">INDEX(INDIRECT($O$10),ROW(C185),COLUMN(C185))</f>
        <v>8050850000000</v>
      </c>
      <c r="D185" s="8" t="str">
        <f ca="1">INDEX(INDIRECT($O$10),ROW(D185),COLUMN(D185))</f>
        <v>OBAGT002-LAS43-615</v>
      </c>
      <c r="E185" s="12" t="str">
        <f ca="1">INDEX(INDIRECT($O$10),ROW(E185),COLUMN(E185))</f>
        <v>REVERS O BAG MINI EN LAINE COPENHAGUE</v>
      </c>
      <c r="F185" s="18" t="str">
        <f ca="1">INDEX(INDIRECT($O$10),ROW(F185),COLUMN(F185))</f>
        <v>UNICA</v>
      </c>
      <c r="G185" s="10">
        <f ca="1">INDEX(INDIRECT($O$10),ROW(G185),COLUMN(G185))</f>
        <v>2</v>
      </c>
      <c r="H185" s="20">
        <f ca="1">INDEX(INDIRECT($O$10),ROW(H185),COLUMN(H185))</f>
        <v>10.74</v>
      </c>
      <c r="I185" s="22">
        <f ca="1">INDEX(INDIRECT($O$10),ROW(I185),COLUMN(I185))</f>
        <v>21.48</v>
      </c>
      <c r="J185" s="14" t="str">
        <f ca="1">INDEX(INDIRECT($O$10),ROW(J185),COLUMN(J185))</f>
        <v xml:space="preserve"> </v>
      </c>
      <c r="K185" s="16" t="str">
        <f ca="1">INDEX(INDIRECT($O$10),ROW(K185),COLUMN(K185))</f>
        <v xml:space="preserve"> </v>
      </c>
      <c r="L185" s="27" t="str">
        <f ca="1">INDEX(INDIRECT($O$10),ROW(L185),COLUMN(L185))</f>
        <v xml:space="preserve"> </v>
      </c>
      <c r="M185" s="29" t="str">
        <f ca="1">INDEX(INDIRECT($O$10),ROW(M185),COLUMN(M185))</f>
        <v>military</v>
      </c>
      <c r="N185" s="2" t="str">
        <f ca="1">IF(ISNUMBER($C185),codeEAN13(INT(C185/10)),"")</f>
        <v>8APASPA*aaaaae+</v>
      </c>
    </row>
    <row r="186" spans="1:14" ht="31.5" x14ac:dyDescent="0.45">
      <c r="A186" s="3" t="str">
        <f ca="1">INDEX(INDIRECT($O$10),ROW(A186),COLUMN(A186))</f>
        <v>'179</v>
      </c>
      <c r="B186" s="3">
        <f ca="1">INDEX(INDIRECT($O$10),ROW(B186),COLUMN(B186))</f>
        <v>60</v>
      </c>
      <c r="C186" s="5">
        <f ca="1">INDEX(INDIRECT($O$10),ROW(C186),COLUMN(C186))</f>
        <v>8050850000000</v>
      </c>
      <c r="D186" s="8" t="str">
        <f ca="1">INDEX(INDIRECT($O$10),ROW(D186),COLUMN(D186))</f>
        <v>OBAGT002-LAS45-038</v>
      </c>
      <c r="E186" s="12" t="str">
        <f ca="1">INDEX(INDIRECT($O$10),ROW(E186),COLUMN(E186))</f>
        <v>REVERS O BAG MINI EN LAINE OSLO</v>
      </c>
      <c r="F186" s="18" t="str">
        <f ca="1">INDEX(INDIRECT($O$10),ROW(F186),COLUMN(F186))</f>
        <v>UNICA</v>
      </c>
      <c r="G186" s="10">
        <f ca="1">INDEX(INDIRECT($O$10),ROW(G186),COLUMN(G186))</f>
        <v>2</v>
      </c>
      <c r="H186" s="20">
        <f ca="1">INDEX(INDIRECT($O$10),ROW(H186),COLUMN(H186))</f>
        <v>11.85</v>
      </c>
      <c r="I186" s="22">
        <f ca="1">INDEX(INDIRECT($O$10),ROW(I186),COLUMN(I186))</f>
        <v>23.7</v>
      </c>
      <c r="J186" s="14" t="str">
        <f ca="1">INDEX(INDIRECT($O$10),ROW(J186),COLUMN(J186))</f>
        <v xml:space="preserve"> </v>
      </c>
      <c r="K186" s="16" t="str">
        <f ca="1">INDEX(INDIRECT($O$10),ROW(K186),COLUMN(K186))</f>
        <v xml:space="preserve"> </v>
      </c>
      <c r="L186" s="27" t="str">
        <f ca="1">INDEX(INDIRECT($O$10),ROW(L186),COLUMN(L186))</f>
        <v xml:space="preserve"> </v>
      </c>
      <c r="M186" s="29" t="str">
        <f ca="1">INDEX(INDIRECT($O$10),ROW(M186),COLUMN(M186))</f>
        <v>grafite</v>
      </c>
      <c r="N186" s="2" t="str">
        <f ca="1">IF(ISNUMBER($C186),codeEAN13(INT(C186/10)),"")</f>
        <v>8APASPA*aaaaae+</v>
      </c>
    </row>
    <row r="187" spans="1:14" ht="31.5" x14ac:dyDescent="0.45">
      <c r="A187" s="3" t="str">
        <f ca="1">INDEX(INDIRECT($O$10),ROW(A187),COLUMN(A187))</f>
        <v>'180</v>
      </c>
      <c r="B187" s="3">
        <f ca="1">INDEX(INDIRECT($O$10),ROW(B187),COLUMN(B187))</f>
        <v>172</v>
      </c>
      <c r="C187" s="5">
        <f ca="1">INDEX(INDIRECT($O$10),ROW(C187),COLUMN(C187))</f>
        <v>8050850000000</v>
      </c>
      <c r="D187" s="8" t="str">
        <f ca="1">INDEX(INDIRECT($O$10),ROW(D187),COLUMN(D187))</f>
        <v>OBAGT002-LAS46-227</v>
      </c>
      <c r="E187" s="12" t="str">
        <f ca="1">INDEX(INDIRECT($O$10),ROW(E187),COLUMN(E187))</f>
        <v>REVERS O BAG MINI EN LAINE OPTICAL</v>
      </c>
      <c r="F187" s="18" t="str">
        <f ca="1">INDEX(INDIRECT($O$10),ROW(F187),COLUMN(F187))</f>
        <v>UNICA</v>
      </c>
      <c r="G187" s="10">
        <f ca="1">INDEX(INDIRECT($O$10),ROW(G187),COLUMN(G187))</f>
        <v>2</v>
      </c>
      <c r="H187" s="20">
        <f ca="1">INDEX(INDIRECT($O$10),ROW(H187),COLUMN(H187))</f>
        <v>11.85</v>
      </c>
      <c r="I187" s="22">
        <f ca="1">INDEX(INDIRECT($O$10),ROW(I187),COLUMN(I187))</f>
        <v>23.7</v>
      </c>
      <c r="J187" s="14" t="str">
        <f ca="1">INDEX(INDIRECT($O$10),ROW(J187),COLUMN(J187))</f>
        <v xml:space="preserve"> </v>
      </c>
      <c r="K187" s="16" t="str">
        <f ca="1">INDEX(INDIRECT($O$10),ROW(K187),COLUMN(K187))</f>
        <v xml:space="preserve"> </v>
      </c>
      <c r="L187" s="27" t="str">
        <f ca="1">INDEX(INDIRECT($O$10),ROW(L187),COLUMN(L187))</f>
        <v xml:space="preserve"> </v>
      </c>
      <c r="M187" s="29" t="str">
        <f ca="1">INDEX(INDIRECT($O$10),ROW(M187),COLUMN(M187))</f>
        <v>bianco/nero</v>
      </c>
      <c r="N187" s="2" t="str">
        <f ca="1">IF(ISNUMBER($C187),codeEAN13(INT(C187/10)),"")</f>
        <v>8APASPA*aaaaae+</v>
      </c>
    </row>
    <row r="188" spans="1:14" ht="31.5" x14ac:dyDescent="0.45">
      <c r="A188" s="3" t="str">
        <f ca="1">INDEX(INDIRECT($O$10),ROW(A188),COLUMN(A188))</f>
        <v>'181</v>
      </c>
      <c r="B188" s="3">
        <f ca="1">INDEX(INDIRECT($O$10),ROW(B188),COLUMN(B188))</f>
        <v>145</v>
      </c>
      <c r="C188" s="5">
        <f ca="1">INDEX(INDIRECT($O$10),ROW(C188),COLUMN(C188))</f>
        <v>8050850000000</v>
      </c>
      <c r="D188" s="8" t="str">
        <f ca="1">INDEX(INDIRECT($O$10),ROW(D188),COLUMN(D188))</f>
        <v>OBAGT002-TESBB-615</v>
      </c>
      <c r="E188" s="12" t="str">
        <f ca="1">INDEX(INDIRECT($O$10),ROW(E188),COLUMN(E188))</f>
        <v>REVERS O BAG MINI EN TISSU IMPRIME DIANTHUS</v>
      </c>
      <c r="F188" s="18" t="str">
        <f ca="1">INDEX(INDIRECT($O$10),ROW(F188),COLUMN(F188))</f>
        <v>UNICA</v>
      </c>
      <c r="G188" s="10">
        <f ca="1">INDEX(INDIRECT($O$10),ROW(G188),COLUMN(G188))</f>
        <v>2</v>
      </c>
      <c r="H188" s="20">
        <f ca="1">INDEX(INDIRECT($O$10),ROW(H188),COLUMN(H188))</f>
        <v>13.33</v>
      </c>
      <c r="I188" s="22">
        <f ca="1">INDEX(INDIRECT($O$10),ROW(I188),COLUMN(I188))</f>
        <v>26.66</v>
      </c>
      <c r="J188" s="14" t="str">
        <f ca="1">INDEX(INDIRECT($O$10),ROW(J188),COLUMN(J188))</f>
        <v xml:space="preserve"> </v>
      </c>
      <c r="K188" s="16" t="str">
        <f ca="1">INDEX(INDIRECT($O$10),ROW(K188),COLUMN(K188))</f>
        <v xml:space="preserve"> </v>
      </c>
      <c r="L188" s="27" t="str">
        <f ca="1">INDEX(INDIRECT($O$10),ROW(L188),COLUMN(L188))</f>
        <v xml:space="preserve"> </v>
      </c>
      <c r="M188" s="29" t="str">
        <f ca="1">INDEX(INDIRECT($O$10),ROW(M188),COLUMN(M188))</f>
        <v>military</v>
      </c>
      <c r="N188" s="2" t="str">
        <f ca="1">IF(ISNUMBER($C188),codeEAN13(INT(C188/10)),"")</f>
        <v>8APASPA*aaaaae+</v>
      </c>
    </row>
    <row r="189" spans="1:14" ht="31.5" x14ac:dyDescent="0.45">
      <c r="A189" s="3" t="str">
        <f ca="1">INDEX(INDIRECT($O$10),ROW(A189),COLUMN(A189))</f>
        <v>'182</v>
      </c>
      <c r="B189" s="3">
        <f ca="1">INDEX(INDIRECT($O$10),ROW(B189),COLUMN(B189))</f>
        <v>127</v>
      </c>
      <c r="C189" s="5">
        <f ca="1">INDEX(INDIRECT($O$10),ROW(C189),COLUMN(C189))</f>
        <v>8050850000000</v>
      </c>
      <c r="D189" s="8" t="str">
        <f ca="1">INDEX(INDIRECT($O$10),ROW(D189),COLUMN(D189))</f>
        <v>OBAGT002-TESBD-227</v>
      </c>
      <c r="E189" s="12" t="str">
        <f ca="1">INDEX(INDIRECT($O$10),ROW(E189),COLUMN(E189))</f>
        <v>REVERS O BAG MINI EN TISSU CHECK EFFET LAINE</v>
      </c>
      <c r="F189" s="18" t="str">
        <f ca="1">INDEX(INDIRECT($O$10),ROW(F189),COLUMN(F189))</f>
        <v>UNICA</v>
      </c>
      <c r="G189" s="10">
        <f ca="1">INDEX(INDIRECT($O$10),ROW(G189),COLUMN(G189))</f>
        <v>2</v>
      </c>
      <c r="H189" s="20">
        <f ca="1">INDEX(INDIRECT($O$10),ROW(H189),COLUMN(H189))</f>
        <v>13.33</v>
      </c>
      <c r="I189" s="22">
        <f ca="1">INDEX(INDIRECT($O$10),ROW(I189),COLUMN(I189))</f>
        <v>26.66</v>
      </c>
      <c r="J189" s="14" t="str">
        <f ca="1">INDEX(INDIRECT($O$10),ROW(J189),COLUMN(J189))</f>
        <v xml:space="preserve"> </v>
      </c>
      <c r="K189" s="16" t="str">
        <f ca="1">INDEX(INDIRECT($O$10),ROW(K189),COLUMN(K189))</f>
        <v xml:space="preserve"> </v>
      </c>
      <c r="L189" s="27" t="str">
        <f ca="1">INDEX(INDIRECT($O$10),ROW(L189),COLUMN(L189))</f>
        <v xml:space="preserve"> </v>
      </c>
      <c r="M189" s="29" t="str">
        <f ca="1">INDEX(INDIRECT($O$10),ROW(M189),COLUMN(M189))</f>
        <v>bianco/nero</v>
      </c>
      <c r="N189" s="2" t="str">
        <f ca="1">IF(ISNUMBER($C189),codeEAN13(INT(C189/10)),"")</f>
        <v>8APASPA*aaaaae+</v>
      </c>
    </row>
    <row r="190" spans="1:14" ht="31.5" x14ac:dyDescent="0.45">
      <c r="A190" s="3" t="str">
        <f ca="1">INDEX(INDIRECT($O$10),ROW(A190),COLUMN(A190))</f>
        <v>'183</v>
      </c>
      <c r="B190" s="3">
        <f ca="1">INDEX(INDIRECT($O$10),ROW(B190),COLUMN(B190))</f>
        <v>200</v>
      </c>
      <c r="C190" s="5">
        <f ca="1">INDEX(INDIRECT($O$10),ROW(C190),COLUMN(C190))</f>
        <v>8050850000000</v>
      </c>
      <c r="D190" s="8" t="str">
        <f ca="1">INDEX(INDIRECT($O$10),ROW(D190),COLUMN(D190))</f>
        <v>OBAGT002-TESBE-227</v>
      </c>
      <c r="E190" s="12" t="str">
        <f ca="1">INDEX(INDIRECT($O$10),ROW(E190),COLUMN(E190))</f>
        <v>REVERS O BAG MINI EN TISSU Ã€ CHEVRONS</v>
      </c>
      <c r="F190" s="18" t="str">
        <f ca="1">INDEX(INDIRECT($O$10),ROW(F190),COLUMN(F190))</f>
        <v>UNICA</v>
      </c>
      <c r="G190" s="10">
        <f ca="1">INDEX(INDIRECT($O$10),ROW(G190),COLUMN(G190))</f>
        <v>2</v>
      </c>
      <c r="H190" s="20">
        <f ca="1">INDEX(INDIRECT($O$10),ROW(H190),COLUMN(H190))</f>
        <v>13.33</v>
      </c>
      <c r="I190" s="22">
        <f ca="1">INDEX(INDIRECT($O$10),ROW(I190),COLUMN(I190))</f>
        <v>26.66</v>
      </c>
      <c r="J190" s="14" t="str">
        <f ca="1">INDEX(INDIRECT($O$10),ROW(J190),COLUMN(J190))</f>
        <v xml:space="preserve"> </v>
      </c>
      <c r="K190" s="16" t="str">
        <f ca="1">INDEX(INDIRECT($O$10),ROW(K190),COLUMN(K190))</f>
        <v xml:space="preserve"> </v>
      </c>
      <c r="L190" s="27" t="str">
        <f ca="1">INDEX(INDIRECT($O$10),ROW(L190),COLUMN(L190))</f>
        <v xml:space="preserve"> </v>
      </c>
      <c r="M190" s="29" t="str">
        <f ca="1">INDEX(INDIRECT($O$10),ROW(M190),COLUMN(M190))</f>
        <v>bianco/nero</v>
      </c>
      <c r="N190" s="2" t="str">
        <f ca="1">IF(ISNUMBER($C190),codeEAN13(INT(C190/10)),"")</f>
        <v>8APASPA*aaaaae+</v>
      </c>
    </row>
    <row r="191" spans="1:14" ht="31.5" x14ac:dyDescent="0.45">
      <c r="A191" s="3" t="str">
        <f ca="1">INDEX(INDIRECT($O$10),ROW(A191),COLUMN(A191))</f>
        <v>'184</v>
      </c>
      <c r="B191" s="3">
        <f ca="1">INDEX(INDIRECT($O$10),ROW(B191),COLUMN(B191))</f>
        <v>157</v>
      </c>
      <c r="C191" s="5">
        <f ca="1">INDEX(INDIRECT($O$10),ROW(C191),COLUMN(C191))</f>
        <v>8050850000000</v>
      </c>
      <c r="D191" s="8" t="str">
        <f ca="1">INDEX(INDIRECT($O$10),ROW(D191),COLUMN(D191))</f>
        <v>OBAGT002-TESBH-017</v>
      </c>
      <c r="E191" s="12" t="str">
        <f ca="1">INDEX(INDIRECT($O$10),ROW(E191),COLUMN(E191))</f>
        <v>REVERS O BAG MINI EN TISSU IMPRIME JACQUARD MICRO FANTAISIE</v>
      </c>
      <c r="F191" s="18" t="str">
        <f ca="1">INDEX(INDIRECT($O$10),ROW(F191),COLUMN(F191))</f>
        <v>UNICA</v>
      </c>
      <c r="G191" s="10">
        <f ca="1">INDEX(INDIRECT($O$10),ROW(G191),COLUMN(G191))</f>
        <v>2</v>
      </c>
      <c r="H191" s="20">
        <f ca="1">INDEX(INDIRECT($O$10),ROW(H191),COLUMN(H191))</f>
        <v>13.33</v>
      </c>
      <c r="I191" s="22">
        <f ca="1">INDEX(INDIRECT($O$10),ROW(I191),COLUMN(I191))</f>
        <v>26.66</v>
      </c>
      <c r="J191" s="14" t="str">
        <f ca="1">INDEX(INDIRECT($O$10),ROW(J191),COLUMN(J191))</f>
        <v xml:space="preserve"> </v>
      </c>
      <c r="K191" s="16" t="str">
        <f ca="1">INDEX(INDIRECT($O$10),ROW(K191),COLUMN(K191))</f>
        <v xml:space="preserve"> </v>
      </c>
      <c r="L191" s="27" t="str">
        <f ca="1">INDEX(INDIRECT($O$10),ROW(L191),COLUMN(L191))</f>
        <v xml:space="preserve"> </v>
      </c>
      <c r="M191" s="29" t="str">
        <f ca="1">INDEX(INDIRECT($O$10),ROW(M191),COLUMN(M191))</f>
        <v>blu navy</v>
      </c>
      <c r="N191" s="2" t="str">
        <f ca="1">IF(ISNUMBER($C191),codeEAN13(INT(C191/10)),"")</f>
        <v>8APASPA*aaaaae+</v>
      </c>
    </row>
    <row r="192" spans="1:14" ht="31.5" x14ac:dyDescent="0.45">
      <c r="A192" s="3" t="str">
        <f ca="1">INDEX(INDIRECT($O$10),ROW(A192),COLUMN(A192))</f>
        <v>'185</v>
      </c>
      <c r="B192" s="3">
        <f ca="1">INDEX(INDIRECT($O$10),ROW(B192),COLUMN(B192))</f>
        <v>201</v>
      </c>
      <c r="C192" s="5">
        <f ca="1">INDEX(INDIRECT($O$10),ROW(C192),COLUMN(C192))</f>
        <v>8050850000000</v>
      </c>
      <c r="D192" s="8" t="str">
        <f ca="1">INDEX(INDIRECT($O$10),ROW(D192),COLUMN(D192))</f>
        <v>OBAGT002-TESBJ-227</v>
      </c>
      <c r="E192" s="12" t="str">
        <f ca="1">INDEX(INDIRECT($O$10),ROW(E192),COLUMN(E192))</f>
        <v>REVERS O BAG MINI EN TISSU OPTICAL STRIPES</v>
      </c>
      <c r="F192" s="18" t="str">
        <f ca="1">INDEX(INDIRECT($O$10),ROW(F192),COLUMN(F192))</f>
        <v>UNICA</v>
      </c>
      <c r="G192" s="10">
        <f ca="1">INDEX(INDIRECT($O$10),ROW(G192),COLUMN(G192))</f>
        <v>2</v>
      </c>
      <c r="H192" s="20">
        <f ca="1">INDEX(INDIRECT($O$10),ROW(H192),COLUMN(H192))</f>
        <v>11.85</v>
      </c>
      <c r="I192" s="22">
        <f ca="1">INDEX(INDIRECT($O$10),ROW(I192),COLUMN(I192))</f>
        <v>23.7</v>
      </c>
      <c r="J192" s="14" t="str">
        <f ca="1">INDEX(INDIRECT($O$10),ROW(J192),COLUMN(J192))</f>
        <v xml:space="preserve"> </v>
      </c>
      <c r="K192" s="16" t="str">
        <f ca="1">INDEX(INDIRECT($O$10),ROW(K192),COLUMN(K192))</f>
        <v xml:space="preserve"> </v>
      </c>
      <c r="L192" s="27" t="str">
        <f ca="1">INDEX(INDIRECT($O$10),ROW(L192),COLUMN(L192))</f>
        <v xml:space="preserve"> </v>
      </c>
      <c r="M192" s="29" t="str">
        <f ca="1">INDEX(INDIRECT($O$10),ROW(M192),COLUMN(M192))</f>
        <v>bianco/nero</v>
      </c>
      <c r="N192" s="2" t="str">
        <f ca="1">IF(ISNUMBER($C192),codeEAN13(INT(C192/10)),"")</f>
        <v>8APASPA*aaaaae+</v>
      </c>
    </row>
    <row r="193" spans="1:14" ht="31.5" x14ac:dyDescent="0.45">
      <c r="A193" s="3" t="str">
        <f ca="1">INDEX(INDIRECT($O$10),ROW(A193),COLUMN(A193))</f>
        <v>'186</v>
      </c>
      <c r="B193" s="3">
        <f ca="1">INDEX(INDIRECT($O$10),ROW(B193),COLUMN(B193))</f>
        <v>108</v>
      </c>
      <c r="C193" s="5">
        <f ca="1">INDEX(INDIRECT($O$10),ROW(C193),COLUMN(C193))</f>
        <v>8050850000000</v>
      </c>
      <c r="D193" s="8" t="str">
        <f ca="1">INDEX(INDIRECT($O$10),ROW(D193),COLUMN(D193))</f>
        <v>OBAGT002-TESBK-055</v>
      </c>
      <c r="E193" s="12" t="str">
        <f ca="1">INDEX(INDIRECT($O$10),ROW(E193),COLUMN(E193))</f>
        <v>REVERS O BAG MINI EN TISSU DOUDOUNE Ã€ CHEVRONS</v>
      </c>
      <c r="F193" s="18" t="str">
        <f ca="1">INDEX(INDIRECT($O$10),ROW(F193),COLUMN(F193))</f>
        <v>UNICA</v>
      </c>
      <c r="G193" s="10">
        <f ca="1">INDEX(INDIRECT($O$10),ROW(G193),COLUMN(G193))</f>
        <v>2</v>
      </c>
      <c r="H193" s="20">
        <f ca="1">INDEX(INDIRECT($O$10),ROW(H193),COLUMN(H193))</f>
        <v>11.85</v>
      </c>
      <c r="I193" s="22">
        <f ca="1">INDEX(INDIRECT($O$10),ROW(I193),COLUMN(I193))</f>
        <v>23.7</v>
      </c>
      <c r="J193" s="14" t="str">
        <f ca="1">INDEX(INDIRECT($O$10),ROW(J193),COLUMN(J193))</f>
        <v xml:space="preserve"> </v>
      </c>
      <c r="K193" s="16" t="str">
        <f ca="1">INDEX(INDIRECT($O$10),ROW(K193),COLUMN(K193))</f>
        <v xml:space="preserve"> </v>
      </c>
      <c r="L193" s="27" t="str">
        <f ca="1">INDEX(INDIRECT($O$10),ROW(L193),COLUMN(L193))</f>
        <v xml:space="preserve"> </v>
      </c>
      <c r="M193" s="29" t="str">
        <f ca="1">INDEX(INDIRECT($O$10),ROW(M193),COLUMN(M193))</f>
        <v>nero</v>
      </c>
      <c r="N193" s="2" t="str">
        <f ca="1">IF(ISNUMBER($C193),codeEAN13(INT(C193/10)),"")</f>
        <v>8APASPA*aaaaae+</v>
      </c>
    </row>
    <row r="194" spans="1:14" ht="31.5" x14ac:dyDescent="0.45">
      <c r="A194" s="3" t="str">
        <f ca="1">INDEX(INDIRECT($O$10),ROW(A194),COLUMN(A194))</f>
        <v>'187</v>
      </c>
      <c r="B194" s="3">
        <f ca="1">INDEX(INDIRECT($O$10),ROW(B194),COLUMN(B194))</f>
        <v>191</v>
      </c>
      <c r="C194" s="5">
        <f ca="1">INDEX(INDIRECT($O$10),ROW(C194),COLUMN(C194))</f>
        <v>8050850000000</v>
      </c>
      <c r="D194" s="8" t="str">
        <f ca="1">INDEX(INDIRECT($O$10),ROW(D194),COLUMN(D194))</f>
        <v>OBAGT002-TESBK-137</v>
      </c>
      <c r="E194" s="12" t="str">
        <f ca="1">INDEX(INDIRECT($O$10),ROW(E194),COLUMN(E194))</f>
        <v>REVERS O BAG MINI EN TISSU DOUDOUNE Ã€ CHEVRONS</v>
      </c>
      <c r="F194" s="18" t="str">
        <f ca="1">INDEX(INDIRECT($O$10),ROW(F194),COLUMN(F194))</f>
        <v>UNICA</v>
      </c>
      <c r="G194" s="10">
        <f ca="1">INDEX(INDIRECT($O$10),ROW(G194),COLUMN(G194))</f>
        <v>2</v>
      </c>
      <c r="H194" s="20">
        <f ca="1">INDEX(INDIRECT($O$10),ROW(H194),COLUMN(H194))</f>
        <v>11.85</v>
      </c>
      <c r="I194" s="22">
        <f ca="1">INDEX(INDIRECT($O$10),ROW(I194),COLUMN(I194))</f>
        <v>23.7</v>
      </c>
      <c r="J194" s="14" t="str">
        <f ca="1">INDEX(INDIRECT($O$10),ROW(J194),COLUMN(J194))</f>
        <v xml:space="preserve"> </v>
      </c>
      <c r="K194" s="16" t="str">
        <f ca="1">INDEX(INDIRECT($O$10),ROW(K194),COLUMN(K194))</f>
        <v xml:space="preserve"> </v>
      </c>
      <c r="L194" s="27" t="str">
        <f ca="1">INDEX(INDIRECT($O$10),ROW(L194),COLUMN(L194))</f>
        <v xml:space="preserve"> </v>
      </c>
      <c r="M194" s="29" t="str">
        <f ca="1">INDEX(INDIRECT($O$10),ROW(M194),COLUMN(M194))</f>
        <v>bluette</v>
      </c>
      <c r="N194" s="2" t="str">
        <f ca="1">IF(ISNUMBER($C194),codeEAN13(INT(C194/10)),"")</f>
        <v>8APASPA*aaaaae+</v>
      </c>
    </row>
    <row r="195" spans="1:14" ht="31.5" x14ac:dyDescent="0.45">
      <c r="A195" s="3" t="str">
        <f ca="1">INDEX(INDIRECT($O$10),ROW(A195),COLUMN(A195))</f>
        <v>'188</v>
      </c>
      <c r="B195" s="3">
        <f ca="1">INDEX(INDIRECT($O$10),ROW(B195),COLUMN(B195))</f>
        <v>175</v>
      </c>
      <c r="C195" s="5">
        <f ca="1">INDEX(INDIRECT($O$10),ROW(C195),COLUMN(C195))</f>
        <v>8050850000000</v>
      </c>
      <c r="D195" s="8" t="str">
        <f ca="1">INDEX(INDIRECT($O$10),ROW(D195),COLUMN(D195))</f>
        <v>OBAGT002-TESBN-615</v>
      </c>
      <c r="E195" s="12" t="str">
        <f ca="1">INDEX(INDIRECT($O$10),ROW(E195),COLUMN(E195))</f>
        <v>REVERS O BAG MINI EN TISSU DOUDOUNE CHECK</v>
      </c>
      <c r="F195" s="18" t="str">
        <f ca="1">INDEX(INDIRECT($O$10),ROW(F195),COLUMN(F195))</f>
        <v>UNICA</v>
      </c>
      <c r="G195" s="10">
        <f ca="1">INDEX(INDIRECT($O$10),ROW(G195),COLUMN(G195))</f>
        <v>2</v>
      </c>
      <c r="H195" s="20">
        <f ca="1">INDEX(INDIRECT($O$10),ROW(H195),COLUMN(H195))</f>
        <v>15.56</v>
      </c>
      <c r="I195" s="22">
        <f ca="1">INDEX(INDIRECT($O$10),ROW(I195),COLUMN(I195))</f>
        <v>31.12</v>
      </c>
      <c r="J195" s="14" t="str">
        <f ca="1">INDEX(INDIRECT($O$10),ROW(J195),COLUMN(J195))</f>
        <v xml:space="preserve"> </v>
      </c>
      <c r="K195" s="16" t="str">
        <f ca="1">INDEX(INDIRECT($O$10),ROW(K195),COLUMN(K195))</f>
        <v xml:space="preserve"> </v>
      </c>
      <c r="L195" s="27" t="str">
        <f ca="1">INDEX(INDIRECT($O$10),ROW(L195),COLUMN(L195))</f>
        <v xml:space="preserve"> </v>
      </c>
      <c r="M195" s="29" t="str">
        <f ca="1">INDEX(INDIRECT($O$10),ROW(M195),COLUMN(M195))</f>
        <v>military</v>
      </c>
      <c r="N195" s="2" t="str">
        <f ca="1">IF(ISNUMBER($C195),codeEAN13(INT(C195/10)),"")</f>
        <v>8APASPA*aaaaae+</v>
      </c>
    </row>
    <row r="196" spans="1:14" ht="31.5" x14ac:dyDescent="0.45">
      <c r="A196" s="3" t="str">
        <f ca="1">INDEX(INDIRECT($O$10),ROW(A196),COLUMN(A196))</f>
        <v>'189</v>
      </c>
      <c r="B196" s="3">
        <f ca="1">INDEX(INDIRECT($O$10),ROW(B196),COLUMN(B196))</f>
        <v>61</v>
      </c>
      <c r="C196" s="5">
        <f ca="1">INDEX(INDIRECT($O$10),ROW(C196),COLUMN(C196))</f>
        <v>8050850000000</v>
      </c>
      <c r="D196" s="8" t="str">
        <f ca="1">INDEX(INDIRECT($O$10),ROW(D196),COLUMN(D196))</f>
        <v>OCLKD001-MESE3-067</v>
      </c>
      <c r="E196" s="12" t="str">
        <f ca="1">INDEX(INDIRECT($O$10),ROW(E196),COLUMN(E196))</f>
        <v>O CLOCK MECANISME CIRCLE SOLEIL</v>
      </c>
      <c r="F196" s="18" t="str">
        <f ca="1">INDEX(INDIRECT($O$10),ROW(F196),COLUMN(F196))</f>
        <v>UNICA</v>
      </c>
      <c r="G196" s="10">
        <f ca="1">INDEX(INDIRECT($O$10),ROW(G196),COLUMN(G196))</f>
        <v>3</v>
      </c>
      <c r="H196" s="20">
        <f ca="1">INDEX(INDIRECT($O$10),ROW(H196),COLUMN(H196))</f>
        <v>7.78</v>
      </c>
      <c r="I196" s="22">
        <f ca="1">INDEX(INDIRECT($O$10),ROW(I196),COLUMN(I196))</f>
        <v>23.34</v>
      </c>
      <c r="J196" s="14" t="str">
        <f ca="1">INDEX(INDIRECT($O$10),ROW(J196),COLUMN(J196))</f>
        <v xml:space="preserve"> </v>
      </c>
      <c r="K196" s="16" t="str">
        <f ca="1">INDEX(INDIRECT($O$10),ROW(K196),COLUMN(K196))</f>
        <v xml:space="preserve"> </v>
      </c>
      <c r="L196" s="27" t="str">
        <f ca="1">INDEX(INDIRECT($O$10),ROW(L196),COLUMN(L196))</f>
        <v xml:space="preserve"> </v>
      </c>
      <c r="M196" s="29" t="str">
        <f ca="1">INDEX(INDIRECT($O$10),ROW(M196),COLUMN(M196))</f>
        <v>phard</v>
      </c>
      <c r="N196" s="2" t="str">
        <f ca="1">IF(ISNUMBER($C196),codeEAN13(INT(C196/10)),"")</f>
        <v>8APASPA*aaaaae+</v>
      </c>
    </row>
    <row r="197" spans="1:14" ht="31.5" x14ac:dyDescent="0.45">
      <c r="A197" s="3" t="str">
        <f ca="1">INDEX(INDIRECT($O$10),ROW(A197),COLUMN(A197))</f>
        <v>'190</v>
      </c>
      <c r="B197" s="3">
        <f ca="1">INDEX(INDIRECT($O$10),ROW(B197),COLUMN(B197))</f>
        <v>193</v>
      </c>
      <c r="C197" s="5">
        <f ca="1">INDEX(INDIRECT($O$10),ROW(C197),COLUMN(C197))</f>
        <v>8050850000000</v>
      </c>
      <c r="D197" s="8" t="str">
        <f ca="1">INDEX(INDIRECT($O$10),ROW(D197),COLUMN(D197))</f>
        <v>OCLKD001-MESE3-137</v>
      </c>
      <c r="E197" s="12" t="str">
        <f ca="1">INDEX(INDIRECT($O$10),ROW(E197),COLUMN(E197))</f>
        <v>O CLOCK MECANISME CIRCLE SOLEIL</v>
      </c>
      <c r="F197" s="18" t="str">
        <f ca="1">INDEX(INDIRECT($O$10),ROW(F197),COLUMN(F197))</f>
        <v>UNICA</v>
      </c>
      <c r="G197" s="10">
        <f ca="1">INDEX(INDIRECT($O$10),ROW(G197),COLUMN(G197))</f>
        <v>3</v>
      </c>
      <c r="H197" s="20">
        <f ca="1">INDEX(INDIRECT($O$10),ROW(H197),COLUMN(H197))</f>
        <v>7.78</v>
      </c>
      <c r="I197" s="22">
        <f ca="1">INDEX(INDIRECT($O$10),ROW(I197),COLUMN(I197))</f>
        <v>23.34</v>
      </c>
      <c r="J197" s="14" t="str">
        <f ca="1">INDEX(INDIRECT($O$10),ROW(J197),COLUMN(J197))</f>
        <v xml:space="preserve"> </v>
      </c>
      <c r="K197" s="16" t="str">
        <f ca="1">INDEX(INDIRECT($O$10),ROW(K197),COLUMN(K197))</f>
        <v xml:space="preserve"> </v>
      </c>
      <c r="L197" s="27" t="str">
        <f ca="1">INDEX(INDIRECT($O$10),ROW(L197),COLUMN(L197))</f>
        <v xml:space="preserve"> </v>
      </c>
      <c r="M197" s="29" t="str">
        <f ca="1">INDEX(INDIRECT($O$10),ROW(M197),COLUMN(M197))</f>
        <v>bluette</v>
      </c>
      <c r="N197" s="2" t="str">
        <f ca="1">IF(ISNUMBER($C197),codeEAN13(INT(C197/10)),"")</f>
        <v>8APASPA*aaaaae+</v>
      </c>
    </row>
    <row r="198" spans="1:14" ht="31.5" x14ac:dyDescent="0.45">
      <c r="A198" s="3" t="str">
        <f ca="1">INDEX(INDIRECT($O$10),ROW(A198),COLUMN(A198))</f>
        <v>'191</v>
      </c>
      <c r="B198" s="3">
        <f ca="1">INDEX(INDIRECT($O$10),ROW(B198),COLUMN(B198))</f>
        <v>28</v>
      </c>
      <c r="C198" s="5">
        <f ca="1">INDEX(INDIRECT($O$10),ROW(C198),COLUMN(C198))</f>
        <v>8050850000000</v>
      </c>
      <c r="D198" s="8" t="str">
        <f ca="1">INDEX(INDIRECT($O$10),ROW(D198),COLUMN(D198))</f>
        <v>OCLKD001-MESE3-615</v>
      </c>
      <c r="E198" s="12" t="str">
        <f ca="1">INDEX(INDIRECT($O$10),ROW(E198),COLUMN(E198))</f>
        <v>O CLOCK MECANISME CIRCLE SOLEIL</v>
      </c>
      <c r="F198" s="18" t="str">
        <f ca="1">INDEX(INDIRECT($O$10),ROW(F198),COLUMN(F198))</f>
        <v>UNICA</v>
      </c>
      <c r="G198" s="10">
        <f ca="1">INDEX(INDIRECT($O$10),ROW(G198),COLUMN(G198))</f>
        <v>3</v>
      </c>
      <c r="H198" s="20">
        <f ca="1">INDEX(INDIRECT($O$10),ROW(H198),COLUMN(H198))</f>
        <v>7.78</v>
      </c>
      <c r="I198" s="22">
        <f ca="1">INDEX(INDIRECT($O$10),ROW(I198),COLUMN(I198))</f>
        <v>23.34</v>
      </c>
      <c r="J198" s="14" t="str">
        <f ca="1">INDEX(INDIRECT($O$10),ROW(J198),COLUMN(J198))</f>
        <v xml:space="preserve"> </v>
      </c>
      <c r="K198" s="16" t="str">
        <f ca="1">INDEX(INDIRECT($O$10),ROW(K198),COLUMN(K198))</f>
        <v xml:space="preserve"> </v>
      </c>
      <c r="L198" s="27" t="str">
        <f ca="1">INDEX(INDIRECT($O$10),ROW(L198),COLUMN(L198))</f>
        <v xml:space="preserve"> </v>
      </c>
      <c r="M198" s="29" t="str">
        <f ca="1">INDEX(INDIRECT($O$10),ROW(M198),COLUMN(M198))</f>
        <v>military</v>
      </c>
      <c r="N198" s="2" t="str">
        <f ca="1">IF(ISNUMBER($C198),codeEAN13(INT(C198/10)),"")</f>
        <v>8APASPA*aaaaae+</v>
      </c>
    </row>
    <row r="199" spans="1:14" ht="31.5" x14ac:dyDescent="0.45">
      <c r="A199" s="3" t="str">
        <f ca="1">INDEX(INDIRECT($O$10),ROW(A199),COLUMN(A199))</f>
        <v>'192</v>
      </c>
      <c r="B199" s="3">
        <f ca="1">INDEX(INDIRECT($O$10),ROW(B199),COLUMN(B199))</f>
        <v>80</v>
      </c>
      <c r="C199" s="5">
        <f ca="1">INDEX(INDIRECT($O$10),ROW(C199),COLUMN(C199))</f>
        <v>8050850000000</v>
      </c>
      <c r="D199" s="8" t="str">
        <f ca="1">INDEX(INDIRECT($O$10),ROW(D199),COLUMN(D199))</f>
        <v>OCLKD001-MESE6-004</v>
      </c>
      <c r="E199" s="12" t="str">
        <f ca="1">INDEX(INDIRECT($O$10),ROW(E199),COLUMN(E199))</f>
        <v>O CLOCK MECANISME GROOVE LUX</v>
      </c>
      <c r="F199" s="18" t="str">
        <f ca="1">INDEX(INDIRECT($O$10),ROW(F199),COLUMN(F199))</f>
        <v>UNICA</v>
      </c>
      <c r="G199" s="10">
        <f ca="1">INDEX(INDIRECT($O$10),ROW(G199),COLUMN(G199))</f>
        <v>3</v>
      </c>
      <c r="H199" s="20">
        <f ca="1">INDEX(INDIRECT($O$10),ROW(H199),COLUMN(H199))</f>
        <v>10</v>
      </c>
      <c r="I199" s="22">
        <f ca="1">INDEX(INDIRECT($O$10),ROW(I199),COLUMN(I199))</f>
        <v>30</v>
      </c>
      <c r="J199" s="14" t="str">
        <f ca="1">INDEX(INDIRECT($O$10),ROW(J199),COLUMN(J199))</f>
        <v xml:space="preserve"> </v>
      </c>
      <c r="K199" s="16" t="str">
        <f ca="1">INDEX(INDIRECT($O$10),ROW(K199),COLUMN(K199))</f>
        <v xml:space="preserve"> </v>
      </c>
      <c r="L199" s="27" t="str">
        <f ca="1">INDEX(INDIRECT($O$10),ROW(L199),COLUMN(L199))</f>
        <v xml:space="preserve"> </v>
      </c>
      <c r="M199" s="29" t="str">
        <f ca="1">INDEX(INDIRECT($O$10),ROW(M199),COLUMN(M199))</f>
        <v>argento</v>
      </c>
      <c r="N199" s="2" t="str">
        <f ca="1">IF(ISNUMBER($C199),codeEAN13(INT(C199/10)),"")</f>
        <v>8APASPA*aaaaae+</v>
      </c>
    </row>
    <row r="200" spans="1:14" ht="31.5" x14ac:dyDescent="0.45">
      <c r="A200" s="3" t="str">
        <f ca="1">INDEX(INDIRECT($O$10),ROW(A200),COLUMN(A200))</f>
        <v>'193</v>
      </c>
      <c r="B200" s="3">
        <f ca="1">INDEX(INDIRECT($O$10),ROW(B200),COLUMN(B200))</f>
        <v>167</v>
      </c>
      <c r="C200" s="5">
        <f ca="1">INDEX(INDIRECT($O$10),ROW(C200),COLUMN(C200))</f>
        <v>8050850000000</v>
      </c>
      <c r="D200" s="8" t="str">
        <f ca="1">INDEX(INDIRECT($O$10),ROW(D200),COLUMN(D200))</f>
        <v>OCLKD001-MESE6-061</v>
      </c>
      <c r="E200" s="12" t="str">
        <f ca="1">INDEX(INDIRECT($O$10),ROW(E200),COLUMN(E200))</f>
        <v>O CLOCK MECANISME GROOVE LUX</v>
      </c>
      <c r="F200" s="18" t="str">
        <f ca="1">INDEX(INDIRECT($O$10),ROW(F200),COLUMN(F200))</f>
        <v>UNICA</v>
      </c>
      <c r="G200" s="10">
        <f ca="1">INDEX(INDIRECT($O$10),ROW(G200),COLUMN(G200))</f>
        <v>3</v>
      </c>
      <c r="H200" s="20">
        <f ca="1">INDEX(INDIRECT($O$10),ROW(H200),COLUMN(H200))</f>
        <v>10</v>
      </c>
      <c r="I200" s="22">
        <f ca="1">INDEX(INDIRECT($O$10),ROW(I200),COLUMN(I200))</f>
        <v>30</v>
      </c>
      <c r="J200" s="14" t="str">
        <f ca="1">INDEX(INDIRECT($O$10),ROW(J200),COLUMN(J200))</f>
        <v xml:space="preserve"> </v>
      </c>
      <c r="K200" s="16" t="str">
        <f ca="1">INDEX(INDIRECT($O$10),ROW(K200),COLUMN(K200))</f>
        <v xml:space="preserve"> </v>
      </c>
      <c r="L200" s="27" t="str">
        <f ca="1">INDEX(INDIRECT($O$10),ROW(L200),COLUMN(L200))</f>
        <v xml:space="preserve"> </v>
      </c>
      <c r="M200" s="29" t="str">
        <f ca="1">INDEX(INDIRECT($O$10),ROW(M200),COLUMN(M200))</f>
        <v>oro</v>
      </c>
      <c r="N200" s="2" t="str">
        <f ca="1">IF(ISNUMBER($C200),codeEAN13(INT(C200/10)),"")</f>
        <v>8APASPA*aaaaae+</v>
      </c>
    </row>
    <row r="201" spans="1:14" ht="31.5" x14ac:dyDescent="0.45">
      <c r="A201" s="3" t="str">
        <f ca="1">INDEX(INDIRECT($O$10),ROW(A201),COLUMN(A201))</f>
        <v>'194</v>
      </c>
      <c r="B201" s="3">
        <f ca="1">INDEX(INDIRECT($O$10),ROW(B201),COLUMN(B201))</f>
        <v>22</v>
      </c>
      <c r="C201" s="5">
        <f ca="1">INDEX(INDIRECT($O$10),ROW(C201),COLUMN(C201))</f>
        <v>8050850000000</v>
      </c>
      <c r="D201" s="8" t="str">
        <f ca="1">INDEX(INDIRECT($O$10),ROW(D201),COLUMN(D201))</f>
        <v>OCLKD001-MESE7-055</v>
      </c>
      <c r="E201" s="12" t="str">
        <f ca="1">INDEX(INDIRECT($O$10),ROW(E201),COLUMN(E201))</f>
        <v>O CLOCK MECANISME GROOVE SOLEIL</v>
      </c>
      <c r="F201" s="18" t="str">
        <f ca="1">INDEX(INDIRECT($O$10),ROW(F201),COLUMN(F201))</f>
        <v>UNICA</v>
      </c>
      <c r="G201" s="10">
        <f ca="1">INDEX(INDIRECT($O$10),ROW(G201),COLUMN(G201))</f>
        <v>3</v>
      </c>
      <c r="H201" s="20">
        <f ca="1">INDEX(INDIRECT($O$10),ROW(H201),COLUMN(H201))</f>
        <v>8.52</v>
      </c>
      <c r="I201" s="22">
        <f ca="1">INDEX(INDIRECT($O$10),ROW(I201),COLUMN(I201))</f>
        <v>25.56</v>
      </c>
      <c r="J201" s="14" t="str">
        <f ca="1">INDEX(INDIRECT($O$10),ROW(J201),COLUMN(J201))</f>
        <v xml:space="preserve"> </v>
      </c>
      <c r="K201" s="16" t="str">
        <f ca="1">INDEX(INDIRECT($O$10),ROW(K201),COLUMN(K201))</f>
        <v xml:space="preserve"> </v>
      </c>
      <c r="L201" s="27" t="str">
        <f ca="1">INDEX(INDIRECT($O$10),ROW(L201),COLUMN(L201))</f>
        <v xml:space="preserve"> </v>
      </c>
      <c r="M201" s="29" t="str">
        <f ca="1">INDEX(INDIRECT($O$10),ROW(M201),COLUMN(M201))</f>
        <v>nero</v>
      </c>
      <c r="N201" s="2" t="str">
        <f ca="1">IF(ISNUMBER($C201),codeEAN13(INT(C201/10)),"")</f>
        <v>8APASPA*aaaaae+</v>
      </c>
    </row>
    <row r="202" spans="1:14" ht="31.5" x14ac:dyDescent="0.45">
      <c r="A202" s="3" t="str">
        <f ca="1">INDEX(INDIRECT($O$10),ROW(A202),COLUMN(A202))</f>
        <v>'195</v>
      </c>
      <c r="B202" s="3">
        <f ca="1">INDEX(INDIRECT($O$10),ROW(B202),COLUMN(B202))</f>
        <v>81</v>
      </c>
      <c r="C202" s="5">
        <f ca="1">INDEX(INDIRECT($O$10),ROW(C202),COLUMN(C202))</f>
        <v>8050850000000</v>
      </c>
      <c r="D202" s="8" t="str">
        <f ca="1">INDEX(INDIRECT($O$10),ROW(D202),COLUMN(D202))</f>
        <v>OCLKD001-MESE7-137</v>
      </c>
      <c r="E202" s="12" t="str">
        <f ca="1">INDEX(INDIRECT($O$10),ROW(E202),COLUMN(E202))</f>
        <v>O CLOCK MECANISME GROOVE SOLEIL</v>
      </c>
      <c r="F202" s="18" t="str">
        <f ca="1">INDEX(INDIRECT($O$10),ROW(F202),COLUMN(F202))</f>
        <v>UNICA</v>
      </c>
      <c r="G202" s="10">
        <f ca="1">INDEX(INDIRECT($O$10),ROW(G202),COLUMN(G202))</f>
        <v>3</v>
      </c>
      <c r="H202" s="20">
        <f ca="1">INDEX(INDIRECT($O$10),ROW(H202),COLUMN(H202))</f>
        <v>8.52</v>
      </c>
      <c r="I202" s="22">
        <f ca="1">INDEX(INDIRECT($O$10),ROW(I202),COLUMN(I202))</f>
        <v>25.56</v>
      </c>
      <c r="J202" s="14" t="str">
        <f ca="1">INDEX(INDIRECT($O$10),ROW(J202),COLUMN(J202))</f>
        <v xml:space="preserve"> </v>
      </c>
      <c r="K202" s="16" t="str">
        <f ca="1">INDEX(INDIRECT($O$10),ROW(K202),COLUMN(K202))</f>
        <v xml:space="preserve"> </v>
      </c>
      <c r="L202" s="27" t="str">
        <f ca="1">INDEX(INDIRECT($O$10),ROW(L202),COLUMN(L202))</f>
        <v xml:space="preserve"> </v>
      </c>
      <c r="M202" s="29" t="str">
        <f ca="1">INDEX(INDIRECT($O$10),ROW(M202),COLUMN(M202))</f>
        <v>bluette</v>
      </c>
      <c r="N202" s="2" t="str">
        <f ca="1">IF(ISNUMBER($C202),codeEAN13(INT(C202/10)),"")</f>
        <v>8APASPA*aaaaae+</v>
      </c>
    </row>
    <row r="203" spans="1:14" ht="31.5" x14ac:dyDescent="0.45">
      <c r="A203" s="3" t="str">
        <f ca="1">INDEX(INDIRECT($O$10),ROW(A203),COLUMN(A203))</f>
        <v>'196</v>
      </c>
      <c r="B203" s="3">
        <f ca="1">INDEX(INDIRECT($O$10),ROW(B203),COLUMN(B203))</f>
        <v>147</v>
      </c>
      <c r="C203" s="5">
        <f ca="1">INDEX(INDIRECT($O$10),ROW(C203),COLUMN(C203))</f>
        <v>8050850000000</v>
      </c>
      <c r="D203" s="8" t="str">
        <f ca="1">INDEX(INDIRECT($O$10),ROW(D203),COLUMN(D203))</f>
        <v>OCLKD001-MESE9-008</v>
      </c>
      <c r="E203" s="12" t="str">
        <f ca="1">INDEX(INDIRECT($O$10),ROW(E203),COLUMN(E203))</f>
        <v>O CLOCK MECANISME INDEX MIRROR</v>
      </c>
      <c r="F203" s="18" t="str">
        <f ca="1">INDEX(INDIRECT($O$10),ROW(F203),COLUMN(F203))</f>
        <v>UNICA</v>
      </c>
      <c r="G203" s="10">
        <f ca="1">INDEX(INDIRECT($O$10),ROW(G203),COLUMN(G203))</f>
        <v>3</v>
      </c>
      <c r="H203" s="20">
        <f ca="1">INDEX(INDIRECT($O$10),ROW(H203),COLUMN(H203))</f>
        <v>8.52</v>
      </c>
      <c r="I203" s="22">
        <f ca="1">INDEX(INDIRECT($O$10),ROW(I203),COLUMN(I203))</f>
        <v>25.56</v>
      </c>
      <c r="J203" s="14" t="str">
        <f ca="1">INDEX(INDIRECT($O$10),ROW(J203),COLUMN(J203))</f>
        <v xml:space="preserve"> </v>
      </c>
      <c r="K203" s="16" t="str">
        <f ca="1">INDEX(INDIRECT($O$10),ROW(K203),COLUMN(K203))</f>
        <v xml:space="preserve"> </v>
      </c>
      <c r="L203" s="27" t="str">
        <f ca="1">INDEX(INDIRECT($O$10),ROW(L203),COLUMN(L203))</f>
        <v xml:space="preserve"> </v>
      </c>
      <c r="M203" s="29" t="str">
        <f ca="1">INDEX(INDIRECT($O$10),ROW(M203),COLUMN(M203))</f>
        <v>bianco</v>
      </c>
      <c r="N203" s="2" t="str">
        <f ca="1">IF(ISNUMBER($C203),codeEAN13(INT(C203/10)),"")</f>
        <v>8APASPA*aaaaae+</v>
      </c>
    </row>
    <row r="204" spans="1:14" ht="31.5" x14ac:dyDescent="0.45">
      <c r="A204" s="3" t="str">
        <f ca="1">INDEX(INDIRECT($O$10),ROW(A204),COLUMN(A204))</f>
        <v>'197</v>
      </c>
      <c r="B204" s="3">
        <f ca="1">INDEX(INDIRECT($O$10),ROW(B204),COLUMN(B204))</f>
        <v>207</v>
      </c>
      <c r="C204" s="5">
        <f ca="1">INDEX(INDIRECT($O$10),ROW(C204),COLUMN(C204))</f>
        <v>8050850000000</v>
      </c>
      <c r="D204" s="8" t="str">
        <f ca="1">INDEX(INDIRECT($O$10),ROW(D204),COLUMN(D204))</f>
        <v>OCLKD001-MESE9-055</v>
      </c>
      <c r="E204" s="12" t="str">
        <f ca="1">INDEX(INDIRECT($O$10),ROW(E204),COLUMN(E204))</f>
        <v>O CLOCK MECANISME INDEX MIRROR</v>
      </c>
      <c r="F204" s="18" t="str">
        <f ca="1">INDEX(INDIRECT($O$10),ROW(F204),COLUMN(F204))</f>
        <v>UNICA</v>
      </c>
      <c r="G204" s="10">
        <f ca="1">INDEX(INDIRECT($O$10),ROW(G204),COLUMN(G204))</f>
        <v>3</v>
      </c>
      <c r="H204" s="20">
        <f ca="1">INDEX(INDIRECT($O$10),ROW(H204),COLUMN(H204))</f>
        <v>8.52</v>
      </c>
      <c r="I204" s="22">
        <f ca="1">INDEX(INDIRECT($O$10),ROW(I204),COLUMN(I204))</f>
        <v>25.56</v>
      </c>
      <c r="J204" s="14" t="str">
        <f ca="1">INDEX(INDIRECT($O$10),ROW(J204),COLUMN(J204))</f>
        <v xml:space="preserve"> </v>
      </c>
      <c r="K204" s="16" t="str">
        <f ca="1">INDEX(INDIRECT($O$10),ROW(K204),COLUMN(K204))</f>
        <v xml:space="preserve"> </v>
      </c>
      <c r="L204" s="27" t="str">
        <f ca="1">INDEX(INDIRECT($O$10),ROW(L204),COLUMN(L204))</f>
        <v xml:space="preserve"> </v>
      </c>
      <c r="M204" s="29" t="str">
        <f ca="1">INDEX(INDIRECT($O$10),ROW(M204),COLUMN(M204))</f>
        <v>nero</v>
      </c>
      <c r="N204" s="2" t="str">
        <f ca="1">IF(ISNUMBER($C204),codeEAN13(INT(C204/10)),"")</f>
        <v>8APASPA*aaaaae+</v>
      </c>
    </row>
    <row r="205" spans="1:14" ht="31.5" x14ac:dyDescent="0.45">
      <c r="A205" s="3" t="str">
        <f ca="1">INDEX(INDIRECT($O$10),ROW(A205),COLUMN(A205))</f>
        <v>'198</v>
      </c>
      <c r="B205" s="3">
        <f ca="1">INDEX(INDIRECT($O$10),ROW(B205),COLUMN(B205))</f>
        <v>36</v>
      </c>
      <c r="C205" s="5">
        <f ca="1">INDEX(INDIRECT($O$10),ROW(C205),COLUMN(C205))</f>
        <v>8050850000000</v>
      </c>
      <c r="D205" s="8" t="str">
        <f ca="1">INDEX(INDIRECT($O$10),ROW(D205),COLUMN(D205))</f>
        <v>OCLKD001-MESF2-055</v>
      </c>
      <c r="E205" s="12" t="str">
        <f ca="1">INDEX(INDIRECT($O$10),ROW(E205),COLUMN(E205))</f>
        <v>O CLOCK MECANISME ACTIVE</v>
      </c>
      <c r="F205" s="18" t="str">
        <f ca="1">INDEX(INDIRECT($O$10),ROW(F205),COLUMN(F205))</f>
        <v>UNICA</v>
      </c>
      <c r="G205" s="10">
        <f ca="1">INDEX(INDIRECT($O$10),ROW(G205),COLUMN(G205))</f>
        <v>3</v>
      </c>
      <c r="H205" s="20">
        <f ca="1">INDEX(INDIRECT($O$10),ROW(H205),COLUMN(H205))</f>
        <v>11.85</v>
      </c>
      <c r="I205" s="22">
        <f ca="1">INDEX(INDIRECT($O$10),ROW(I205),COLUMN(I205))</f>
        <v>35.549999999999997</v>
      </c>
      <c r="J205" s="14" t="str">
        <f ca="1">INDEX(INDIRECT($O$10),ROW(J205),COLUMN(J205))</f>
        <v xml:space="preserve"> </v>
      </c>
      <c r="K205" s="16" t="str">
        <f ca="1">INDEX(INDIRECT($O$10),ROW(K205),COLUMN(K205))</f>
        <v xml:space="preserve"> </v>
      </c>
      <c r="L205" s="27" t="str">
        <f ca="1">INDEX(INDIRECT($O$10),ROW(L205),COLUMN(L205))</f>
        <v xml:space="preserve"> </v>
      </c>
      <c r="M205" s="29" t="str">
        <f ca="1">INDEX(INDIRECT($O$10),ROW(M205),COLUMN(M205))</f>
        <v>nero</v>
      </c>
      <c r="N205" s="2" t="str">
        <f ca="1">IF(ISNUMBER($C205),codeEAN13(INT(C205/10)),"")</f>
        <v>8APASPA*aaaaae+</v>
      </c>
    </row>
    <row r="206" spans="1:14" ht="31.5" x14ac:dyDescent="0.45">
      <c r="A206" s="3" t="str">
        <f ca="1">INDEX(INDIRECT($O$10),ROW(A206),COLUMN(A206))</f>
        <v>'199</v>
      </c>
      <c r="B206" s="3">
        <f ca="1">INDEX(INDIRECT($O$10),ROW(B206),COLUMN(B206))</f>
        <v>23</v>
      </c>
      <c r="C206" s="5">
        <f ca="1">INDEX(INDIRECT($O$10),ROW(C206),COLUMN(C206))</f>
        <v>8050850000000</v>
      </c>
      <c r="D206" s="8" t="str">
        <f ca="1">INDEX(INDIRECT($O$10),ROW(D206),COLUMN(D206))</f>
        <v>OCLKD001-MESF2-137</v>
      </c>
      <c r="E206" s="12" t="str">
        <f ca="1">INDEX(INDIRECT($O$10),ROW(E206),COLUMN(E206))</f>
        <v>O CLOCK MECANISME ACTIVE</v>
      </c>
      <c r="F206" s="18" t="str">
        <f ca="1">INDEX(INDIRECT($O$10),ROW(F206),COLUMN(F206))</f>
        <v>UNICA</v>
      </c>
      <c r="G206" s="10">
        <f ca="1">INDEX(INDIRECT($O$10),ROW(G206),COLUMN(G206))</f>
        <v>3</v>
      </c>
      <c r="H206" s="20">
        <f ca="1">INDEX(INDIRECT($O$10),ROW(H206),COLUMN(H206))</f>
        <v>11.85</v>
      </c>
      <c r="I206" s="22">
        <f ca="1">INDEX(INDIRECT($O$10),ROW(I206),COLUMN(I206))</f>
        <v>35.549999999999997</v>
      </c>
      <c r="J206" s="14" t="str">
        <f ca="1">INDEX(INDIRECT($O$10),ROW(J206),COLUMN(J206))</f>
        <v xml:space="preserve"> </v>
      </c>
      <c r="K206" s="16" t="str">
        <f ca="1">INDEX(INDIRECT($O$10),ROW(K206),COLUMN(K206))</f>
        <v xml:space="preserve"> </v>
      </c>
      <c r="L206" s="27" t="str">
        <f ca="1">INDEX(INDIRECT($O$10),ROW(L206),COLUMN(L206))</f>
        <v xml:space="preserve"> </v>
      </c>
      <c r="M206" s="29" t="str">
        <f ca="1">INDEX(INDIRECT($O$10),ROW(M206),COLUMN(M206))</f>
        <v>bluette</v>
      </c>
      <c r="N206" s="2" t="str">
        <f ca="1">IF(ISNUMBER($C206),codeEAN13(INT(C206/10)),"")</f>
        <v>8APASPA*aaaaae+</v>
      </c>
    </row>
    <row r="207" spans="1:14" ht="31.5" x14ac:dyDescent="0.45">
      <c r="A207" s="3" t="str">
        <f ca="1">INDEX(INDIRECT($O$10),ROW(A207),COLUMN(A207))</f>
        <v>'200</v>
      </c>
      <c r="B207" s="3">
        <f ca="1">INDEX(INDIRECT($O$10),ROW(B207),COLUMN(B207))</f>
        <v>158</v>
      </c>
      <c r="C207" s="5" t="str">
        <f ca="1">INDEX(INDIRECT($O$10),ROW(C207),COLUMN(C207))</f>
        <v>CodeBarre</v>
      </c>
      <c r="D207" s="8" t="str">
        <f ca="1">INDEX(INDIRECT($O$10),ROW(D207),COLUMN(D207))</f>
        <v>OCLKD001-MESF2-615</v>
      </c>
      <c r="E207" s="12" t="str">
        <f ca="1">INDEX(INDIRECT($O$10),ROW(E207),COLUMN(E207))</f>
        <v>O CLOCK MECANISME ACTIVE</v>
      </c>
      <c r="F207" s="18" t="str">
        <f ca="1">INDEX(INDIRECT($O$10),ROW(F207),COLUMN(F207))</f>
        <v>UNICA</v>
      </c>
      <c r="G207" s="10">
        <f ca="1">INDEX(INDIRECT($O$10),ROW(G207),COLUMN(G207))</f>
        <v>3</v>
      </c>
      <c r="H207" s="20">
        <f ca="1">INDEX(INDIRECT($O$10),ROW(H207),COLUMN(H207))</f>
        <v>11.85</v>
      </c>
      <c r="I207" s="22">
        <f ca="1">INDEX(INDIRECT($O$10),ROW(I207),COLUMN(I207))</f>
        <v>35.549999999999997</v>
      </c>
      <c r="J207" s="14" t="str">
        <f ca="1">INDEX(INDIRECT($O$10),ROW(J207),COLUMN(J207))</f>
        <v>CodeBarre</v>
      </c>
      <c r="K207" s="16" t="str">
        <f ca="1">INDEX(INDIRECT($O$10),ROW(K207),COLUMN(K207))</f>
        <v>CodeBarre</v>
      </c>
      <c r="L207" s="27" t="str">
        <f ca="1">INDEX(INDIRECT($O$10),ROW(L207),COLUMN(L207))</f>
        <v>CodeBarre</v>
      </c>
      <c r="M207" s="29" t="str">
        <f ca="1">INDEX(INDIRECT($O$10),ROW(M207),COLUMN(M207))</f>
        <v>CodeBarre</v>
      </c>
      <c r="N207" s="2" t="str">
        <f ca="1">IF(ISNUMBER($C207),codeEAN13(INT(C207/10)),"")</f>
        <v/>
      </c>
    </row>
    <row r="208" spans="1:14" ht="31.5" x14ac:dyDescent="0.45">
      <c r="A208" s="3" t="str">
        <f ca="1">INDEX(INDIRECT($O$10),ROW(A208),COLUMN(A208))</f>
        <v>'201</v>
      </c>
      <c r="B208" s="3">
        <f ca="1">INDEX(INDIRECT($O$10),ROW(B208),COLUMN(B208))</f>
        <v>96</v>
      </c>
      <c r="C208" s="5">
        <f ca="1">INDEX(INDIRECT($O$10),ROW(C208),COLUMN(C208))</f>
        <v>8050850000000</v>
      </c>
      <c r="D208" s="8" t="str">
        <f ca="1">INDEX(INDIRECT($O$10),ROW(D208),COLUMN(D208))</f>
        <v>OCLKD101-MESE4-004</v>
      </c>
      <c r="E208" s="12" t="str">
        <f ca="1">INDEX(INDIRECT($O$10),ROW(E208),COLUMN(E208))</f>
        <v>O CLOCK MECANISME GREAT CIRCLE MOTHER OF PEARL</v>
      </c>
      <c r="F208" s="18" t="str">
        <f ca="1">INDEX(INDIRECT($O$10),ROW(F208),COLUMN(F208))</f>
        <v>UNICA</v>
      </c>
      <c r="G208" s="10">
        <f ca="1">INDEX(INDIRECT($O$10),ROW(G208),COLUMN(G208))</f>
        <v>3</v>
      </c>
      <c r="H208" s="20">
        <f ca="1">INDEX(INDIRECT($O$10),ROW(H208),COLUMN(H208))</f>
        <v>9.6300000000000008</v>
      </c>
      <c r="I208" s="22">
        <f ca="1">INDEX(INDIRECT($O$10),ROW(I208),COLUMN(I208))</f>
        <v>28.89</v>
      </c>
      <c r="J208" s="14" t="str">
        <f ca="1">INDEX(INDIRECT($O$10),ROW(J208),COLUMN(J208))</f>
        <v xml:space="preserve"> </v>
      </c>
      <c r="K208" s="16" t="str">
        <f ca="1">INDEX(INDIRECT($O$10),ROW(K208),COLUMN(K208))</f>
        <v xml:space="preserve"> </v>
      </c>
      <c r="L208" s="27" t="str">
        <f ca="1">INDEX(INDIRECT($O$10),ROW(L208),COLUMN(L208))</f>
        <v xml:space="preserve"> </v>
      </c>
      <c r="M208" s="29" t="str">
        <f ca="1">INDEX(INDIRECT($O$10),ROW(M208),COLUMN(M208))</f>
        <v>argento</v>
      </c>
      <c r="N208" s="2" t="str">
        <f ca="1">IF(ISNUMBER($C208),codeEAN13(INT(C208/10)),"")</f>
        <v>8APASPA*aaaaae+</v>
      </c>
    </row>
    <row r="209" spans="1:14" ht="31.5" x14ac:dyDescent="0.45">
      <c r="A209" s="3" t="str">
        <f ca="1">INDEX(INDIRECT($O$10),ROW(A209),COLUMN(A209))</f>
        <v>'202</v>
      </c>
      <c r="B209" s="3">
        <f ca="1">INDEX(INDIRECT($O$10),ROW(B209),COLUMN(B209))</f>
        <v>187</v>
      </c>
      <c r="C209" s="5">
        <f ca="1">INDEX(INDIRECT($O$10),ROW(C209),COLUMN(C209))</f>
        <v>8050850000000</v>
      </c>
      <c r="D209" s="8" t="str">
        <f ca="1">INDEX(INDIRECT($O$10),ROW(D209),COLUMN(D209))</f>
        <v>SHOUB801-ECSC4-055</v>
      </c>
      <c r="E209" s="12" t="str">
        <f ca="1">INDEX(INDIRECT($O$10),ROW(E209),COLUMN(E209))</f>
        <v>BANDOULIÃˆRE COURTE AVEC BOUCLE + CLIP EN FAUX CUIR EFFET GRIFFE + CLOUS</v>
      </c>
      <c r="F209" s="18" t="str">
        <f ca="1">INDEX(INDIRECT($O$10),ROW(F209),COLUMN(F209))</f>
        <v>UNICA</v>
      </c>
      <c r="G209" s="10">
        <f ca="1">INDEX(INDIRECT($O$10),ROW(G209),COLUMN(G209))</f>
        <v>4</v>
      </c>
      <c r="H209" s="20">
        <f ca="1">INDEX(INDIRECT($O$10),ROW(H209),COLUMN(H209))</f>
        <v>16.670000000000002</v>
      </c>
      <c r="I209" s="22">
        <f ca="1">INDEX(INDIRECT($O$10),ROW(I209),COLUMN(I209))</f>
        <v>66.680000000000007</v>
      </c>
      <c r="J209" s="14" t="str">
        <f ca="1">INDEX(INDIRECT($O$10),ROW(J209),COLUMN(J209))</f>
        <v xml:space="preserve"> </v>
      </c>
      <c r="K209" s="16" t="str">
        <f ca="1">INDEX(INDIRECT($O$10),ROW(K209),COLUMN(K209))</f>
        <v xml:space="preserve"> </v>
      </c>
      <c r="L209" s="27" t="str">
        <f ca="1">INDEX(INDIRECT($O$10),ROW(L209),COLUMN(L209))</f>
        <v xml:space="preserve"> </v>
      </c>
      <c r="M209" s="29" t="str">
        <f ca="1">INDEX(INDIRECT($O$10),ROW(M209),COLUMN(M209))</f>
        <v>nero</v>
      </c>
      <c r="N209" s="2" t="str">
        <f ca="1">IF(ISNUMBER($C209),codeEAN13(INT(C209/10)),"")</f>
        <v>8APASPA*aaaaae+</v>
      </c>
    </row>
    <row r="210" spans="1:14" ht="31.5" x14ac:dyDescent="0.45">
      <c r="A210" s="3" t="str">
        <f ca="1">INDEX(INDIRECT($O$10),ROW(A210),COLUMN(A210))</f>
        <v>'203</v>
      </c>
      <c r="B210" s="3">
        <f ca="1">INDEX(INDIRECT($O$10),ROW(B210),COLUMN(B210))</f>
        <v>92</v>
      </c>
      <c r="C210" s="5">
        <f ca="1">INDEX(INDIRECT($O$10),ROW(C210),COLUMN(C210))</f>
        <v>8050850000000</v>
      </c>
      <c r="D210" s="8" t="str">
        <f ca="1">INDEX(INDIRECT($O$10),ROW(D210),COLUMN(D210))</f>
        <v>SHOUB801-ECSC4-371</v>
      </c>
      <c r="E210" s="12" t="str">
        <f ca="1">INDEX(INDIRECT($O$10),ROW(E210),COLUMN(E210))</f>
        <v>BANDOULIÃˆRE COURTE AVEC BOUCLE + CLIP EN FAUX CUIR EFFET GRIFFE + CLOUS</v>
      </c>
      <c r="F210" s="18" t="str">
        <f ca="1">INDEX(INDIRECT($O$10),ROW(F210),COLUMN(F210))</f>
        <v>UNICA</v>
      </c>
      <c r="G210" s="10">
        <f ca="1">INDEX(INDIRECT($O$10),ROW(G210),COLUMN(G210))</f>
        <v>4</v>
      </c>
      <c r="H210" s="20">
        <f ca="1">INDEX(INDIRECT($O$10),ROW(H210),COLUMN(H210))</f>
        <v>16.670000000000002</v>
      </c>
      <c r="I210" s="22">
        <f ca="1">INDEX(INDIRECT($O$10),ROW(I210),COLUMN(I210))</f>
        <v>66.680000000000007</v>
      </c>
      <c r="J210" s="14" t="str">
        <f ca="1">INDEX(INDIRECT($O$10),ROW(J210),COLUMN(J210))</f>
        <v xml:space="preserve"> </v>
      </c>
      <c r="K210" s="16" t="str">
        <f ca="1">INDEX(INDIRECT($O$10),ROW(K210),COLUMN(K210))</f>
        <v xml:space="preserve"> </v>
      </c>
      <c r="L210" s="27" t="str">
        <f ca="1">INDEX(INDIRECT($O$10),ROW(L210),COLUMN(L210))</f>
        <v xml:space="preserve"> </v>
      </c>
      <c r="M210" s="29" t="str">
        <f ca="1">INDEX(INDIRECT($O$10),ROW(M210),COLUMN(M210))</f>
        <v>latte</v>
      </c>
      <c r="N210" s="2" t="str">
        <f ca="1">IF(ISNUMBER($C210),codeEAN13(INT(C210/10)),"")</f>
        <v>8APASPA*aaaaae+</v>
      </c>
    </row>
    <row r="211" spans="1:14" ht="31.5" x14ac:dyDescent="0.45">
      <c r="A211" s="3" t="str">
        <f ca="1">INDEX(INDIRECT($O$10),ROW(A211),COLUMN(A211))</f>
        <v>'204</v>
      </c>
      <c r="B211" s="3">
        <f ca="1">INDEX(INDIRECT($O$10),ROW(B211),COLUMN(B211))</f>
        <v>196</v>
      </c>
      <c r="C211" s="5">
        <f ca="1">INDEX(INDIRECT($O$10),ROW(C211),COLUMN(C211))</f>
        <v>8050850000000</v>
      </c>
      <c r="D211" s="8" t="str">
        <f ca="1">INDEX(INDIRECT($O$10),ROW(D211),COLUMN(D211))</f>
        <v>SHOUBG00-ECS00-055</v>
      </c>
      <c r="E211" s="12" t="str">
        <f ca="1">INDEX(INDIRECT($O$10),ROW(E211),COLUMN(E211))</f>
        <v>BANDOULIÃˆRE/BRETELLE SLIM 140 EN FAUX CUIR</v>
      </c>
      <c r="F211" s="18" t="str">
        <f ca="1">INDEX(INDIRECT($O$10),ROW(F211),COLUMN(F211))</f>
        <v>UNICA</v>
      </c>
      <c r="G211" s="10">
        <f ca="1">INDEX(INDIRECT($O$10),ROW(G211),COLUMN(G211))</f>
        <v>2</v>
      </c>
      <c r="H211" s="20">
        <f ca="1">INDEX(INDIRECT($O$10),ROW(H211),COLUMN(H211))</f>
        <v>7.8</v>
      </c>
      <c r="I211" s="22">
        <f ca="1">INDEX(INDIRECT($O$10),ROW(I211),COLUMN(I211))</f>
        <v>15.6</v>
      </c>
      <c r="J211" s="14" t="str">
        <f ca="1">INDEX(INDIRECT($O$10),ROW(J211),COLUMN(J211))</f>
        <v xml:space="preserve">BANDOULIERE     </v>
      </c>
      <c r="K211" s="16" t="str">
        <f ca="1">INDEX(INDIRECT($O$10),ROW(K211),COLUMN(K211))</f>
        <v>BLACK</v>
      </c>
      <c r="L211" s="27">
        <f ca="1">INDEX(INDIRECT($O$10),ROW(L211),COLUMN(L211))</f>
        <v>0</v>
      </c>
      <c r="M211" s="29" t="str">
        <f ca="1">INDEX(INDIRECT($O$10),ROW(M211),COLUMN(M211))</f>
        <v>nero</v>
      </c>
      <c r="N211" s="2" t="str">
        <f ca="1">IF(ISNUMBER($C211),codeEAN13(INT(C211/10)),"")</f>
        <v>8APASPA*aaaaae+</v>
      </c>
    </row>
    <row r="212" spans="1:14" ht="31.5" x14ac:dyDescent="0.45">
      <c r="A212" s="3" t="str">
        <f ca="1">INDEX(INDIRECT($O$10),ROW(A212),COLUMN(A212))</f>
        <v>'205</v>
      </c>
      <c r="B212" s="3">
        <f ca="1">INDEX(INDIRECT($O$10),ROW(B212),COLUMN(B212))</f>
        <v>192</v>
      </c>
      <c r="C212" s="5">
        <f ca="1">INDEX(INDIRECT($O$10),ROW(C212),COLUMN(C212))</f>
        <v>8050850000000</v>
      </c>
      <c r="D212" s="8" t="str">
        <f ca="1">INDEX(INDIRECT($O$10),ROW(D212),COLUMN(D212))</f>
        <v>SHOUG801-ECSC4-055</v>
      </c>
      <c r="E212" s="12" t="str">
        <f ca="1">INDEX(INDIRECT($O$10),ROW(E212),COLUMN(E212))</f>
        <v>BANDOULIÃˆRE 80 + CLIP EN FAUX CUIR EFFET GRIFFE + CLOUS</v>
      </c>
      <c r="F212" s="18" t="str">
        <f ca="1">INDEX(INDIRECT($O$10),ROW(F212),COLUMN(F212))</f>
        <v>UNICA</v>
      </c>
      <c r="G212" s="10">
        <f ca="1">INDEX(INDIRECT($O$10),ROW(G212),COLUMN(G212))</f>
        <v>4</v>
      </c>
      <c r="H212" s="20">
        <f ca="1">INDEX(INDIRECT($O$10),ROW(H212),COLUMN(H212))</f>
        <v>20</v>
      </c>
      <c r="I212" s="22">
        <f ca="1">INDEX(INDIRECT($O$10),ROW(I212),COLUMN(I212))</f>
        <v>80</v>
      </c>
      <c r="J212" s="14" t="str">
        <f ca="1">INDEX(INDIRECT($O$10),ROW(J212),COLUMN(J212))</f>
        <v xml:space="preserve"> </v>
      </c>
      <c r="K212" s="16" t="str">
        <f ca="1">INDEX(INDIRECT($O$10),ROW(K212),COLUMN(K212))</f>
        <v xml:space="preserve"> </v>
      </c>
      <c r="L212" s="27" t="str">
        <f ca="1">INDEX(INDIRECT($O$10),ROW(L212),COLUMN(L212))</f>
        <v xml:space="preserve"> </v>
      </c>
      <c r="M212" s="29" t="str">
        <f ca="1">INDEX(INDIRECT($O$10),ROW(M212),COLUMN(M212))</f>
        <v>nero</v>
      </c>
      <c r="N212" s="2" t="str">
        <f ca="1">IF(ISNUMBER($C212),codeEAN13(INT(C212/10)),"")</f>
        <v>8APASPA*aaaaae+</v>
      </c>
    </row>
    <row r="213" spans="1:14" ht="31.5" x14ac:dyDescent="0.45">
      <c r="A213" s="3" t="str">
        <f ca="1">INDEX(INDIRECT($O$10),ROW(A213),COLUMN(A213))</f>
        <v>'206</v>
      </c>
      <c r="B213" s="3">
        <f ca="1">INDEX(INDIRECT($O$10),ROW(B213),COLUMN(B213))</f>
        <v>24</v>
      </c>
      <c r="C213" s="5">
        <f ca="1">INDEX(INDIRECT($O$10),ROW(C213),COLUMN(C213))</f>
        <v>8050850000000</v>
      </c>
      <c r="D213" s="8" t="str">
        <f ca="1">INDEX(INDIRECT($O$10),ROW(D213),COLUMN(D213))</f>
        <v>SHOUGC01-ECSD7-227</v>
      </c>
      <c r="E213" s="12" t="str">
        <f ca="1">INDEX(INDIRECT($O$10),ROW(E213),COLUMN(E213))</f>
        <v>BANDOULIÃˆRE AJOUREE COURTE + CLIP EN FAUX CUIR BICOLORE</v>
      </c>
      <c r="F213" s="18" t="str">
        <f ca="1">INDEX(INDIRECT($O$10),ROW(F213),COLUMN(F213))</f>
        <v>UNICA</v>
      </c>
      <c r="G213" s="10">
        <f ca="1">INDEX(INDIRECT($O$10),ROW(G213),COLUMN(G213))</f>
        <v>2</v>
      </c>
      <c r="H213" s="20">
        <f ca="1">INDEX(INDIRECT($O$10),ROW(H213),COLUMN(H213))</f>
        <v>12.59</v>
      </c>
      <c r="I213" s="22">
        <f ca="1">INDEX(INDIRECT($O$10),ROW(I213),COLUMN(I213))</f>
        <v>25.18</v>
      </c>
      <c r="J213" s="14" t="str">
        <f ca="1">INDEX(INDIRECT($O$10),ROW(J213),COLUMN(J213))</f>
        <v xml:space="preserve"> </v>
      </c>
      <c r="K213" s="16" t="str">
        <f ca="1">INDEX(INDIRECT($O$10),ROW(K213),COLUMN(K213))</f>
        <v xml:space="preserve"> </v>
      </c>
      <c r="L213" s="27" t="str">
        <f ca="1">INDEX(INDIRECT($O$10),ROW(L213),COLUMN(L213))</f>
        <v xml:space="preserve"> </v>
      </c>
      <c r="M213" s="29" t="str">
        <f ca="1">INDEX(INDIRECT($O$10),ROW(M213),COLUMN(M213))</f>
        <v>bianco/nero</v>
      </c>
      <c r="N213" s="2" t="str">
        <f ca="1">IF(ISNUMBER($C213),codeEAN13(INT(C213/10)),"")</f>
        <v>8APASPA*aaaaae+</v>
      </c>
    </row>
    <row r="214" spans="1:14" ht="31.5" x14ac:dyDescent="0.45">
      <c r="A214" s="3" t="str">
        <f ca="1">INDEX(INDIRECT($O$10),ROW(A214),COLUMN(A214))</f>
        <v>'207</v>
      </c>
      <c r="B214" s="3">
        <f ca="1">INDEX(INDIRECT($O$10),ROW(B214),COLUMN(B214))</f>
        <v>131</v>
      </c>
      <c r="C214" s="5">
        <f ca="1">INDEX(INDIRECT($O$10),ROW(C214),COLUMN(C214))</f>
        <v>8050850000000</v>
      </c>
      <c r="D214" s="8" t="str">
        <f ca="1">INDEX(INDIRECT($O$10),ROW(D214),COLUMN(D214))</f>
        <v>SHOUGC01-ECSD7-622</v>
      </c>
      <c r="E214" s="12" t="str">
        <f ca="1">INDEX(INDIRECT($O$10),ROW(E214),COLUMN(E214))</f>
        <v>BANDOULIÃˆRE AJOUREE COURTE + CLIP EN FAUX CUIR BICOLORE</v>
      </c>
      <c r="F214" s="18" t="str">
        <f ca="1">INDEX(INDIRECT($O$10),ROW(F214),COLUMN(F214))</f>
        <v>UNICA</v>
      </c>
      <c r="G214" s="10">
        <f ca="1">INDEX(INDIRECT($O$10),ROW(G214),COLUMN(G214))</f>
        <v>2</v>
      </c>
      <c r="H214" s="20">
        <f ca="1">INDEX(INDIRECT($O$10),ROW(H214),COLUMN(H214))</f>
        <v>12.59</v>
      </c>
      <c r="I214" s="22">
        <f ca="1">INDEX(INDIRECT($O$10),ROW(I214),COLUMN(I214))</f>
        <v>25.18</v>
      </c>
      <c r="J214" s="14" t="str">
        <f ca="1">INDEX(INDIRECT($O$10),ROW(J214),COLUMN(J214))</f>
        <v xml:space="preserve"> </v>
      </c>
      <c r="K214" s="16" t="str">
        <f ca="1">INDEX(INDIRECT($O$10),ROW(K214),COLUMN(K214))</f>
        <v xml:space="preserve"> </v>
      </c>
      <c r="L214" s="27" t="str">
        <f ca="1">INDEX(INDIRECT($O$10),ROW(L214),COLUMN(L214))</f>
        <v xml:space="preserve"> </v>
      </c>
      <c r="M214" s="29" t="str">
        <f ca="1">INDEX(INDIRECT($O$10),ROW(M214),COLUMN(M214))</f>
        <v>military/phard</v>
      </c>
      <c r="N214" s="2" t="str">
        <f ca="1">IF(ISNUMBER($C214),codeEAN13(INT(C214/10)),"")</f>
        <v>8APASPA*aaaaae+</v>
      </c>
    </row>
    <row r="215" spans="1:14" ht="31.5" x14ac:dyDescent="0.45">
      <c r="A215" s="3" t="str">
        <f ca="1">INDEX(INDIRECT($O$10),ROW(A215),COLUMN(A215))</f>
        <v>'208</v>
      </c>
      <c r="B215" s="3">
        <f ca="1">INDEX(INDIRECT($O$10),ROW(B215),COLUMN(B215))</f>
        <v>29</v>
      </c>
      <c r="C215" s="5">
        <f ca="1">INDEX(INDIRECT($O$10),ROW(C215),COLUMN(C215))</f>
        <v>8050850000000</v>
      </c>
      <c r="D215" s="8" t="str">
        <f ca="1">INDEX(INDIRECT($O$10),ROW(D215),COLUMN(D215))</f>
        <v>SHOUGC01-ECSD7-623</v>
      </c>
      <c r="E215" s="12" t="str">
        <f ca="1">INDEX(INDIRECT($O$10),ROW(E215),COLUMN(E215))</f>
        <v>BANDOULIÃˆRE AJOUREE COURTE + CLIP EN FAUX CUIR BICOLORE</v>
      </c>
      <c r="F215" s="18" t="str">
        <f ca="1">INDEX(INDIRECT($O$10),ROW(F215),COLUMN(F215))</f>
        <v>UNICA</v>
      </c>
      <c r="G215" s="10">
        <f ca="1">INDEX(INDIRECT($O$10),ROW(G215),COLUMN(G215))</f>
        <v>2</v>
      </c>
      <c r="H215" s="20">
        <f ca="1">INDEX(INDIRECT($O$10),ROW(H215),COLUMN(H215))</f>
        <v>12.59</v>
      </c>
      <c r="I215" s="22">
        <f ca="1">INDEX(INDIRECT($O$10),ROW(I215),COLUMN(I215))</f>
        <v>25.18</v>
      </c>
      <c r="J215" s="14" t="str">
        <f ca="1">INDEX(INDIRECT($O$10),ROW(J215),COLUMN(J215))</f>
        <v xml:space="preserve"> </v>
      </c>
      <c r="K215" s="16" t="str">
        <f ca="1">INDEX(INDIRECT($O$10),ROW(K215),COLUMN(K215))</f>
        <v xml:space="preserve"> </v>
      </c>
      <c r="L215" s="27" t="str">
        <f ca="1">INDEX(INDIRECT($O$10),ROW(L215),COLUMN(L215))</f>
        <v xml:space="preserve"> </v>
      </c>
      <c r="M215" s="29" t="str">
        <f ca="1">INDEX(INDIRECT($O$10),ROW(M215),COLUMN(M215))</f>
        <v>blu navy/ice</v>
      </c>
      <c r="N215" s="2" t="str">
        <f ca="1">IF(ISNUMBER($C215),codeEAN13(INT(C215/10)),"")</f>
        <v>8APASPA*aaaaae+</v>
      </c>
    </row>
    <row r="216" spans="1:14" ht="31.5" x14ac:dyDescent="0.45">
      <c r="A216" s="3" t="str">
        <f ca="1">INDEX(INDIRECT($O$10),ROW(A216),COLUMN(A216))</f>
        <v>'209</v>
      </c>
      <c r="B216" s="3">
        <f ca="1">INDEX(INDIRECT($O$10),ROW(B216),COLUMN(B216))</f>
        <v>162</v>
      </c>
      <c r="C216" s="5">
        <f ca="1">INDEX(INDIRECT($O$10),ROW(C216),COLUMN(C216))</f>
        <v>8050850000000</v>
      </c>
      <c r="D216" s="8" t="str">
        <f ca="1">INDEX(INDIRECT($O$10),ROW(D216),COLUMN(D216))</f>
        <v>SHOUGC01-ECSD7-624</v>
      </c>
      <c r="E216" s="12" t="str">
        <f ca="1">INDEX(INDIRECT($O$10),ROW(E216),COLUMN(E216))</f>
        <v>BANDOULIÃˆRE AJOUREE COURTE + CLIP EN FAUX CUIR BICOLORE</v>
      </c>
      <c r="F216" s="18" t="str">
        <f ca="1">INDEX(INDIRECT($O$10),ROW(F216),COLUMN(F216))</f>
        <v>UNICA</v>
      </c>
      <c r="G216" s="10">
        <f ca="1">INDEX(INDIRECT($O$10),ROW(G216),COLUMN(G216))</f>
        <v>2</v>
      </c>
      <c r="H216" s="20">
        <f ca="1">INDEX(INDIRECT($O$10),ROW(H216),COLUMN(H216))</f>
        <v>12.59</v>
      </c>
      <c r="I216" s="22">
        <f ca="1">INDEX(INDIRECT($O$10),ROW(I216),COLUMN(I216))</f>
        <v>25.18</v>
      </c>
      <c r="J216" s="14" t="str">
        <f ca="1">INDEX(INDIRECT($O$10),ROW(J216),COLUMN(J216))</f>
        <v xml:space="preserve"> </v>
      </c>
      <c r="K216" s="16" t="str">
        <f ca="1">INDEX(INDIRECT($O$10),ROW(K216),COLUMN(K216))</f>
        <v xml:space="preserve"> </v>
      </c>
      <c r="L216" s="27" t="str">
        <f ca="1">INDEX(INDIRECT($O$10),ROW(L216),COLUMN(L216))</f>
        <v xml:space="preserve"> </v>
      </c>
      <c r="M216" s="29" t="str">
        <f ca="1">INDEX(INDIRECT($O$10),ROW(M216),COLUMN(M216))</f>
        <v>biscotto/sabbia</v>
      </c>
      <c r="N216" s="2" t="str">
        <f ca="1">IF(ISNUMBER($C216),codeEAN13(INT(C216/10)),"")</f>
        <v>8APASPA*aaaaae+</v>
      </c>
    </row>
    <row r="217" spans="1:14" ht="31.5" x14ac:dyDescent="0.45">
      <c r="A217" s="3" t="str">
        <f ca="1">INDEX(INDIRECT($O$10),ROW(A217),COLUMN(A217))</f>
        <v>'210</v>
      </c>
      <c r="B217" s="3">
        <f ca="1">INDEX(INDIRECT($O$10),ROW(B217),COLUMN(B217))</f>
        <v>178</v>
      </c>
      <c r="C217" s="5">
        <f ca="1">INDEX(INDIRECT($O$10),ROW(C217),COLUMN(C217))</f>
        <v>8050850000000</v>
      </c>
      <c r="D217" s="8" t="str">
        <f ca="1">INDEX(INDIRECT($O$10),ROW(D217),COLUMN(D217))</f>
        <v>SHOUGG00-ECSC9-055</v>
      </c>
      <c r="E217" s="12" t="str">
        <f ca="1">INDEX(INDIRECT($O$10),ROW(E217),COLUMN(E217))</f>
        <v>BANDOULIÃˆRE 80/120 + CLIP EN FAUX CUIR IMPRIME ATHLEISURE</v>
      </c>
      <c r="F217" s="18" t="str">
        <f ca="1">INDEX(INDIRECT($O$10),ROW(F217),COLUMN(F217))</f>
        <v>UNICA</v>
      </c>
      <c r="G217" s="10">
        <f ca="1">INDEX(INDIRECT($O$10),ROW(G217),COLUMN(G217))</f>
        <v>4</v>
      </c>
      <c r="H217" s="20">
        <f ca="1">INDEX(INDIRECT($O$10),ROW(H217),COLUMN(H217))</f>
        <v>15.56</v>
      </c>
      <c r="I217" s="22">
        <f ca="1">INDEX(INDIRECT($O$10),ROW(I217),COLUMN(I217))</f>
        <v>62.24</v>
      </c>
      <c r="J217" s="14" t="str">
        <f ca="1">INDEX(INDIRECT($O$10),ROW(J217),COLUMN(J217))</f>
        <v xml:space="preserve"> </v>
      </c>
      <c r="K217" s="16" t="str">
        <f ca="1">INDEX(INDIRECT($O$10),ROW(K217),COLUMN(K217))</f>
        <v xml:space="preserve"> </v>
      </c>
      <c r="L217" s="27" t="str">
        <f ca="1">INDEX(INDIRECT($O$10),ROW(L217),COLUMN(L217))</f>
        <v xml:space="preserve"> </v>
      </c>
      <c r="M217" s="29" t="str">
        <f ca="1">INDEX(INDIRECT($O$10),ROW(M217),COLUMN(M217))</f>
        <v>nero</v>
      </c>
      <c r="N217" s="2" t="str">
        <f ca="1">IF(ISNUMBER($C217),codeEAN13(INT(C217/10)),"")</f>
        <v>8APASPA*aaaaae+</v>
      </c>
    </row>
    <row r="218" spans="1:14" ht="31.5" x14ac:dyDescent="0.45">
      <c r="A218" s="3" t="str">
        <f ca="1">INDEX(INDIRECT($O$10),ROW(A218),COLUMN(A218))</f>
        <v>'211</v>
      </c>
      <c r="B218" s="3">
        <f ca="1">INDEX(INDIRECT($O$10),ROW(B218),COLUMN(B218))</f>
        <v>93</v>
      </c>
      <c r="C218" s="5">
        <f ca="1">INDEX(INDIRECT($O$10),ROW(C218),COLUMN(C218))</f>
        <v>8050850000000</v>
      </c>
      <c r="D218" s="8" t="str">
        <f ca="1">INDEX(INDIRECT($O$10),ROW(D218),COLUMN(D218))</f>
        <v>SHOUGG00-ECSC9-137</v>
      </c>
      <c r="E218" s="12" t="str">
        <f ca="1">INDEX(INDIRECT($O$10),ROW(E218),COLUMN(E218))</f>
        <v>BANDOULIÃˆRE 80/120 + CLIP EN FAUX CUIR IMPRIME ATHLEISURE</v>
      </c>
      <c r="F218" s="18" t="str">
        <f ca="1">INDEX(INDIRECT($O$10),ROW(F218),COLUMN(F218))</f>
        <v>UNICA</v>
      </c>
      <c r="G218" s="10">
        <f ca="1">INDEX(INDIRECT($O$10),ROW(G218),COLUMN(G218))</f>
        <v>2</v>
      </c>
      <c r="H218" s="20">
        <f ca="1">INDEX(INDIRECT($O$10),ROW(H218),COLUMN(H218))</f>
        <v>15.56</v>
      </c>
      <c r="I218" s="22">
        <f ca="1">INDEX(INDIRECT($O$10),ROW(I218),COLUMN(I218))</f>
        <v>31.12</v>
      </c>
      <c r="J218" s="14" t="str">
        <f ca="1">INDEX(INDIRECT($O$10),ROW(J218),COLUMN(J218))</f>
        <v xml:space="preserve"> </v>
      </c>
      <c r="K218" s="16" t="str">
        <f ca="1">INDEX(INDIRECT($O$10),ROW(K218),COLUMN(K218))</f>
        <v xml:space="preserve"> </v>
      </c>
      <c r="L218" s="27" t="str">
        <f ca="1">INDEX(INDIRECT($O$10),ROW(L218),COLUMN(L218))</f>
        <v xml:space="preserve"> </v>
      </c>
      <c r="M218" s="29" t="str">
        <f ca="1">INDEX(INDIRECT($O$10),ROW(M218),COLUMN(M218))</f>
        <v>bluette</v>
      </c>
      <c r="N218" s="2" t="str">
        <f ca="1">IF(ISNUMBER($C218),codeEAN13(INT(C218/10)),"")</f>
        <v>8APASPA*aaaaae+</v>
      </c>
    </row>
    <row r="219" spans="1:14" ht="31.5" x14ac:dyDescent="0.45">
      <c r="A219" s="3" t="str">
        <f ca="1">INDEX(INDIRECT($O$10),ROW(A219),COLUMN(A219))</f>
        <v>'212</v>
      </c>
      <c r="B219" s="3">
        <f ca="1">INDEX(INDIRECT($O$10),ROW(B219),COLUMN(B219))</f>
        <v>136</v>
      </c>
      <c r="C219" s="5">
        <f ca="1">INDEX(INDIRECT($O$10),ROW(C219),COLUMN(C219))</f>
        <v>8050850000000</v>
      </c>
      <c r="D219" s="8" t="str">
        <f ca="1">INDEX(INDIRECT($O$10),ROW(D219),COLUMN(D219))</f>
        <v>SHOUGG00-ECSD6-615</v>
      </c>
      <c r="E219" s="12" t="str">
        <f ca="1">INDEX(INDIRECT($O$10),ROW(E219),COLUMN(E219))</f>
        <v>BANDOULIÃˆRE 80/120 + CLIP EN FAUX CUIR IMPRIME DIANTHUS</v>
      </c>
      <c r="F219" s="18" t="str">
        <f ca="1">INDEX(INDIRECT($O$10),ROW(F219),COLUMN(F219))</f>
        <v>UNICA</v>
      </c>
      <c r="G219" s="10">
        <f ca="1">INDEX(INDIRECT($O$10),ROW(G219),COLUMN(G219))</f>
        <v>2</v>
      </c>
      <c r="H219" s="20">
        <f ca="1">INDEX(INDIRECT($O$10),ROW(H219),COLUMN(H219))</f>
        <v>13.33</v>
      </c>
      <c r="I219" s="22">
        <f ca="1">INDEX(INDIRECT($O$10),ROW(I219),COLUMN(I219))</f>
        <v>26.66</v>
      </c>
      <c r="J219" s="14" t="str">
        <f ca="1">INDEX(INDIRECT($O$10),ROW(J219),COLUMN(J219))</f>
        <v xml:space="preserve"> </v>
      </c>
      <c r="K219" s="16" t="str">
        <f ca="1">INDEX(INDIRECT($O$10),ROW(K219),COLUMN(K219))</f>
        <v xml:space="preserve"> </v>
      </c>
      <c r="L219" s="27" t="str">
        <f ca="1">INDEX(INDIRECT($O$10),ROW(L219),COLUMN(L219))</f>
        <v xml:space="preserve"> </v>
      </c>
      <c r="M219" s="29" t="str">
        <f ca="1">INDEX(INDIRECT($O$10),ROW(M219),COLUMN(M219))</f>
        <v>military</v>
      </c>
      <c r="N219" s="2" t="str">
        <f ca="1">IF(ISNUMBER($C219),codeEAN13(INT(C219/10)),"")</f>
        <v>8APASPA*aaaaae+</v>
      </c>
    </row>
    <row r="220" spans="1:14" ht="31.5" x14ac:dyDescent="0.45">
      <c r="A220" s="3" t="str">
        <f ca="1">INDEX(INDIRECT($O$10),ROW(A220),COLUMN(A220))</f>
        <v>'213</v>
      </c>
      <c r="B220" s="3">
        <f ca="1">INDEX(INDIRECT($O$10),ROW(B220),COLUMN(B220))</f>
        <v>74</v>
      </c>
      <c r="C220" s="5">
        <f ca="1">INDEX(INDIRECT($O$10),ROW(C220),COLUMN(C220))</f>
        <v>8050850000000</v>
      </c>
      <c r="D220" s="8" t="str">
        <f ca="1">INDEX(INDIRECT($O$10),ROW(D220),COLUMN(D220))</f>
        <v>SHOUGG00-TESBM-227</v>
      </c>
      <c r="E220" s="12" t="str">
        <f ca="1">INDEX(INDIRECT($O$10),ROW(E220),COLUMN(E220))</f>
        <v>BANDOULIÃˆRE 80/120 + CLIP EN TISSU IMPRIME GEOMETRIC LILY</v>
      </c>
      <c r="F220" s="18" t="str">
        <f ca="1">INDEX(INDIRECT($O$10),ROW(F220),COLUMN(F220))</f>
        <v>UNICA</v>
      </c>
      <c r="G220" s="10">
        <f ca="1">INDEX(INDIRECT($O$10),ROW(G220),COLUMN(G220))</f>
        <v>2</v>
      </c>
      <c r="H220" s="20">
        <f ca="1">INDEX(INDIRECT($O$10),ROW(H220),COLUMN(H220))</f>
        <v>15.56</v>
      </c>
      <c r="I220" s="22">
        <f ca="1">INDEX(INDIRECT($O$10),ROW(I220),COLUMN(I220))</f>
        <v>31.12</v>
      </c>
      <c r="J220" s="14" t="str">
        <f ca="1">INDEX(INDIRECT($O$10),ROW(J220),COLUMN(J220))</f>
        <v xml:space="preserve"> </v>
      </c>
      <c r="K220" s="16" t="str">
        <f ca="1">INDEX(INDIRECT($O$10),ROW(K220),COLUMN(K220))</f>
        <v xml:space="preserve"> </v>
      </c>
      <c r="L220" s="27" t="str">
        <f ca="1">INDEX(INDIRECT($O$10),ROW(L220),COLUMN(L220))</f>
        <v xml:space="preserve"> </v>
      </c>
      <c r="M220" s="29" t="str">
        <f ca="1">INDEX(INDIRECT($O$10),ROW(M220),COLUMN(M220))</f>
        <v>bianco/nero</v>
      </c>
      <c r="N220" s="2" t="str">
        <f ca="1">IF(ISNUMBER($C220),codeEAN13(INT(C220/10)),"")</f>
        <v>8APASPA*aaaaae+</v>
      </c>
    </row>
    <row r="221" spans="1:14" ht="31.5" x14ac:dyDescent="0.45">
      <c r="A221" s="3" t="str">
        <f ca="1">INDEX(INDIRECT($O$10),ROW(A221),COLUMN(A221))</f>
        <v>'214</v>
      </c>
      <c r="B221" s="3">
        <f ca="1">INDEX(INDIRECT($O$10),ROW(B221),COLUMN(B221))</f>
        <v>202</v>
      </c>
      <c r="C221" s="5">
        <f ca="1">INDEX(INDIRECT($O$10),ROW(C221),COLUMN(C221))</f>
        <v>8050850000000</v>
      </c>
      <c r="D221" s="8" t="str">
        <f ca="1">INDEX(INDIRECT($O$10),ROW(D221),COLUMN(D221))</f>
        <v>SHOUU000-TESBM-227</v>
      </c>
      <c r="E221" s="12" t="str">
        <f ca="1">INDEX(INDIRECT($O$10),ROW(E221),COLUMN(E221))</f>
        <v>BANDOULIÃˆRE FOULARD EN TISSU IMPRIME GEOMETRIC LILY</v>
      </c>
      <c r="F221" s="18" t="str">
        <f ca="1">INDEX(INDIRECT($O$10),ROW(F221),COLUMN(F221))</f>
        <v>UNICA</v>
      </c>
      <c r="G221" s="10">
        <f ca="1">INDEX(INDIRECT($O$10),ROW(G221),COLUMN(G221))</f>
        <v>4</v>
      </c>
      <c r="H221" s="20">
        <f ca="1">INDEX(INDIRECT($O$10),ROW(H221),COLUMN(H221))</f>
        <v>7.78</v>
      </c>
      <c r="I221" s="22">
        <f ca="1">INDEX(INDIRECT($O$10),ROW(I221),COLUMN(I221))</f>
        <v>31.12</v>
      </c>
      <c r="J221" s="14" t="str">
        <f ca="1">INDEX(INDIRECT($O$10),ROW(J221),COLUMN(J221))</f>
        <v xml:space="preserve"> </v>
      </c>
      <c r="K221" s="16" t="str">
        <f ca="1">INDEX(INDIRECT($O$10),ROW(K221),COLUMN(K221))</f>
        <v xml:space="preserve"> </v>
      </c>
      <c r="L221" s="27" t="str">
        <f ca="1">INDEX(INDIRECT($O$10),ROW(L221),COLUMN(L221))</f>
        <v xml:space="preserve"> </v>
      </c>
      <c r="M221" s="29" t="str">
        <f ca="1">INDEX(INDIRECT($O$10),ROW(M221),COLUMN(M221))</f>
        <v>bianco/nero</v>
      </c>
      <c r="N221" s="2" t="str">
        <f ca="1">IF(ISNUMBER($C221),codeEAN13(INT(C221/10)),"")</f>
        <v>8APASPA*aaaaae+</v>
      </c>
    </row>
    <row r="222" spans="1:14" ht="31.5" x14ac:dyDescent="0.45">
      <c r="A222" s="3" t="str">
        <f ca="1">INDEX(INDIRECT($O$10),ROW(A222),COLUMN(A222))</f>
        <v>'215</v>
      </c>
      <c r="B222" s="3">
        <f ca="1">INDEX(INDIRECT($O$10),ROW(B222),COLUMN(B222))</f>
        <v>220</v>
      </c>
      <c r="C222" s="5">
        <f ca="1">INDEX(INDIRECT($O$10),ROW(C222),COLUMN(C222))</f>
        <v>8050850000000</v>
      </c>
      <c r="D222" s="8" t="str">
        <f ca="1">INDEX(INDIRECT($O$10),ROW(D222),COLUMN(D222))</f>
        <v>SHOUX001-ECS03-615</v>
      </c>
      <c r="E222" s="12" t="str">
        <f ca="1">INDEX(INDIRECT($O$10),ROW(E222),COLUMN(E222))</f>
        <v>BANDOULIÃˆRE EXTRASLIM 110 + CLIP EN FAUX CUIR SUÃˆDE</v>
      </c>
      <c r="F222" s="18" t="str">
        <f ca="1">INDEX(INDIRECT($O$10),ROW(F222),COLUMN(F222))</f>
        <v>UNICA</v>
      </c>
      <c r="G222" s="10">
        <f ca="1">INDEX(INDIRECT($O$10),ROW(G222),COLUMN(G222))</f>
        <v>2</v>
      </c>
      <c r="H222" s="20">
        <f ca="1">INDEX(INDIRECT($O$10),ROW(H222),COLUMN(H222))</f>
        <v>10</v>
      </c>
      <c r="I222" s="22">
        <f ca="1">INDEX(INDIRECT($O$10),ROW(I222),COLUMN(I222))</f>
        <v>20</v>
      </c>
      <c r="J222" s="14" t="str">
        <f ca="1">INDEX(INDIRECT($O$10),ROW(J222),COLUMN(J222))</f>
        <v xml:space="preserve"> </v>
      </c>
      <c r="K222" s="16" t="str">
        <f ca="1">INDEX(INDIRECT($O$10),ROW(K222),COLUMN(K222))</f>
        <v xml:space="preserve"> </v>
      </c>
      <c r="L222" s="27" t="str">
        <f ca="1">INDEX(INDIRECT($O$10),ROW(L222),COLUMN(L222))</f>
        <v xml:space="preserve"> </v>
      </c>
      <c r="M222" s="29" t="str">
        <f ca="1">INDEX(INDIRECT($O$10),ROW(M222),COLUMN(M222))</f>
        <v>military</v>
      </c>
      <c r="N222" s="2" t="str">
        <f ca="1">IF(ISNUMBER($C222),codeEAN13(INT(C222/10)),"")</f>
        <v>8APASPA*aaaaae+</v>
      </c>
    </row>
    <row r="223" spans="1:14" ht="31.5" x14ac:dyDescent="0.45">
      <c r="A223" s="3" t="str">
        <f ca="1">INDEX(INDIRECT($O$10),ROW(A223),COLUMN(A223))</f>
        <v>'216</v>
      </c>
      <c r="B223" s="3">
        <f ca="1">INDEX(INDIRECT($O$10),ROW(B223),COLUMN(B223))</f>
        <v>118</v>
      </c>
      <c r="C223" s="5">
        <f ca="1">INDEX(INDIRECT($O$10),ROW(C223),COLUMN(C223))</f>
        <v>8050850000000</v>
      </c>
      <c r="D223" s="8" t="str">
        <f ca="1">INDEX(INDIRECT($O$10),ROW(D223),COLUMN(D223))</f>
        <v>SHOUX001-ECS29-017</v>
      </c>
      <c r="E223" s="12" t="str">
        <f ca="1">INDEX(INDIRECT($O$10),ROW(E223),COLUMN(E223))</f>
        <v>BANDOULIÃˆRE EXTRASLIM 110 + CLIP EN FAUX CUIR IMPRIME COCO</v>
      </c>
      <c r="F223" s="18" t="str">
        <f ca="1">INDEX(INDIRECT($O$10),ROW(F223),COLUMN(F223))</f>
        <v>UNICA</v>
      </c>
      <c r="G223" s="10">
        <f ca="1">INDEX(INDIRECT($O$10),ROW(G223),COLUMN(G223))</f>
        <v>2</v>
      </c>
      <c r="H223" s="20">
        <f ca="1">INDEX(INDIRECT($O$10),ROW(H223),COLUMN(H223))</f>
        <v>10</v>
      </c>
      <c r="I223" s="22">
        <f ca="1">INDEX(INDIRECT($O$10),ROW(I223),COLUMN(I223))</f>
        <v>20</v>
      </c>
      <c r="J223" s="14" t="str">
        <f ca="1">INDEX(INDIRECT($O$10),ROW(J223),COLUMN(J223))</f>
        <v xml:space="preserve"> </v>
      </c>
      <c r="K223" s="16" t="str">
        <f ca="1">INDEX(INDIRECT($O$10),ROW(K223),COLUMN(K223))</f>
        <v xml:space="preserve"> </v>
      </c>
      <c r="L223" s="27" t="str">
        <f ca="1">INDEX(INDIRECT($O$10),ROW(L223),COLUMN(L223))</f>
        <v xml:space="preserve"> </v>
      </c>
      <c r="M223" s="29" t="str">
        <f ca="1">INDEX(INDIRECT($O$10),ROW(M223),COLUMN(M223))</f>
        <v>blu navy</v>
      </c>
      <c r="N223" s="2" t="str">
        <f ca="1">IF(ISNUMBER($C223),codeEAN13(INT(C223/10)),"")</f>
        <v>8APASPA*aaaaae+</v>
      </c>
    </row>
    <row r="224" spans="1:14" ht="31.5" x14ac:dyDescent="0.45">
      <c r="A224" s="3" t="str">
        <f ca="1">INDEX(INDIRECT($O$10),ROW(A224),COLUMN(A224))</f>
        <v>'217</v>
      </c>
      <c r="B224" s="3">
        <f ca="1">INDEX(INDIRECT($O$10),ROW(B224),COLUMN(B224))</f>
        <v>109</v>
      </c>
      <c r="C224" s="5">
        <f ca="1">INDEX(INDIRECT($O$10),ROW(C224),COLUMN(C224))</f>
        <v>8050850000000</v>
      </c>
      <c r="D224" s="8" t="str">
        <f ca="1">INDEX(INDIRECT($O$10),ROW(D224),COLUMN(D224))</f>
        <v>SHOUX001-ECS29-084</v>
      </c>
      <c r="E224" s="12" t="str">
        <f ca="1">INDEX(INDIRECT($O$10),ROW(E224),COLUMN(E224))</f>
        <v>BANDOULIÃˆRE EXTRASLIM 110 + CLIP EN FAUX CUIR IMPRIME COCO</v>
      </c>
      <c r="F224" s="18" t="str">
        <f ca="1">INDEX(INDIRECT($O$10),ROW(F224),COLUMN(F224))</f>
        <v>UNICA</v>
      </c>
      <c r="G224" s="10">
        <f ca="1">INDEX(INDIRECT($O$10),ROW(G224),COLUMN(G224))</f>
        <v>2</v>
      </c>
      <c r="H224" s="20">
        <f ca="1">INDEX(INDIRECT($O$10),ROW(H224),COLUMN(H224))</f>
        <v>10</v>
      </c>
      <c r="I224" s="22">
        <f ca="1">INDEX(INDIRECT($O$10),ROW(I224),COLUMN(I224))</f>
        <v>20</v>
      </c>
      <c r="J224" s="14" t="str">
        <f ca="1">INDEX(INDIRECT($O$10),ROW(J224),COLUMN(J224))</f>
        <v xml:space="preserve"> </v>
      </c>
      <c r="K224" s="16" t="str">
        <f ca="1">INDEX(INDIRECT($O$10),ROW(K224),COLUMN(K224))</f>
        <v xml:space="preserve"> </v>
      </c>
      <c r="L224" s="27" t="str">
        <f ca="1">INDEX(INDIRECT($O$10),ROW(L224),COLUMN(L224))</f>
        <v xml:space="preserve"> </v>
      </c>
      <c r="M224" s="29" t="str">
        <f ca="1">INDEX(INDIRECT($O$10),ROW(M224),COLUMN(M224))</f>
        <v>testa di moro</v>
      </c>
      <c r="N224" s="2" t="str">
        <f ca="1">IF(ISNUMBER($C224),codeEAN13(INT(C224/10)),"")</f>
        <v>8APASPA*aaaaae+</v>
      </c>
    </row>
    <row r="225" spans="1:14" ht="31.5" x14ac:dyDescent="0.45">
      <c r="A225" s="3" t="str">
        <f ca="1">INDEX(INDIRECT($O$10),ROW(A225),COLUMN(A225))</f>
        <v>'218</v>
      </c>
      <c r="B225" s="3">
        <f ca="1">INDEX(INDIRECT($O$10),ROW(B225),COLUMN(B225))</f>
        <v>85</v>
      </c>
      <c r="C225" s="5">
        <f ca="1">INDEX(INDIRECT($O$10),ROW(C225),COLUMN(C225))</f>
        <v>8050850000000</v>
      </c>
      <c r="D225" s="8" t="str">
        <f ca="1">INDEX(INDIRECT($O$10),ROW(D225),COLUMN(D225))</f>
        <v>SHOUX101-ECS00-017</v>
      </c>
      <c r="E225" s="12" t="str">
        <f ca="1">INDEX(INDIRECT($O$10),ROW(E225),COLUMN(E225))</f>
        <v>BANDOULIÃˆRE EXTRASLIM 110 + ANSES TUBULAIRES + CLIP FAUX CUIR</v>
      </c>
      <c r="F225" s="18" t="str">
        <f ca="1">INDEX(INDIRECT($O$10),ROW(F225),COLUMN(F225))</f>
        <v>UNICA</v>
      </c>
      <c r="G225" s="10">
        <f ca="1">INDEX(INDIRECT($O$10),ROW(G225),COLUMN(G225))</f>
        <v>2</v>
      </c>
      <c r="H225" s="20">
        <f ca="1">INDEX(INDIRECT($O$10),ROW(H225),COLUMN(H225))</f>
        <v>18.96</v>
      </c>
      <c r="I225" s="22">
        <f ca="1">INDEX(INDIRECT($O$10),ROW(I225),COLUMN(I225))</f>
        <v>37.92</v>
      </c>
      <c r="J225" s="14" t="str">
        <f ca="1">INDEX(INDIRECT($O$10),ROW(J225),COLUMN(J225))</f>
        <v>ANSESTUB/BANDOUL</v>
      </c>
      <c r="K225" s="16" t="str">
        <f ca="1">INDEX(INDIRECT($O$10),ROW(K225),COLUMN(K225))</f>
        <v xml:space="preserve">NAVY </v>
      </c>
      <c r="L225" s="27">
        <f ca="1">INDEX(INDIRECT($O$10),ROW(L225),COLUMN(L225))</f>
        <v>0</v>
      </c>
      <c r="M225" s="29" t="str">
        <f ca="1">INDEX(INDIRECT($O$10),ROW(M225),COLUMN(M225))</f>
        <v>blu navy</v>
      </c>
      <c r="N225" s="2" t="str">
        <f ca="1">IF(ISNUMBER($C225),codeEAN13(INT(C225/10)),"")</f>
        <v>8APASPA*aaaaae+</v>
      </c>
    </row>
    <row r="226" spans="1:14" ht="31.5" x14ac:dyDescent="0.45">
      <c r="A226" s="3" t="str">
        <f ca="1">INDEX(INDIRECT($O$10),ROW(A226),COLUMN(A226))</f>
        <v>'219</v>
      </c>
      <c r="B226" s="3">
        <f ca="1">INDEX(INDIRECT($O$10),ROW(B226),COLUMN(B226))</f>
        <v>102</v>
      </c>
      <c r="C226" s="5">
        <f ca="1">INDEX(INDIRECT($O$10),ROW(C226),COLUMN(C226))</f>
        <v>8050850000000</v>
      </c>
      <c r="D226" s="8" t="str">
        <f ca="1">INDEX(INDIRECT($O$10),ROW(D226),COLUMN(D226))</f>
        <v>SHOUX101-ECS00-055</v>
      </c>
      <c r="E226" s="12" t="str">
        <f ca="1">INDEX(INDIRECT($O$10),ROW(E226),COLUMN(E226))</f>
        <v>BANDOULIÃˆRE EXTRASLIM 110 + ANSES TUBULAIRES + CLIP FAUX CUIR</v>
      </c>
      <c r="F226" s="18" t="str">
        <f ca="1">INDEX(INDIRECT($O$10),ROW(F226),COLUMN(F226))</f>
        <v>UNICA</v>
      </c>
      <c r="G226" s="10">
        <f ca="1">INDEX(INDIRECT($O$10),ROW(G226),COLUMN(G226))</f>
        <v>3</v>
      </c>
      <c r="H226" s="20">
        <f ca="1">INDEX(INDIRECT($O$10),ROW(H226),COLUMN(H226))</f>
        <v>18.96</v>
      </c>
      <c r="I226" s="22">
        <f ca="1">INDEX(INDIRECT($O$10),ROW(I226),COLUMN(I226))</f>
        <v>56.88</v>
      </c>
      <c r="J226" s="14" t="str">
        <f ca="1">INDEX(INDIRECT($O$10),ROW(J226),COLUMN(J226))</f>
        <v>ANSESTUB/BANDOUL</v>
      </c>
      <c r="K226" s="16" t="str">
        <f ca="1">INDEX(INDIRECT($O$10),ROW(K226),COLUMN(K226))</f>
        <v>BLACK</v>
      </c>
      <c r="L226" s="27">
        <f ca="1">INDEX(INDIRECT($O$10),ROW(L226),COLUMN(L226))</f>
        <v>0</v>
      </c>
      <c r="M226" s="29" t="str">
        <f ca="1">INDEX(INDIRECT($O$10),ROW(M226),COLUMN(M226))</f>
        <v>nero</v>
      </c>
      <c r="N226" s="2" t="str">
        <f ca="1">IF(ISNUMBER($C226),codeEAN13(INT(C226/10)),"")</f>
        <v>8APASPA*aaaaae+</v>
      </c>
    </row>
    <row r="227" spans="1:14" ht="31.5" x14ac:dyDescent="0.45">
      <c r="A227" s="3" t="str">
        <f ca="1">INDEX(INDIRECT($O$10),ROW(A227),COLUMN(A227))</f>
        <v>'220</v>
      </c>
      <c r="B227" s="3">
        <f ca="1">INDEX(INDIRECT($O$10),ROW(B227),COLUMN(B227))</f>
        <v>14</v>
      </c>
      <c r="C227" s="5">
        <f ca="1">INDEX(INDIRECT($O$10),ROW(C227),COLUMN(C227))</f>
        <v>8050850000000</v>
      </c>
      <c r="D227" s="8" t="str">
        <f ca="1">INDEX(INDIRECT($O$10),ROW(D227),COLUMN(D227))</f>
        <v>SHOUX101-ECS00-634</v>
      </c>
      <c r="E227" s="12" t="str">
        <f ca="1">INDEX(INDIRECT($O$10),ROW(E227),COLUMN(E227))</f>
        <v>BANDOULIÃˆRE EXTRASLIM 110 + ANSES TUBULAIRES + CLIP FAUX CUIR</v>
      </c>
      <c r="F227" s="18" t="str">
        <f ca="1">INDEX(INDIRECT($O$10),ROW(F227),COLUMN(F227))</f>
        <v>UNICA</v>
      </c>
      <c r="G227" s="10">
        <f ca="1">INDEX(INDIRECT($O$10),ROW(G227),COLUMN(G227))</f>
        <v>2</v>
      </c>
      <c r="H227" s="20">
        <f ca="1">INDEX(INDIRECT($O$10),ROW(H227),COLUMN(H227))</f>
        <v>18.96</v>
      </c>
      <c r="I227" s="22">
        <f ca="1">INDEX(INDIRECT($O$10),ROW(I227),COLUMN(I227))</f>
        <v>37.92</v>
      </c>
      <c r="J227" s="14" t="str">
        <f ca="1">INDEX(INDIRECT($O$10),ROW(J227),COLUMN(J227))</f>
        <v>ANSESTUB/BANDOUL</v>
      </c>
      <c r="K227" s="16" t="str">
        <f ca="1">INDEX(INDIRECT($O$10),ROW(K227),COLUMN(K227))</f>
        <v xml:space="preserve">RED  </v>
      </c>
      <c r="L227" s="27">
        <f ca="1">INDEX(INDIRECT($O$10),ROW(L227),COLUMN(L227))</f>
        <v>0</v>
      </c>
      <c r="M227" s="29" t="str">
        <f ca="1">INDEX(INDIRECT($O$10),ROW(M227),COLUMN(M227))</f>
        <v>rosso + argento</v>
      </c>
      <c r="N227" s="2" t="str">
        <f ca="1">IF(ISNUMBER($C227),codeEAN13(INT(C227/10)),"")</f>
        <v>8APASPA*aaaaae+</v>
      </c>
    </row>
    <row r="228" spans="1:14" ht="31.5" x14ac:dyDescent="0.45">
      <c r="A228" s="3" t="str">
        <f ca="1">INDEX(INDIRECT($O$10),ROW(A228),COLUMN(A228))</f>
        <v>'221</v>
      </c>
      <c r="B228" s="3">
        <f ca="1">INDEX(INDIRECT($O$10),ROW(B228),COLUMN(B228))</f>
        <v>75</v>
      </c>
      <c r="C228" s="5">
        <f ca="1">INDEX(INDIRECT($O$10),ROW(C228),COLUMN(C228))</f>
        <v>8050850000000</v>
      </c>
      <c r="D228" s="8" t="str">
        <f ca="1">INDEX(INDIRECT($O$10),ROW(D228),COLUMN(D228))</f>
        <v>SHOUX101-ECS00-635</v>
      </c>
      <c r="E228" s="12" t="str">
        <f ca="1">INDEX(INDIRECT($O$10),ROW(E228),COLUMN(E228))</f>
        <v>BANDOULIÃˆRE EXTRASLIM 110 + ANSES TUBULAIRES + CLIP FAUX CUIR</v>
      </c>
      <c r="F228" s="18" t="str">
        <f ca="1">INDEX(INDIRECT($O$10),ROW(F228),COLUMN(F228))</f>
        <v>UNICA</v>
      </c>
      <c r="G228" s="10">
        <f ca="1">INDEX(INDIRECT($O$10),ROW(G228),COLUMN(G228))</f>
        <v>2</v>
      </c>
      <c r="H228" s="20">
        <f ca="1">INDEX(INDIRECT($O$10),ROW(H228),COLUMN(H228))</f>
        <v>18.96</v>
      </c>
      <c r="I228" s="22">
        <f ca="1">INDEX(INDIRECT($O$10),ROW(I228),COLUMN(I228))</f>
        <v>37.92</v>
      </c>
      <c r="J228" s="14" t="str">
        <f ca="1">INDEX(INDIRECT($O$10),ROW(J228),COLUMN(J228))</f>
        <v>ANSESTUB/BANDOUL</v>
      </c>
      <c r="K228" s="16" t="str">
        <f ca="1">INDEX(INDIRECT($O$10),ROW(K228),COLUMN(K228))</f>
        <v>BLUET</v>
      </c>
      <c r="L228" s="27">
        <f ca="1">INDEX(INDIRECT($O$10),ROW(L228),COLUMN(L228))</f>
        <v>0</v>
      </c>
      <c r="M228" s="29" t="str">
        <f ca="1">INDEX(INDIRECT($O$10),ROW(M228),COLUMN(M228))</f>
        <v>bluette + argento</v>
      </c>
      <c r="N228" s="2" t="str">
        <f ca="1">IF(ISNUMBER($C228),codeEAN13(INT(C228/10)),"")</f>
        <v>8APASPA*aaaaae+</v>
      </c>
    </row>
    <row r="229" spans="1:14" ht="31.5" x14ac:dyDescent="0.45">
      <c r="A229" s="3">
        <f ca="1">INDEX(INDIRECT($O$10),ROW(A229),COLUMN(A229))</f>
        <v>0</v>
      </c>
      <c r="B229" s="3">
        <f ca="1">INDEX(INDIRECT($O$10),ROW(B229),COLUMN(B229))</f>
        <v>0</v>
      </c>
      <c r="C229" s="5">
        <f ca="1">INDEX(INDIRECT($O$10),ROW(C229),COLUMN(C229))</f>
        <v>0</v>
      </c>
      <c r="D229" s="8">
        <f ca="1">INDEX(INDIRECT($O$10),ROW(D229),COLUMN(D229))</f>
        <v>0</v>
      </c>
      <c r="E229" s="12">
        <f ca="1">INDEX(INDIRECT($O$10),ROW(E229),COLUMN(E229))</f>
        <v>0</v>
      </c>
      <c r="F229" s="18">
        <f ca="1">INDEX(INDIRECT($O$10),ROW(F229),COLUMN(F229))</f>
        <v>0</v>
      </c>
      <c r="G229" s="10">
        <f ca="1">INDEX(INDIRECT($O$10),ROW(G229),COLUMN(G229))</f>
        <v>0</v>
      </c>
      <c r="H229" s="20">
        <f ca="1">INDEX(INDIRECT($O$10),ROW(H229),COLUMN(H229))</f>
        <v>0</v>
      </c>
      <c r="I229" s="22">
        <f ca="1">INDEX(INDIRECT($O$10),ROW(I229),COLUMN(I229))</f>
        <v>0</v>
      </c>
      <c r="J229" s="14">
        <f ca="1">INDEX(INDIRECT($O$10),ROW(J229),COLUMN(J229))</f>
        <v>0</v>
      </c>
      <c r="K229" s="16">
        <f ca="1">INDEX(INDIRECT($O$10),ROW(K229),COLUMN(K229))</f>
        <v>0</v>
      </c>
      <c r="L229" s="27">
        <f ca="1">INDEX(INDIRECT($O$10),ROW(L229),COLUMN(L229))</f>
        <v>0</v>
      </c>
      <c r="M229" s="29">
        <f ca="1">INDEX(INDIRECT($O$10),ROW(M229),COLUMN(M229))</f>
        <v>0</v>
      </c>
      <c r="N229" s="2" t="str">
        <f ca="1">IF(ISNUMBER($C229),codeEAN13(INT(C229/10)),"")</f>
        <v/>
      </c>
    </row>
    <row r="230" spans="1:14" ht="31.5" x14ac:dyDescent="0.45">
      <c r="A230" s="3">
        <f ca="1">INDEX(INDIRECT($O$10),ROW(A230),COLUMN(A230))</f>
        <v>0</v>
      </c>
      <c r="B230" s="3">
        <f ca="1">INDEX(INDIRECT($O$10),ROW(B230),COLUMN(B230))</f>
        <v>0</v>
      </c>
      <c r="C230" s="5">
        <f ca="1">INDEX(INDIRECT($O$10),ROW(C230),COLUMN(C230))</f>
        <v>0</v>
      </c>
      <c r="D230" s="8">
        <f ca="1">INDEX(INDIRECT($O$10),ROW(D230),COLUMN(D230))</f>
        <v>0</v>
      </c>
      <c r="E230" s="12">
        <f ca="1">INDEX(INDIRECT($O$10),ROW(E230),COLUMN(E230))</f>
        <v>0</v>
      </c>
      <c r="F230" s="18">
        <f ca="1">INDEX(INDIRECT($O$10),ROW(F230),COLUMN(F230))</f>
        <v>0</v>
      </c>
      <c r="G230" s="10">
        <f ca="1">INDEX(INDIRECT($O$10),ROW(G230),COLUMN(G230))</f>
        <v>0</v>
      </c>
      <c r="H230" s="20">
        <f ca="1">INDEX(INDIRECT($O$10),ROW(H230),COLUMN(H230))</f>
        <v>0</v>
      </c>
      <c r="I230" s="22">
        <f ca="1">INDEX(INDIRECT($O$10),ROW(I230),COLUMN(I230))</f>
        <v>0</v>
      </c>
      <c r="J230" s="14">
        <f ca="1">INDEX(INDIRECT($O$10),ROW(J230),COLUMN(J230))</f>
        <v>0</v>
      </c>
      <c r="K230" s="16">
        <f ca="1">INDEX(INDIRECT($O$10),ROW(K230),COLUMN(K230))</f>
        <v>0</v>
      </c>
      <c r="L230" s="27">
        <f ca="1">INDEX(INDIRECT($O$10),ROW(L230),COLUMN(L230))</f>
        <v>0</v>
      </c>
      <c r="M230" s="29">
        <f ca="1">INDEX(INDIRECT($O$10),ROW(M230),COLUMN(M230))</f>
        <v>0</v>
      </c>
      <c r="N230" s="2" t="str">
        <f ca="1">IF(ISNUMBER($C230),codeEAN13(INT(C230/10)),"")</f>
        <v/>
      </c>
    </row>
    <row r="231" spans="1:14" ht="31.5" x14ac:dyDescent="0.45">
      <c r="A231" s="3">
        <f ca="1">INDEX(INDIRECT($O$10),ROW(A231),COLUMN(A231))</f>
        <v>0</v>
      </c>
      <c r="B231" s="3">
        <f ca="1">INDEX(INDIRECT($O$10),ROW(B231),COLUMN(B231))</f>
        <v>0</v>
      </c>
      <c r="C231" s="5">
        <f ca="1">INDEX(INDIRECT($O$10),ROW(C231),COLUMN(C231))</f>
        <v>0</v>
      </c>
      <c r="D231" s="8">
        <f ca="1">INDEX(INDIRECT($O$10),ROW(D231),COLUMN(D231))</f>
        <v>0</v>
      </c>
      <c r="E231" s="12">
        <f ca="1">INDEX(INDIRECT($O$10),ROW(E231),COLUMN(E231))</f>
        <v>0</v>
      </c>
      <c r="F231" s="18">
        <f ca="1">INDEX(INDIRECT($O$10),ROW(F231),COLUMN(F231))</f>
        <v>0</v>
      </c>
      <c r="G231" s="10">
        <f ca="1">INDEX(INDIRECT($O$10),ROW(G231),COLUMN(G231))</f>
        <v>0</v>
      </c>
      <c r="H231" s="20">
        <f ca="1">INDEX(INDIRECT($O$10),ROW(H231),COLUMN(H231))</f>
        <v>0</v>
      </c>
      <c r="I231" s="22">
        <f ca="1">INDEX(INDIRECT($O$10),ROW(I231),COLUMN(I231))</f>
        <v>0</v>
      </c>
      <c r="J231" s="14">
        <f ca="1">INDEX(INDIRECT($O$10),ROW(J231),COLUMN(J231))</f>
        <v>0</v>
      </c>
      <c r="K231" s="16">
        <f ca="1">INDEX(INDIRECT($O$10),ROW(K231),COLUMN(K231))</f>
        <v>0</v>
      </c>
      <c r="L231" s="27">
        <f ca="1">INDEX(INDIRECT($O$10),ROW(L231),COLUMN(L231))</f>
        <v>0</v>
      </c>
      <c r="M231" s="29">
        <f ca="1">INDEX(INDIRECT($O$10),ROW(M231),COLUMN(M231))</f>
        <v>0</v>
      </c>
      <c r="N231" s="2" t="str">
        <f ca="1">IF(ISNUMBER($C231),codeEAN13(INT(C231/10)),"")</f>
        <v/>
      </c>
    </row>
    <row r="232" spans="1:14" ht="31.5" x14ac:dyDescent="0.45">
      <c r="A232" s="3">
        <f ca="1">INDEX(INDIRECT($O$10),ROW(A232),COLUMN(A232))</f>
        <v>0</v>
      </c>
      <c r="B232" s="3">
        <f ca="1">INDEX(INDIRECT($O$10),ROW(B232),COLUMN(B232))</f>
        <v>0</v>
      </c>
      <c r="C232" s="5">
        <f ca="1">INDEX(INDIRECT($O$10),ROW(C232),COLUMN(C232))</f>
        <v>0</v>
      </c>
      <c r="D232" s="8">
        <f ca="1">INDEX(INDIRECT($O$10),ROW(D232),COLUMN(D232))</f>
        <v>0</v>
      </c>
      <c r="E232" s="12">
        <f ca="1">INDEX(INDIRECT($O$10),ROW(E232),COLUMN(E232))</f>
        <v>0</v>
      </c>
      <c r="F232" s="18">
        <f ca="1">INDEX(INDIRECT($O$10),ROW(F232),COLUMN(F232))</f>
        <v>0</v>
      </c>
      <c r="G232" s="10">
        <f ca="1">INDEX(INDIRECT($O$10),ROW(G232),COLUMN(G232))</f>
        <v>0</v>
      </c>
      <c r="H232" s="20">
        <f ca="1">INDEX(INDIRECT($O$10),ROW(H232),COLUMN(H232))</f>
        <v>0</v>
      </c>
      <c r="I232" s="22">
        <f ca="1">INDEX(INDIRECT($O$10),ROW(I232),COLUMN(I232))</f>
        <v>0</v>
      </c>
      <c r="J232" s="14">
        <f ca="1">INDEX(INDIRECT($O$10),ROW(J232),COLUMN(J232))</f>
        <v>0</v>
      </c>
      <c r="K232" s="16">
        <f ca="1">INDEX(INDIRECT($O$10),ROW(K232),COLUMN(K232))</f>
        <v>0</v>
      </c>
      <c r="L232" s="27">
        <f ca="1">INDEX(INDIRECT($O$10),ROW(L232),COLUMN(L232))</f>
        <v>0</v>
      </c>
      <c r="M232" s="29">
        <f ca="1">INDEX(INDIRECT($O$10),ROW(M232),COLUMN(M232))</f>
        <v>0</v>
      </c>
      <c r="N232" s="2" t="str">
        <f ca="1">IF(ISNUMBER($C232),codeEAN13(INT(C232/10)),"")</f>
        <v/>
      </c>
    </row>
    <row r="233" spans="1:14" ht="31.5" x14ac:dyDescent="0.45">
      <c r="A233" s="3">
        <f ca="1">INDEX(INDIRECT($O$10),ROW(A233),COLUMN(A233))</f>
        <v>0</v>
      </c>
      <c r="B233" s="3">
        <f ca="1">INDEX(INDIRECT($O$10),ROW(B233),COLUMN(B233))</f>
        <v>0</v>
      </c>
      <c r="C233" s="5">
        <f ca="1">INDEX(INDIRECT($O$10),ROW(C233),COLUMN(C233))</f>
        <v>0</v>
      </c>
      <c r="D233" s="8">
        <f ca="1">INDEX(INDIRECT($O$10),ROW(D233),COLUMN(D233))</f>
        <v>0</v>
      </c>
      <c r="E233" s="12">
        <f ca="1">INDEX(INDIRECT($O$10),ROW(E233),COLUMN(E233))</f>
        <v>0</v>
      </c>
      <c r="F233" s="18">
        <f ca="1">INDEX(INDIRECT($O$10),ROW(F233),COLUMN(F233))</f>
        <v>0</v>
      </c>
      <c r="G233" s="10">
        <f ca="1">INDEX(INDIRECT($O$10),ROW(G233),COLUMN(G233))</f>
        <v>0</v>
      </c>
      <c r="H233" s="20">
        <f ca="1">INDEX(INDIRECT($O$10),ROW(H233),COLUMN(H233))</f>
        <v>0</v>
      </c>
      <c r="I233" s="22">
        <f ca="1">INDEX(INDIRECT($O$10),ROW(I233),COLUMN(I233))</f>
        <v>0</v>
      </c>
      <c r="J233" s="14">
        <f ca="1">INDEX(INDIRECT($O$10),ROW(J233),COLUMN(J233))</f>
        <v>0</v>
      </c>
      <c r="K233" s="16">
        <f ca="1">INDEX(INDIRECT($O$10),ROW(K233),COLUMN(K233))</f>
        <v>0</v>
      </c>
      <c r="L233" s="27">
        <f ca="1">INDEX(INDIRECT($O$10),ROW(L233),COLUMN(L233))</f>
        <v>0</v>
      </c>
      <c r="M233" s="29">
        <f ca="1">INDEX(INDIRECT($O$10),ROW(M233),COLUMN(M233))</f>
        <v>0</v>
      </c>
      <c r="N233" s="2" t="str">
        <f ca="1">IF(ISNUMBER($C233),codeEAN13(INT(C233/10)),"")</f>
        <v/>
      </c>
    </row>
    <row r="234" spans="1:14" ht="31.5" x14ac:dyDescent="0.45">
      <c r="A234" s="3">
        <f ca="1">INDEX(INDIRECT($O$10),ROW(A234),COLUMN(A234))</f>
        <v>0</v>
      </c>
      <c r="B234" s="3">
        <f ca="1">INDEX(INDIRECT($O$10),ROW(B234),COLUMN(B234))</f>
        <v>0</v>
      </c>
      <c r="C234" s="5">
        <f ca="1">INDEX(INDIRECT($O$10),ROW(C234),COLUMN(C234))</f>
        <v>0</v>
      </c>
      <c r="D234" s="8">
        <f ca="1">INDEX(INDIRECT($O$10),ROW(D234),COLUMN(D234))</f>
        <v>0</v>
      </c>
      <c r="E234" s="12">
        <f ca="1">INDEX(INDIRECT($O$10),ROW(E234),COLUMN(E234))</f>
        <v>0</v>
      </c>
      <c r="F234" s="18">
        <f ca="1">INDEX(INDIRECT($O$10),ROW(F234),COLUMN(F234))</f>
        <v>0</v>
      </c>
      <c r="G234" s="10">
        <f ca="1">INDEX(INDIRECT($O$10),ROW(G234),COLUMN(G234))</f>
        <v>0</v>
      </c>
      <c r="H234" s="20">
        <f ca="1">INDEX(INDIRECT($O$10),ROW(H234),COLUMN(H234))</f>
        <v>0</v>
      </c>
      <c r="I234" s="22">
        <f ca="1">INDEX(INDIRECT($O$10),ROW(I234),COLUMN(I234))</f>
        <v>0</v>
      </c>
      <c r="J234" s="14">
        <f ca="1">INDEX(INDIRECT($O$10),ROW(J234),COLUMN(J234))</f>
        <v>0</v>
      </c>
      <c r="K234" s="16">
        <f ca="1">INDEX(INDIRECT($O$10),ROW(K234),COLUMN(K234))</f>
        <v>0</v>
      </c>
      <c r="L234" s="27">
        <f ca="1">INDEX(INDIRECT($O$10),ROW(L234),COLUMN(L234))</f>
        <v>0</v>
      </c>
      <c r="M234" s="29">
        <f ca="1">INDEX(INDIRECT($O$10),ROW(M234),COLUMN(M234))</f>
        <v>0</v>
      </c>
      <c r="N234" s="2" t="str">
        <f ca="1">IF(ISNUMBER($C234),codeEAN13(INT(C234/10)),"")</f>
        <v/>
      </c>
    </row>
    <row r="235" spans="1:14" ht="31.5" x14ac:dyDescent="0.45">
      <c r="A235" s="3">
        <f ca="1">INDEX(INDIRECT($O$10),ROW(A235),COLUMN(A235))</f>
        <v>0</v>
      </c>
      <c r="B235" s="3">
        <f ca="1">INDEX(INDIRECT($O$10),ROW(B235),COLUMN(B235))</f>
        <v>0</v>
      </c>
      <c r="C235" s="5">
        <f ca="1">INDEX(INDIRECT($O$10),ROW(C235),COLUMN(C235))</f>
        <v>0</v>
      </c>
      <c r="D235" s="8">
        <f ca="1">INDEX(INDIRECT($O$10),ROW(D235),COLUMN(D235))</f>
        <v>0</v>
      </c>
      <c r="E235" s="12">
        <f ca="1">INDEX(INDIRECT($O$10),ROW(E235),COLUMN(E235))</f>
        <v>0</v>
      </c>
      <c r="F235" s="18">
        <f ca="1">INDEX(INDIRECT($O$10),ROW(F235),COLUMN(F235))</f>
        <v>0</v>
      </c>
      <c r="G235" s="10">
        <f ca="1">INDEX(INDIRECT($O$10),ROW(G235),COLUMN(G235))</f>
        <v>0</v>
      </c>
      <c r="H235" s="20">
        <f ca="1">INDEX(INDIRECT($O$10),ROW(H235),COLUMN(H235))</f>
        <v>0</v>
      </c>
      <c r="I235" s="22">
        <f ca="1">INDEX(INDIRECT($O$10),ROW(I235),COLUMN(I235))</f>
        <v>0</v>
      </c>
      <c r="J235" s="14">
        <f ca="1">INDEX(INDIRECT($O$10),ROW(J235),COLUMN(J235))</f>
        <v>0</v>
      </c>
      <c r="K235" s="16">
        <f ca="1">INDEX(INDIRECT($O$10),ROW(K235),COLUMN(K235))</f>
        <v>0</v>
      </c>
      <c r="L235" s="27">
        <f ca="1">INDEX(INDIRECT($O$10),ROW(L235),COLUMN(L235))</f>
        <v>0</v>
      </c>
      <c r="M235" s="29">
        <f ca="1">INDEX(INDIRECT($O$10),ROW(M235),COLUMN(M235))</f>
        <v>0</v>
      </c>
      <c r="N235" s="2" t="str">
        <f ca="1">IF(ISNUMBER($C235),codeEAN13(INT(C235/10)),"")</f>
        <v/>
      </c>
    </row>
    <row r="236" spans="1:14" ht="31.5" x14ac:dyDescent="0.45">
      <c r="A236" s="3">
        <f ca="1">INDEX(INDIRECT($O$10),ROW(A236),COLUMN(A236))</f>
        <v>0</v>
      </c>
      <c r="B236" s="3">
        <f ca="1">INDEX(INDIRECT($O$10),ROW(B236),COLUMN(B236))</f>
        <v>0</v>
      </c>
      <c r="C236" s="5">
        <f ca="1">INDEX(INDIRECT($O$10),ROW(C236),COLUMN(C236))</f>
        <v>0</v>
      </c>
      <c r="D236" s="8">
        <f ca="1">INDEX(INDIRECT($O$10),ROW(D236),COLUMN(D236))</f>
        <v>0</v>
      </c>
      <c r="E236" s="12">
        <f ca="1">INDEX(INDIRECT($O$10),ROW(E236),COLUMN(E236))</f>
        <v>0</v>
      </c>
      <c r="F236" s="18">
        <f ca="1">INDEX(INDIRECT($O$10),ROW(F236),COLUMN(F236))</f>
        <v>0</v>
      </c>
      <c r="G236" s="10">
        <f ca="1">INDEX(INDIRECT($O$10),ROW(G236),COLUMN(G236))</f>
        <v>0</v>
      </c>
      <c r="H236" s="20">
        <f ca="1">INDEX(INDIRECT($O$10),ROW(H236),COLUMN(H236))</f>
        <v>0</v>
      </c>
      <c r="I236" s="22">
        <f ca="1">INDEX(INDIRECT($O$10),ROW(I236),COLUMN(I236))</f>
        <v>0</v>
      </c>
      <c r="J236" s="14">
        <f ca="1">INDEX(INDIRECT($O$10),ROW(J236),COLUMN(J236))</f>
        <v>0</v>
      </c>
      <c r="K236" s="16">
        <f ca="1">INDEX(INDIRECT($O$10),ROW(K236),COLUMN(K236))</f>
        <v>0</v>
      </c>
      <c r="L236" s="27">
        <f ca="1">INDEX(INDIRECT($O$10),ROW(L236),COLUMN(L236))</f>
        <v>0</v>
      </c>
      <c r="M236" s="29">
        <f ca="1">INDEX(INDIRECT($O$10),ROW(M236),COLUMN(M236))</f>
        <v>0</v>
      </c>
      <c r="N236" s="2" t="str">
        <f ca="1">IF(ISNUMBER($C236),codeEAN13(INT(C236/10)),"")</f>
        <v/>
      </c>
    </row>
    <row r="237" spans="1:14" ht="31.5" x14ac:dyDescent="0.45">
      <c r="A237" s="3">
        <f ca="1">INDEX(INDIRECT($O$10),ROW(A237),COLUMN(A237))</f>
        <v>0</v>
      </c>
      <c r="B237" s="3">
        <f ca="1">INDEX(INDIRECT($O$10),ROW(B237),COLUMN(B237))</f>
        <v>0</v>
      </c>
      <c r="C237" s="5">
        <f ca="1">INDEX(INDIRECT($O$10),ROW(C237),COLUMN(C237))</f>
        <v>0</v>
      </c>
      <c r="D237" s="8">
        <f ca="1">INDEX(INDIRECT($O$10),ROW(D237),COLUMN(D237))</f>
        <v>0</v>
      </c>
      <c r="E237" s="12">
        <f ca="1">INDEX(INDIRECT($O$10),ROW(E237),COLUMN(E237))</f>
        <v>0</v>
      </c>
      <c r="F237" s="18">
        <f ca="1">INDEX(INDIRECT($O$10),ROW(F237),COLUMN(F237))</f>
        <v>0</v>
      </c>
      <c r="G237" s="10">
        <f ca="1">INDEX(INDIRECT($O$10),ROW(G237),COLUMN(G237))</f>
        <v>0</v>
      </c>
      <c r="H237" s="20">
        <f ca="1">INDEX(INDIRECT($O$10),ROW(H237),COLUMN(H237))</f>
        <v>0</v>
      </c>
      <c r="I237" s="22">
        <f ca="1">INDEX(INDIRECT($O$10),ROW(I237),COLUMN(I237))</f>
        <v>0</v>
      </c>
      <c r="J237" s="14">
        <f ca="1">INDEX(INDIRECT($O$10),ROW(J237),COLUMN(J237))</f>
        <v>0</v>
      </c>
      <c r="K237" s="16">
        <f ca="1">INDEX(INDIRECT($O$10),ROW(K237),COLUMN(K237))</f>
        <v>0</v>
      </c>
      <c r="L237" s="27">
        <f ca="1">INDEX(INDIRECT($O$10),ROW(L237),COLUMN(L237))</f>
        <v>0</v>
      </c>
      <c r="M237" s="29">
        <f ca="1">INDEX(INDIRECT($O$10),ROW(M237),COLUMN(M237))</f>
        <v>0</v>
      </c>
      <c r="N237" s="2" t="str">
        <f ca="1">IF(ISNUMBER($C237),codeEAN13(INT(C237/10)),"")</f>
        <v/>
      </c>
    </row>
    <row r="238" spans="1:14" ht="31.5" x14ac:dyDescent="0.45">
      <c r="A238" s="3">
        <f ca="1">INDEX(INDIRECT($O$10),ROW(A238),COLUMN(A238))</f>
        <v>0</v>
      </c>
      <c r="B238" s="3">
        <f ca="1">INDEX(INDIRECT($O$10),ROW(B238),COLUMN(B238))</f>
        <v>0</v>
      </c>
      <c r="C238" s="5">
        <f ca="1">INDEX(INDIRECT($O$10),ROW(C238),COLUMN(C238))</f>
        <v>0</v>
      </c>
      <c r="D238" s="8">
        <f ca="1">INDEX(INDIRECT($O$10),ROW(D238),COLUMN(D238))</f>
        <v>0</v>
      </c>
      <c r="E238" s="12">
        <f ca="1">INDEX(INDIRECT($O$10),ROW(E238),COLUMN(E238))</f>
        <v>0</v>
      </c>
      <c r="F238" s="18">
        <f ca="1">INDEX(INDIRECT($O$10),ROW(F238),COLUMN(F238))</f>
        <v>0</v>
      </c>
      <c r="G238" s="10">
        <f ca="1">INDEX(INDIRECT($O$10),ROW(G238),COLUMN(G238))</f>
        <v>0</v>
      </c>
      <c r="H238" s="20">
        <f ca="1">INDEX(INDIRECT($O$10),ROW(H238),COLUMN(H238))</f>
        <v>0</v>
      </c>
      <c r="I238" s="22">
        <f ca="1">INDEX(INDIRECT($O$10),ROW(I238),COLUMN(I238))</f>
        <v>0</v>
      </c>
      <c r="J238" s="14">
        <f ca="1">INDEX(INDIRECT($O$10),ROW(J238),COLUMN(J238))</f>
        <v>0</v>
      </c>
      <c r="K238" s="16">
        <f ca="1">INDEX(INDIRECT($O$10),ROW(K238),COLUMN(K238))</f>
        <v>0</v>
      </c>
      <c r="L238" s="27">
        <f ca="1">INDEX(INDIRECT($O$10),ROW(L238),COLUMN(L238))</f>
        <v>0</v>
      </c>
      <c r="M238" s="29">
        <f ca="1">INDEX(INDIRECT($O$10),ROW(M238),COLUMN(M238))</f>
        <v>0</v>
      </c>
      <c r="N238" s="2" t="str">
        <f ca="1">IF(ISNUMBER($C238),codeEAN13(INT(C238/10)),"")</f>
        <v/>
      </c>
    </row>
    <row r="239" spans="1:14" ht="31.5" x14ac:dyDescent="0.45">
      <c r="A239" s="3">
        <f ca="1">INDEX(INDIRECT($O$10),ROW(A239),COLUMN(A239))</f>
        <v>0</v>
      </c>
      <c r="B239" s="3">
        <f ca="1">INDEX(INDIRECT($O$10),ROW(B239),COLUMN(B239))</f>
        <v>0</v>
      </c>
      <c r="C239" s="5">
        <f ca="1">INDEX(INDIRECT($O$10),ROW(C239),COLUMN(C239))</f>
        <v>0</v>
      </c>
      <c r="D239" s="8">
        <f ca="1">INDEX(INDIRECT($O$10),ROW(D239),COLUMN(D239))</f>
        <v>0</v>
      </c>
      <c r="E239" s="12">
        <f ca="1">INDEX(INDIRECT($O$10),ROW(E239),COLUMN(E239))</f>
        <v>0</v>
      </c>
      <c r="F239" s="18">
        <f ca="1">INDEX(INDIRECT($O$10),ROW(F239),COLUMN(F239))</f>
        <v>0</v>
      </c>
      <c r="G239" s="10">
        <f ca="1">INDEX(INDIRECT($O$10),ROW(G239),COLUMN(G239))</f>
        <v>0</v>
      </c>
      <c r="H239" s="20">
        <f ca="1">INDEX(INDIRECT($O$10),ROW(H239),COLUMN(H239))</f>
        <v>0</v>
      </c>
      <c r="I239" s="22">
        <f ca="1">INDEX(INDIRECT($O$10),ROW(I239),COLUMN(I239))</f>
        <v>0</v>
      </c>
      <c r="J239" s="14">
        <f ca="1">INDEX(INDIRECT($O$10),ROW(J239),COLUMN(J239))</f>
        <v>0</v>
      </c>
      <c r="K239" s="16">
        <f ca="1">INDEX(INDIRECT($O$10),ROW(K239),COLUMN(K239))</f>
        <v>0</v>
      </c>
      <c r="L239" s="27">
        <f ca="1">INDEX(INDIRECT($O$10),ROW(L239),COLUMN(L239))</f>
        <v>0</v>
      </c>
      <c r="M239" s="29">
        <f ca="1">INDEX(INDIRECT($O$10),ROW(M239),COLUMN(M239))</f>
        <v>0</v>
      </c>
      <c r="N239" s="2" t="str">
        <f ca="1">IF(ISNUMBER($C239),codeEAN13(INT(C239/10)),"")</f>
        <v/>
      </c>
    </row>
    <row r="240" spans="1:14" ht="31.5" x14ac:dyDescent="0.45">
      <c r="A240" s="3">
        <f ca="1">INDEX(INDIRECT($O$10),ROW(A240),COLUMN(A240))</f>
        <v>0</v>
      </c>
      <c r="B240" s="3">
        <f ca="1">INDEX(INDIRECT($O$10),ROW(B240),COLUMN(B240))</f>
        <v>0</v>
      </c>
      <c r="C240" s="5">
        <f ca="1">INDEX(INDIRECT($O$10),ROW(C240),COLUMN(C240))</f>
        <v>0</v>
      </c>
      <c r="D240" s="8">
        <f ca="1">INDEX(INDIRECT($O$10),ROW(D240),COLUMN(D240))</f>
        <v>0</v>
      </c>
      <c r="E240" s="12">
        <f ca="1">INDEX(INDIRECT($O$10),ROW(E240),COLUMN(E240))</f>
        <v>0</v>
      </c>
      <c r="F240" s="18">
        <f ca="1">INDEX(INDIRECT($O$10),ROW(F240),COLUMN(F240))</f>
        <v>0</v>
      </c>
      <c r="G240" s="10">
        <f ca="1">INDEX(INDIRECT($O$10),ROW(G240),COLUMN(G240))</f>
        <v>0</v>
      </c>
      <c r="H240" s="20">
        <f ca="1">INDEX(INDIRECT($O$10),ROW(H240),COLUMN(H240))</f>
        <v>0</v>
      </c>
      <c r="I240" s="22">
        <f ca="1">INDEX(INDIRECT($O$10),ROW(I240),COLUMN(I240))</f>
        <v>0</v>
      </c>
      <c r="J240" s="14">
        <f ca="1">INDEX(INDIRECT($O$10),ROW(J240),COLUMN(J240))</f>
        <v>0</v>
      </c>
      <c r="K240" s="16">
        <f ca="1">INDEX(INDIRECT($O$10),ROW(K240),COLUMN(K240))</f>
        <v>0</v>
      </c>
      <c r="L240" s="27">
        <f ca="1">INDEX(INDIRECT($O$10),ROW(L240),COLUMN(L240))</f>
        <v>0</v>
      </c>
      <c r="M240" s="29">
        <f ca="1">INDEX(INDIRECT($O$10),ROW(M240),COLUMN(M240))</f>
        <v>0</v>
      </c>
      <c r="N240" s="2" t="str">
        <f ca="1">IF(ISNUMBER($C240),codeEAN13(INT(C240/10)),"")</f>
        <v/>
      </c>
    </row>
    <row r="241" spans="1:14" ht="31.5" x14ac:dyDescent="0.45">
      <c r="A241" s="3">
        <f ca="1">INDEX(INDIRECT($O$10),ROW(A241),COLUMN(A241))</f>
        <v>0</v>
      </c>
      <c r="B241" s="3">
        <f ca="1">INDEX(INDIRECT($O$10),ROW(B241),COLUMN(B241))</f>
        <v>0</v>
      </c>
      <c r="C241" s="5">
        <f ca="1">INDEX(INDIRECT($O$10),ROW(C241),COLUMN(C241))</f>
        <v>0</v>
      </c>
      <c r="D241" s="8">
        <f ca="1">INDEX(INDIRECT($O$10),ROW(D241),COLUMN(D241))</f>
        <v>0</v>
      </c>
      <c r="E241" s="12">
        <f ca="1">INDEX(INDIRECT($O$10),ROW(E241),COLUMN(E241))</f>
        <v>0</v>
      </c>
      <c r="F241" s="18">
        <f ca="1">INDEX(INDIRECT($O$10),ROW(F241),COLUMN(F241))</f>
        <v>0</v>
      </c>
      <c r="G241" s="10">
        <f ca="1">INDEX(INDIRECT($O$10),ROW(G241),COLUMN(G241))</f>
        <v>0</v>
      </c>
      <c r="H241" s="20">
        <f ca="1">INDEX(INDIRECT($O$10),ROW(H241),COLUMN(H241))</f>
        <v>0</v>
      </c>
      <c r="I241" s="22">
        <f ca="1">INDEX(INDIRECT($O$10),ROW(I241),COLUMN(I241))</f>
        <v>0</v>
      </c>
      <c r="J241" s="14">
        <f ca="1">INDEX(INDIRECT($O$10),ROW(J241),COLUMN(J241))</f>
        <v>0</v>
      </c>
      <c r="K241" s="16">
        <f ca="1">INDEX(INDIRECT($O$10),ROW(K241),COLUMN(K241))</f>
        <v>0</v>
      </c>
      <c r="L241" s="27">
        <f ca="1">INDEX(INDIRECT($O$10),ROW(L241),COLUMN(L241))</f>
        <v>0</v>
      </c>
      <c r="M241" s="29">
        <f ca="1">INDEX(INDIRECT($O$10),ROW(M241),COLUMN(M241))</f>
        <v>0</v>
      </c>
      <c r="N241" s="2" t="str">
        <f ca="1">IF(ISNUMBER($C241),codeEAN13(INT(C241/10)),"")</f>
        <v/>
      </c>
    </row>
    <row r="242" spans="1:14" ht="31.5" x14ac:dyDescent="0.45">
      <c r="A242" s="3">
        <f ca="1">INDEX(INDIRECT($O$10),ROW(A242),COLUMN(A242))</f>
        <v>0</v>
      </c>
      <c r="B242" s="3">
        <f ca="1">INDEX(INDIRECT($O$10),ROW(B242),COLUMN(B242))</f>
        <v>0</v>
      </c>
      <c r="C242" s="5">
        <f ca="1">INDEX(INDIRECT($O$10),ROW(C242),COLUMN(C242))</f>
        <v>0</v>
      </c>
      <c r="D242" s="8">
        <f ca="1">INDEX(INDIRECT($O$10),ROW(D242),COLUMN(D242))</f>
        <v>0</v>
      </c>
      <c r="E242" s="12">
        <f ca="1">INDEX(INDIRECT($O$10),ROW(E242),COLUMN(E242))</f>
        <v>0</v>
      </c>
      <c r="F242" s="18">
        <f ca="1">INDEX(INDIRECT($O$10),ROW(F242),COLUMN(F242))</f>
        <v>0</v>
      </c>
      <c r="G242" s="10">
        <f ca="1">INDEX(INDIRECT($O$10),ROW(G242),COLUMN(G242))</f>
        <v>0</v>
      </c>
      <c r="H242" s="20">
        <f ca="1">INDEX(INDIRECT($O$10),ROW(H242),COLUMN(H242))</f>
        <v>0</v>
      </c>
      <c r="I242" s="22">
        <f ca="1">INDEX(INDIRECT($O$10),ROW(I242),COLUMN(I242))</f>
        <v>0</v>
      </c>
      <c r="J242" s="14">
        <f ca="1">INDEX(INDIRECT($O$10),ROW(J242),COLUMN(J242))</f>
        <v>0</v>
      </c>
      <c r="K242" s="16">
        <f ca="1">INDEX(INDIRECT($O$10),ROW(K242),COLUMN(K242))</f>
        <v>0</v>
      </c>
      <c r="L242" s="27">
        <f ca="1">INDEX(INDIRECT($O$10),ROW(L242),COLUMN(L242))</f>
        <v>0</v>
      </c>
      <c r="M242" s="29">
        <f ca="1">INDEX(INDIRECT($O$10),ROW(M242),COLUMN(M242))</f>
        <v>0</v>
      </c>
      <c r="N242" s="2" t="str">
        <f ca="1">IF(ISNUMBER($C242),codeEAN13(INT(C242/10)),"")</f>
        <v/>
      </c>
    </row>
    <row r="243" spans="1:14" ht="31.5" x14ac:dyDescent="0.45">
      <c r="A243" s="3">
        <f ca="1">INDEX(INDIRECT($O$10),ROW(A243),COLUMN(A243))</f>
        <v>0</v>
      </c>
      <c r="B243" s="3">
        <f ca="1">INDEX(INDIRECT($O$10),ROW(B243),COLUMN(B243))</f>
        <v>0</v>
      </c>
      <c r="C243" s="5">
        <f ca="1">INDEX(INDIRECT($O$10),ROW(C243),COLUMN(C243))</f>
        <v>0</v>
      </c>
      <c r="D243" s="8">
        <f ca="1">INDEX(INDIRECT($O$10),ROW(D243),COLUMN(D243))</f>
        <v>0</v>
      </c>
      <c r="E243" s="12">
        <f ca="1">INDEX(INDIRECT($O$10),ROW(E243),COLUMN(E243))</f>
        <v>0</v>
      </c>
      <c r="F243" s="18">
        <f ca="1">INDEX(INDIRECT($O$10),ROW(F243),COLUMN(F243))</f>
        <v>0</v>
      </c>
      <c r="G243" s="10">
        <f ca="1">INDEX(INDIRECT($O$10),ROW(G243),COLUMN(G243))</f>
        <v>0</v>
      </c>
      <c r="H243" s="20">
        <f ca="1">INDEX(INDIRECT($O$10),ROW(H243),COLUMN(H243))</f>
        <v>0</v>
      </c>
      <c r="I243" s="22">
        <f ca="1">INDEX(INDIRECT($O$10),ROW(I243),COLUMN(I243))</f>
        <v>0</v>
      </c>
      <c r="J243" s="14">
        <f ca="1">INDEX(INDIRECT($O$10),ROW(J243),COLUMN(J243))</f>
        <v>0</v>
      </c>
      <c r="K243" s="16">
        <f ca="1">INDEX(INDIRECT($O$10),ROW(K243),COLUMN(K243))</f>
        <v>0</v>
      </c>
      <c r="L243" s="27">
        <f ca="1">INDEX(INDIRECT($O$10),ROW(L243),COLUMN(L243))</f>
        <v>0</v>
      </c>
      <c r="M243" s="29">
        <f ca="1">INDEX(INDIRECT($O$10),ROW(M243),COLUMN(M243))</f>
        <v>0</v>
      </c>
      <c r="N243" s="2" t="str">
        <f ca="1">IF(ISNUMBER($C243),codeEAN13(INT(C243/10)),"")</f>
        <v/>
      </c>
    </row>
    <row r="244" spans="1:14" ht="31.5" x14ac:dyDescent="0.45">
      <c r="A244" s="3">
        <f ca="1">INDEX(INDIRECT($O$10),ROW(A244),COLUMN(A244))</f>
        <v>0</v>
      </c>
      <c r="B244" s="3">
        <f ca="1">INDEX(INDIRECT($O$10),ROW(B244),COLUMN(B244))</f>
        <v>0</v>
      </c>
      <c r="C244" s="5">
        <f ca="1">INDEX(INDIRECT($O$10),ROW(C244),COLUMN(C244))</f>
        <v>0</v>
      </c>
      <c r="D244" s="8">
        <f ca="1">INDEX(INDIRECT($O$10),ROW(D244),COLUMN(D244))</f>
        <v>0</v>
      </c>
      <c r="E244" s="12">
        <f ca="1">INDEX(INDIRECT($O$10),ROW(E244),COLUMN(E244))</f>
        <v>0</v>
      </c>
      <c r="F244" s="18">
        <f ca="1">INDEX(INDIRECT($O$10),ROW(F244),COLUMN(F244))</f>
        <v>0</v>
      </c>
      <c r="G244" s="10">
        <f ca="1">INDEX(INDIRECT($O$10),ROW(G244),COLUMN(G244))</f>
        <v>0</v>
      </c>
      <c r="H244" s="20">
        <f ca="1">INDEX(INDIRECT($O$10),ROW(H244),COLUMN(H244))</f>
        <v>0</v>
      </c>
      <c r="I244" s="22">
        <f ca="1">INDEX(INDIRECT($O$10),ROW(I244),COLUMN(I244))</f>
        <v>0</v>
      </c>
      <c r="J244" s="14">
        <f ca="1">INDEX(INDIRECT($O$10),ROW(J244),COLUMN(J244))</f>
        <v>0</v>
      </c>
      <c r="K244" s="16">
        <f ca="1">INDEX(INDIRECT($O$10),ROW(K244),COLUMN(K244))</f>
        <v>0</v>
      </c>
      <c r="L244" s="27">
        <f ca="1">INDEX(INDIRECT($O$10),ROW(L244),COLUMN(L244))</f>
        <v>0</v>
      </c>
      <c r="M244" s="29">
        <f ca="1">INDEX(INDIRECT($O$10),ROW(M244),COLUMN(M244))</f>
        <v>0</v>
      </c>
      <c r="N244" s="2" t="str">
        <f ca="1">IF(ISNUMBER($C244),codeEAN13(INT(C244/10)),"")</f>
        <v/>
      </c>
    </row>
    <row r="245" spans="1:14" ht="31.5" x14ac:dyDescent="0.45">
      <c r="A245" s="3">
        <f ca="1">INDEX(INDIRECT($O$10),ROW(A245),COLUMN(A245))</f>
        <v>0</v>
      </c>
      <c r="B245" s="3">
        <f ca="1">INDEX(INDIRECT($O$10),ROW(B245),COLUMN(B245))</f>
        <v>0</v>
      </c>
      <c r="C245" s="5">
        <f ca="1">INDEX(INDIRECT($O$10),ROW(C245),COLUMN(C245))</f>
        <v>0</v>
      </c>
      <c r="D245" s="8">
        <f ca="1">INDEX(INDIRECT($O$10),ROW(D245),COLUMN(D245))</f>
        <v>0</v>
      </c>
      <c r="E245" s="12">
        <f ca="1">INDEX(INDIRECT($O$10),ROW(E245),COLUMN(E245))</f>
        <v>0</v>
      </c>
      <c r="F245" s="18">
        <f ca="1">INDEX(INDIRECT($O$10),ROW(F245),COLUMN(F245))</f>
        <v>0</v>
      </c>
      <c r="G245" s="10">
        <f ca="1">INDEX(INDIRECT($O$10),ROW(G245),COLUMN(G245))</f>
        <v>0</v>
      </c>
      <c r="H245" s="20">
        <f ca="1">INDEX(INDIRECT($O$10),ROW(H245),COLUMN(H245))</f>
        <v>0</v>
      </c>
      <c r="I245" s="22">
        <f ca="1">INDEX(INDIRECT($O$10),ROW(I245),COLUMN(I245))</f>
        <v>0</v>
      </c>
      <c r="J245" s="14">
        <f ca="1">INDEX(INDIRECT($O$10),ROW(J245),COLUMN(J245))</f>
        <v>0</v>
      </c>
      <c r="K245" s="16">
        <f ca="1">INDEX(INDIRECT($O$10),ROW(K245),COLUMN(K245))</f>
        <v>0</v>
      </c>
      <c r="L245" s="27">
        <f ca="1">INDEX(INDIRECT($O$10),ROW(L245),COLUMN(L245))</f>
        <v>0</v>
      </c>
      <c r="M245" s="29">
        <f ca="1">INDEX(INDIRECT($O$10),ROW(M245),COLUMN(M245))</f>
        <v>0</v>
      </c>
      <c r="N245" s="2" t="str">
        <f ca="1">IF(ISNUMBER($C245),codeEAN13(INT(C245/10)),"")</f>
        <v/>
      </c>
    </row>
    <row r="246" spans="1:14" ht="31.5" x14ac:dyDescent="0.45">
      <c r="A246" s="3">
        <f ca="1">INDEX(INDIRECT($O$10),ROW(A246),COLUMN(A246))</f>
        <v>0</v>
      </c>
      <c r="B246" s="3">
        <f ca="1">INDEX(INDIRECT($O$10),ROW(B246),COLUMN(B246))</f>
        <v>0</v>
      </c>
      <c r="C246" s="5">
        <f ca="1">INDEX(INDIRECT($O$10),ROW(C246),COLUMN(C246))</f>
        <v>0</v>
      </c>
      <c r="D246" s="8">
        <f ca="1">INDEX(INDIRECT($O$10),ROW(D246),COLUMN(D246))</f>
        <v>0</v>
      </c>
      <c r="E246" s="12">
        <f ca="1">INDEX(INDIRECT($O$10),ROW(E246),COLUMN(E246))</f>
        <v>0</v>
      </c>
      <c r="F246" s="18">
        <f ca="1">INDEX(INDIRECT($O$10),ROW(F246),COLUMN(F246))</f>
        <v>0</v>
      </c>
      <c r="G246" s="10">
        <f ca="1">INDEX(INDIRECT($O$10),ROW(G246),COLUMN(G246))</f>
        <v>0</v>
      </c>
      <c r="H246" s="20">
        <f ca="1">INDEX(INDIRECT($O$10),ROW(H246),COLUMN(H246))</f>
        <v>0</v>
      </c>
      <c r="I246" s="22">
        <f ca="1">INDEX(INDIRECT($O$10),ROW(I246),COLUMN(I246))</f>
        <v>0</v>
      </c>
      <c r="J246" s="14">
        <f ca="1">INDEX(INDIRECT($O$10),ROW(J246),COLUMN(J246))</f>
        <v>0</v>
      </c>
      <c r="K246" s="16">
        <f ca="1">INDEX(INDIRECT($O$10),ROW(K246),COLUMN(K246))</f>
        <v>0</v>
      </c>
      <c r="L246" s="27">
        <f ca="1">INDEX(INDIRECT($O$10),ROW(L246),COLUMN(L246))</f>
        <v>0</v>
      </c>
      <c r="M246" s="29">
        <f ca="1">INDEX(INDIRECT($O$10),ROW(M246),COLUMN(M246))</f>
        <v>0</v>
      </c>
      <c r="N246" s="2" t="str">
        <f ca="1">IF(ISNUMBER($C246),codeEAN13(INT(C246/10)),"")</f>
        <v/>
      </c>
    </row>
    <row r="247" spans="1:14" ht="31.5" x14ac:dyDescent="0.45">
      <c r="A247" s="3">
        <f ca="1">INDEX(INDIRECT($O$10),ROW(A247),COLUMN(A247))</f>
        <v>0</v>
      </c>
      <c r="B247" s="3">
        <f ca="1">INDEX(INDIRECT($O$10),ROW(B247),COLUMN(B247))</f>
        <v>0</v>
      </c>
      <c r="C247" s="5">
        <f ca="1">INDEX(INDIRECT($O$10),ROW(C247),COLUMN(C247))</f>
        <v>0</v>
      </c>
      <c r="D247" s="8">
        <f ca="1">INDEX(INDIRECT($O$10),ROW(D247),COLUMN(D247))</f>
        <v>0</v>
      </c>
      <c r="E247" s="12">
        <f ca="1">INDEX(INDIRECT($O$10),ROW(E247),COLUMN(E247))</f>
        <v>0</v>
      </c>
      <c r="F247" s="18">
        <f ca="1">INDEX(INDIRECT($O$10),ROW(F247),COLUMN(F247))</f>
        <v>0</v>
      </c>
      <c r="G247" s="10">
        <f ca="1">INDEX(INDIRECT($O$10),ROW(G247),COLUMN(G247))</f>
        <v>0</v>
      </c>
      <c r="H247" s="20">
        <f ca="1">INDEX(INDIRECT($O$10),ROW(H247),COLUMN(H247))</f>
        <v>0</v>
      </c>
      <c r="I247" s="22">
        <f ca="1">INDEX(INDIRECT($O$10),ROW(I247),COLUMN(I247))</f>
        <v>0</v>
      </c>
      <c r="J247" s="14">
        <f ca="1">INDEX(INDIRECT($O$10),ROW(J247),COLUMN(J247))</f>
        <v>0</v>
      </c>
      <c r="K247" s="16">
        <f ca="1">INDEX(INDIRECT($O$10),ROW(K247),COLUMN(K247))</f>
        <v>0</v>
      </c>
      <c r="L247" s="27">
        <f ca="1">INDEX(INDIRECT($O$10),ROW(L247),COLUMN(L247))</f>
        <v>0</v>
      </c>
      <c r="M247" s="29">
        <f ca="1">INDEX(INDIRECT($O$10),ROW(M247),COLUMN(M247))</f>
        <v>0</v>
      </c>
      <c r="N247" s="2" t="str">
        <f ca="1">IF(ISNUMBER($C247),codeEAN13(INT(C247/10)),"")</f>
        <v/>
      </c>
    </row>
    <row r="248" spans="1:14" ht="31.5" x14ac:dyDescent="0.45">
      <c r="A248" s="3">
        <f ca="1">INDEX(INDIRECT($O$10),ROW(A248),COLUMN(A248))</f>
        <v>0</v>
      </c>
      <c r="B248" s="3">
        <f ca="1">INDEX(INDIRECT($O$10),ROW(B248),COLUMN(B248))</f>
        <v>0</v>
      </c>
      <c r="C248" s="5">
        <f ca="1">INDEX(INDIRECT($O$10),ROW(C248),COLUMN(C248))</f>
        <v>0</v>
      </c>
      <c r="D248" s="8">
        <f ca="1">INDEX(INDIRECT($O$10),ROW(D248),COLUMN(D248))</f>
        <v>0</v>
      </c>
      <c r="E248" s="12">
        <f ca="1">INDEX(INDIRECT($O$10),ROW(E248),COLUMN(E248))</f>
        <v>0</v>
      </c>
      <c r="F248" s="18">
        <f ca="1">INDEX(INDIRECT($O$10),ROW(F248),COLUMN(F248))</f>
        <v>0</v>
      </c>
      <c r="G248" s="10">
        <f ca="1">INDEX(INDIRECT($O$10),ROW(G248),COLUMN(G248))</f>
        <v>0</v>
      </c>
      <c r="H248" s="20">
        <f ca="1">INDEX(INDIRECT($O$10),ROW(H248),COLUMN(H248))</f>
        <v>0</v>
      </c>
      <c r="I248" s="22">
        <f ca="1">INDEX(INDIRECT($O$10),ROW(I248),COLUMN(I248))</f>
        <v>0</v>
      </c>
      <c r="J248" s="14">
        <f ca="1">INDEX(INDIRECT($O$10),ROW(J248),COLUMN(J248))</f>
        <v>0</v>
      </c>
      <c r="K248" s="16">
        <f ca="1">INDEX(INDIRECT($O$10),ROW(K248),COLUMN(K248))</f>
        <v>0</v>
      </c>
      <c r="L248" s="27">
        <f ca="1">INDEX(INDIRECT($O$10),ROW(L248),COLUMN(L248))</f>
        <v>0</v>
      </c>
      <c r="M248" s="29">
        <f ca="1">INDEX(INDIRECT($O$10),ROW(M248),COLUMN(M248))</f>
        <v>0</v>
      </c>
      <c r="N248" s="2" t="str">
        <f ca="1">IF(ISNUMBER($C248),codeEAN13(INT(C248/10)),"")</f>
        <v/>
      </c>
    </row>
    <row r="249" spans="1:14" ht="31.5" x14ac:dyDescent="0.45">
      <c r="A249" s="3">
        <f ca="1">INDEX(INDIRECT($O$10),ROW(A249),COLUMN(A249))</f>
        <v>0</v>
      </c>
      <c r="B249" s="3">
        <f ca="1">INDEX(INDIRECT($O$10),ROW(B249),COLUMN(B249))</f>
        <v>0</v>
      </c>
      <c r="C249" s="5">
        <f ca="1">INDEX(INDIRECT($O$10),ROW(C249),COLUMN(C249))</f>
        <v>0</v>
      </c>
      <c r="D249" s="8">
        <f ca="1">INDEX(INDIRECT($O$10),ROW(D249),COLUMN(D249))</f>
        <v>0</v>
      </c>
      <c r="E249" s="12">
        <f ca="1">INDEX(INDIRECT($O$10),ROW(E249),COLUMN(E249))</f>
        <v>0</v>
      </c>
      <c r="F249" s="18">
        <f ca="1">INDEX(INDIRECT($O$10),ROW(F249),COLUMN(F249))</f>
        <v>0</v>
      </c>
      <c r="G249" s="10">
        <f ca="1">INDEX(INDIRECT($O$10),ROW(G249),COLUMN(G249))</f>
        <v>0</v>
      </c>
      <c r="H249" s="20">
        <f ca="1">INDEX(INDIRECT($O$10),ROW(H249),COLUMN(H249))</f>
        <v>0</v>
      </c>
      <c r="I249" s="22">
        <f ca="1">INDEX(INDIRECT($O$10),ROW(I249),COLUMN(I249))</f>
        <v>0</v>
      </c>
      <c r="J249" s="14">
        <f ca="1">INDEX(INDIRECT($O$10),ROW(J249),COLUMN(J249))</f>
        <v>0</v>
      </c>
      <c r="K249" s="16">
        <f ca="1">INDEX(INDIRECT($O$10),ROW(K249),COLUMN(K249))</f>
        <v>0</v>
      </c>
      <c r="L249" s="27">
        <f ca="1">INDEX(INDIRECT($O$10),ROW(L249),COLUMN(L249))</f>
        <v>0</v>
      </c>
      <c r="M249" s="29">
        <f ca="1">INDEX(INDIRECT($O$10),ROW(M249),COLUMN(M249))</f>
        <v>0</v>
      </c>
      <c r="N249" s="2" t="str">
        <f ca="1">IF(ISNUMBER($C249),codeEAN13(INT(C249/10)),"")</f>
        <v/>
      </c>
    </row>
    <row r="250" spans="1:14" ht="31.5" x14ac:dyDescent="0.45">
      <c r="A250" s="3">
        <f ca="1">INDEX(INDIRECT($O$10),ROW(A250),COLUMN(A250))</f>
        <v>0</v>
      </c>
      <c r="B250" s="3">
        <f ca="1">INDEX(INDIRECT($O$10),ROW(B250),COLUMN(B250))</f>
        <v>0</v>
      </c>
      <c r="C250" s="5">
        <f ca="1">INDEX(INDIRECT($O$10),ROW(C250),COLUMN(C250))</f>
        <v>0</v>
      </c>
      <c r="D250" s="8">
        <f ca="1">INDEX(INDIRECT($O$10),ROW(D250),COLUMN(D250))</f>
        <v>0</v>
      </c>
      <c r="E250" s="12">
        <f ca="1">INDEX(INDIRECT($O$10),ROW(E250),COLUMN(E250))</f>
        <v>0</v>
      </c>
      <c r="F250" s="18">
        <f ca="1">INDEX(INDIRECT($O$10),ROW(F250),COLUMN(F250))</f>
        <v>0</v>
      </c>
      <c r="G250" s="10">
        <f ca="1">INDEX(INDIRECT($O$10),ROW(G250),COLUMN(G250))</f>
        <v>0</v>
      </c>
      <c r="H250" s="20">
        <f ca="1">INDEX(INDIRECT($O$10),ROW(H250),COLUMN(H250))</f>
        <v>0</v>
      </c>
      <c r="I250" s="22">
        <f ca="1">INDEX(INDIRECT($O$10),ROW(I250),COLUMN(I250))</f>
        <v>0</v>
      </c>
      <c r="J250" s="14">
        <f ca="1">INDEX(INDIRECT($O$10),ROW(J250),COLUMN(J250))</f>
        <v>0</v>
      </c>
      <c r="K250" s="16">
        <f ca="1">INDEX(INDIRECT($O$10),ROW(K250),COLUMN(K250))</f>
        <v>0</v>
      </c>
      <c r="L250" s="27">
        <f ca="1">INDEX(INDIRECT($O$10),ROW(L250),COLUMN(L250))</f>
        <v>0</v>
      </c>
      <c r="M250" s="29">
        <f ca="1">INDEX(INDIRECT($O$10),ROW(M250),COLUMN(M250))</f>
        <v>0</v>
      </c>
      <c r="N250" s="2" t="str">
        <f ca="1">IF(ISNUMBER($C250),codeEAN13(INT(C250/10)),"")</f>
        <v/>
      </c>
    </row>
    <row r="251" spans="1:14" ht="31.5" x14ac:dyDescent="0.45">
      <c r="A251" s="3">
        <f ca="1">INDEX(INDIRECT($O$10),ROW(A251),COLUMN(A251))</f>
        <v>0</v>
      </c>
      <c r="B251" s="3">
        <f ca="1">INDEX(INDIRECT($O$10),ROW(B251),COLUMN(B251))</f>
        <v>0</v>
      </c>
      <c r="C251" s="5">
        <f ca="1">INDEX(INDIRECT($O$10),ROW(C251),COLUMN(C251))</f>
        <v>0</v>
      </c>
      <c r="D251" s="8">
        <f ca="1">INDEX(INDIRECT($O$10),ROW(D251),COLUMN(D251))</f>
        <v>0</v>
      </c>
      <c r="E251" s="12">
        <f ca="1">INDEX(INDIRECT($O$10),ROW(E251),COLUMN(E251))</f>
        <v>0</v>
      </c>
      <c r="F251" s="18">
        <f ca="1">INDEX(INDIRECT($O$10),ROW(F251),COLUMN(F251))</f>
        <v>0</v>
      </c>
      <c r="G251" s="10">
        <f ca="1">INDEX(INDIRECT($O$10),ROW(G251),COLUMN(G251))</f>
        <v>0</v>
      </c>
      <c r="H251" s="20">
        <f ca="1">INDEX(INDIRECT($O$10),ROW(H251),COLUMN(H251))</f>
        <v>0</v>
      </c>
      <c r="I251" s="22">
        <f ca="1">INDEX(INDIRECT($O$10),ROW(I251),COLUMN(I251))</f>
        <v>0</v>
      </c>
      <c r="J251" s="14">
        <f ca="1">INDEX(INDIRECT($O$10),ROW(J251),COLUMN(J251))</f>
        <v>0</v>
      </c>
      <c r="K251" s="16">
        <f ca="1">INDEX(INDIRECT($O$10),ROW(K251),COLUMN(K251))</f>
        <v>0</v>
      </c>
      <c r="L251" s="27">
        <f ca="1">INDEX(INDIRECT($O$10),ROW(L251),COLUMN(L251))</f>
        <v>0</v>
      </c>
      <c r="M251" s="29">
        <f ca="1">INDEX(INDIRECT($O$10),ROW(M251),COLUMN(M251))</f>
        <v>0</v>
      </c>
      <c r="N251" s="2" t="str">
        <f ca="1">IF(ISNUMBER($C251),codeEAN13(INT(C251/10)),"")</f>
        <v/>
      </c>
    </row>
    <row r="252" spans="1:14" ht="31.5" x14ac:dyDescent="0.45">
      <c r="A252" s="3">
        <f ca="1">INDEX(INDIRECT($O$10),ROW(A252),COLUMN(A252))</f>
        <v>0</v>
      </c>
      <c r="B252" s="3">
        <f ca="1">INDEX(INDIRECT($O$10),ROW(B252),COLUMN(B252))</f>
        <v>0</v>
      </c>
      <c r="C252" s="5">
        <f ca="1">INDEX(INDIRECT($O$10),ROW(C252),COLUMN(C252))</f>
        <v>0</v>
      </c>
      <c r="D252" s="8">
        <f ca="1">INDEX(INDIRECT($O$10),ROW(D252),COLUMN(D252))</f>
        <v>0</v>
      </c>
      <c r="E252" s="12">
        <f ca="1">INDEX(INDIRECT($O$10),ROW(E252),COLUMN(E252))</f>
        <v>0</v>
      </c>
      <c r="F252" s="18">
        <f ca="1">INDEX(INDIRECT($O$10),ROW(F252),COLUMN(F252))</f>
        <v>0</v>
      </c>
      <c r="G252" s="10">
        <f ca="1">INDEX(INDIRECT($O$10),ROW(G252),COLUMN(G252))</f>
        <v>0</v>
      </c>
      <c r="H252" s="20">
        <f ca="1">INDEX(INDIRECT($O$10),ROW(H252),COLUMN(H252))</f>
        <v>0</v>
      </c>
      <c r="I252" s="22">
        <f ca="1">INDEX(INDIRECT($O$10),ROW(I252),COLUMN(I252))</f>
        <v>0</v>
      </c>
      <c r="J252" s="14">
        <f ca="1">INDEX(INDIRECT($O$10),ROW(J252),COLUMN(J252))</f>
        <v>0</v>
      </c>
      <c r="K252" s="16">
        <f ca="1">INDEX(INDIRECT($O$10),ROW(K252),COLUMN(K252))</f>
        <v>0</v>
      </c>
      <c r="L252" s="27">
        <f ca="1">INDEX(INDIRECT($O$10),ROW(L252),COLUMN(L252))</f>
        <v>0</v>
      </c>
      <c r="M252" s="29">
        <f ca="1">INDEX(INDIRECT($O$10),ROW(M252),COLUMN(M252))</f>
        <v>0</v>
      </c>
      <c r="N252" s="2" t="str">
        <f ca="1">IF(ISNUMBER($C252),codeEAN13(INT(C252/10)),"")</f>
        <v/>
      </c>
    </row>
    <row r="253" spans="1:14" ht="31.5" x14ac:dyDescent="0.45">
      <c r="A253" s="3">
        <f ca="1">INDEX(INDIRECT($O$10),ROW(A253),COLUMN(A253))</f>
        <v>0</v>
      </c>
      <c r="B253" s="3">
        <f ca="1">INDEX(INDIRECT($O$10),ROW(B253),COLUMN(B253))</f>
        <v>0</v>
      </c>
      <c r="C253" s="5">
        <f ca="1">INDEX(INDIRECT($O$10),ROW(C253),COLUMN(C253))</f>
        <v>0</v>
      </c>
      <c r="D253" s="8">
        <f ca="1">INDEX(INDIRECT($O$10),ROW(D253),COLUMN(D253))</f>
        <v>0</v>
      </c>
      <c r="E253" s="12">
        <f ca="1">INDEX(INDIRECT($O$10),ROW(E253),COLUMN(E253))</f>
        <v>0</v>
      </c>
      <c r="F253" s="18">
        <f ca="1">INDEX(INDIRECT($O$10),ROW(F253),COLUMN(F253))</f>
        <v>0</v>
      </c>
      <c r="G253" s="10">
        <f ca="1">INDEX(INDIRECT($O$10),ROW(G253),COLUMN(G253))</f>
        <v>0</v>
      </c>
      <c r="H253" s="20">
        <f ca="1">INDEX(INDIRECT($O$10),ROW(H253),COLUMN(H253))</f>
        <v>0</v>
      </c>
      <c r="I253" s="22">
        <f ca="1">INDEX(INDIRECT($O$10),ROW(I253),COLUMN(I253))</f>
        <v>0</v>
      </c>
      <c r="J253" s="14">
        <f ca="1">INDEX(INDIRECT($O$10),ROW(J253),COLUMN(J253))</f>
        <v>0</v>
      </c>
      <c r="K253" s="16">
        <f ca="1">INDEX(INDIRECT($O$10),ROW(K253),COLUMN(K253))</f>
        <v>0</v>
      </c>
      <c r="L253" s="27">
        <f ca="1">INDEX(INDIRECT($O$10),ROW(L253),COLUMN(L253))</f>
        <v>0</v>
      </c>
      <c r="M253" s="29">
        <f ca="1">INDEX(INDIRECT($O$10),ROW(M253),COLUMN(M253))</f>
        <v>0</v>
      </c>
      <c r="N253" s="2" t="str">
        <f ca="1">IF(ISNUMBER($C253),codeEAN13(INT(C253/10)),"")</f>
        <v/>
      </c>
    </row>
    <row r="254" spans="1:14" ht="31.5" x14ac:dyDescent="0.45">
      <c r="A254" s="3">
        <f ca="1">INDEX(INDIRECT($O$10),ROW(A254),COLUMN(A254))</f>
        <v>0</v>
      </c>
      <c r="B254" s="3">
        <f ca="1">INDEX(INDIRECT($O$10),ROW(B254),COLUMN(B254))</f>
        <v>0</v>
      </c>
      <c r="C254" s="5">
        <f ca="1">INDEX(INDIRECT($O$10),ROW(C254),COLUMN(C254))</f>
        <v>0</v>
      </c>
      <c r="D254" s="8">
        <f ca="1">INDEX(INDIRECT($O$10),ROW(D254),COLUMN(D254))</f>
        <v>0</v>
      </c>
      <c r="E254" s="12">
        <f ca="1">INDEX(INDIRECT($O$10),ROW(E254),COLUMN(E254))</f>
        <v>0</v>
      </c>
      <c r="F254" s="18">
        <f ca="1">INDEX(INDIRECT($O$10),ROW(F254),COLUMN(F254))</f>
        <v>0</v>
      </c>
      <c r="G254" s="10">
        <f ca="1">INDEX(INDIRECT($O$10),ROW(G254),COLUMN(G254))</f>
        <v>0</v>
      </c>
      <c r="H254" s="20">
        <f ca="1">INDEX(INDIRECT($O$10),ROW(H254),COLUMN(H254))</f>
        <v>0</v>
      </c>
      <c r="I254" s="22">
        <f ca="1">INDEX(INDIRECT($O$10),ROW(I254),COLUMN(I254))</f>
        <v>0</v>
      </c>
      <c r="J254" s="14">
        <f ca="1">INDEX(INDIRECT($O$10),ROW(J254),COLUMN(J254))</f>
        <v>0</v>
      </c>
      <c r="K254" s="16">
        <f ca="1">INDEX(INDIRECT($O$10),ROW(K254),COLUMN(K254))</f>
        <v>0</v>
      </c>
      <c r="L254" s="27">
        <f ca="1">INDEX(INDIRECT($O$10),ROW(L254),COLUMN(L254))</f>
        <v>0</v>
      </c>
      <c r="M254" s="29">
        <f ca="1">INDEX(INDIRECT($O$10),ROW(M254),COLUMN(M254))</f>
        <v>0</v>
      </c>
      <c r="N254" s="2" t="str">
        <f ca="1">IF(ISNUMBER($C254),codeEAN13(INT(C254/10)),"")</f>
        <v/>
      </c>
    </row>
    <row r="255" spans="1:14" ht="31.5" x14ac:dyDescent="0.45">
      <c r="A255" s="3">
        <f ca="1">INDEX(INDIRECT($O$10),ROW(A255),COLUMN(A255))</f>
        <v>0</v>
      </c>
      <c r="B255" s="3">
        <f ca="1">INDEX(INDIRECT($O$10),ROW(B255),COLUMN(B255))</f>
        <v>0</v>
      </c>
      <c r="C255" s="5">
        <f ca="1">INDEX(INDIRECT($O$10),ROW(C255),COLUMN(C255))</f>
        <v>0</v>
      </c>
      <c r="D255" s="8">
        <f ca="1">INDEX(INDIRECT($O$10),ROW(D255),COLUMN(D255))</f>
        <v>0</v>
      </c>
      <c r="E255" s="12">
        <f ca="1">INDEX(INDIRECT($O$10),ROW(E255),COLUMN(E255))</f>
        <v>0</v>
      </c>
      <c r="F255" s="18">
        <f ca="1">INDEX(INDIRECT($O$10),ROW(F255),COLUMN(F255))</f>
        <v>0</v>
      </c>
      <c r="G255" s="10">
        <f ca="1">INDEX(INDIRECT($O$10),ROW(G255),COLUMN(G255))</f>
        <v>0</v>
      </c>
      <c r="H255" s="20">
        <f ca="1">INDEX(INDIRECT($O$10),ROW(H255),COLUMN(H255))</f>
        <v>0</v>
      </c>
      <c r="I255" s="22">
        <f ca="1">INDEX(INDIRECT($O$10),ROW(I255),COLUMN(I255))</f>
        <v>0</v>
      </c>
      <c r="J255" s="14">
        <f ca="1">INDEX(INDIRECT($O$10),ROW(J255),COLUMN(J255))</f>
        <v>0</v>
      </c>
      <c r="K255" s="16">
        <f ca="1">INDEX(INDIRECT($O$10),ROW(K255),COLUMN(K255))</f>
        <v>0</v>
      </c>
      <c r="L255" s="27">
        <f ca="1">INDEX(INDIRECT($O$10),ROW(L255),COLUMN(L255))</f>
        <v>0</v>
      </c>
      <c r="M255" s="29">
        <f ca="1">INDEX(INDIRECT($O$10),ROW(M255),COLUMN(M255))</f>
        <v>0</v>
      </c>
      <c r="N255" s="2" t="str">
        <f ca="1">IF(ISNUMBER($C255),codeEAN13(INT(C255/10)),"")</f>
        <v/>
      </c>
    </row>
    <row r="256" spans="1:14" ht="31.5" x14ac:dyDescent="0.45">
      <c r="A256" s="3">
        <f ca="1">INDEX(INDIRECT($O$10),ROW(A256),COLUMN(A256))</f>
        <v>0</v>
      </c>
      <c r="B256" s="3">
        <f ca="1">INDEX(INDIRECT($O$10),ROW(B256),COLUMN(B256))</f>
        <v>0</v>
      </c>
      <c r="C256" s="5">
        <f ca="1">INDEX(INDIRECT($O$10),ROW(C256),COLUMN(C256))</f>
        <v>0</v>
      </c>
      <c r="D256" s="8">
        <f ca="1">INDEX(INDIRECT($O$10),ROW(D256),COLUMN(D256))</f>
        <v>0</v>
      </c>
      <c r="E256" s="12">
        <f ca="1">INDEX(INDIRECT($O$10),ROW(E256),COLUMN(E256))</f>
        <v>0</v>
      </c>
      <c r="F256" s="18">
        <f ca="1">INDEX(INDIRECT($O$10),ROW(F256),COLUMN(F256))</f>
        <v>0</v>
      </c>
      <c r="G256" s="10">
        <f ca="1">INDEX(INDIRECT($O$10),ROW(G256),COLUMN(G256))</f>
        <v>0</v>
      </c>
      <c r="H256" s="20">
        <f ca="1">INDEX(INDIRECT($O$10),ROW(H256),COLUMN(H256))</f>
        <v>0</v>
      </c>
      <c r="I256" s="22">
        <f ca="1">INDEX(INDIRECT($O$10),ROW(I256),COLUMN(I256))</f>
        <v>0</v>
      </c>
      <c r="J256" s="14">
        <f ca="1">INDEX(INDIRECT($O$10),ROW(J256),COLUMN(J256))</f>
        <v>0</v>
      </c>
      <c r="K256" s="16">
        <f ca="1">INDEX(INDIRECT($O$10),ROW(K256),COLUMN(K256))</f>
        <v>0</v>
      </c>
      <c r="L256" s="27">
        <f ca="1">INDEX(INDIRECT($O$10),ROW(L256),COLUMN(L256))</f>
        <v>0</v>
      </c>
      <c r="M256" s="29">
        <f ca="1">INDEX(INDIRECT($O$10),ROW(M256),COLUMN(M256))</f>
        <v>0</v>
      </c>
      <c r="N256" s="2" t="str">
        <f ca="1">IF(ISNUMBER($C256),codeEAN13(INT(C256/10)),"")</f>
        <v/>
      </c>
    </row>
  </sheetData>
  <conditionalFormatting sqref="A2:E150">
    <cfRule type="expression" dxfId="4" priority="4">
      <formula>$A2=$A3</formula>
    </cfRule>
  </conditionalFormatting>
  <conditionalFormatting sqref="A1">
    <cfRule type="expression" dxfId="3" priority="3">
      <formula>$A1=$A2</formula>
    </cfRule>
  </conditionalFormatting>
  <conditionalFormatting sqref="N1">
    <cfRule type="expression" dxfId="2" priority="2">
      <formula>$A1=$A2</formula>
    </cfRule>
  </conditionalFormatting>
  <conditionalFormatting sqref="N2:N3">
    <cfRule type="expression" dxfId="1" priority="1">
      <formula>$A2=$A3</formula>
    </cfRule>
  </conditionalFormatting>
  <conditionalFormatting sqref="A151:E256">
    <cfRule type="expression" dxfId="0" priority="6">
      <formula>$A151=#REF!</formula>
    </cfRule>
  </conditionalFormatting>
  <dataValidations disablePrompts="1"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69" fitToHeight="0" orientation="landscape" r:id="rId1"/>
  <headerFooter>
    <oddFooter>&amp;L&amp;F &amp;A&amp;C&amp;P / &amp;N&amp;R&amp;D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Synthèse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NH RC) - AF</cp:lastModifiedBy>
  <cp:lastPrinted>2019-07-31T16:09:53Z</cp:lastPrinted>
  <dcterms:created xsi:type="dcterms:W3CDTF">2019-01-26T14:59:38Z</dcterms:created>
  <dcterms:modified xsi:type="dcterms:W3CDTF">2019-10-04T21:28:11Z</dcterms:modified>
</cp:coreProperties>
</file>