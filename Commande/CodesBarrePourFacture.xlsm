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definedNames>
    <definedName name="listeFichierPDF">Feuil2!$A:$A</definedName>
    <definedName name="_xlnm.Print_Area" localSheetId="0">Synthèse!$A:$N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O7" i="1"/>
  <c r="O8" i="1" l="1"/>
  <c r="O10" i="1" s="1"/>
  <c r="A152" i="1"/>
  <c r="C153" i="1"/>
  <c r="E154" i="1"/>
  <c r="G155" i="1"/>
  <c r="I156" i="1"/>
  <c r="K157" i="1"/>
  <c r="M158" i="1"/>
  <c r="A160" i="1"/>
  <c r="C161" i="1"/>
  <c r="E152" i="1"/>
  <c r="G153" i="1"/>
  <c r="I154" i="1"/>
  <c r="K155" i="1"/>
  <c r="M156" i="1"/>
  <c r="A158" i="1"/>
  <c r="C159" i="1"/>
  <c r="E160" i="1"/>
  <c r="G161" i="1"/>
  <c r="I162" i="1"/>
  <c r="K163" i="1"/>
  <c r="M164" i="1"/>
  <c r="A166" i="1"/>
  <c r="C167" i="1"/>
  <c r="E168" i="1"/>
  <c r="G169" i="1"/>
  <c r="I170" i="1"/>
  <c r="F152" i="1"/>
  <c r="L153" i="1"/>
  <c r="D155" i="1"/>
  <c r="F156" i="1"/>
  <c r="L157" i="1"/>
  <c r="D159" i="1"/>
  <c r="F160" i="1"/>
  <c r="L161" i="1"/>
  <c r="D163" i="1"/>
  <c r="F164" i="1"/>
  <c r="L165" i="1"/>
  <c r="D167" i="1"/>
  <c r="F168" i="1"/>
  <c r="L169" i="1"/>
  <c r="K152" i="1"/>
  <c r="M153" i="1"/>
  <c r="A155" i="1"/>
  <c r="C156" i="1"/>
  <c r="E157" i="1"/>
  <c r="G158" i="1"/>
  <c r="I159" i="1"/>
  <c r="K160" i="1"/>
  <c r="M161" i="1"/>
  <c r="A163" i="1"/>
  <c r="C164" i="1"/>
  <c r="E165" i="1"/>
  <c r="G166" i="1"/>
  <c r="I167" i="1"/>
  <c r="K168" i="1"/>
  <c r="M169" i="1"/>
  <c r="A171" i="1"/>
  <c r="C172" i="1"/>
  <c r="E173" i="1"/>
  <c r="G174" i="1"/>
  <c r="I175" i="1"/>
  <c r="K176" i="1"/>
  <c r="M177" i="1"/>
  <c r="A179" i="1"/>
  <c r="C180" i="1"/>
  <c r="E181" i="1"/>
  <c r="G182" i="1"/>
  <c r="I183" i="1"/>
  <c r="K184" i="1"/>
  <c r="M185" i="1"/>
  <c r="A187" i="1"/>
  <c r="C188" i="1"/>
  <c r="J155" i="1"/>
  <c r="F161" i="1"/>
  <c r="B167" i="1"/>
  <c r="G171" i="1"/>
  <c r="F173" i="1"/>
  <c r="M174" i="1"/>
  <c r="F176" i="1"/>
  <c r="E178" i="1"/>
  <c r="L179" i="1"/>
  <c r="K181" i="1"/>
  <c r="D183" i="1"/>
  <c r="L184" i="1"/>
  <c r="J186" i="1"/>
  <c r="D188" i="1"/>
  <c r="F189" i="1"/>
  <c r="L190" i="1"/>
  <c r="D192" i="1"/>
  <c r="F193" i="1"/>
  <c r="L194" i="1"/>
  <c r="D196" i="1"/>
  <c r="F197" i="1"/>
  <c r="L198" i="1"/>
  <c r="D200" i="1"/>
  <c r="F201" i="1"/>
  <c r="L202" i="1"/>
  <c r="D204" i="1"/>
  <c r="D156" i="1"/>
  <c r="L160" i="1"/>
  <c r="H166" i="1"/>
  <c r="D171" i="1"/>
  <c r="L172" i="1"/>
  <c r="J174" i="1"/>
  <c r="D176" i="1"/>
  <c r="B178" i="1"/>
  <c r="J179" i="1"/>
  <c r="C181" i="1"/>
  <c r="B183" i="1"/>
  <c r="I184" i="1"/>
  <c r="H186" i="1"/>
  <c r="A188" i="1"/>
  <c r="H189" i="1"/>
  <c r="J190" i="1"/>
  <c r="B192" i="1"/>
  <c r="H193" i="1"/>
  <c r="J194" i="1"/>
  <c r="B196" i="1"/>
  <c r="H197" i="1"/>
  <c r="J198" i="1"/>
  <c r="B200" i="1"/>
  <c r="H201" i="1"/>
  <c r="J202" i="1"/>
  <c r="F159" i="1"/>
  <c r="H170" i="1"/>
  <c r="L173" i="1"/>
  <c r="M176" i="1"/>
  <c r="J180" i="1"/>
  <c r="H184" i="1"/>
  <c r="H187" i="1"/>
  <c r="A190" i="1"/>
  <c r="E192" i="1"/>
  <c r="I194" i="1"/>
  <c r="M196" i="1"/>
  <c r="C199" i="1"/>
  <c r="G201" i="1"/>
  <c r="K153" i="1"/>
  <c r="A156" i="1"/>
  <c r="E158" i="1"/>
  <c r="I160" i="1"/>
  <c r="E162" i="1"/>
  <c r="A164" i="1"/>
  <c r="G165" i="1"/>
  <c r="M166" i="1"/>
  <c r="I168" i="1"/>
  <c r="A170" i="1"/>
  <c r="B152" i="1"/>
  <c r="B154" i="1"/>
  <c r="L155" i="1"/>
  <c r="H157" i="1"/>
  <c r="H159" i="1"/>
  <c r="D161" i="1"/>
  <c r="J162" i="1"/>
  <c r="J164" i="1"/>
  <c r="F166" i="1"/>
  <c r="B168" i="1"/>
  <c r="B170" i="1"/>
  <c r="E153" i="1"/>
  <c r="K154" i="1"/>
  <c r="G156" i="1"/>
  <c r="M157" i="1"/>
  <c r="E159" i="1"/>
  <c r="A161" i="1"/>
  <c r="G162" i="1"/>
  <c r="M163" i="1"/>
  <c r="I165" i="1"/>
  <c r="A167" i="1"/>
  <c r="G168" i="1"/>
  <c r="C170" i="1"/>
  <c r="I171" i="1"/>
  <c r="A173" i="1"/>
  <c r="K174" i="1"/>
  <c r="C176" i="1"/>
  <c r="I177" i="1"/>
  <c r="E179" i="1"/>
  <c r="K180" i="1"/>
  <c r="C182" i="1"/>
  <c r="M183" i="1"/>
  <c r="E185" i="1"/>
  <c r="K186" i="1"/>
  <c r="D152" i="1"/>
  <c r="B159" i="1"/>
  <c r="L164" i="1"/>
  <c r="L171" i="1"/>
  <c r="B174" i="1"/>
  <c r="A176" i="1"/>
  <c r="J178" i="1"/>
  <c r="I180" i="1"/>
  <c r="M182" i="1"/>
  <c r="C185" i="1"/>
  <c r="G187" i="1"/>
  <c r="B189" i="1"/>
  <c r="B191" i="1"/>
  <c r="L192" i="1"/>
  <c r="H194" i="1"/>
  <c r="H196" i="1"/>
  <c r="D198" i="1"/>
  <c r="J199" i="1"/>
  <c r="J201" i="1"/>
  <c r="F203" i="1"/>
  <c r="B155" i="1"/>
  <c r="B163" i="1"/>
  <c r="L168" i="1"/>
  <c r="F172" i="1"/>
  <c r="B175" i="1"/>
  <c r="F177" i="1"/>
  <c r="D179" i="1"/>
  <c r="H181" i="1"/>
  <c r="L183" i="1"/>
  <c r="B186" i="1"/>
  <c r="F188" i="1"/>
  <c r="B190" i="1"/>
  <c r="L191" i="1"/>
  <c r="L193" i="1"/>
  <c r="H195" i="1"/>
  <c r="D197" i="1"/>
  <c r="D199" i="1"/>
  <c r="J200" i="1"/>
  <c r="F202" i="1"/>
  <c r="J161" i="1"/>
  <c r="E172" i="1"/>
  <c r="B176" i="1"/>
  <c r="G181" i="1"/>
  <c r="A186" i="1"/>
  <c r="G189" i="1"/>
  <c r="M192" i="1"/>
  <c r="K195" i="1"/>
  <c r="I198" i="1"/>
  <c r="A202" i="1"/>
  <c r="L203" i="1"/>
  <c r="C205" i="1"/>
  <c r="E206" i="1"/>
  <c r="G207" i="1"/>
  <c r="I208" i="1"/>
  <c r="K209" i="1"/>
  <c r="M210" i="1"/>
  <c r="A212" i="1"/>
  <c r="C213" i="1"/>
  <c r="E214" i="1"/>
  <c r="G215" i="1"/>
  <c r="I216" i="1"/>
  <c r="K217" i="1"/>
  <c r="M218" i="1"/>
  <c r="A220" i="1"/>
  <c r="C221" i="1"/>
  <c r="E222" i="1"/>
  <c r="G223" i="1"/>
  <c r="I224" i="1"/>
  <c r="K225" i="1"/>
  <c r="M226" i="1"/>
  <c r="A228" i="1"/>
  <c r="C229" i="1"/>
  <c r="E230" i="1"/>
  <c r="G231" i="1"/>
  <c r="I232" i="1"/>
  <c r="K233" i="1"/>
  <c r="M234" i="1"/>
  <c r="A236" i="1"/>
  <c r="C237" i="1"/>
  <c r="E238" i="1"/>
  <c r="G239" i="1"/>
  <c r="I240" i="1"/>
  <c r="K241" i="1"/>
  <c r="M154" i="1"/>
  <c r="G157" i="1"/>
  <c r="M160" i="1"/>
  <c r="C163" i="1"/>
  <c r="C165" i="1"/>
  <c r="G167" i="1"/>
  <c r="C169" i="1"/>
  <c r="C171" i="1"/>
  <c r="F154" i="1"/>
  <c r="J156" i="1"/>
  <c r="J158" i="1"/>
  <c r="H161" i="1"/>
  <c r="L163" i="1"/>
  <c r="B166" i="1"/>
  <c r="J168" i="1"/>
  <c r="G152" i="1"/>
  <c r="G154" i="1"/>
  <c r="K156" i="1"/>
  <c r="K158" i="1"/>
  <c r="G160" i="1"/>
  <c r="K162" i="1"/>
  <c r="K164" i="1"/>
  <c r="K166" i="1"/>
  <c r="A169" i="1"/>
  <c r="K170" i="1"/>
  <c r="K172" i="1"/>
  <c r="A175" i="1"/>
  <c r="A177" i="1"/>
  <c r="K178" i="1"/>
  <c r="A181" i="1"/>
  <c r="A183" i="1"/>
  <c r="A185" i="1"/>
  <c r="E187" i="1"/>
  <c r="H154" i="1"/>
  <c r="J163" i="1"/>
  <c r="D172" i="1"/>
  <c r="D175" i="1"/>
  <c r="H177" i="1"/>
  <c r="F181" i="1"/>
  <c r="A184" i="1"/>
  <c r="B187" i="1"/>
  <c r="J189" i="1"/>
  <c r="J191" i="1"/>
  <c r="D194" i="1"/>
  <c r="L196" i="1"/>
  <c r="B199" i="1"/>
  <c r="B201" i="1"/>
  <c r="J203" i="1"/>
  <c r="H158" i="1"/>
  <c r="J167" i="1"/>
  <c r="C173" i="1"/>
  <c r="L175" i="1"/>
  <c r="M178" i="1"/>
  <c r="E182" i="1"/>
  <c r="F185" i="1"/>
  <c r="J187" i="1"/>
  <c r="F190" i="1"/>
  <c r="J192" i="1"/>
  <c r="D195" i="1"/>
  <c r="L197" i="1"/>
  <c r="L199" i="1"/>
  <c r="B202" i="1"/>
  <c r="D166" i="1"/>
  <c r="I174" i="1"/>
  <c r="C179" i="1"/>
  <c r="L186" i="1"/>
  <c r="C191" i="1"/>
  <c r="C195" i="1"/>
  <c r="K199" i="1"/>
  <c r="A203" i="1"/>
  <c r="M204" i="1"/>
  <c r="I206" i="1"/>
  <c r="A208" i="1"/>
  <c r="G209" i="1"/>
  <c r="C211" i="1"/>
  <c r="I212" i="1"/>
  <c r="A214" i="1"/>
  <c r="K215" i="1"/>
  <c r="C217" i="1"/>
  <c r="I218" i="1"/>
  <c r="E220" i="1"/>
  <c r="K221" i="1"/>
  <c r="C223" i="1"/>
  <c r="M224" i="1"/>
  <c r="E226" i="1"/>
  <c r="K227" i="1"/>
  <c r="G229" i="1"/>
  <c r="M230" i="1"/>
  <c r="E232" i="1"/>
  <c r="A234" i="1"/>
  <c r="G235" i="1"/>
  <c r="M236" i="1"/>
  <c r="I238" i="1"/>
  <c r="A240" i="1"/>
  <c r="G241" i="1"/>
  <c r="M242" i="1"/>
  <c r="A244" i="1"/>
  <c r="C245" i="1"/>
  <c r="E246" i="1"/>
  <c r="G247" i="1"/>
  <c r="I248" i="1"/>
  <c r="K249" i="1"/>
  <c r="M250" i="1"/>
  <c r="D162" i="1"/>
  <c r="L170" i="1"/>
  <c r="A174" i="1"/>
  <c r="B177" i="1"/>
  <c r="B180" i="1"/>
  <c r="C183" i="1"/>
  <c r="K187" i="1"/>
  <c r="C190" i="1"/>
  <c r="G192" i="1"/>
  <c r="K194" i="1"/>
  <c r="A197" i="1"/>
  <c r="E199" i="1"/>
  <c r="I201" i="1"/>
  <c r="H203" i="1"/>
  <c r="D205" i="1"/>
  <c r="F206" i="1"/>
  <c r="L207" i="1"/>
  <c r="D209" i="1"/>
  <c r="F210" i="1"/>
  <c r="L211" i="1"/>
  <c r="D213" i="1"/>
  <c r="F214" i="1"/>
  <c r="L215" i="1"/>
  <c r="D217" i="1"/>
  <c r="F218" i="1"/>
  <c r="L219" i="1"/>
  <c r="D221" i="1"/>
  <c r="H160" i="1"/>
  <c r="J169" i="1"/>
  <c r="D174" i="1"/>
  <c r="A178" i="1"/>
  <c r="B181" i="1"/>
  <c r="B184" i="1"/>
  <c r="C187" i="1"/>
  <c r="E190" i="1"/>
  <c r="I192" i="1"/>
  <c r="M194" i="1"/>
  <c r="C197" i="1"/>
  <c r="G199" i="1"/>
  <c r="K201" i="1"/>
  <c r="I203" i="1"/>
  <c r="A205" i="1"/>
  <c r="C206" i="1"/>
  <c r="E207" i="1"/>
  <c r="G208" i="1"/>
  <c r="I209" i="1"/>
  <c r="K210" i="1"/>
  <c r="M211" i="1"/>
  <c r="A213" i="1"/>
  <c r="C214" i="1"/>
  <c r="E215" i="1"/>
  <c r="G216" i="1"/>
  <c r="I217" i="1"/>
  <c r="K218" i="1"/>
  <c r="M219" i="1"/>
  <c r="A221" i="1"/>
  <c r="C222" i="1"/>
  <c r="E223" i="1"/>
  <c r="G224" i="1"/>
  <c r="I225" i="1"/>
  <c r="K226" i="1"/>
  <c r="M227" i="1"/>
  <c r="A229" i="1"/>
  <c r="C230" i="1"/>
  <c r="E231" i="1"/>
  <c r="G232" i="1"/>
  <c r="I233" i="1"/>
  <c r="K234" i="1"/>
  <c r="M235" i="1"/>
  <c r="A237" i="1"/>
  <c r="C238" i="1"/>
  <c r="E239" i="1"/>
  <c r="G240" i="1"/>
  <c r="I241" i="1"/>
  <c r="K242" i="1"/>
  <c r="M243" i="1"/>
  <c r="A245" i="1"/>
  <c r="C246" i="1"/>
  <c r="E247" i="1"/>
  <c r="G248" i="1"/>
  <c r="D154" i="1"/>
  <c r="G177" i="1"/>
  <c r="E189" i="1"/>
  <c r="G198" i="1"/>
  <c r="L206" i="1"/>
  <c r="H212" i="1"/>
  <c r="D218" i="1"/>
  <c r="D222" i="1"/>
  <c r="B225" i="1"/>
  <c r="F227" i="1"/>
  <c r="D230" i="1"/>
  <c r="B233" i="1"/>
  <c r="F235" i="1"/>
  <c r="D238" i="1"/>
  <c r="B241" i="1"/>
  <c r="F243" i="1"/>
  <c r="D246" i="1"/>
  <c r="B249" i="1"/>
  <c r="B251" i="1"/>
  <c r="H252" i="1"/>
  <c r="J253" i="1"/>
  <c r="B255" i="1"/>
  <c r="H256" i="1"/>
  <c r="D212" i="1"/>
  <c r="F224" i="1"/>
  <c r="D231" i="1"/>
  <c r="D239" i="1"/>
  <c r="F248" i="1"/>
  <c r="K252" i="1"/>
  <c r="G256" i="1"/>
  <c r="C175" i="1"/>
  <c r="F187" i="1"/>
  <c r="K196" i="1"/>
  <c r="L204" i="1"/>
  <c r="H210" i="1"/>
  <c r="D216" i="1"/>
  <c r="L220" i="1"/>
  <c r="B224" i="1"/>
  <c r="F226" i="1"/>
  <c r="D229" i="1"/>
  <c r="B232" i="1"/>
  <c r="F234" i="1"/>
  <c r="D237" i="1"/>
  <c r="B240" i="1"/>
  <c r="F242" i="1"/>
  <c r="D245" i="1"/>
  <c r="B248" i="1"/>
  <c r="B250" i="1"/>
  <c r="G251" i="1"/>
  <c r="I252" i="1"/>
  <c r="K253" i="1"/>
  <c r="M254" i="1"/>
  <c r="A256" i="1"/>
  <c r="J256" i="1"/>
  <c r="F213" i="1"/>
  <c r="D223" i="1"/>
  <c r="L231" i="1"/>
  <c r="B238" i="1"/>
  <c r="J246" i="1"/>
  <c r="M251" i="1"/>
  <c r="A255" i="1"/>
  <c r="A182" i="1"/>
  <c r="K192" i="1"/>
  <c r="M201" i="1"/>
  <c r="F207" i="1"/>
  <c r="B213" i="1"/>
  <c r="J217" i="1"/>
  <c r="B223" i="1"/>
  <c r="F225" i="1"/>
  <c r="D228" i="1"/>
  <c r="B231" i="1"/>
  <c r="F233" i="1"/>
  <c r="I152" i="1"/>
  <c r="E156" i="1"/>
  <c r="K159" i="1"/>
  <c r="G163" i="1"/>
  <c r="E166" i="1"/>
  <c r="M168" i="1"/>
  <c r="J152" i="1"/>
  <c r="H155" i="1"/>
  <c r="F158" i="1"/>
  <c r="B162" i="1"/>
  <c r="D165" i="1"/>
  <c r="L167" i="1"/>
  <c r="A153" i="1"/>
  <c r="I155" i="1"/>
  <c r="C158" i="1"/>
  <c r="E161" i="1"/>
  <c r="I163" i="1"/>
  <c r="C166" i="1"/>
  <c r="E169" i="1"/>
  <c r="M171" i="1"/>
  <c r="C174" i="1"/>
  <c r="E177" i="1"/>
  <c r="M179" i="1"/>
  <c r="K182" i="1"/>
  <c r="I185" i="1"/>
  <c r="M187" i="1"/>
  <c r="H162" i="1"/>
  <c r="I172" i="1"/>
  <c r="L176" i="1"/>
  <c r="D180" i="1"/>
  <c r="F184" i="1"/>
  <c r="H188" i="1"/>
  <c r="F191" i="1"/>
  <c r="B195" i="1"/>
  <c r="J197" i="1"/>
  <c r="L200" i="1"/>
  <c r="H204" i="1"/>
  <c r="D164" i="1"/>
  <c r="A172" i="1"/>
  <c r="I176" i="1"/>
  <c r="F180" i="1"/>
  <c r="D184" i="1"/>
  <c r="J188" i="1"/>
  <c r="H191" i="1"/>
  <c r="F194" i="1"/>
  <c r="B198" i="1"/>
  <c r="D201" i="1"/>
  <c r="B157" i="1"/>
  <c r="F175" i="1"/>
  <c r="K183" i="1"/>
  <c r="I190" i="1"/>
  <c r="E196" i="1"/>
  <c r="M200" i="1"/>
  <c r="I204" i="1"/>
  <c r="M206" i="1"/>
  <c r="M208" i="1"/>
  <c r="I210" i="1"/>
  <c r="M212" i="1"/>
  <c r="M214" i="1"/>
  <c r="M216" i="1"/>
  <c r="C219" i="1"/>
  <c r="M220" i="1"/>
  <c r="M222" i="1"/>
  <c r="C225" i="1"/>
  <c r="C227" i="1"/>
  <c r="M228" i="1"/>
  <c r="C231" i="1"/>
  <c r="C233" i="1"/>
  <c r="C235" i="1"/>
  <c r="G237" i="1"/>
  <c r="C239" i="1"/>
  <c r="C241" i="1"/>
  <c r="C243" i="1"/>
  <c r="I244" i="1"/>
  <c r="A246" i="1"/>
  <c r="K247" i="1"/>
  <c r="C249" i="1"/>
  <c r="I250" i="1"/>
  <c r="H164" i="1"/>
  <c r="H172" i="1"/>
  <c r="E176" i="1"/>
  <c r="M180" i="1"/>
  <c r="G185" i="1"/>
  <c r="I189" i="1"/>
  <c r="A193" i="1"/>
  <c r="M195" i="1"/>
  <c r="K198" i="1"/>
  <c r="C202" i="1"/>
  <c r="E204" i="1"/>
  <c r="B206" i="1"/>
  <c r="B208" i="1"/>
  <c r="L209" i="1"/>
  <c r="H211" i="1"/>
  <c r="H213" i="1"/>
  <c r="D215" i="1"/>
  <c r="J216" i="1"/>
  <c r="J218" i="1"/>
  <c r="F220" i="1"/>
  <c r="D158" i="1"/>
  <c r="B171" i="1"/>
  <c r="H176" i="1"/>
  <c r="E180" i="1"/>
  <c r="M184" i="1"/>
  <c r="C189" i="1"/>
  <c r="A192" i="1"/>
  <c r="G195" i="1"/>
  <c r="E198" i="1"/>
  <c r="C201" i="1"/>
  <c r="A204" i="1"/>
  <c r="I205" i="1"/>
  <c r="A207" i="1"/>
  <c r="K208" i="1"/>
  <c r="C210" i="1"/>
  <c r="I211" i="1"/>
  <c r="E213" i="1"/>
  <c r="K214" i="1"/>
  <c r="C216" i="1"/>
  <c r="M217" i="1"/>
  <c r="E219" i="1"/>
  <c r="K220" i="1"/>
  <c r="G222" i="1"/>
  <c r="M223" i="1"/>
  <c r="E225" i="1"/>
  <c r="A227" i="1"/>
  <c r="G228" i="1"/>
  <c r="M229" i="1"/>
  <c r="I231" i="1"/>
  <c r="A233" i="1"/>
  <c r="G234" i="1"/>
  <c r="C236" i="1"/>
  <c r="I237" i="1"/>
  <c r="A239" i="1"/>
  <c r="K240" i="1"/>
  <c r="C242" i="1"/>
  <c r="I243" i="1"/>
  <c r="E245" i="1"/>
  <c r="K246" i="1"/>
  <c r="C248" i="1"/>
  <c r="F163" i="1"/>
  <c r="H183" i="1"/>
  <c r="C196" i="1"/>
  <c r="B209" i="1"/>
  <c r="L214" i="1"/>
  <c r="J221" i="1"/>
  <c r="J225" i="1"/>
  <c r="B229" i="1"/>
  <c r="H232" i="1"/>
  <c r="H236" i="1"/>
  <c r="F239" i="1"/>
  <c r="L242" i="1"/>
  <c r="L246" i="1"/>
  <c r="F250" i="1"/>
  <c r="D252" i="1"/>
  <c r="D254" i="1"/>
  <c r="J255" i="1"/>
  <c r="H206" i="1"/>
  <c r="J226" i="1"/>
  <c r="L235" i="1"/>
  <c r="B246" i="1"/>
  <c r="I253" i="1"/>
  <c r="J165" i="1"/>
  <c r="E184" i="1"/>
  <c r="A199" i="1"/>
  <c r="D208" i="1"/>
  <c r="B215" i="1"/>
  <c r="L221" i="1"/>
  <c r="D225" i="1"/>
  <c r="J228" i="1"/>
  <c r="J232" i="1"/>
  <c r="B236" i="1"/>
  <c r="H239" i="1"/>
  <c r="H243" i="1"/>
  <c r="F246" i="1"/>
  <c r="J249" i="1"/>
  <c r="K251" i="1"/>
  <c r="C253" i="1"/>
  <c r="I254" i="1"/>
  <c r="E256" i="1"/>
  <c r="B204" i="1"/>
  <c r="B222" i="1"/>
  <c r="H233" i="1"/>
  <c r="H241" i="1"/>
  <c r="A251" i="1"/>
  <c r="C256" i="1"/>
  <c r="B188" i="1"/>
  <c r="I199" i="1"/>
  <c r="H208" i="1"/>
  <c r="F215" i="1"/>
  <c r="H222" i="1"/>
  <c r="H226" i="1"/>
  <c r="F229" i="1"/>
  <c r="L232" i="1"/>
  <c r="D236" i="1"/>
  <c r="B239" i="1"/>
  <c r="F241" i="1"/>
  <c r="D244" i="1"/>
  <c r="B247" i="1"/>
  <c r="F249" i="1"/>
  <c r="D251" i="1"/>
  <c r="F252" i="1"/>
  <c r="L253" i="1"/>
  <c r="D255" i="1"/>
  <c r="F256" i="1"/>
  <c r="L182" i="1"/>
  <c r="E193" i="1"/>
  <c r="G202" i="1"/>
  <c r="J215" i="1"/>
  <c r="D227" i="1"/>
  <c r="J238" i="1"/>
  <c r="H245" i="1"/>
  <c r="I251" i="1"/>
  <c r="I255" i="1"/>
  <c r="M152" i="1"/>
  <c r="C157" i="1"/>
  <c r="K161" i="1"/>
  <c r="E164" i="1"/>
  <c r="I166" i="1"/>
  <c r="K169" i="1"/>
  <c r="D153" i="1"/>
  <c r="B156" i="1"/>
  <c r="L159" i="1"/>
  <c r="F162" i="1"/>
  <c r="H165" i="1"/>
  <c r="D169" i="1"/>
  <c r="I153" i="1"/>
  <c r="M155" i="1"/>
  <c r="A159" i="1"/>
  <c r="I161" i="1"/>
  <c r="G164" i="1"/>
  <c r="E167" i="1"/>
  <c r="I169" i="1"/>
  <c r="G172" i="1"/>
  <c r="E175" i="1"/>
  <c r="C178" i="1"/>
  <c r="G180" i="1"/>
  <c r="E183" i="1"/>
  <c r="C186" i="1"/>
  <c r="F153" i="1"/>
  <c r="D168" i="1"/>
  <c r="K173" i="1"/>
  <c r="C177" i="1"/>
  <c r="B182" i="1"/>
  <c r="H185" i="1"/>
  <c r="L188" i="1"/>
  <c r="H192" i="1"/>
  <c r="F195" i="1"/>
  <c r="H198" i="1"/>
  <c r="D202" i="1"/>
  <c r="L152" i="1"/>
  <c r="F165" i="1"/>
  <c r="H173" i="1"/>
  <c r="K177" i="1"/>
  <c r="L180" i="1"/>
  <c r="K185" i="1"/>
  <c r="D189" i="1"/>
  <c r="F192" i="1"/>
  <c r="L195" i="1"/>
  <c r="F198" i="1"/>
  <c r="L201" i="1"/>
  <c r="H168" i="1"/>
  <c r="J177" i="1"/>
  <c r="D185" i="1"/>
  <c r="K191" i="1"/>
  <c r="G197" i="1"/>
  <c r="I202" i="1"/>
  <c r="G205" i="1"/>
  <c r="C207" i="1"/>
  <c r="C209" i="1"/>
  <c r="G211" i="1"/>
  <c r="G213" i="1"/>
  <c r="C215" i="1"/>
  <c r="G217" i="1"/>
  <c r="G219" i="1"/>
  <c r="G221" i="1"/>
  <c r="K223" i="1"/>
  <c r="G225" i="1"/>
  <c r="G227" i="1"/>
  <c r="K229" i="1"/>
  <c r="K231" i="1"/>
  <c r="G233" i="1"/>
  <c r="K235" i="1"/>
  <c r="K237" i="1"/>
  <c r="K239" i="1"/>
  <c r="A242" i="1"/>
  <c r="G243" i="1"/>
  <c r="M244" i="1"/>
  <c r="I246" i="1"/>
  <c r="A248" i="1"/>
  <c r="G249" i="1"/>
  <c r="B153" i="1"/>
  <c r="L166" i="1"/>
  <c r="D173" i="1"/>
  <c r="L177" i="1"/>
  <c r="J181" i="1"/>
  <c r="D186" i="1"/>
  <c r="K190" i="1"/>
  <c r="I193" i="1"/>
  <c r="G196" i="1"/>
  <c r="M199" i="1"/>
  <c r="K202" i="1"/>
  <c r="J204" i="1"/>
  <c r="J206" i="1"/>
  <c r="F208" i="1"/>
  <c r="B210" i="1"/>
  <c r="B212" i="1"/>
  <c r="L213" i="1"/>
  <c r="H215" i="1"/>
  <c r="H217" i="1"/>
  <c r="D219" i="1"/>
  <c r="J220" i="1"/>
  <c r="L162" i="1"/>
  <c r="J172" i="1"/>
  <c r="D177" i="1"/>
  <c r="L181" i="1"/>
  <c r="J185" i="1"/>
  <c r="K189" i="1"/>
  <c r="C193" i="1"/>
  <c r="A196" i="1"/>
  <c r="M198" i="1"/>
  <c r="E202" i="1"/>
  <c r="F204" i="1"/>
  <c r="M205" i="1"/>
  <c r="I207" i="1"/>
  <c r="A209" i="1"/>
  <c r="G210" i="1"/>
  <c r="C212" i="1"/>
  <c r="I213" i="1"/>
  <c r="A215" i="1"/>
  <c r="K216" i="1"/>
  <c r="C218" i="1"/>
  <c r="I219" i="1"/>
  <c r="E221" i="1"/>
  <c r="K222" i="1"/>
  <c r="C224" i="1"/>
  <c r="M225" i="1"/>
  <c r="E227" i="1"/>
  <c r="K228" i="1"/>
  <c r="G230" i="1"/>
  <c r="M231" i="1"/>
  <c r="E233" i="1"/>
  <c r="A235" i="1"/>
  <c r="G236" i="1"/>
  <c r="M237" i="1"/>
  <c r="I239" i="1"/>
  <c r="A241" i="1"/>
  <c r="G242" i="1"/>
  <c r="C244" i="1"/>
  <c r="I245" i="1"/>
  <c r="A247" i="1"/>
  <c r="K248" i="1"/>
  <c r="F171" i="1"/>
  <c r="I186" i="1"/>
  <c r="K200" i="1"/>
  <c r="D210" i="1"/>
  <c r="B217" i="1"/>
  <c r="L222" i="1"/>
  <c r="D226" i="1"/>
  <c r="J229" i="1"/>
  <c r="J233" i="1"/>
  <c r="B237" i="1"/>
  <c r="H240" i="1"/>
  <c r="H244" i="1"/>
  <c r="F247" i="1"/>
  <c r="K250" i="1"/>
  <c r="L252" i="1"/>
  <c r="H254" i="1"/>
  <c r="D256" i="1"/>
  <c r="H214" i="1"/>
  <c r="L227" i="1"/>
  <c r="H237" i="1"/>
  <c r="M249" i="1"/>
  <c r="G254" i="1"/>
  <c r="B172" i="1"/>
  <c r="M189" i="1"/>
  <c r="E201" i="1"/>
  <c r="F209" i="1"/>
  <c r="F217" i="1"/>
  <c r="F222" i="1"/>
  <c r="L225" i="1"/>
  <c r="L229" i="1"/>
  <c r="D233" i="1"/>
  <c r="J236" i="1"/>
  <c r="J240" i="1"/>
  <c r="B244" i="1"/>
  <c r="H247" i="1"/>
  <c r="G250" i="1"/>
  <c r="A252" i="1"/>
  <c r="G253" i="1"/>
  <c r="C255" i="1"/>
  <c r="I256" i="1"/>
  <c r="L208" i="1"/>
  <c r="B226" i="1"/>
  <c r="D235" i="1"/>
  <c r="D243" i="1"/>
  <c r="G252" i="1"/>
  <c r="L158" i="1"/>
  <c r="G190" i="1"/>
  <c r="K203" i="1"/>
  <c r="J209" i="1"/>
  <c r="H216" i="1"/>
  <c r="J223" i="1"/>
  <c r="B227" i="1"/>
  <c r="H230" i="1"/>
  <c r="H234" i="1"/>
  <c r="L236" i="1"/>
  <c r="J239" i="1"/>
  <c r="H242" i="1"/>
  <c r="L244" i="1"/>
  <c r="J247" i="1"/>
  <c r="L249" i="1"/>
  <c r="H251" i="1"/>
  <c r="J252" i="1"/>
  <c r="B254" i="1"/>
  <c r="H255" i="1"/>
  <c r="D170" i="1"/>
  <c r="L185" i="1"/>
  <c r="I195" i="1"/>
  <c r="F205" i="1"/>
  <c r="D220" i="1"/>
  <c r="J230" i="1"/>
  <c r="F240" i="1"/>
  <c r="L247" i="1"/>
  <c r="A253" i="1"/>
  <c r="M255" i="1"/>
  <c r="A154" i="1"/>
  <c r="I158" i="1"/>
  <c r="A162" i="1"/>
  <c r="I164" i="1"/>
  <c r="K167" i="1"/>
  <c r="E170" i="1"/>
  <c r="H153" i="1"/>
  <c r="D157" i="1"/>
  <c r="B160" i="1"/>
  <c r="H163" i="1"/>
  <c r="J166" i="1"/>
  <c r="H169" i="1"/>
  <c r="C154" i="1"/>
  <c r="A157" i="1"/>
  <c r="M159" i="1"/>
  <c r="C162" i="1"/>
  <c r="A165" i="1"/>
  <c r="M167" i="1"/>
  <c r="G170" i="1"/>
  <c r="I173" i="1"/>
  <c r="M175" i="1"/>
  <c r="G178" i="1"/>
  <c r="I181" i="1"/>
  <c r="C184" i="1"/>
  <c r="G186" i="1"/>
  <c r="L156" i="1"/>
  <c r="F169" i="1"/>
  <c r="H174" i="1"/>
  <c r="B179" i="1"/>
  <c r="H182" i="1"/>
  <c r="E186" i="1"/>
  <c r="D190" i="1"/>
  <c r="B193" i="1"/>
  <c r="J195" i="1"/>
  <c r="F199" i="1"/>
  <c r="H202" i="1"/>
  <c r="F157" i="1"/>
  <c r="J170" i="1"/>
  <c r="E174" i="1"/>
  <c r="H178" i="1"/>
  <c r="J182" i="1"/>
  <c r="M186" i="1"/>
  <c r="L189" i="1"/>
  <c r="D193" i="1"/>
  <c r="F196" i="1"/>
  <c r="H199" i="1"/>
  <c r="H152" i="1"/>
  <c r="H171" i="1"/>
  <c r="F178" i="1"/>
  <c r="E188" i="1"/>
  <c r="G193" i="1"/>
  <c r="A198" i="1"/>
  <c r="G203" i="1"/>
  <c r="K205" i="1"/>
  <c r="K207" i="1"/>
  <c r="A210" i="1"/>
  <c r="K211" i="1"/>
  <c r="K213" i="1"/>
  <c r="A216" i="1"/>
  <c r="A218" i="1"/>
  <c r="K219" i="1"/>
  <c r="A222" i="1"/>
  <c r="A224" i="1"/>
  <c r="A226" i="1"/>
  <c r="E228" i="1"/>
  <c r="A230" i="1"/>
  <c r="A232" i="1"/>
  <c r="E234" i="1"/>
  <c r="E236" i="1"/>
  <c r="A238" i="1"/>
  <c r="E240" i="1"/>
  <c r="E242" i="1"/>
  <c r="K243" i="1"/>
  <c r="G245" i="1"/>
  <c r="M246" i="1"/>
  <c r="E248" i="1"/>
  <c r="A250" i="1"/>
  <c r="F155" i="1"/>
  <c r="B169" i="1"/>
  <c r="L174" i="1"/>
  <c r="I178" i="1"/>
  <c r="F182" i="1"/>
  <c r="G188" i="1"/>
  <c r="E191" i="1"/>
  <c r="C194" i="1"/>
  <c r="I197" i="1"/>
  <c r="G200" i="1"/>
  <c r="C155" i="1"/>
  <c r="A168" i="1"/>
  <c r="J160" i="1"/>
  <c r="E155" i="1"/>
  <c r="M165" i="1"/>
  <c r="G176" i="1"/>
  <c r="I187" i="1"/>
  <c r="G179" i="1"/>
  <c r="J193" i="1"/>
  <c r="J159" i="1"/>
  <c r="G183" i="1"/>
  <c r="J196" i="1"/>
  <c r="D182" i="1"/>
  <c r="C204" i="1"/>
  <c r="E212" i="1"/>
  <c r="I220" i="1"/>
  <c r="I228" i="1"/>
  <c r="I236" i="1"/>
  <c r="E244" i="1"/>
  <c r="E250" i="1"/>
  <c r="F179" i="1"/>
  <c r="E195" i="1"/>
  <c r="M203" i="1"/>
  <c r="H207" i="1"/>
  <c r="D211" i="1"/>
  <c r="J214" i="1"/>
  <c r="B218" i="1"/>
  <c r="J153" i="1"/>
  <c r="K175" i="1"/>
  <c r="F183" i="1"/>
  <c r="G191" i="1"/>
  <c r="K197" i="1"/>
  <c r="D203" i="1"/>
  <c r="K206" i="1"/>
  <c r="M209" i="1"/>
  <c r="K212" i="1"/>
  <c r="M215" i="1"/>
  <c r="A219" i="1"/>
  <c r="M221" i="1"/>
  <c r="A225" i="1"/>
  <c r="C228" i="1"/>
  <c r="A231" i="1"/>
  <c r="C234" i="1"/>
  <c r="E237" i="1"/>
  <c r="C240" i="1"/>
  <c r="E243" i="1"/>
  <c r="G246" i="1"/>
  <c r="E249" i="1"/>
  <c r="M193" i="1"/>
  <c r="J213" i="1"/>
  <c r="H224" i="1"/>
  <c r="F231" i="1"/>
  <c r="L238" i="1"/>
  <c r="J245" i="1"/>
  <c r="J251" i="1"/>
  <c r="F255" i="1"/>
  <c r="J222" i="1"/>
  <c r="F244" i="1"/>
  <c r="H156" i="1"/>
  <c r="G194" i="1"/>
  <c r="L212" i="1"/>
  <c r="J224" i="1"/>
  <c r="H231" i="1"/>
  <c r="F238" i="1"/>
  <c r="L245" i="1"/>
  <c r="C251" i="1"/>
  <c r="E254" i="1"/>
  <c r="J173" i="1"/>
  <c r="B230" i="1"/>
  <c r="D250" i="1"/>
  <c r="B185" i="1"/>
  <c r="D206" i="1"/>
  <c r="B221" i="1"/>
  <c r="L228" i="1"/>
  <c r="J235" i="1"/>
  <c r="L240" i="1"/>
  <c r="H246" i="1"/>
  <c r="H250" i="1"/>
  <c r="H253" i="1"/>
  <c r="B256" i="1"/>
  <c r="A191" i="1"/>
  <c r="B211" i="1"/>
  <c r="J234" i="1"/>
  <c r="J250" i="1"/>
  <c r="E253" i="1"/>
  <c r="L210" i="1"/>
  <c r="J231" i="1"/>
  <c r="B243" i="1"/>
  <c r="L251" i="1"/>
  <c r="J176" i="1"/>
  <c r="L223" i="1"/>
  <c r="M253" i="1"/>
  <c r="J154" i="1"/>
  <c r="H167" i="1"/>
  <c r="E171" i="1"/>
  <c r="F170" i="1"/>
  <c r="H200" i="1"/>
  <c r="D191" i="1"/>
  <c r="A194" i="1"/>
  <c r="E216" i="1"/>
  <c r="M232" i="1"/>
  <c r="C247" i="1"/>
  <c r="A189" i="1"/>
  <c r="L205" i="1"/>
  <c r="F216" i="1"/>
  <c r="F167" i="1"/>
  <c r="I188" i="1"/>
  <c r="I200" i="1"/>
  <c r="C208" i="1"/>
  <c r="G214" i="1"/>
  <c r="G220" i="1"/>
  <c r="G226" i="1"/>
  <c r="K232" i="1"/>
  <c r="K238" i="1"/>
  <c r="K244" i="1"/>
  <c r="H180" i="1"/>
  <c r="H220" i="1"/>
  <c r="L234" i="1"/>
  <c r="I249" i="1"/>
  <c r="B161" i="1"/>
  <c r="C252" i="1"/>
  <c r="B207" i="1"/>
  <c r="B228" i="1"/>
  <c r="L241" i="1"/>
  <c r="M252" i="1"/>
  <c r="B219" i="1"/>
  <c r="C254" i="1"/>
  <c r="D214" i="1"/>
  <c r="D232" i="1"/>
  <c r="J243" i="1"/>
  <c r="B252" i="1"/>
  <c r="K179" i="1"/>
  <c r="H225" i="1"/>
  <c r="K254" i="1"/>
  <c r="B158" i="1"/>
  <c r="C152" i="1"/>
  <c r="M173" i="1"/>
  <c r="J175" i="1"/>
  <c r="B203" i="1"/>
  <c r="B194" i="1"/>
  <c r="E200" i="1"/>
  <c r="E218" i="1"/>
  <c r="I234" i="1"/>
  <c r="M248" i="1"/>
  <c r="G159" i="1"/>
  <c r="M170" i="1"/>
  <c r="B164" i="1"/>
  <c r="I157" i="1"/>
  <c r="C168" i="1"/>
  <c r="I179" i="1"/>
  <c r="D160" i="1"/>
  <c r="J183" i="1"/>
  <c r="B197" i="1"/>
  <c r="J171" i="1"/>
  <c r="D187" i="1"/>
  <c r="F200" i="1"/>
  <c r="M188" i="1"/>
  <c r="A206" i="1"/>
  <c r="I214" i="1"/>
  <c r="I222" i="1"/>
  <c r="I230" i="1"/>
  <c r="M238" i="1"/>
  <c r="K245" i="1"/>
  <c r="J157" i="1"/>
  <c r="J184" i="1"/>
  <c r="C198" i="1"/>
  <c r="H205" i="1"/>
  <c r="J208" i="1"/>
  <c r="F212" i="1"/>
  <c r="B216" i="1"/>
  <c r="H219" i="1"/>
  <c r="B165" i="1"/>
  <c r="L178" i="1"/>
  <c r="F186" i="1"/>
  <c r="K193" i="1"/>
  <c r="A200" i="1"/>
  <c r="K204" i="1"/>
  <c r="M207" i="1"/>
  <c r="A211" i="1"/>
  <c r="M213" i="1"/>
  <c r="A217" i="1"/>
  <c r="C220" i="1"/>
  <c r="A223" i="1"/>
  <c r="C226" i="1"/>
  <c r="E229" i="1"/>
  <c r="C232" i="1"/>
  <c r="E235" i="1"/>
  <c r="G238" i="1"/>
  <c r="E241" i="1"/>
  <c r="G244" i="1"/>
  <c r="I247" i="1"/>
  <c r="F174" i="1"/>
  <c r="G204" i="1"/>
  <c r="F219" i="1"/>
  <c r="L226" i="1"/>
  <c r="D234" i="1"/>
  <c r="J241" i="1"/>
  <c r="H248" i="1"/>
  <c r="B253" i="1"/>
  <c r="L256" i="1"/>
  <c r="H229" i="1"/>
  <c r="E251" i="1"/>
  <c r="D178" i="1"/>
  <c r="E203" i="1"/>
  <c r="H218" i="1"/>
  <c r="H227" i="1"/>
  <c r="L233" i="1"/>
  <c r="D241" i="1"/>
  <c r="J248" i="1"/>
  <c r="E252" i="1"/>
  <c r="G255" i="1"/>
  <c r="L216" i="1"/>
  <c r="F236" i="1"/>
  <c r="A195" i="1"/>
  <c r="D224" i="1"/>
  <c r="F237" i="1"/>
  <c r="D248" i="1"/>
  <c r="F254" i="1"/>
  <c r="M197" i="1"/>
  <c r="B242" i="1"/>
  <c r="M162" i="1"/>
  <c r="C160" i="1"/>
  <c r="M181" i="1"/>
  <c r="L187" i="1"/>
  <c r="G175" i="1"/>
  <c r="L154" i="1"/>
  <c r="E208" i="1"/>
  <c r="E224" i="1"/>
  <c r="M240" i="1"/>
  <c r="K171" i="1"/>
  <c r="A201" i="1"/>
  <c r="H209" i="1"/>
  <c r="J212" i="1"/>
  <c r="B220" i="1"/>
  <c r="H179" i="1"/>
  <c r="E194" i="1"/>
  <c r="E205" i="1"/>
  <c r="E211" i="1"/>
  <c r="E217" i="1"/>
  <c r="I223" i="1"/>
  <c r="I229" i="1"/>
  <c r="I235" i="1"/>
  <c r="M241" i="1"/>
  <c r="M247" i="1"/>
  <c r="J205" i="1"/>
  <c r="H228" i="1"/>
  <c r="D242" i="1"/>
  <c r="F253" i="1"/>
  <c r="B234" i="1"/>
  <c r="D181" i="1"/>
  <c r="J219" i="1"/>
  <c r="H235" i="1"/>
  <c r="D249" i="1"/>
  <c r="K255" i="1"/>
  <c r="L239" i="1"/>
  <c r="E197" i="1"/>
  <c r="L224" i="1"/>
  <c r="H238" i="1"/>
  <c r="L248" i="1"/>
  <c r="J254" i="1"/>
  <c r="C200" i="1"/>
  <c r="L243" i="1"/>
  <c r="K165" i="1"/>
  <c r="E163" i="1"/>
  <c r="G184" i="1"/>
  <c r="H190" i="1"/>
  <c r="A180" i="1"/>
  <c r="B173" i="1"/>
  <c r="E210" i="1"/>
  <c r="I226" i="1"/>
  <c r="I242" i="1"/>
  <c r="H175" i="1"/>
  <c r="J210" i="1"/>
  <c r="G173" i="1"/>
  <c r="M202" i="1"/>
  <c r="I215" i="1"/>
  <c r="I227" i="1"/>
  <c r="M239" i="1"/>
  <c r="I191" i="1"/>
  <c r="J237" i="1"/>
  <c r="F221" i="1"/>
  <c r="J211" i="1"/>
  <c r="J244" i="1"/>
  <c r="F228" i="1"/>
  <c r="L218" i="1"/>
  <c r="F245" i="1"/>
  <c r="K188" i="1"/>
  <c r="K256" i="1"/>
  <c r="B245" i="1"/>
  <c r="H223" i="1"/>
  <c r="D247" i="1"/>
  <c r="C250" i="1"/>
  <c r="C203" i="1"/>
  <c r="M190" i="1"/>
  <c r="I221" i="1"/>
  <c r="M245" i="1"/>
  <c r="F251" i="1"/>
  <c r="F230" i="1"/>
  <c r="M172" i="1"/>
  <c r="D253" i="1"/>
  <c r="D207" i="1"/>
  <c r="G212" i="1"/>
  <c r="K236" i="1"/>
  <c r="L230" i="1"/>
  <c r="C192" i="1"/>
  <c r="M256" i="1"/>
  <c r="D240" i="1"/>
  <c r="H249" i="1"/>
  <c r="M191" i="1"/>
  <c r="B214" i="1"/>
  <c r="I182" i="1"/>
  <c r="G206" i="1"/>
  <c r="G218" i="1"/>
  <c r="K230" i="1"/>
  <c r="A243" i="1"/>
  <c r="F211" i="1"/>
  <c r="J242" i="1"/>
  <c r="L250" i="1"/>
  <c r="J227" i="1"/>
  <c r="J207" i="1"/>
  <c r="L217" i="1"/>
  <c r="E209" i="1"/>
  <c r="M233" i="1"/>
  <c r="F223" i="1"/>
  <c r="E255" i="1"/>
  <c r="A254" i="1"/>
  <c r="B235" i="1"/>
  <c r="F232" i="1"/>
  <c r="H221" i="1"/>
  <c r="I196" i="1"/>
  <c r="K224" i="1"/>
  <c r="A249" i="1"/>
  <c r="L254" i="1"/>
  <c r="L237" i="1"/>
  <c r="B205" i="1"/>
  <c r="L255" i="1"/>
  <c r="M19" i="1"/>
  <c r="B94" i="1"/>
  <c r="I115" i="1"/>
  <c r="M134" i="1"/>
  <c r="F145" i="1"/>
  <c r="E39" i="1"/>
  <c r="I52" i="1"/>
  <c r="G52" i="1"/>
  <c r="H127" i="1"/>
  <c r="M51" i="1"/>
  <c r="K126" i="1"/>
  <c r="M131" i="1"/>
  <c r="M35" i="1"/>
  <c r="M42" i="1"/>
  <c r="F136" i="1"/>
  <c r="F82" i="1"/>
  <c r="I32" i="1"/>
  <c r="G126" i="1"/>
  <c r="F17" i="1"/>
  <c r="G50" i="1"/>
  <c r="C102" i="1"/>
  <c r="F146" i="1"/>
  <c r="F51" i="1"/>
  <c r="H49" i="1"/>
  <c r="B68" i="1"/>
  <c r="M24" i="1"/>
  <c r="D41" i="1"/>
  <c r="F15" i="1"/>
  <c r="D18" i="1"/>
  <c r="B138" i="1"/>
  <c r="G93" i="1"/>
  <c r="J52" i="1"/>
  <c r="M85" i="1"/>
  <c r="H126" i="1"/>
  <c r="H88" i="1"/>
  <c r="B122" i="1"/>
  <c r="F2" i="1"/>
  <c r="J7" i="1"/>
  <c r="M133" i="1"/>
  <c r="F8" i="1"/>
  <c r="M45" i="1"/>
  <c r="M44" i="1"/>
  <c r="J65" i="1"/>
  <c r="L56" i="1"/>
  <c r="M81" i="1"/>
  <c r="E79" i="1"/>
  <c r="J122" i="1"/>
  <c r="M125" i="1"/>
  <c r="M113" i="1"/>
  <c r="F119" i="1"/>
  <c r="B70" i="1"/>
  <c r="M132" i="1"/>
  <c r="B52" i="1"/>
  <c r="F124" i="1"/>
  <c r="B29" i="1"/>
  <c r="I133" i="1"/>
  <c r="E50" i="1"/>
  <c r="C22" i="1"/>
  <c r="E125" i="1"/>
  <c r="I106" i="1"/>
  <c r="M70" i="1"/>
  <c r="E2" i="1"/>
  <c r="B66" i="1"/>
  <c r="J37" i="1"/>
  <c r="F53" i="1"/>
  <c r="C42" i="1"/>
  <c r="K18" i="1"/>
  <c r="A131" i="1"/>
  <c r="G35" i="1"/>
  <c r="B15" i="1"/>
  <c r="C5" i="1"/>
  <c r="J27" i="1"/>
  <c r="I75" i="1"/>
  <c r="D83" i="1"/>
  <c r="A70" i="1"/>
  <c r="A17" i="1"/>
  <c r="H121" i="1"/>
  <c r="G60" i="1"/>
  <c r="K74" i="1"/>
  <c r="B106" i="1"/>
  <c r="H52" i="1"/>
  <c r="E3" i="1"/>
  <c r="I4" i="1"/>
  <c r="I131" i="1"/>
  <c r="F108" i="1"/>
  <c r="J40" i="1"/>
  <c r="L147" i="1"/>
  <c r="L85" i="1"/>
  <c r="L28" i="1"/>
  <c r="C111" i="1"/>
  <c r="E67" i="1"/>
  <c r="J91" i="1"/>
  <c r="G58" i="1"/>
  <c r="C85" i="1"/>
  <c r="E37" i="1"/>
  <c r="C131" i="1"/>
  <c r="D150" i="1"/>
  <c r="B60" i="1"/>
  <c r="I117" i="1"/>
  <c r="K39" i="1"/>
  <c r="M104" i="1"/>
  <c r="D75" i="1"/>
  <c r="G39" i="1"/>
  <c r="J121" i="1"/>
  <c r="E80" i="1"/>
  <c r="D133" i="1"/>
  <c r="L41" i="1"/>
  <c r="L88" i="1"/>
  <c r="E123" i="1"/>
  <c r="I55" i="1"/>
  <c r="H138" i="1"/>
  <c r="E119" i="1"/>
  <c r="F73" i="1"/>
  <c r="H29" i="1"/>
  <c r="C148" i="1"/>
  <c r="L110" i="1"/>
  <c r="K125" i="1"/>
  <c r="C124" i="1"/>
  <c r="C13" i="1"/>
  <c r="G114" i="1"/>
  <c r="H18" i="1"/>
  <c r="C54" i="1"/>
  <c r="B3" i="1"/>
  <c r="C52" i="1"/>
  <c r="C151" i="1"/>
  <c r="K38" i="1"/>
  <c r="E103" i="1"/>
  <c r="H35" i="1"/>
  <c r="E64" i="1"/>
  <c r="E74" i="1"/>
  <c r="A126" i="1"/>
  <c r="B124" i="1"/>
  <c r="D106" i="1"/>
  <c r="L62" i="1"/>
  <c r="C117" i="1"/>
  <c r="J66" i="1"/>
  <c r="D139" i="1"/>
  <c r="G109" i="1"/>
  <c r="E7" i="1"/>
  <c r="J41" i="1"/>
  <c r="C14" i="1"/>
  <c r="C78" i="1"/>
  <c r="J49" i="1"/>
  <c r="B62" i="1"/>
  <c r="G142" i="1"/>
  <c r="B119" i="1"/>
  <c r="K27" i="1"/>
  <c r="C138" i="1"/>
  <c r="I103" i="1"/>
  <c r="C114" i="1"/>
  <c r="C12" i="1"/>
  <c r="B59" i="1"/>
  <c r="G118" i="1"/>
  <c r="C64" i="1"/>
  <c r="J39" i="1"/>
  <c r="J74" i="1"/>
  <c r="F58" i="1"/>
  <c r="H113" i="1"/>
  <c r="L13" i="1"/>
  <c r="L67" i="1"/>
  <c r="I7" i="1"/>
  <c r="E38" i="1"/>
  <c r="D72" i="1"/>
  <c r="B98" i="1"/>
  <c r="A110" i="1"/>
  <c r="C27" i="1"/>
  <c r="I29" i="1"/>
  <c r="I116" i="1"/>
  <c r="A4" i="1"/>
  <c r="F60" i="1"/>
  <c r="F117" i="1"/>
  <c r="D144" i="1"/>
  <c r="A52" i="1"/>
  <c r="A116" i="1"/>
  <c r="J137" i="1"/>
  <c r="E84" i="1"/>
  <c r="J99" i="1"/>
  <c r="C93" i="1"/>
  <c r="L64" i="1"/>
  <c r="A26" i="1"/>
  <c r="E14" i="1"/>
  <c r="H32" i="1"/>
  <c r="L51" i="1"/>
  <c r="E100" i="1"/>
  <c r="I63" i="1"/>
  <c r="J132" i="1"/>
  <c r="A59" i="1"/>
  <c r="C11" i="1"/>
  <c r="A124" i="1"/>
  <c r="D95" i="1"/>
  <c r="J110" i="1"/>
  <c r="E142" i="1"/>
  <c r="B12" i="1"/>
  <c r="D134" i="1"/>
  <c r="M146" i="1"/>
  <c r="E127" i="1"/>
  <c r="H142" i="1"/>
  <c r="M55" i="1"/>
  <c r="L17" i="1"/>
  <c r="I40" i="1"/>
  <c r="L25" i="1"/>
  <c r="M40" i="1"/>
  <c r="D109" i="1"/>
  <c r="A12" i="1"/>
  <c r="L106" i="1"/>
  <c r="J79" i="1"/>
  <c r="F16" i="1"/>
  <c r="L96" i="1"/>
  <c r="L1" i="1"/>
  <c r="D24" i="1"/>
  <c r="F148" i="1"/>
  <c r="K150" i="1"/>
  <c r="E40" i="1"/>
  <c r="L118" i="1"/>
  <c r="F91" i="1"/>
  <c r="M63" i="1"/>
  <c r="D102" i="1"/>
  <c r="L137" i="1"/>
  <c r="F150" i="1"/>
  <c r="J98" i="1"/>
  <c r="D100" i="1"/>
  <c r="G21" i="1"/>
  <c r="L140" i="1"/>
  <c r="D60" i="1"/>
  <c r="E145" i="1"/>
  <c r="B4" i="1"/>
  <c r="C79" i="1"/>
  <c r="M31" i="1"/>
  <c r="J126" i="1"/>
  <c r="G145" i="1"/>
  <c r="J45" i="1"/>
  <c r="M119" i="1"/>
  <c r="C99" i="1"/>
  <c r="J31" i="1"/>
  <c r="J10" i="1"/>
  <c r="F142" i="1"/>
  <c r="M118" i="1"/>
  <c r="E112" i="1"/>
  <c r="H1" i="1"/>
  <c r="M121" i="1"/>
  <c r="M105" i="1"/>
  <c r="F105" i="1"/>
  <c r="E31" i="1"/>
  <c r="I101" i="1"/>
  <c r="E34" i="1"/>
  <c r="C122" i="1"/>
  <c r="C24" i="1"/>
  <c r="E115" i="1"/>
  <c r="F140" i="1"/>
  <c r="G84" i="1"/>
  <c r="G102" i="1"/>
  <c r="M43" i="1"/>
  <c r="F88" i="1"/>
  <c r="E122" i="1"/>
  <c r="G47" i="1"/>
  <c r="B121" i="1"/>
  <c r="M34" i="1"/>
  <c r="M8" i="1"/>
  <c r="K89" i="1"/>
  <c r="M137" i="1"/>
  <c r="G8" i="1"/>
  <c r="I97" i="1"/>
  <c r="M150" i="1"/>
  <c r="E88" i="1"/>
  <c r="F144" i="1"/>
  <c r="D132" i="1"/>
  <c r="J61" i="1"/>
  <c r="K117" i="1"/>
  <c r="M95" i="1"/>
  <c r="J90" i="1"/>
  <c r="B85" i="1"/>
  <c r="D8" i="1"/>
  <c r="E47" i="1"/>
  <c r="M142" i="1"/>
  <c r="E76" i="1"/>
  <c r="E150" i="1"/>
  <c r="E102" i="1"/>
  <c r="E46" i="1"/>
  <c r="D120" i="1"/>
  <c r="J12" i="1"/>
  <c r="D45" i="1"/>
  <c r="J85" i="1"/>
  <c r="I44" i="1"/>
  <c r="I19" i="1"/>
  <c r="C128" i="1"/>
  <c r="D147" i="1"/>
  <c r="H111" i="1"/>
  <c r="J67" i="1"/>
  <c r="B149" i="1"/>
  <c r="A46" i="1"/>
  <c r="L109" i="1"/>
  <c r="J92" i="1"/>
  <c r="F70" i="1"/>
  <c r="G43" i="1"/>
  <c r="K60" i="1"/>
  <c r="G42" i="1"/>
  <c r="C145" i="1"/>
  <c r="A16" i="1"/>
  <c r="C105" i="1"/>
  <c r="J123" i="1"/>
  <c r="J46" i="1"/>
  <c r="B27" i="1"/>
  <c r="K131" i="1"/>
  <c r="E9" i="1"/>
  <c r="J148" i="1"/>
  <c r="J151" i="1"/>
  <c r="F90" i="1"/>
  <c r="L73" i="1"/>
  <c r="C126" i="1"/>
  <c r="L117" i="1"/>
  <c r="B9" i="1"/>
  <c r="M41" i="1"/>
  <c r="C141" i="1"/>
  <c r="B132" i="1"/>
  <c r="G22" i="1"/>
  <c r="G61" i="1"/>
  <c r="K113" i="1"/>
  <c r="L101" i="1"/>
  <c r="K111" i="1"/>
  <c r="I10" i="1"/>
  <c r="B46" i="1"/>
  <c r="B131" i="1"/>
  <c r="H82" i="1"/>
  <c r="E129" i="1"/>
  <c r="C90" i="1"/>
  <c r="A98" i="1"/>
  <c r="C121" i="1"/>
  <c r="L74" i="1"/>
  <c r="C32" i="1"/>
  <c r="M50" i="1"/>
  <c r="J135" i="1"/>
  <c r="B125" i="1"/>
  <c r="C81" i="1"/>
  <c r="F64" i="1"/>
  <c r="A74" i="1"/>
  <c r="M82" i="1"/>
  <c r="D73" i="1"/>
  <c r="D94" i="1"/>
  <c r="L138" i="1"/>
  <c r="D146" i="1"/>
  <c r="M96" i="1"/>
  <c r="G77" i="1"/>
  <c r="B25" i="1"/>
  <c r="B97" i="1"/>
  <c r="C115" i="1"/>
  <c r="J29" i="1"/>
  <c r="J120" i="1"/>
  <c r="I86" i="1"/>
  <c r="I76" i="1"/>
  <c r="G54" i="1"/>
  <c r="F18" i="1"/>
  <c r="L133" i="1"/>
  <c r="A25" i="1"/>
  <c r="F76" i="1"/>
  <c r="I120" i="1"/>
  <c r="D130" i="1"/>
  <c r="J94" i="1"/>
  <c r="B45" i="1"/>
  <c r="L90" i="1"/>
  <c r="A32" i="1"/>
  <c r="D121" i="1"/>
  <c r="E61" i="1"/>
  <c r="H100" i="1"/>
  <c r="H68" i="1"/>
  <c r="A106" i="1"/>
  <c r="L15" i="1"/>
  <c r="A14" i="1"/>
  <c r="H12" i="1"/>
  <c r="K67" i="1"/>
  <c r="A142" i="1"/>
  <c r="L89" i="1"/>
  <c r="G51" i="1"/>
  <c r="H79" i="1"/>
  <c r="C106" i="1"/>
  <c r="C112" i="1"/>
  <c r="C130" i="1"/>
  <c r="E6" i="1"/>
  <c r="H118" i="1"/>
  <c r="J127" i="1"/>
  <c r="D47" i="1"/>
  <c r="K73" i="1"/>
  <c r="I146" i="1"/>
  <c r="H27" i="1"/>
  <c r="I105" i="1"/>
  <c r="G106" i="1"/>
  <c r="I132" i="1"/>
  <c r="C36" i="1"/>
  <c r="A149" i="1"/>
  <c r="B39" i="1"/>
  <c r="J6" i="1"/>
  <c r="L58" i="1"/>
  <c r="G24" i="1"/>
  <c r="E92" i="1"/>
  <c r="K52" i="1"/>
  <c r="G53" i="1"/>
  <c r="A23" i="1"/>
  <c r="C60" i="1"/>
  <c r="D61" i="1"/>
  <c r="B75" i="1"/>
  <c r="H40" i="1"/>
  <c r="D14" i="1"/>
  <c r="E89" i="1"/>
  <c r="F19" i="1"/>
  <c r="D16" i="1"/>
  <c r="D5" i="1"/>
  <c r="D69" i="1"/>
  <c r="H53" i="1"/>
  <c r="B61" i="1"/>
  <c r="L116" i="1"/>
  <c r="A151" i="1"/>
  <c r="H96" i="1"/>
  <c r="M100" i="1"/>
  <c r="A15" i="1"/>
  <c r="B134" i="1"/>
  <c r="M58" i="1"/>
  <c r="M78" i="1"/>
  <c r="F69" i="1"/>
  <c r="C104" i="1"/>
  <c r="E121" i="1"/>
  <c r="M87" i="1"/>
  <c r="J96" i="1"/>
  <c r="M33" i="1"/>
  <c r="F110" i="1"/>
  <c r="K1" i="1"/>
  <c r="C150" i="1"/>
  <c r="A27" i="1"/>
  <c r="H37" i="1"/>
  <c r="G40" i="1"/>
  <c r="H112" i="1"/>
  <c r="I137" i="1"/>
  <c r="B113" i="1"/>
  <c r="M25" i="1"/>
  <c r="M21" i="1"/>
  <c r="M14" i="1"/>
  <c r="B112" i="1"/>
  <c r="J111" i="1"/>
  <c r="G69" i="1"/>
  <c r="C107" i="1"/>
  <c r="G34" i="1"/>
  <c r="D149" i="1"/>
  <c r="D35" i="1"/>
  <c r="H125" i="1"/>
  <c r="H103" i="1"/>
  <c r="L33" i="1"/>
  <c r="I22" i="1"/>
  <c r="I67" i="1"/>
  <c r="F137" i="1"/>
  <c r="M18" i="1"/>
  <c r="M73" i="1"/>
  <c r="M48" i="1"/>
  <c r="J70" i="1"/>
  <c r="G64" i="1"/>
  <c r="E21" i="1"/>
  <c r="L124" i="1"/>
  <c r="C49" i="1"/>
  <c r="H98" i="1"/>
  <c r="F99" i="1"/>
  <c r="I145" i="1"/>
  <c r="J115" i="1"/>
  <c r="L68" i="1"/>
  <c r="D4" i="1"/>
  <c r="K137" i="1"/>
  <c r="F95" i="1"/>
  <c r="C16" i="1"/>
  <c r="K56" i="1"/>
  <c r="E95" i="1"/>
  <c r="C31" i="1"/>
  <c r="L77" i="1"/>
  <c r="F94" i="1"/>
  <c r="F113" i="1"/>
  <c r="I33" i="1"/>
  <c r="B74" i="1"/>
  <c r="C142" i="1"/>
  <c r="J147" i="1"/>
  <c r="J107" i="1"/>
  <c r="D50" i="1"/>
  <c r="H117" i="1"/>
  <c r="H8" i="1"/>
  <c r="M144" i="1"/>
  <c r="M62" i="1"/>
  <c r="K23" i="1"/>
  <c r="G82" i="1"/>
  <c r="G129" i="1"/>
  <c r="E146" i="1"/>
  <c r="H149" i="1"/>
  <c r="F37" i="1"/>
  <c r="F40" i="1"/>
  <c r="I53" i="1"/>
  <c r="K41" i="1"/>
  <c r="B83" i="1"/>
  <c r="I130" i="1"/>
  <c r="A11" i="1"/>
  <c r="F35" i="1"/>
  <c r="H43" i="1"/>
  <c r="G67" i="1"/>
  <c r="E137" i="1"/>
  <c r="G20" i="1"/>
  <c r="F147" i="1"/>
  <c r="L59" i="1"/>
  <c r="G19" i="1"/>
  <c r="L39" i="1"/>
  <c r="D135" i="1"/>
  <c r="F93" i="1"/>
  <c r="D128" i="1"/>
  <c r="G108" i="1"/>
  <c r="A24" i="1"/>
  <c r="K127" i="1"/>
  <c r="G144" i="1"/>
  <c r="A112" i="1"/>
  <c r="C66" i="1"/>
  <c r="K95" i="1"/>
  <c r="L135" i="1"/>
  <c r="I38" i="1"/>
  <c r="H69" i="1"/>
  <c r="J9" i="1"/>
  <c r="L19" i="1"/>
  <c r="D65" i="1"/>
  <c r="L49" i="1"/>
  <c r="I90" i="1"/>
  <c r="A36" i="1"/>
  <c r="J59" i="1"/>
  <c r="E45" i="1"/>
  <c r="E98" i="1"/>
  <c r="L11" i="1"/>
  <c r="H73" i="1"/>
  <c r="D84" i="1"/>
  <c r="I84" i="1"/>
  <c r="I64" i="1"/>
  <c r="K32" i="1"/>
  <c r="M93" i="1"/>
  <c r="G100" i="1"/>
  <c r="F107" i="1"/>
  <c r="L94" i="1"/>
  <c r="G113" i="1"/>
  <c r="L130" i="1"/>
  <c r="J51" i="1"/>
  <c r="E117" i="1"/>
  <c r="L99" i="1"/>
  <c r="L50" i="1"/>
  <c r="B16" i="1"/>
  <c r="F101" i="1"/>
  <c r="I143" i="1"/>
  <c r="K86" i="1"/>
  <c r="J33" i="1"/>
  <c r="B88" i="1"/>
  <c r="F126" i="1"/>
  <c r="C29" i="1"/>
  <c r="K43" i="1"/>
  <c r="H7" i="1"/>
  <c r="M67" i="1"/>
  <c r="K138" i="1"/>
  <c r="G122" i="1"/>
  <c r="K57" i="1"/>
  <c r="H54" i="1"/>
  <c r="A97" i="1"/>
  <c r="D86" i="1"/>
  <c r="L145" i="1"/>
  <c r="M75" i="1"/>
  <c r="J42" i="1"/>
  <c r="C135" i="1"/>
  <c r="B79" i="1"/>
  <c r="K19" i="1"/>
  <c r="J71" i="1"/>
  <c r="C40" i="1"/>
  <c r="I46" i="1"/>
  <c r="D48" i="1"/>
  <c r="L144" i="1"/>
  <c r="K69" i="1"/>
  <c r="C76" i="1"/>
  <c r="F92" i="1"/>
  <c r="B82" i="1"/>
  <c r="K66" i="1"/>
  <c r="L65" i="1"/>
  <c r="B51" i="1"/>
  <c r="L127" i="1"/>
  <c r="F28" i="1"/>
  <c r="L36" i="1"/>
  <c r="M74" i="1"/>
  <c r="I88" i="1"/>
  <c r="H22" i="1"/>
  <c r="I94" i="1"/>
  <c r="G115" i="1"/>
  <c r="B20" i="1"/>
  <c r="G78" i="1"/>
  <c r="B43" i="1"/>
  <c r="L63" i="1"/>
  <c r="A76" i="1"/>
  <c r="D81" i="1"/>
  <c r="H42" i="1"/>
  <c r="C149" i="1"/>
  <c r="H130" i="1"/>
  <c r="D9" i="1"/>
  <c r="C94" i="1"/>
  <c r="L139" i="1"/>
  <c r="K77" i="1"/>
  <c r="I89" i="1"/>
  <c r="M83" i="1"/>
  <c r="A6" i="1"/>
  <c r="E68" i="1"/>
  <c r="B102" i="1"/>
  <c r="L115" i="1"/>
  <c r="D137" i="1"/>
  <c r="E49" i="1"/>
  <c r="B101" i="1"/>
  <c r="E10" i="1"/>
  <c r="K128" i="1"/>
  <c r="G32" i="1"/>
  <c r="H33" i="1"/>
  <c r="E32" i="1"/>
  <c r="G137" i="1"/>
  <c r="D30" i="1"/>
  <c r="J86" i="1"/>
  <c r="A22" i="1"/>
  <c r="M10" i="1"/>
  <c r="K8" i="1"/>
  <c r="K44" i="1"/>
  <c r="B104" i="1"/>
  <c r="G1" i="1"/>
  <c r="I71" i="1"/>
  <c r="E57" i="1"/>
  <c r="M135" i="1"/>
  <c r="K14" i="1"/>
  <c r="F131" i="1"/>
  <c r="B2" i="1"/>
  <c r="K91" i="1"/>
  <c r="K146" i="1"/>
  <c r="H99" i="1"/>
  <c r="H128" i="1"/>
  <c r="G143" i="1"/>
  <c r="G23" i="1"/>
  <c r="E77" i="1"/>
  <c r="F59" i="1"/>
  <c r="C10" i="1"/>
  <c r="D21" i="1"/>
  <c r="K110" i="1"/>
  <c r="G37" i="1"/>
  <c r="D92" i="1"/>
  <c r="A64" i="1"/>
  <c r="J5" i="1"/>
  <c r="C15" i="1"/>
  <c r="F62" i="1"/>
  <c r="C103" i="1"/>
  <c r="C140" i="1"/>
  <c r="I45" i="1"/>
  <c r="I100" i="1"/>
  <c r="C97" i="1"/>
  <c r="I56" i="1"/>
  <c r="K3" i="1"/>
  <c r="H59" i="1"/>
  <c r="B18" i="1"/>
  <c r="E126" i="1"/>
  <c r="G110" i="1"/>
  <c r="K144" i="1"/>
  <c r="G148" i="1"/>
  <c r="D98" i="1"/>
  <c r="D85" i="1"/>
  <c r="D38" i="1"/>
  <c r="I17" i="1"/>
  <c r="L70" i="1"/>
  <c r="C3" i="1"/>
  <c r="G57" i="1"/>
  <c r="E143" i="1"/>
  <c r="B13" i="1"/>
  <c r="G107" i="1"/>
  <c r="H135" i="1"/>
  <c r="I59" i="1"/>
  <c r="B50" i="1"/>
  <c r="F130" i="1"/>
  <c r="F36" i="1"/>
  <c r="F22" i="1"/>
  <c r="E93" i="1"/>
  <c r="E104" i="1"/>
  <c r="J112" i="1"/>
  <c r="A51" i="1"/>
  <c r="F41" i="1"/>
  <c r="G9" i="1"/>
  <c r="H124" i="1"/>
  <c r="I21" i="1"/>
  <c r="C68" i="1"/>
  <c r="A21" i="1"/>
  <c r="M102" i="1"/>
  <c r="B135" i="1"/>
  <c r="A146" i="1"/>
  <c r="F123" i="1"/>
  <c r="M114" i="1"/>
  <c r="G104" i="1"/>
  <c r="M107" i="1"/>
  <c r="D58" i="1"/>
  <c r="J134" i="1"/>
  <c r="E26" i="1"/>
  <c r="K9" i="1"/>
  <c r="J139" i="1"/>
  <c r="K87" i="1"/>
  <c r="B17" i="1"/>
  <c r="F13" i="1"/>
  <c r="F132" i="1"/>
  <c r="J102" i="1"/>
  <c r="F67" i="1"/>
  <c r="I99" i="1"/>
  <c r="I147" i="1"/>
  <c r="F20" i="1"/>
  <c r="C38" i="1"/>
  <c r="K12" i="1"/>
  <c r="H46" i="1"/>
  <c r="M136" i="1"/>
  <c r="G4" i="1"/>
  <c r="E29" i="1"/>
  <c r="A10" i="1"/>
  <c r="G6" i="1"/>
  <c r="H15" i="1"/>
  <c r="A82" i="1"/>
  <c r="H84" i="1"/>
  <c r="A31" i="1"/>
  <c r="K72" i="1"/>
  <c r="A88" i="1"/>
  <c r="B44" i="1"/>
  <c r="I36" i="1"/>
  <c r="K107" i="1"/>
  <c r="C83" i="1"/>
  <c r="J109" i="1"/>
  <c r="E69" i="1"/>
  <c r="G7" i="1"/>
  <c r="H17" i="1"/>
  <c r="J21" i="1"/>
  <c r="D91" i="1"/>
  <c r="I108" i="1"/>
  <c r="C143" i="1"/>
  <c r="G133" i="1"/>
  <c r="E85" i="1"/>
  <c r="J54" i="1"/>
  <c r="A8" i="1"/>
  <c r="F100" i="1"/>
  <c r="F87" i="1"/>
  <c r="H85" i="1"/>
  <c r="I118" i="1"/>
  <c r="J88" i="1"/>
  <c r="K109" i="1"/>
  <c r="C71" i="1"/>
  <c r="A53" i="1"/>
  <c r="H108" i="1"/>
  <c r="E36" i="1"/>
  <c r="A71" i="1"/>
  <c r="I73" i="1"/>
  <c r="I112" i="1"/>
  <c r="E140" i="1"/>
  <c r="F1" i="1"/>
  <c r="E86" i="1"/>
  <c r="M106" i="1"/>
  <c r="G36" i="1"/>
  <c r="M37" i="1"/>
  <c r="E87" i="1"/>
  <c r="M129" i="1"/>
  <c r="F49" i="1"/>
  <c r="M138" i="1"/>
  <c r="F102" i="1"/>
  <c r="J133" i="1"/>
  <c r="K134" i="1"/>
  <c r="C136" i="1"/>
  <c r="H76" i="1"/>
  <c r="I20" i="1"/>
  <c r="M47" i="1"/>
  <c r="I113" i="1"/>
  <c r="F25" i="1"/>
  <c r="C30" i="1"/>
  <c r="G134" i="1"/>
  <c r="B69" i="1"/>
  <c r="A39" i="1"/>
  <c r="I70" i="1"/>
  <c r="B123" i="1"/>
  <c r="F26" i="1"/>
  <c r="G66" i="1"/>
  <c r="C100" i="1"/>
  <c r="B23" i="1"/>
  <c r="G98" i="1"/>
  <c r="C75" i="1"/>
  <c r="F138" i="1"/>
  <c r="J30" i="1"/>
  <c r="B14" i="1"/>
  <c r="A65" i="1"/>
  <c r="J129" i="1"/>
  <c r="I95" i="1"/>
  <c r="F29" i="1"/>
  <c r="E139" i="1"/>
  <c r="H57" i="1"/>
  <c r="A125" i="1"/>
  <c r="E56" i="1"/>
  <c r="K33" i="1"/>
  <c r="K133" i="1"/>
  <c r="L102" i="1"/>
  <c r="C50" i="1"/>
  <c r="K47" i="1"/>
  <c r="J22" i="1"/>
  <c r="D22" i="1"/>
  <c r="H151" i="1"/>
  <c r="J130" i="1"/>
  <c r="F33" i="1"/>
  <c r="H30" i="1"/>
  <c r="H25" i="1"/>
  <c r="L121" i="1"/>
  <c r="A37" i="1"/>
  <c r="L40" i="1"/>
  <c r="A57" i="1"/>
  <c r="J114" i="1"/>
  <c r="K22" i="1"/>
  <c r="F14" i="1"/>
  <c r="H58" i="1"/>
  <c r="G139" i="1"/>
  <c r="C70" i="1"/>
  <c r="L141" i="1"/>
  <c r="J76" i="1"/>
  <c r="D53" i="1"/>
  <c r="B49" i="1"/>
  <c r="A56" i="1"/>
  <c r="D104" i="1"/>
  <c r="M120" i="1"/>
  <c r="H6" i="1"/>
  <c r="M94" i="1"/>
  <c r="M16" i="1"/>
  <c r="A139" i="1"/>
  <c r="A75" i="1"/>
  <c r="J68" i="1"/>
  <c r="I82" i="1"/>
  <c r="M86" i="1"/>
  <c r="C39" i="1"/>
  <c r="M30" i="1"/>
  <c r="H105" i="1"/>
  <c r="M151" i="1"/>
  <c r="J146" i="1"/>
  <c r="A77" i="1"/>
  <c r="D31" i="1"/>
  <c r="H21" i="1"/>
  <c r="L16" i="1"/>
  <c r="D57" i="1"/>
  <c r="L83" i="1"/>
  <c r="M130" i="1"/>
  <c r="J36" i="1"/>
  <c r="K149" i="1"/>
  <c r="A83" i="1"/>
  <c r="I83" i="1"/>
  <c r="M109" i="1"/>
  <c r="L8" i="1"/>
  <c r="F127" i="1"/>
  <c r="E114" i="1"/>
  <c r="M101" i="1"/>
  <c r="C134" i="1"/>
  <c r="H93" i="1"/>
  <c r="I11" i="1"/>
  <c r="L38" i="1"/>
  <c r="F24" i="1"/>
  <c r="D143" i="1"/>
  <c r="E4" i="1"/>
  <c r="K59" i="1"/>
  <c r="I127" i="1"/>
  <c r="G83" i="1"/>
  <c r="A137" i="1"/>
  <c r="G29" i="1"/>
  <c r="D17" i="1"/>
  <c r="B118" i="1"/>
  <c r="D105" i="1"/>
  <c r="G97" i="1"/>
  <c r="I135" i="1"/>
  <c r="C87" i="1"/>
  <c r="D82" i="1"/>
  <c r="F120" i="1"/>
  <c r="K20" i="1"/>
  <c r="F65" i="1"/>
  <c r="C129" i="1"/>
  <c r="D7" i="1"/>
  <c r="F3" i="1"/>
  <c r="I18" i="1"/>
  <c r="J24" i="1"/>
  <c r="L146" i="1"/>
  <c r="M1" i="1"/>
  <c r="H137" i="1"/>
  <c r="I123" i="1"/>
  <c r="A55" i="1"/>
  <c r="B47" i="1"/>
  <c r="I93" i="1"/>
  <c r="F7" i="1"/>
  <c r="I138" i="1"/>
  <c r="I150" i="1"/>
  <c r="J83" i="1"/>
  <c r="J15" i="1"/>
  <c r="J93" i="1"/>
  <c r="M4" i="1"/>
  <c r="B34" i="1"/>
  <c r="E41" i="1"/>
  <c r="D1" i="1"/>
  <c r="L71" i="1"/>
  <c r="H34" i="1"/>
  <c r="I41" i="1"/>
  <c r="J95" i="1"/>
  <c r="E65" i="1"/>
  <c r="H20" i="1"/>
  <c r="A50" i="1"/>
  <c r="E53" i="1"/>
  <c r="M11" i="1"/>
  <c r="C19" i="1"/>
  <c r="J87" i="1"/>
  <c r="J101" i="1"/>
  <c r="F77" i="1"/>
  <c r="E59" i="1"/>
  <c r="L54" i="1"/>
  <c r="L143" i="1"/>
  <c r="K15" i="1"/>
  <c r="H106" i="1"/>
  <c r="C86" i="1"/>
  <c r="A35" i="1"/>
  <c r="L46" i="1"/>
  <c r="D87" i="1"/>
  <c r="L100" i="1"/>
  <c r="A34" i="1"/>
  <c r="F38" i="1"/>
  <c r="G123" i="1"/>
  <c r="E130" i="1"/>
  <c r="D116" i="1"/>
  <c r="M29" i="1"/>
  <c r="M98" i="1"/>
  <c r="K114" i="1"/>
  <c r="I110" i="1"/>
  <c r="G3" i="1"/>
  <c r="A100" i="1"/>
  <c r="F98" i="1"/>
  <c r="I27" i="1"/>
  <c r="F133" i="1"/>
  <c r="I114" i="1"/>
  <c r="M2" i="1"/>
  <c r="L112" i="1"/>
  <c r="G18" i="1"/>
  <c r="K35" i="1"/>
  <c r="K62" i="1"/>
  <c r="D29" i="1"/>
  <c r="H31" i="1"/>
  <c r="J144" i="1"/>
  <c r="G119" i="1"/>
  <c r="J28" i="1"/>
  <c r="J113" i="1"/>
  <c r="D138" i="1"/>
  <c r="C74" i="1"/>
  <c r="D148" i="1"/>
  <c r="C72" i="1"/>
  <c r="B63" i="1"/>
  <c r="L81" i="1"/>
  <c r="E147" i="1"/>
  <c r="K120" i="1"/>
  <c r="I58" i="1"/>
  <c r="H87" i="1"/>
  <c r="A79" i="1"/>
  <c r="D68" i="1"/>
  <c r="L22" i="1"/>
  <c r="G120" i="1"/>
  <c r="L151" i="1"/>
  <c r="F45" i="1"/>
  <c r="K68" i="1"/>
  <c r="H119" i="1"/>
  <c r="H28" i="1"/>
  <c r="F85" i="1"/>
  <c r="C51" i="1"/>
  <c r="J2" i="1"/>
  <c r="K81" i="1"/>
  <c r="J103" i="1"/>
  <c r="M122" i="1"/>
  <c r="C137" i="1"/>
  <c r="F39" i="1"/>
  <c r="M7" i="1"/>
  <c r="A107" i="1"/>
  <c r="M126" i="1"/>
  <c r="H101" i="1"/>
  <c r="E106" i="1"/>
  <c r="M128" i="1"/>
  <c r="G13" i="1"/>
  <c r="L108" i="1"/>
  <c r="E118" i="1"/>
  <c r="J18" i="1"/>
  <c r="M69" i="1"/>
  <c r="I2" i="1"/>
  <c r="G80" i="1"/>
  <c r="E19" i="1"/>
  <c r="J62" i="1"/>
  <c r="J25" i="1"/>
  <c r="J75" i="1"/>
  <c r="D107" i="1"/>
  <c r="A92" i="1"/>
  <c r="A81" i="1"/>
  <c r="I60" i="1"/>
  <c r="B116" i="1"/>
  <c r="F32" i="1"/>
  <c r="D28" i="1"/>
  <c r="M148" i="1"/>
  <c r="L95" i="1"/>
  <c r="L45" i="1"/>
  <c r="F23" i="1"/>
  <c r="G117" i="1"/>
  <c r="H92" i="1"/>
  <c r="H115" i="1"/>
  <c r="C65" i="1"/>
  <c r="I111" i="1"/>
  <c r="F135" i="1"/>
  <c r="G70" i="1"/>
  <c r="C45" i="1"/>
  <c r="A134" i="1"/>
  <c r="H62" i="1"/>
  <c r="C48" i="1"/>
  <c r="A85" i="1"/>
  <c r="A67" i="1"/>
  <c r="K112" i="1"/>
  <c r="A68" i="1"/>
  <c r="K94" i="1"/>
  <c r="G55" i="1"/>
  <c r="K31" i="1"/>
  <c r="H72" i="1"/>
  <c r="L27" i="1"/>
  <c r="K28" i="1"/>
  <c r="M54" i="1"/>
  <c r="C82" i="1"/>
  <c r="L128" i="1"/>
  <c r="J149" i="1"/>
  <c r="H39" i="1"/>
  <c r="L4" i="1"/>
  <c r="B22" i="1"/>
  <c r="J145" i="1"/>
  <c r="H74" i="1"/>
  <c r="A103" i="1"/>
  <c r="G72" i="1"/>
  <c r="C9" i="1"/>
  <c r="E99" i="1"/>
  <c r="K37" i="1"/>
  <c r="A121" i="1"/>
  <c r="A122" i="1"/>
  <c r="A101" i="1"/>
  <c r="A7" i="1"/>
  <c r="E18" i="1"/>
  <c r="L76" i="1"/>
  <c r="H107" i="1"/>
  <c r="A120" i="1"/>
  <c r="E107" i="1"/>
  <c r="G46" i="1"/>
  <c r="A42" i="1"/>
  <c r="M49" i="1"/>
  <c r="B36" i="1"/>
  <c r="H47" i="1"/>
  <c r="G151" i="1"/>
  <c r="G96" i="1"/>
  <c r="H150" i="1"/>
  <c r="H55" i="1"/>
  <c r="A40" i="1"/>
  <c r="B140" i="1"/>
  <c r="B147" i="1"/>
  <c r="A84" i="1"/>
  <c r="H16" i="1"/>
  <c r="C144" i="1"/>
  <c r="D13" i="1"/>
  <c r="L142" i="1"/>
  <c r="F104" i="1"/>
  <c r="I79" i="1"/>
  <c r="D63" i="1"/>
  <c r="B142" i="1"/>
  <c r="E94" i="1"/>
  <c r="I126" i="1"/>
  <c r="D34" i="1"/>
  <c r="C28" i="1"/>
  <c r="H44" i="1"/>
  <c r="C88" i="1"/>
  <c r="K104" i="1"/>
  <c r="A115" i="1"/>
  <c r="H139" i="1"/>
  <c r="A3" i="1"/>
  <c r="J138" i="1"/>
  <c r="D71" i="1"/>
  <c r="F48" i="1"/>
  <c r="K92" i="1"/>
  <c r="D39" i="1"/>
  <c r="M110" i="1"/>
  <c r="A78" i="1"/>
  <c r="D142" i="1"/>
  <c r="F27" i="1"/>
  <c r="J78" i="1"/>
  <c r="C109" i="1"/>
  <c r="F21" i="1"/>
  <c r="E17" i="1"/>
  <c r="A72" i="1"/>
  <c r="J19" i="1"/>
  <c r="E25" i="1"/>
  <c r="I65" i="1"/>
  <c r="D54" i="1"/>
  <c r="H114" i="1"/>
  <c r="I87" i="1"/>
  <c r="G136" i="1"/>
  <c r="K102" i="1"/>
  <c r="D124" i="1"/>
  <c r="F112" i="1"/>
  <c r="B144" i="1"/>
  <c r="A86" i="1"/>
  <c r="H86" i="1"/>
  <c r="D36" i="1"/>
  <c r="I134" i="1"/>
  <c r="I31" i="1"/>
  <c r="L12" i="1"/>
  <c r="F84" i="1"/>
  <c r="L20" i="1"/>
  <c r="M149" i="1"/>
  <c r="H65" i="1"/>
  <c r="K116" i="1"/>
  <c r="L104" i="1"/>
  <c r="F30" i="1"/>
  <c r="M127" i="1"/>
  <c r="D19" i="1"/>
  <c r="G41" i="1"/>
  <c r="C17" i="1"/>
  <c r="D64" i="1"/>
  <c r="H71" i="1"/>
  <c r="I128" i="1"/>
  <c r="K11" i="1"/>
  <c r="E58" i="1"/>
  <c r="L78" i="1"/>
  <c r="I37" i="1"/>
  <c r="J20" i="1"/>
  <c r="D145" i="1"/>
  <c r="A96" i="1"/>
  <c r="E12" i="1"/>
  <c r="D113" i="1"/>
  <c r="K45" i="1"/>
  <c r="J141" i="1"/>
  <c r="I25" i="1"/>
  <c r="A144" i="1"/>
  <c r="B41" i="1"/>
  <c r="K46" i="1"/>
  <c r="K54" i="1"/>
  <c r="G31" i="1"/>
  <c r="L87" i="1"/>
  <c r="D78" i="1"/>
  <c r="K7" i="1"/>
  <c r="L86" i="1"/>
  <c r="C34" i="1"/>
  <c r="H95" i="1"/>
  <c r="E101" i="1"/>
  <c r="K85" i="1"/>
  <c r="I139" i="1"/>
  <c r="D37" i="1"/>
  <c r="J11" i="1"/>
  <c r="B108" i="1"/>
  <c r="C47" i="1"/>
  <c r="G12" i="1"/>
  <c r="F86" i="1"/>
  <c r="B65" i="1"/>
  <c r="I136" i="1"/>
  <c r="J143" i="1"/>
  <c r="I30" i="1"/>
  <c r="B80" i="1"/>
  <c r="G48" i="1"/>
  <c r="K100" i="1"/>
  <c r="A66" i="1"/>
  <c r="A127" i="1"/>
  <c r="H10" i="1"/>
  <c r="E75" i="1"/>
  <c r="A58" i="1"/>
  <c r="D131" i="1"/>
  <c r="D23" i="1"/>
  <c r="J118" i="1"/>
  <c r="G141" i="1"/>
  <c r="G71" i="1"/>
  <c r="I68" i="1"/>
  <c r="H122" i="1"/>
  <c r="B127" i="1"/>
  <c r="D77" i="1"/>
  <c r="K141" i="1"/>
  <c r="E96" i="1"/>
  <c r="M59" i="1"/>
  <c r="B64" i="1"/>
  <c r="C55" i="1"/>
  <c r="J16" i="1"/>
  <c r="K40" i="1"/>
  <c r="B89" i="1"/>
  <c r="I24" i="1"/>
  <c r="I144" i="1"/>
  <c r="C2" i="1"/>
  <c r="L29" i="1"/>
  <c r="C123" i="1"/>
  <c r="D151" i="1"/>
  <c r="J55" i="1"/>
  <c r="E97" i="1"/>
  <c r="F43" i="1"/>
  <c r="D127" i="1"/>
  <c r="E52" i="1"/>
  <c r="G149" i="1"/>
  <c r="H147" i="1"/>
  <c r="B77" i="1"/>
  <c r="H5" i="1"/>
  <c r="G87" i="1"/>
  <c r="C56" i="1"/>
  <c r="L48" i="1"/>
  <c r="M80" i="1"/>
  <c r="B72" i="1"/>
  <c r="D110" i="1"/>
  <c r="C96" i="1"/>
  <c r="J84" i="1"/>
  <c r="I39" i="1"/>
  <c r="G127" i="1"/>
  <c r="I72" i="1"/>
  <c r="L6" i="1"/>
  <c r="C113" i="1"/>
  <c r="E128" i="1"/>
  <c r="A47" i="1"/>
  <c r="J1" i="1"/>
  <c r="C61" i="1"/>
  <c r="L132" i="1"/>
  <c r="F79" i="1"/>
  <c r="J48" i="1"/>
  <c r="B8" i="1"/>
  <c r="E30" i="1"/>
  <c r="H60" i="1"/>
  <c r="I80" i="1"/>
  <c r="F56" i="1"/>
  <c r="G73" i="1"/>
  <c r="G65" i="1"/>
  <c r="I81" i="1"/>
  <c r="B1" i="1"/>
  <c r="B58" i="1"/>
  <c r="F74" i="1"/>
  <c r="C1" i="1"/>
  <c r="G5" i="1"/>
  <c r="G146" i="1"/>
  <c r="H2" i="1"/>
  <c r="C119" i="1"/>
  <c r="A95" i="1"/>
  <c r="B130" i="1"/>
  <c r="H26" i="1"/>
  <c r="H23" i="1"/>
  <c r="A140" i="1"/>
  <c r="K50" i="1"/>
  <c r="L31" i="1"/>
  <c r="A147" i="1"/>
  <c r="M36" i="1"/>
  <c r="I14" i="1"/>
  <c r="F118" i="1"/>
  <c r="D74" i="1"/>
  <c r="L43" i="1"/>
  <c r="H123" i="1"/>
  <c r="L131" i="1"/>
  <c r="K80" i="1"/>
  <c r="M12" i="1"/>
  <c r="F50" i="1"/>
  <c r="D112" i="1"/>
  <c r="L82" i="1"/>
  <c r="L5" i="1"/>
  <c r="F57" i="1"/>
  <c r="D20" i="1"/>
  <c r="K139" i="1"/>
  <c r="B19" i="1"/>
  <c r="H120" i="1"/>
  <c r="K71" i="1"/>
  <c r="E83" i="1"/>
  <c r="E51" i="1"/>
  <c r="B110" i="1"/>
  <c r="A138" i="1"/>
  <c r="G63" i="1"/>
  <c r="G79" i="1"/>
  <c r="I61" i="1"/>
  <c r="D10" i="1"/>
  <c r="B137" i="1"/>
  <c r="I28" i="1"/>
  <c r="B114" i="1"/>
  <c r="I34" i="1"/>
  <c r="G95" i="1"/>
  <c r="J17" i="1"/>
  <c r="E63" i="1"/>
  <c r="A143" i="1"/>
  <c r="H3" i="1"/>
  <c r="K25" i="1"/>
  <c r="C26" i="1"/>
  <c r="J77" i="1"/>
  <c r="D122" i="1"/>
  <c r="A41" i="1"/>
  <c r="K122" i="1"/>
  <c r="H38" i="1"/>
  <c r="F125" i="1"/>
  <c r="G74" i="1"/>
  <c r="H61" i="1"/>
  <c r="H13" i="1"/>
  <c r="H19" i="1"/>
  <c r="K58" i="1"/>
  <c r="I5" i="1"/>
  <c r="K53" i="1"/>
  <c r="C46" i="1"/>
  <c r="C147" i="1"/>
  <c r="I85" i="1"/>
  <c r="A136" i="1"/>
  <c r="B107" i="1"/>
  <c r="E144" i="1"/>
  <c r="D129" i="1"/>
  <c r="C62" i="1"/>
  <c r="F34" i="1"/>
  <c r="F149" i="1"/>
  <c r="E11" i="1"/>
  <c r="D33" i="1"/>
  <c r="G105" i="1"/>
  <c r="B71" i="1"/>
  <c r="A111" i="1"/>
  <c r="M5" i="1"/>
  <c r="H24" i="1"/>
  <c r="L72" i="1"/>
  <c r="L3" i="1"/>
  <c r="H140" i="1"/>
  <c r="K63" i="1"/>
  <c r="D11" i="1"/>
  <c r="A61" i="1"/>
  <c r="I1" i="1"/>
  <c r="M57" i="1"/>
  <c r="F89" i="1"/>
  <c r="K121" i="1"/>
  <c r="A87" i="1"/>
  <c r="J73" i="1"/>
  <c r="L113" i="1"/>
  <c r="B141" i="1"/>
  <c r="M32" i="1"/>
  <c r="F81" i="1"/>
  <c r="F116" i="1"/>
  <c r="I122" i="1"/>
  <c r="E116" i="1"/>
  <c r="D117" i="1"/>
  <c r="E48" i="1"/>
  <c r="G89" i="1"/>
  <c r="M3" i="1"/>
  <c r="M71" i="1"/>
  <c r="E55" i="1"/>
  <c r="B76" i="1"/>
  <c r="E133" i="1"/>
  <c r="L120" i="1"/>
  <c r="K2" i="1"/>
  <c r="A19" i="1"/>
  <c r="H64" i="1"/>
  <c r="G135" i="1"/>
  <c r="H132" i="1"/>
  <c r="B151" i="1"/>
  <c r="G85" i="1"/>
  <c r="E23" i="1"/>
  <c r="L97" i="1"/>
  <c r="L32" i="1"/>
  <c r="B40" i="1"/>
  <c r="C73" i="1"/>
  <c r="E28" i="1"/>
  <c r="L35" i="1"/>
  <c r="B146" i="1"/>
  <c r="D32" i="1"/>
  <c r="G111" i="1"/>
  <c r="G76" i="1"/>
  <c r="F6" i="1"/>
  <c r="L7" i="1"/>
  <c r="M92" i="1"/>
  <c r="C7" i="1"/>
  <c r="I62" i="1"/>
  <c r="B95" i="1"/>
  <c r="K140" i="1"/>
  <c r="E54" i="1"/>
  <c r="J142" i="1"/>
  <c r="B96" i="1"/>
  <c r="C101" i="1"/>
  <c r="F103" i="1"/>
  <c r="H90" i="1"/>
  <c r="F139" i="1"/>
  <c r="E136" i="1"/>
  <c r="G38" i="1"/>
  <c r="K6" i="1"/>
  <c r="K51" i="1"/>
  <c r="B143" i="1"/>
  <c r="K103" i="1"/>
  <c r="B133" i="1"/>
  <c r="E120" i="1"/>
  <c r="E42" i="1"/>
  <c r="E90" i="1"/>
  <c r="F75" i="1"/>
  <c r="J56" i="1"/>
  <c r="F121" i="1"/>
  <c r="B120" i="1"/>
  <c r="A90" i="1"/>
  <c r="G14" i="1"/>
  <c r="J60" i="1"/>
  <c r="E124" i="1"/>
  <c r="D2" i="1"/>
  <c r="E110" i="1"/>
  <c r="J81" i="1"/>
  <c r="D26" i="1"/>
  <c r="B81" i="1"/>
  <c r="J97" i="1"/>
  <c r="B56" i="1"/>
  <c r="I78" i="1"/>
  <c r="F44" i="1"/>
  <c r="G28" i="1"/>
  <c r="F96" i="1"/>
  <c r="M123" i="1"/>
  <c r="J150" i="1"/>
  <c r="A80" i="1"/>
  <c r="F129" i="1"/>
  <c r="I124" i="1"/>
  <c r="G15" i="1"/>
  <c r="I102" i="1"/>
  <c r="J105" i="1"/>
  <c r="H129" i="1"/>
  <c r="M68" i="1"/>
  <c r="C6" i="1"/>
  <c r="A54" i="1"/>
  <c r="M84" i="1"/>
  <c r="J108" i="1"/>
  <c r="B6" i="1"/>
  <c r="A113" i="1"/>
  <c r="G62" i="1"/>
  <c r="H81" i="1"/>
  <c r="B5" i="1"/>
  <c r="B111" i="1"/>
  <c r="H83" i="1"/>
  <c r="C63" i="1"/>
  <c r="K4" i="1"/>
  <c r="A89" i="1"/>
  <c r="L129" i="1"/>
  <c r="C92" i="1"/>
  <c r="K48" i="1"/>
  <c r="I57" i="1"/>
  <c r="B136" i="1"/>
  <c r="J38" i="1"/>
  <c r="G128" i="1"/>
  <c r="M61" i="1"/>
  <c r="F111" i="1"/>
  <c r="A45" i="1"/>
  <c r="I149" i="1"/>
  <c r="D42" i="1"/>
  <c r="I50" i="1"/>
  <c r="E149" i="1"/>
  <c r="E148" i="1"/>
  <c r="H80" i="1"/>
  <c r="L111" i="1"/>
  <c r="M90" i="1"/>
  <c r="G140" i="1"/>
  <c r="F9" i="1"/>
  <c r="E111" i="1"/>
  <c r="B78" i="1"/>
  <c r="G56" i="1"/>
  <c r="K115" i="1"/>
  <c r="E24" i="1"/>
  <c r="E71" i="1"/>
  <c r="G121" i="1"/>
  <c r="D89" i="1"/>
  <c r="F52" i="1"/>
  <c r="D126" i="1"/>
  <c r="M60" i="1"/>
  <c r="M88" i="1"/>
  <c r="I69" i="1"/>
  <c r="F78" i="1"/>
  <c r="G94" i="1"/>
  <c r="L122" i="1"/>
  <c r="E8" i="1"/>
  <c r="K98" i="1"/>
  <c r="C116" i="1"/>
  <c r="M26" i="1"/>
  <c r="E60" i="1"/>
  <c r="L105" i="1"/>
  <c r="E105" i="1"/>
  <c r="D52" i="1"/>
  <c r="G45" i="1"/>
  <c r="M111" i="1"/>
  <c r="G101" i="1"/>
  <c r="H45" i="1"/>
  <c r="C91" i="1"/>
  <c r="B86" i="1"/>
  <c r="D90" i="1"/>
  <c r="I125" i="1"/>
  <c r="D43" i="1"/>
  <c r="J57" i="1"/>
  <c r="A9" i="1"/>
  <c r="I8" i="1"/>
  <c r="J8" i="1"/>
  <c r="K82" i="1"/>
  <c r="A30" i="1"/>
  <c r="L119" i="1"/>
  <c r="H131" i="1"/>
  <c r="J47" i="1"/>
  <c r="L42" i="1"/>
  <c r="G147" i="1"/>
  <c r="H143" i="1"/>
  <c r="L18" i="1"/>
  <c r="G75" i="1"/>
  <c r="J43" i="1"/>
  <c r="J63" i="1"/>
  <c r="J50" i="1"/>
  <c r="H145" i="1"/>
  <c r="I42" i="1"/>
  <c r="C84" i="1"/>
  <c r="M23" i="1"/>
  <c r="A49" i="1"/>
  <c r="L9" i="1"/>
  <c r="B93" i="1"/>
  <c r="B92" i="1"/>
  <c r="K36" i="1"/>
  <c r="G92" i="1"/>
  <c r="L103" i="1"/>
  <c r="G33" i="1"/>
  <c r="G124" i="1"/>
  <c r="H56" i="1"/>
  <c r="F141" i="1"/>
  <c r="A129" i="1"/>
  <c r="B33" i="1"/>
  <c r="G150" i="1"/>
  <c r="C44" i="1"/>
  <c r="L66" i="1"/>
  <c r="B109" i="1"/>
  <c r="A5" i="1"/>
  <c r="D125" i="1"/>
  <c r="M139" i="1"/>
  <c r="M56" i="1"/>
  <c r="M77" i="1"/>
  <c r="I109" i="1"/>
  <c r="A91" i="1"/>
  <c r="D79" i="1"/>
  <c r="I6" i="1"/>
  <c r="B90" i="1"/>
  <c r="D12" i="1"/>
  <c r="K88" i="1"/>
  <c r="B84" i="1"/>
  <c r="B42" i="1"/>
  <c r="B73" i="1"/>
  <c r="L136" i="1"/>
  <c r="B55" i="1"/>
  <c r="A148" i="1"/>
  <c r="K55" i="1"/>
  <c r="K10" i="1"/>
  <c r="C89" i="1"/>
  <c r="L98" i="1"/>
  <c r="A28" i="1"/>
  <c r="H75" i="1"/>
  <c r="K136" i="1"/>
  <c r="A104" i="1"/>
  <c r="D46" i="1"/>
  <c r="K83" i="1"/>
  <c r="L91" i="1"/>
  <c r="C59" i="1"/>
  <c r="A130" i="1"/>
  <c r="G88" i="1"/>
  <c r="B54" i="1"/>
  <c r="E33" i="1"/>
  <c r="F128" i="1"/>
  <c r="K106" i="1"/>
  <c r="K17" i="1"/>
  <c r="E72" i="1"/>
  <c r="M66" i="1"/>
  <c r="B24" i="1"/>
  <c r="E62" i="1"/>
  <c r="G103" i="1"/>
  <c r="H50" i="1"/>
  <c r="L55" i="1"/>
  <c r="B103" i="1"/>
  <c r="J116" i="1"/>
  <c r="E20" i="1"/>
  <c r="H109" i="1"/>
  <c r="C80" i="1"/>
  <c r="L80" i="1"/>
  <c r="C37" i="1"/>
  <c r="E22" i="1"/>
  <c r="H133" i="1"/>
  <c r="D93" i="1"/>
  <c r="G130" i="1"/>
  <c r="B57" i="1"/>
  <c r="H67" i="1"/>
  <c r="A114" i="1"/>
  <c r="E35" i="1"/>
  <c r="H136" i="1"/>
  <c r="E43" i="1"/>
  <c r="C120" i="1"/>
  <c r="A33" i="1"/>
  <c r="M115" i="1"/>
  <c r="D51" i="1"/>
  <c r="A128" i="1"/>
  <c r="E15" i="1"/>
  <c r="K5" i="1"/>
  <c r="I3" i="1"/>
  <c r="C21" i="1"/>
  <c r="D40" i="1"/>
  <c r="B37" i="1"/>
  <c r="B7" i="1"/>
  <c r="M145" i="1"/>
  <c r="J136" i="1"/>
  <c r="F122" i="1"/>
  <c r="M143" i="1"/>
  <c r="M89" i="1"/>
  <c r="G16" i="1"/>
  <c r="I77" i="1"/>
  <c r="I15" i="1"/>
  <c r="A20" i="1"/>
  <c r="E5" i="1"/>
  <c r="M64" i="1"/>
  <c r="K49" i="1"/>
  <c r="C35" i="1"/>
  <c r="D49" i="1"/>
  <c r="K148" i="1"/>
  <c r="K142" i="1"/>
  <c r="D101" i="1"/>
  <c r="M124" i="1"/>
  <c r="M46" i="1"/>
  <c r="D44" i="1"/>
  <c r="K76" i="1"/>
  <c r="K70" i="1"/>
  <c r="H41" i="1"/>
  <c r="L21" i="1"/>
  <c r="I26" i="1"/>
  <c r="G99" i="1"/>
  <c r="E113" i="1"/>
  <c r="G30" i="1"/>
  <c r="G25" i="1"/>
  <c r="C146" i="1"/>
  <c r="A29" i="1"/>
  <c r="C98" i="1"/>
  <c r="I47" i="1"/>
  <c r="B105" i="1"/>
  <c r="C118" i="1"/>
  <c r="A18" i="1"/>
  <c r="K132" i="1"/>
  <c r="M72" i="1"/>
  <c r="D6" i="1"/>
  <c r="H36" i="1"/>
  <c r="F47" i="1"/>
  <c r="D76" i="1"/>
  <c r="C132" i="1"/>
  <c r="I54" i="1"/>
  <c r="G27" i="1"/>
  <c r="D27" i="1"/>
  <c r="D114" i="1"/>
  <c r="L47" i="1"/>
  <c r="M17" i="1"/>
  <c r="D80" i="1"/>
  <c r="A108" i="1"/>
  <c r="G44" i="1"/>
  <c r="H104" i="1"/>
  <c r="D123" i="1"/>
  <c r="A117" i="1"/>
  <c r="K99" i="1"/>
  <c r="A102" i="1"/>
  <c r="M6" i="1"/>
  <c r="G2" i="1"/>
  <c r="I140" i="1"/>
  <c r="G49" i="1"/>
  <c r="D70" i="1"/>
  <c r="L125" i="1"/>
  <c r="F10" i="1"/>
  <c r="D62" i="1"/>
  <c r="A132" i="1"/>
  <c r="F151" i="1"/>
  <c r="K30" i="1"/>
  <c r="H66" i="1"/>
  <c r="L2" i="1"/>
  <c r="G26" i="1"/>
  <c r="I121" i="1"/>
  <c r="M141" i="1"/>
  <c r="F42" i="1"/>
  <c r="C8" i="1"/>
  <c r="L92" i="1"/>
  <c r="I66" i="1"/>
  <c r="A13" i="1"/>
  <c r="K97" i="1"/>
  <c r="C133" i="1"/>
  <c r="L75" i="1"/>
  <c r="F83" i="1"/>
  <c r="J100" i="1"/>
  <c r="L107" i="1"/>
  <c r="L69" i="1"/>
  <c r="L84" i="1"/>
  <c r="L61" i="1"/>
  <c r="C58" i="1"/>
  <c r="F134" i="1"/>
  <c r="K129" i="1"/>
  <c r="M112" i="1"/>
  <c r="J69" i="1"/>
  <c r="H91" i="1"/>
  <c r="G138" i="1"/>
  <c r="H110" i="1"/>
  <c r="G91" i="1"/>
  <c r="B28" i="1"/>
  <c r="C95" i="1"/>
  <c r="J72" i="1"/>
  <c r="B91" i="1"/>
  <c r="L26" i="1"/>
  <c r="H48" i="1"/>
  <c r="K84" i="1"/>
  <c r="B115" i="1"/>
  <c r="B139" i="1"/>
  <c r="I74" i="1"/>
  <c r="G86" i="1"/>
  <c r="K42" i="1"/>
  <c r="M140" i="1"/>
  <c r="M91" i="1"/>
  <c r="A60" i="1"/>
  <c r="I148" i="1"/>
  <c r="B150" i="1"/>
  <c r="E131" i="1"/>
  <c r="K24" i="1"/>
  <c r="I23" i="1"/>
  <c r="L150" i="1"/>
  <c r="M20" i="1"/>
  <c r="F55" i="1"/>
  <c r="E78" i="1"/>
  <c r="J14" i="1"/>
  <c r="B99" i="1"/>
  <c r="A44" i="1"/>
  <c r="H134" i="1"/>
  <c r="B67" i="1"/>
  <c r="F80" i="1"/>
  <c r="A63" i="1"/>
  <c r="A99" i="1"/>
  <c r="C57" i="1"/>
  <c r="E66" i="1"/>
  <c r="I49" i="1"/>
  <c r="B38" i="1"/>
  <c r="M116" i="1"/>
  <c r="H14" i="1"/>
  <c r="E13" i="1"/>
  <c r="E73" i="1"/>
  <c r="B32" i="1"/>
  <c r="B53" i="1"/>
  <c r="C41" i="1"/>
  <c r="L60" i="1"/>
  <c r="H70" i="1"/>
  <c r="E134" i="1"/>
  <c r="E81" i="1"/>
  <c r="K79" i="1"/>
  <c r="J53" i="1"/>
  <c r="A73" i="1"/>
  <c r="G131" i="1"/>
  <c r="J34" i="1"/>
  <c r="L10" i="1"/>
  <c r="M117" i="1"/>
  <c r="M39" i="1"/>
  <c r="I104" i="1"/>
  <c r="D3" i="1"/>
  <c r="C77" i="1"/>
  <c r="J80" i="1"/>
  <c r="H63" i="1"/>
  <c r="A1" i="1"/>
  <c r="A145" i="1"/>
  <c r="L57" i="1"/>
  <c r="K123" i="1"/>
  <c r="J128" i="1"/>
  <c r="K130" i="1"/>
  <c r="K90" i="1"/>
  <c r="G116" i="1"/>
  <c r="K119" i="1"/>
  <c r="F115" i="1"/>
  <c r="M53" i="1"/>
  <c r="C23" i="1"/>
  <c r="B21" i="1"/>
  <c r="K16" i="1"/>
  <c r="K65" i="1"/>
  <c r="H11" i="1"/>
  <c r="J35" i="1"/>
  <c r="E27" i="1"/>
  <c r="K64" i="1"/>
  <c r="F66" i="1"/>
  <c r="E44" i="1"/>
  <c r="K135" i="1"/>
  <c r="D56" i="1"/>
  <c r="J117" i="1"/>
  <c r="H89" i="1"/>
  <c r="J23" i="1"/>
  <c r="I129" i="1"/>
  <c r="M28" i="1"/>
  <c r="E1" i="1"/>
  <c r="M22" i="1"/>
  <c r="D88" i="1"/>
  <c r="D118" i="1"/>
  <c r="A105" i="1"/>
  <c r="L114" i="1"/>
  <c r="D96" i="1"/>
  <c r="I35" i="1"/>
  <c r="C18" i="1"/>
  <c r="G132" i="1"/>
  <c r="J58" i="1"/>
  <c r="K13" i="1"/>
  <c r="E109" i="1"/>
  <c r="B128" i="1"/>
  <c r="G17" i="1"/>
  <c r="K34" i="1"/>
  <c r="K61" i="1"/>
  <c r="F11" i="1"/>
  <c r="A94" i="1"/>
  <c r="E82" i="1"/>
  <c r="F71" i="1"/>
  <c r="A43" i="1"/>
  <c r="J26" i="1"/>
  <c r="K93" i="1"/>
  <c r="A62" i="1"/>
  <c r="C4" i="1"/>
  <c r="D108" i="1"/>
  <c r="L34" i="1"/>
  <c r="I119" i="1"/>
  <c r="C25" i="1"/>
  <c r="F12" i="1"/>
  <c r="C20" i="1"/>
  <c r="C43" i="1"/>
  <c r="K145" i="1"/>
  <c r="K108" i="1"/>
  <c r="H141" i="1"/>
  <c r="B148" i="1"/>
  <c r="D99" i="1"/>
  <c r="I151" i="1"/>
  <c r="A118" i="1"/>
  <c r="J44" i="1"/>
  <c r="F63" i="1"/>
  <c r="J104" i="1"/>
  <c r="E138" i="1"/>
  <c r="D136" i="1"/>
  <c r="D59" i="1"/>
  <c r="M15" i="1"/>
  <c r="L52" i="1"/>
  <c r="K105" i="1"/>
  <c r="F31" i="1"/>
  <c r="C33" i="1"/>
  <c r="K21" i="1"/>
  <c r="H148" i="1"/>
  <c r="F143" i="1"/>
  <c r="J13" i="1"/>
  <c r="J89" i="1"/>
  <c r="I13" i="1"/>
  <c r="E16" i="1"/>
  <c r="A135" i="1"/>
  <c r="D25" i="1"/>
  <c r="J124" i="1"/>
  <c r="E141" i="1"/>
  <c r="K26" i="1"/>
  <c r="I96" i="1"/>
  <c r="G11" i="1"/>
  <c r="I12" i="1"/>
  <c r="H77" i="1"/>
  <c r="C127" i="1"/>
  <c r="I91" i="1"/>
  <c r="M38" i="1"/>
  <c r="J140" i="1"/>
  <c r="G59" i="1"/>
  <c r="M13" i="1"/>
  <c r="M65" i="1"/>
  <c r="M103" i="1"/>
  <c r="G68" i="1"/>
  <c r="F109" i="1"/>
  <c r="L149" i="1"/>
  <c r="B129" i="1"/>
  <c r="E135" i="1"/>
  <c r="B30" i="1"/>
  <c r="J4" i="1"/>
  <c r="I48" i="1"/>
  <c r="C139" i="1"/>
  <c r="C53" i="1"/>
  <c r="J131" i="1"/>
  <c r="I142" i="1"/>
  <c r="C69" i="1"/>
  <c r="I107" i="1"/>
  <c r="J32" i="1"/>
  <c r="D97" i="1"/>
  <c r="L30" i="1"/>
  <c r="H116" i="1"/>
  <c r="I141" i="1"/>
  <c r="L23" i="1"/>
  <c r="J106" i="1"/>
  <c r="K143" i="1"/>
  <c r="M76" i="1"/>
  <c r="C108" i="1"/>
  <c r="M147" i="1"/>
  <c r="G125" i="1"/>
  <c r="B145" i="1"/>
  <c r="D141" i="1"/>
  <c r="A109" i="1"/>
  <c r="B87" i="1"/>
  <c r="K147" i="1"/>
  <c r="A93" i="1"/>
  <c r="J119" i="1"/>
  <c r="F106" i="1"/>
  <c r="B117" i="1"/>
  <c r="L24" i="1"/>
  <c r="A133" i="1"/>
  <c r="K78" i="1"/>
  <c r="F97" i="1"/>
  <c r="E132" i="1"/>
  <c r="B10" i="1"/>
  <c r="J82" i="1"/>
  <c r="G81" i="1"/>
  <c r="L93" i="1"/>
  <c r="J125" i="1"/>
  <c r="L123" i="1"/>
  <c r="F61" i="1"/>
  <c r="K96" i="1"/>
  <c r="A141" i="1"/>
  <c r="E108" i="1"/>
  <c r="H9" i="1"/>
  <c r="K124" i="1"/>
  <c r="A2" i="1"/>
  <c r="D15" i="1"/>
  <c r="F114" i="1"/>
  <c r="I43" i="1"/>
  <c r="M97" i="1"/>
  <c r="H97" i="1"/>
  <c r="M99" i="1"/>
  <c r="G90" i="1"/>
  <c r="K75" i="1"/>
  <c r="L53" i="1"/>
  <c r="L37" i="1"/>
  <c r="I9" i="1"/>
  <c r="B31" i="1"/>
  <c r="L44" i="1"/>
  <c r="K118" i="1"/>
  <c r="H78" i="1"/>
  <c r="M9" i="1"/>
  <c r="H51" i="1"/>
  <c r="L148" i="1"/>
  <c r="G10" i="1"/>
  <c r="H146" i="1"/>
  <c r="J64" i="1"/>
  <c r="A123" i="1"/>
  <c r="D115" i="1"/>
  <c r="E70" i="1"/>
  <c r="D55" i="1"/>
  <c r="I92" i="1"/>
  <c r="A150" i="1"/>
  <c r="A119" i="1"/>
  <c r="B35" i="1"/>
  <c r="M27" i="1"/>
  <c r="M79" i="1"/>
  <c r="G112" i="1"/>
  <c r="E91" i="1"/>
  <c r="C110" i="1"/>
  <c r="M52" i="1"/>
  <c r="B100" i="1"/>
  <c r="L126" i="1"/>
  <c r="F72" i="1"/>
  <c r="B48" i="1"/>
  <c r="F4" i="1"/>
  <c r="K101" i="1"/>
  <c r="D111" i="1"/>
  <c r="K151" i="1"/>
  <c r="B11" i="1"/>
  <c r="I51" i="1"/>
  <c r="A69" i="1"/>
  <c r="C67" i="1"/>
  <c r="L134" i="1"/>
  <c r="A38" i="1"/>
  <c r="H144" i="1"/>
  <c r="D67" i="1"/>
  <c r="B26" i="1"/>
  <c r="B126" i="1"/>
  <c r="D140" i="1"/>
  <c r="K29" i="1"/>
  <c r="L79" i="1"/>
  <c r="C125" i="1"/>
  <c r="M108" i="1"/>
  <c r="D66" i="1"/>
  <c r="H4" i="1"/>
  <c r="I16" i="1"/>
  <c r="D103" i="1"/>
  <c r="F5" i="1"/>
  <c r="L14" i="1"/>
  <c r="A48" i="1"/>
  <c r="H102" i="1"/>
  <c r="F46" i="1"/>
  <c r="F68" i="1"/>
  <c r="F54" i="1"/>
  <c r="D119" i="1"/>
  <c r="S15" i="1" s="1"/>
  <c r="J3" i="1"/>
  <c r="I98" i="1"/>
  <c r="E151" i="1"/>
  <c r="H94" i="1"/>
  <c r="Q15" i="1" l="1"/>
  <c r="P15" i="1"/>
  <c r="O15" i="1"/>
  <c r="N207" i="1"/>
  <c r="N4" i="1"/>
  <c r="O5" i="1"/>
  <c r="N2" i="1" s="1"/>
  <c r="N5" i="1"/>
  <c r="P5" i="1"/>
  <c r="N3" i="1" s="1"/>
  <c r="N6" i="1"/>
  <c r="N128" i="1"/>
  <c r="S16" i="1"/>
  <c r="N192" i="1"/>
  <c r="N160" i="1"/>
  <c r="N198" i="1"/>
  <c r="N252" i="1"/>
  <c r="N240" i="1"/>
  <c r="N155" i="1"/>
  <c r="N154" i="1"/>
  <c r="N218" i="1"/>
  <c r="N209" i="1"/>
  <c r="N178" i="1"/>
  <c r="N196" i="1"/>
  <c r="N216" i="1"/>
  <c r="N202" i="1"/>
  <c r="N239" i="1"/>
  <c r="N227" i="1"/>
  <c r="N166" i="1"/>
  <c r="N238" i="1"/>
  <c r="N206" i="1"/>
  <c r="N183" i="1"/>
  <c r="N211" i="1"/>
  <c r="N173" i="1"/>
  <c r="N163" i="1"/>
  <c r="N213" i="1"/>
  <c r="N176" i="1"/>
  <c r="N188" i="1"/>
  <c r="N156" i="1"/>
  <c r="N153" i="1"/>
  <c r="N54" i="1"/>
  <c r="N115" i="1"/>
  <c r="N120" i="1"/>
  <c r="N138" i="1"/>
  <c r="N124" i="1"/>
  <c r="N75" i="1"/>
  <c r="N18" i="1"/>
  <c r="N15" i="1"/>
  <c r="N95" i="1"/>
  <c r="N113" i="1"/>
  <c r="N47" i="1"/>
  <c r="N76" i="1"/>
  <c r="N11" i="1"/>
  <c r="N13" i="1"/>
  <c r="N27" i="1"/>
  <c r="N98" i="1"/>
  <c r="N25" i="1"/>
  <c r="N21" i="1"/>
  <c r="N17" i="1"/>
  <c r="N29" i="1"/>
  <c r="N45" i="1"/>
  <c r="N92" i="1"/>
  <c r="N42" i="1"/>
  <c r="N94" i="1"/>
  <c r="N22" i="1"/>
  <c r="N136" i="1"/>
  <c r="N96" i="1"/>
  <c r="N34" i="1"/>
  <c r="N28" i="1"/>
  <c r="N80" i="1"/>
  <c r="N12" i="1"/>
  <c r="N137" i="1"/>
  <c r="N74" i="1"/>
  <c r="N87" i="1"/>
  <c r="N142" i="1"/>
  <c r="N208" i="1"/>
  <c r="N157" i="1"/>
  <c r="N248" i="1"/>
  <c r="N210" i="1"/>
  <c r="N249" i="1"/>
  <c r="N235" i="1"/>
  <c r="N225" i="1"/>
  <c r="N230" i="1"/>
  <c r="N197" i="1"/>
  <c r="N195" i="1"/>
  <c r="N171" i="1"/>
  <c r="N205" i="1"/>
  <c r="N180" i="1"/>
  <c r="N53" i="1"/>
  <c r="N114" i="1"/>
  <c r="N127" i="1"/>
  <c r="N43" i="1"/>
  <c r="N38" i="1"/>
  <c r="N100" i="1"/>
  <c r="N140" i="1"/>
  <c r="N36" i="1"/>
  <c r="N32" i="1"/>
  <c r="N132" i="1"/>
  <c r="N143" i="1"/>
  <c r="N19" i="1"/>
  <c r="N129" i="1"/>
  <c r="N131" i="1"/>
  <c r="N9" i="1"/>
  <c r="N58" i="1"/>
  <c r="N69" i="1"/>
  <c r="N93" i="1"/>
  <c r="N51" i="1"/>
  <c r="N106" i="1"/>
  <c r="N65" i="1"/>
  <c r="N122" i="1"/>
  <c r="N126" i="1"/>
  <c r="N147" i="1"/>
  <c r="N71" i="1"/>
  <c r="N62" i="1"/>
  <c r="N8" i="1"/>
  <c r="N86" i="1"/>
  <c r="N66" i="1"/>
  <c r="N99" i="1"/>
  <c r="N134" i="1"/>
  <c r="N26" i="1"/>
  <c r="N133" i="1"/>
  <c r="N103" i="1"/>
  <c r="N88" i="1"/>
  <c r="N82" i="1"/>
  <c r="N64" i="1"/>
  <c r="N111" i="1"/>
  <c r="N24" i="1"/>
  <c r="N48" i="1"/>
  <c r="N33" i="1"/>
  <c r="N44" i="1"/>
  <c r="N108" i="1"/>
  <c r="N139" i="1"/>
  <c r="N37" i="1"/>
  <c r="N73" i="1"/>
  <c r="N81" i="1"/>
  <c r="N31" i="1"/>
  <c r="N135" i="1"/>
  <c r="N151" i="1"/>
  <c r="N102" i="1"/>
  <c r="N220" i="1"/>
  <c r="N254" i="1"/>
  <c r="N251" i="1"/>
  <c r="N204" i="1"/>
  <c r="N162" i="1"/>
  <c r="N224" i="1"/>
  <c r="N215" i="1"/>
  <c r="N186" i="1"/>
  <c r="N253" i="1"/>
  <c r="N236" i="1"/>
  <c r="N189" i="1"/>
  <c r="N241" i="1"/>
  <c r="N231" i="1"/>
  <c r="N174" i="1"/>
  <c r="N246" i="1"/>
  <c r="N214" i="1"/>
  <c r="N190" i="1"/>
  <c r="N217" i="1"/>
  <c r="N179" i="1"/>
  <c r="N165" i="1"/>
  <c r="N221" i="1"/>
  <c r="N182" i="1"/>
  <c r="N181" i="1"/>
  <c r="N164" i="1"/>
  <c r="N161" i="1"/>
  <c r="N55" i="1"/>
  <c r="N116" i="1"/>
  <c r="N119" i="1"/>
  <c r="N123" i="1"/>
  <c r="N117" i="1"/>
  <c r="N50" i="1"/>
  <c r="N83" i="1"/>
  <c r="N97" i="1"/>
  <c r="N46" i="1"/>
  <c r="N35" i="1"/>
  <c r="N68" i="1"/>
  <c r="N149" i="1"/>
  <c r="N57" i="1"/>
  <c r="N52" i="1"/>
  <c r="N105" i="1"/>
  <c r="N79" i="1"/>
  <c r="N85" i="1"/>
  <c r="N30" i="1"/>
  <c r="N56" i="1"/>
  <c r="N10" i="1"/>
  <c r="N144" i="1"/>
  <c r="N60" i="1"/>
  <c r="N78" i="1"/>
  <c r="N145" i="1"/>
  <c r="N107" i="1"/>
  <c r="N63" i="1"/>
  <c r="N89" i="1"/>
  <c r="N61" i="1"/>
  <c r="N23" i="1"/>
  <c r="N109" i="1"/>
  <c r="N7" i="1"/>
  <c r="N112" i="1"/>
  <c r="N90" i="1"/>
  <c r="N16" i="1"/>
  <c r="N104" i="1"/>
  <c r="N148" i="1"/>
  <c r="N203" i="1"/>
  <c r="N232" i="1"/>
  <c r="N168" i="1"/>
  <c r="N234" i="1"/>
  <c r="N194" i="1"/>
  <c r="N255" i="1"/>
  <c r="N212" i="1"/>
  <c r="N158" i="1"/>
  <c r="N245" i="1"/>
  <c r="N237" i="1"/>
  <c r="N170" i="1"/>
  <c r="N167" i="1"/>
  <c r="N121" i="1"/>
  <c r="N70" i="1"/>
  <c r="N77" i="1"/>
  <c r="N84" i="1"/>
  <c r="N101" i="1"/>
  <c r="N72" i="1"/>
  <c r="N146" i="1"/>
  <c r="N110" i="1"/>
  <c r="N130" i="1"/>
  <c r="N49" i="1"/>
  <c r="N59" i="1"/>
  <c r="N67" i="1"/>
  <c r="N40" i="1"/>
  <c r="N14" i="1"/>
  <c r="N41" i="1"/>
  <c r="N39" i="1"/>
  <c r="N125" i="1"/>
  <c r="N118" i="1"/>
  <c r="N91" i="1"/>
  <c r="N20" i="1"/>
  <c r="N150" i="1"/>
  <c r="N141" i="1"/>
  <c r="N250" i="1"/>
  <c r="N226" i="1"/>
  <c r="N152" i="1"/>
  <c r="N247" i="1"/>
  <c r="N228" i="1"/>
  <c r="N184" i="1"/>
  <c r="N244" i="1"/>
  <c r="N193" i="1"/>
  <c r="N177" i="1"/>
  <c r="N256" i="1"/>
  <c r="N242" i="1"/>
  <c r="N201" i="1"/>
  <c r="N243" i="1"/>
  <c r="N233" i="1"/>
  <c r="N219" i="1"/>
  <c r="N175" i="1"/>
  <c r="N222" i="1"/>
  <c r="N187" i="1"/>
  <c r="N223" i="1"/>
  <c r="N191" i="1"/>
  <c r="N169" i="1"/>
  <c r="N229" i="1"/>
  <c r="N185" i="1"/>
  <c r="N199" i="1"/>
  <c r="N172" i="1"/>
  <c r="N159" i="1"/>
  <c r="N200" i="1"/>
  <c r="Q16" i="1" l="1"/>
  <c r="P16" i="1"/>
  <c r="O16" i="1"/>
  <c r="S17" i="1"/>
  <c r="Q17" i="1" l="1"/>
  <c r="P17" i="1"/>
  <c r="O17" i="1"/>
  <c r="S18" i="1"/>
  <c r="S19" i="1"/>
  <c r="S20" i="1"/>
  <c r="S21" i="1"/>
  <c r="S22" i="1"/>
  <c r="S23" i="1"/>
  <c r="S24" i="1" s="1"/>
  <c r="Q24" i="1" l="1"/>
  <c r="Q23" i="1"/>
  <c r="Q20" i="1"/>
  <c r="Q18" i="1"/>
  <c r="Q19" i="1"/>
  <c r="Q22" i="1"/>
  <c r="Q21" i="1"/>
  <c r="P24" i="1"/>
  <c r="P19" i="1"/>
  <c r="P22" i="1"/>
  <c r="P18" i="1"/>
  <c r="P21" i="1"/>
  <c r="P23" i="1"/>
  <c r="P20" i="1"/>
  <c r="O18" i="1"/>
  <c r="O22" i="1"/>
  <c r="O24" i="1"/>
  <c r="O19" i="1"/>
  <c r="O20" i="1"/>
  <c r="O21" i="1"/>
  <c r="O23" i="1"/>
  <c r="S25" i="1"/>
  <c r="S26" i="1"/>
  <c r="S27" i="1" s="1"/>
  <c r="P25" i="1" l="1"/>
  <c r="P27" i="1"/>
  <c r="Q27" i="1"/>
  <c r="Q26" i="1"/>
  <c r="P26" i="1"/>
  <c r="O25" i="1"/>
  <c r="Q25" i="1"/>
  <c r="O26" i="1"/>
  <c r="O27" i="1"/>
</calcChain>
</file>

<file path=xl/sharedStrings.xml><?xml version="1.0" encoding="utf-8"?>
<sst xmlns="http://schemas.openxmlformats.org/spreadsheetml/2006/main" count="25" uniqueCount="24">
  <si>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</si>
  <si>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</si>
  <si>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</si>
  <si>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</si>
  <si>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</si>
  <si>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</si>
  <si>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</si>
  <si>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</si>
  <si>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</si>
  <si>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</si>
  <si>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</si>
  <si>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</si>
  <si>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</si>
  <si>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</si>
  <si>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2019-02-SpringBloom/FAT_2019_50_0000279.pdf</t>
  </si>
  <si>
    <t>2019-02-SpringBloom/FAT_2019_50_0000280.pdf</t>
  </si>
  <si>
    <t>x</t>
  </si>
  <si>
    <t>FAT_2019_50_0000348.2-EAN13.csv</t>
  </si>
  <si>
    <t>FICHIER_traite.csv</t>
  </si>
  <si>
    <t>Contrôle</t>
  </si>
  <si>
    <t>Requêteur de prix</t>
  </si>
  <si>
    <t>Code produit : ex. OBAGB</t>
  </si>
  <si>
    <t>obagb</t>
  </si>
  <si>
    <t>Code type : ex. EVS18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</si>
</sst>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€&quot;_-;\-* #,##0.00\ &quot;€&quot;_-;_-* &quot;-&quot;??\ &quot;€&quot;_-;_-@_-"/>
    <numFmt numFmtId="164" formatCode="General;General;&quot;&quot;"/>
    <numFmt numFmtId="165" formatCode="###0;###0;&quot;&quot;"/>
    <numFmt numFmtId="166" formatCode="#,##0.00\ &quot;€&quot;;\-#,##0.00\ &quot;€&quot;;&quot;&quot;"/>
    <numFmt numFmtId="167" formatCode="#,##0.00\ &quot;€&quot;"/>
  </numFmts>
  <fonts count="10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  <xf numFmtId="164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7" fillId="8" borderId="0" xfId="0" applyNumberFormat="1" applyFont="1" applyFill="1"/>
    <xf numFmtId="0" fontId="7" fillId="8" borderId="0" xfId="0" applyFont="1" applyFill="1"/>
    <xf numFmtId="164" fontId="6" fillId="5" borderId="0" xfId="0" applyNumberFormat="1" applyFont="1" applyFill="1"/>
    <xf numFmtId="167" fontId="6" fillId="5" borderId="0" xfId="0" applyNumberFormat="1" applyFont="1" applyFill="1"/>
    <xf numFmtId="0" fontId="8" fillId="5" borderId="0" xfId="0" applyFont="1" applyFill="1"/>
    <xf numFmtId="0" fontId="0" fillId="3" borderId="1" xfId="0" applyFill="1" applyBorder="1"/>
    <xf numFmtId="0" fontId="0" fillId="9" borderId="0" xfId="0" applyFill="1"/>
    <xf numFmtId="44" fontId="0" fillId="5" borderId="0" xfId="1" applyFont="1" applyFill="1"/>
    <xf numFmtId="0" fontId="0" fillId="9" borderId="0" xfId="1" applyNumberFormat="1" applyFont="1" applyFill="1"/>
    <xf numFmtId="0" fontId="0" fillId="10" borderId="1" xfId="0" applyFill="1" applyBorder="1"/>
  </cellXfs>
  <cellStyles count="2">
    <cellStyle name="Monétaire" xfId="1" builtinId="4"/>
    <cellStyle name="Normal" xfId="0" builtinId="0"/>
  </cellStyles>
  <dxfs count="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S256"/>
  <sheetViews>
    <sheetView tabSelected="1" workbookViewId="0">
      <selection activeCell="O15" sqref="O15"/>
    </sheetView>
  </sheetViews>
  <sheetFormatPr baseColWidth="10" defaultColWidth="11.42578125" defaultRowHeight="15.75" x14ac:dyDescent="0.25"/>
  <cols>
    <col min="1" max="1" width="5.85546875" style="1" customWidth="1"/>
    <col min="2" max="2" width="3.7109375" style="1" customWidth="1"/>
    <col min="3" max="3" width="12.5703125" style="6" customWidth="1"/>
    <col min="4" max="4" width="21.7109375" style="9" customWidth="1"/>
    <col min="5" max="5" width="63.140625" style="13" customWidth="1"/>
    <col min="6" max="6" width="6.140625" style="19" customWidth="1"/>
    <col min="7" max="7" width="4.140625" style="11" customWidth="1"/>
    <col min="8" max="8" width="10.42578125" style="21" customWidth="1"/>
    <col min="9" max="9" width="10.42578125" style="23" customWidth="1"/>
    <col min="10" max="10" width="21.42578125" style="15" customWidth="1"/>
    <col min="11" max="11" width="6.7109375" style="17" customWidth="1"/>
    <col min="12" max="12" width="4.28515625" style="28" customWidth="1"/>
    <col min="13" max="13" width="19.5703125" style="30" bestFit="1" customWidth="1"/>
    <col min="14" max="14" width="14.85546875" style="1" bestFit="1" customWidth="1"/>
    <col min="15" max="15" width="23" style="1" customWidth="1"/>
    <col min="16" max="16" width="11.42578125" style="1"/>
    <col min="17" max="17" width="54.7109375" style="1" bestFit="1" customWidth="1"/>
    <col min="18" max="16384" width="11.42578125" style="1"/>
  </cols>
  <sheetData>
    <row r="1" spans="1:19" x14ac:dyDescent="0.25">
      <c r="A1" s="3">
        <f t="shared" ref="A1:M10" ca="1" si="0">INDEX(INDIRECT($O$10),ROW(A1),COLUMN(A1))</f>
        <v>1</v>
      </c>
      <c r="B1" s="3">
        <f t="shared" ca="1" si="0"/>
        <v>0</v>
      </c>
      <c r="C1" s="5" t="str">
        <f t="shared" ca="1" si="0"/>
        <v>Fichier</v>
      </c>
      <c r="D1" s="8">
        <f t="shared" ca="1" si="0"/>
        <v>0</v>
      </c>
      <c r="E1" s="12" t="str">
        <f t="shared" ca="1" si="0"/>
        <v>2019-09-Fall19/FAT_2019_50_0001933.txt</v>
      </c>
      <c r="F1" s="18">
        <f t="shared" ca="1" si="0"/>
        <v>0</v>
      </c>
      <c r="G1" s="10">
        <f t="shared" ca="1" si="0"/>
        <v>0</v>
      </c>
      <c r="H1" s="20">
        <f t="shared" ca="1" si="0"/>
        <v>0</v>
      </c>
      <c r="I1" s="22">
        <f t="shared" ca="1" si="0"/>
        <v>0</v>
      </c>
      <c r="J1" s="14">
        <f t="shared" ca="1" si="0"/>
        <v>0</v>
      </c>
      <c r="K1" s="16">
        <f t="shared" ca="1" si="0"/>
        <v>0</v>
      </c>
      <c r="L1" s="27">
        <f t="shared" ca="1" si="0"/>
        <v>0</v>
      </c>
      <c r="M1" s="29">
        <f t="shared" ca="1" si="0"/>
        <v>0</v>
      </c>
      <c r="N1" s="31" t="s">
        <v>19</v>
      </c>
    </row>
    <row r="2" spans="1:19" x14ac:dyDescent="0.25">
      <c r="A2" s="3">
        <f t="shared" ca="1" si="0"/>
        <v>2</v>
      </c>
      <c r="B2" s="3">
        <f t="shared" ca="1" si="0"/>
        <v>0</v>
      </c>
      <c r="C2" s="5" t="str">
        <f t="shared" ca="1" si="0"/>
        <v>Boutique</v>
      </c>
      <c r="D2" s="8">
        <f t="shared" ca="1" si="0"/>
        <v>0</v>
      </c>
      <c r="E2" s="12" t="str">
        <f t="shared" ca="1" si="0"/>
        <v>TOULOUSE</v>
      </c>
      <c r="F2" s="18">
        <f t="shared" ca="1" si="0"/>
        <v>0</v>
      </c>
      <c r="G2" s="10">
        <f t="shared" ca="1" si="0"/>
        <v>0</v>
      </c>
      <c r="H2" s="20">
        <f t="shared" ca="1" si="0"/>
        <v>0</v>
      </c>
      <c r="I2" s="22">
        <f t="shared" ca="1" si="0"/>
        <v>0</v>
      </c>
      <c r="J2" s="14">
        <f t="shared" ca="1" si="0"/>
        <v>0</v>
      </c>
      <c r="K2" s="16">
        <f t="shared" ca="1" si="0"/>
        <v>0</v>
      </c>
      <c r="L2" s="27">
        <f t="shared" ca="1" si="0"/>
        <v>0</v>
      </c>
      <c r="M2" s="29">
        <f t="shared" ca="1" si="0"/>
        <v>0</v>
      </c>
      <c r="N2" s="32">
        <f ca="1">O5</f>
        <v>6132.7099999999928</v>
      </c>
    </row>
    <row r="3" spans="1:19" x14ac:dyDescent="0.25">
      <c r="A3" s="3">
        <f t="shared" ca="1" si="0"/>
        <v>3</v>
      </c>
      <c r="B3" s="3">
        <f t="shared" ca="1" si="0"/>
        <v>0</v>
      </c>
      <c r="C3" s="5" t="str">
        <f t="shared" ca="1" si="0"/>
        <v>Ref. facture</v>
      </c>
      <c r="D3" s="8">
        <f t="shared" ca="1" si="0"/>
        <v>0</v>
      </c>
      <c r="E3" s="12" t="str">
        <f t="shared" ca="1" si="0"/>
        <v>2019 50 1933 17/09/2019</v>
      </c>
      <c r="F3" s="18">
        <f t="shared" ca="1" si="0"/>
        <v>0</v>
      </c>
      <c r="G3" s="10">
        <f t="shared" ca="1" si="0"/>
        <v>0</v>
      </c>
      <c r="H3" s="20">
        <f t="shared" ca="1" si="0"/>
        <v>0</v>
      </c>
      <c r="I3" s="22">
        <f t="shared" ca="1" si="0"/>
        <v>0</v>
      </c>
      <c r="J3" s="14">
        <f t="shared" ca="1" si="0"/>
        <v>0</v>
      </c>
      <c r="K3" s="16">
        <f t="shared" ca="1" si="0"/>
        <v>0</v>
      </c>
      <c r="L3" s="27">
        <f t="shared" ca="1" si="0"/>
        <v>0</v>
      </c>
      <c r="M3" s="29">
        <f t="shared" ca="1" si="0"/>
        <v>0</v>
      </c>
      <c r="N3" s="32">
        <f ca="1">P5</f>
        <v>6132.7099999999928</v>
      </c>
      <c r="O3" s="1" t="s">
        <v>1</v>
      </c>
      <c r="Q3" s="26" t="s">
        <v>17</v>
      </c>
    </row>
    <row r="4" spans="1:19" ht="15.75" customHeight="1" x14ac:dyDescent="0.5">
      <c r="A4" s="3">
        <f t="shared" ca="1" si="0"/>
        <v>4</v>
      </c>
      <c r="B4" s="3">
        <f t="shared" ca="1" si="0"/>
        <v>0</v>
      </c>
      <c r="C4" s="5" t="str">
        <f t="shared" ca="1" si="0"/>
        <v>Total facture</v>
      </c>
      <c r="D4" s="8">
        <f t="shared" ca="1" si="0"/>
        <v>0</v>
      </c>
      <c r="E4" s="12">
        <f t="shared" ca="1" si="0"/>
        <v>6224.71</v>
      </c>
      <c r="F4" s="18">
        <f t="shared" ca="1" si="0"/>
        <v>0</v>
      </c>
      <c r="G4" s="10">
        <f t="shared" ca="1" si="0"/>
        <v>0</v>
      </c>
      <c r="H4" s="20">
        <f t="shared" ca="1" si="0"/>
        <v>0</v>
      </c>
      <c r="I4" s="22">
        <f t="shared" ca="1" si="0"/>
        <v>0</v>
      </c>
      <c r="J4" s="14">
        <f t="shared" ca="1" si="0"/>
        <v>0</v>
      </c>
      <c r="K4" s="16">
        <f t="shared" ca="1" si="0"/>
        <v>0</v>
      </c>
      <c r="L4" s="27">
        <f t="shared" ca="1" si="0"/>
        <v>0</v>
      </c>
      <c r="M4" s="29">
        <f t="shared" ca="1" si="0"/>
        <v>0</v>
      </c>
      <c r="N4" s="33" t="str">
        <f t="shared" ref="N4:N67" ca="1" si="1">IF(ISNUMBER($C4),codeEAN13(INT(C4/10)),"")</f>
        <v/>
      </c>
      <c r="O4" s="1" t="s">
        <v>0</v>
      </c>
      <c r="Q4" s="26" t="s">
        <v>18</v>
      </c>
    </row>
    <row r="5" spans="1:19" ht="15.75" customHeight="1" x14ac:dyDescent="0.5">
      <c r="A5" s="3">
        <f t="shared" ca="1" si="0"/>
        <v>5</v>
      </c>
      <c r="B5" s="3">
        <f t="shared" ca="1" si="0"/>
        <v>0</v>
      </c>
      <c r="C5" s="5" t="str">
        <f t="shared" ca="1" si="0"/>
        <v>Total produits</v>
      </c>
      <c r="D5" s="8">
        <f t="shared" ca="1" si="0"/>
        <v>0</v>
      </c>
      <c r="E5" s="12">
        <f t="shared" ca="1" si="0"/>
        <v>0</v>
      </c>
      <c r="F5" s="18">
        <f t="shared" ca="1" si="0"/>
        <v>0</v>
      </c>
      <c r="G5" s="10">
        <f t="shared" ca="1" si="0"/>
        <v>0</v>
      </c>
      <c r="H5" s="20">
        <f t="shared" ca="1" si="0"/>
        <v>0</v>
      </c>
      <c r="I5" s="22">
        <f t="shared" ca="1" si="0"/>
        <v>0</v>
      </c>
      <c r="J5" s="14">
        <f t="shared" ca="1" si="0"/>
        <v>0</v>
      </c>
      <c r="K5" s="16">
        <f t="shared" ca="1" si="0"/>
        <v>0</v>
      </c>
      <c r="L5" s="27">
        <f t="shared" ca="1" si="0"/>
        <v>0</v>
      </c>
      <c r="M5" s="29">
        <f t="shared" ca="1" si="0"/>
        <v>0</v>
      </c>
      <c r="N5" s="33" t="str">
        <f t="shared" ca="1" si="1"/>
        <v/>
      </c>
      <c r="O5" s="1">
        <f ca="1">SUMPRODUCT(G:G,H:H)</f>
        <v>6132.7099999999928</v>
      </c>
      <c r="P5" s="4">
        <f ca="1">SUM(I:I)</f>
        <v>6132.7099999999928</v>
      </c>
    </row>
    <row r="6" spans="1:19" ht="15.75" customHeight="1" x14ac:dyDescent="0.5">
      <c r="A6" s="3">
        <f t="shared" ca="1" si="0"/>
        <v>6</v>
      </c>
      <c r="B6" s="3">
        <f t="shared" ca="1" si="0"/>
        <v>0</v>
      </c>
      <c r="C6" s="5" t="str">
        <f t="shared" ca="1" si="0"/>
        <v>Cumul montant</v>
      </c>
      <c r="D6" s="8">
        <f t="shared" ca="1" si="0"/>
        <v>0</v>
      </c>
      <c r="E6" s="12" t="str">
        <f t="shared" ca="1" si="0"/>
        <v>6132.71</v>
      </c>
      <c r="F6" s="18">
        <f t="shared" ca="1" si="0"/>
        <v>0</v>
      </c>
      <c r="G6" s="10" t="str">
        <f t="shared" ca="1" si="0"/>
        <v>Etat courant = 'lectureCouleur'</v>
      </c>
      <c r="H6" s="20">
        <f t="shared" ca="1" si="0"/>
        <v>0</v>
      </c>
      <c r="I6" s="22">
        <f t="shared" ca="1" si="0"/>
        <v>0</v>
      </c>
      <c r="J6" s="14">
        <f t="shared" ca="1" si="0"/>
        <v>0</v>
      </c>
      <c r="K6" s="16">
        <f t="shared" ca="1" si="0"/>
        <v>0</v>
      </c>
      <c r="L6" s="27">
        <f t="shared" ca="1" si="0"/>
        <v>0</v>
      </c>
      <c r="M6" s="29">
        <f t="shared" ca="1" si="0"/>
        <v>0</v>
      </c>
      <c r="N6" s="33" t="str">
        <f t="shared" ca="1" si="1"/>
        <v/>
      </c>
      <c r="O6" s="7" t="s">
        <v>15</v>
      </c>
      <c r="P6" s="1" t="s">
        <v>16</v>
      </c>
      <c r="Q6" s="26" t="s">
        <v>13</v>
      </c>
    </row>
    <row r="7" spans="1:19" ht="15.75" customHeight="1" x14ac:dyDescent="0.5">
      <c r="A7" s="3">
        <f t="shared" ca="1" si="0"/>
        <v>7</v>
      </c>
      <c r="B7" s="3" t="str">
        <f t="shared" ca="1" si="0"/>
        <v>ANOMALIE MONTANT</v>
      </c>
      <c r="C7" s="5">
        <f t="shared" ca="1" si="0"/>
        <v>0</v>
      </c>
      <c r="D7" s="8">
        <f t="shared" ca="1" si="0"/>
        <v>6132.71</v>
      </c>
      <c r="E7" s="12">
        <f t="shared" ca="1" si="0"/>
        <v>0</v>
      </c>
      <c r="F7" s="18">
        <f t="shared" ca="1" si="0"/>
        <v>0</v>
      </c>
      <c r="G7" s="10">
        <f t="shared" ca="1" si="0"/>
        <v>0</v>
      </c>
      <c r="H7" s="20">
        <f t="shared" ca="1" si="0"/>
        <v>0</v>
      </c>
      <c r="I7" s="22">
        <f t="shared" ca="1" si="0"/>
        <v>0</v>
      </c>
      <c r="J7" s="14">
        <f t="shared" ca="1" si="0"/>
        <v>0</v>
      </c>
      <c r="K7" s="16">
        <f t="shared" ca="1" si="0"/>
        <v>0</v>
      </c>
      <c r="L7" s="27">
        <f t="shared" ca="1" si="0"/>
        <v>0</v>
      </c>
      <c r="M7" s="29">
        <f t="shared" ca="1" si="0"/>
        <v>0</v>
      </c>
      <c r="N7" s="33" t="str">
        <f t="shared" ca="1" si="1"/>
        <v/>
      </c>
      <c r="O7" s="1" t="str">
        <f>LEFT(O6,LEN(O6)-3)&amp;"2-EAN13.csv"</f>
        <v>2019-02-SpringBloom/FAT_2019_50_0000280.2-EAN13.csv</v>
      </c>
    </row>
    <row r="8" spans="1:19" ht="31.5" x14ac:dyDescent="0.45">
      <c r="A8" s="3" t="str">
        <f t="shared" ca="1" si="0"/>
        <v>'001</v>
      </c>
      <c r="B8" s="3">
        <f t="shared" ca="1" si="0"/>
        <v>140</v>
      </c>
      <c r="C8" s="5">
        <f t="shared" ca="1" si="0"/>
        <v>8050850000000</v>
      </c>
      <c r="D8" s="8" t="str">
        <f t="shared" ca="1" si="0"/>
        <v>ACCEO113-MAS00-055</v>
      </c>
      <c r="E8" s="12" t="str">
        <f t="shared" ca="1" si="0"/>
        <v>ACCESSOIRE PORTE-CLES LETTRES O BAG EN PLASTIQUE</v>
      </c>
      <c r="F8" s="18" t="str">
        <f t="shared" ca="1" si="0"/>
        <v>UNICA</v>
      </c>
      <c r="G8" s="10">
        <f t="shared" ca="1" si="0"/>
        <v>2</v>
      </c>
      <c r="H8" s="20">
        <f t="shared" ca="1" si="0"/>
        <v>7.78</v>
      </c>
      <c r="I8" s="22">
        <f t="shared" ca="1" si="0"/>
        <v>15.56</v>
      </c>
      <c r="J8" s="14" t="str">
        <f t="shared" ca="1" si="0"/>
        <v xml:space="preserve"> </v>
      </c>
      <c r="K8" s="16" t="str">
        <f t="shared" ca="1" si="0"/>
        <v xml:space="preserve"> </v>
      </c>
      <c r="L8" s="27" t="str">
        <f t="shared" ca="1" si="0"/>
        <v xml:space="preserve"> </v>
      </c>
      <c r="M8" s="29" t="str">
        <f t="shared" ca="1" si="0"/>
        <v>nero</v>
      </c>
      <c r="N8" s="2" t="str">
        <f t="shared" ca="1" si="1"/>
        <v>8APASPA*aaaaae+</v>
      </c>
      <c r="O8" s="1" t="str">
        <f>MID(O7,SEARCH("/",O7)+1,50)</f>
        <v>FAT_2019_50_0000280.2-EAN13.csv</v>
      </c>
      <c r="S8" s="24"/>
    </row>
    <row r="9" spans="1:19" ht="31.5" x14ac:dyDescent="0.45">
      <c r="A9" s="3" t="str">
        <f t="shared" ca="1" si="0"/>
        <v>'002</v>
      </c>
      <c r="B9" s="3">
        <f t="shared" ca="1" si="0"/>
        <v>16</v>
      </c>
      <c r="C9" s="5">
        <f t="shared" ca="1" si="0"/>
        <v>8050850000000</v>
      </c>
      <c r="D9" s="8" t="str">
        <f t="shared" ca="1" si="0"/>
        <v>ACCEO113-MAS00-076</v>
      </c>
      <c r="E9" s="12" t="str">
        <f t="shared" ca="1" si="0"/>
        <v>ACCESSOIRE PORTE-CLES LETTRES O BAG EN PLASTIQUE</v>
      </c>
      <c r="F9" s="18" t="str">
        <f t="shared" ca="1" si="0"/>
        <v>UNICA</v>
      </c>
      <c r="G9" s="10">
        <f t="shared" ca="1" si="0"/>
        <v>2</v>
      </c>
      <c r="H9" s="20">
        <f t="shared" ca="1" si="0"/>
        <v>7.78</v>
      </c>
      <c r="I9" s="22">
        <f t="shared" ca="1" si="0"/>
        <v>15.56</v>
      </c>
      <c r="J9" s="14" t="str">
        <f t="shared" ca="1" si="0"/>
        <v xml:space="preserve"> </v>
      </c>
      <c r="K9" s="16" t="str">
        <f t="shared" ca="1" si="0"/>
        <v xml:space="preserve"> </v>
      </c>
      <c r="L9" s="27" t="str">
        <f t="shared" ca="1" si="0"/>
        <v xml:space="preserve"> </v>
      </c>
      <c r="M9" s="29" t="str">
        <f t="shared" ca="1" si="0"/>
        <v>rosso</v>
      </c>
      <c r="N9" s="2" t="str">
        <f t="shared" ca="1" si="1"/>
        <v>8APASPA*aaaaae+</v>
      </c>
      <c r="O9" s="1" t="str">
        <f>IF(P6="x",Q6,O8)</f>
        <v>EAN13_traite.csv</v>
      </c>
    </row>
    <row r="10" spans="1:19" ht="31.5" x14ac:dyDescent="0.45">
      <c r="A10" s="3" t="str">
        <f t="shared" ca="1" si="0"/>
        <v>'003</v>
      </c>
      <c r="B10" s="3">
        <f t="shared" ca="1" si="0"/>
        <v>103</v>
      </c>
      <c r="C10" s="5">
        <f t="shared" ca="1" si="0"/>
        <v>8050850000000</v>
      </c>
      <c r="D10" s="8" t="str">
        <f t="shared" ca="1" si="0"/>
        <v>HLESAD00-ECS00-055</v>
      </c>
      <c r="E10" s="12" t="str">
        <f t="shared" ca="1" si="0"/>
        <v>ANSES TUBULAIRES EN FAUX CUIR</v>
      </c>
      <c r="F10" s="18" t="str">
        <f t="shared" ca="1" si="0"/>
        <v>UNICA</v>
      </c>
      <c r="G10" s="10">
        <f t="shared" ca="1" si="0"/>
        <v>3</v>
      </c>
      <c r="H10" s="20">
        <f t="shared" ca="1" si="0"/>
        <v>4.5599999999999996</v>
      </c>
      <c r="I10" s="22">
        <f t="shared" ca="1" si="0"/>
        <v>13.68</v>
      </c>
      <c r="J10" s="14" t="str">
        <f t="shared" ca="1" si="0"/>
        <v>ANSE/TUB/ANNEAUX</v>
      </c>
      <c r="K10" s="16" t="str">
        <f t="shared" ca="1" si="0"/>
        <v>BLACK</v>
      </c>
      <c r="L10" s="27">
        <f t="shared" ca="1" si="0"/>
        <v>0</v>
      </c>
      <c r="M10" s="29" t="str">
        <f ca="1">INDEX(INDIRECT($O$10),ROW(M10),COLUMN(M10))</f>
        <v>nero</v>
      </c>
      <c r="N10" s="2" t="str">
        <f t="shared" ca="1" si="1"/>
        <v>8APASPA*aaaaae+</v>
      </c>
      <c r="O10" s="25" t="str">
        <f>"'" &amp; O9 &amp; "'!A:Z"</f>
        <v>'EAN13_traite.csv'!A:Z</v>
      </c>
    </row>
    <row r="11" spans="1:19" ht="31.5" x14ac:dyDescent="0.45">
      <c r="A11" s="3" t="str">
        <f t="shared" ref="A11:M20" ca="1" si="2">INDEX(INDIRECT($O$10),ROW(A11),COLUMN(A11))</f>
        <v>'004</v>
      </c>
      <c r="B11" s="3">
        <f t="shared" ca="1" si="2"/>
        <v>15</v>
      </c>
      <c r="C11" s="5">
        <f t="shared" ca="1" si="2"/>
        <v>8050850000000</v>
      </c>
      <c r="D11" s="8" t="str">
        <f t="shared" ca="1" si="2"/>
        <v>HLESC901-ECS00-078</v>
      </c>
      <c r="E11" s="12" t="str">
        <f t="shared" ca="1" si="2"/>
        <v>ANSES COURTES CHAINE EN " T " EN FAUX CUIR</v>
      </c>
      <c r="F11" s="18" t="str">
        <f t="shared" ca="1" si="2"/>
        <v>UNICA</v>
      </c>
      <c r="G11" s="10">
        <f t="shared" ca="1" si="2"/>
        <v>2</v>
      </c>
      <c r="H11" s="20">
        <f t="shared" ca="1" si="2"/>
        <v>10</v>
      </c>
      <c r="I11" s="22">
        <f t="shared" ca="1" si="2"/>
        <v>20</v>
      </c>
      <c r="J11" s="14" t="str">
        <f t="shared" ca="1" si="2"/>
        <v xml:space="preserve"> </v>
      </c>
      <c r="K11" s="16" t="str">
        <f t="shared" ca="1" si="2"/>
        <v xml:space="preserve"> </v>
      </c>
      <c r="L11" s="27" t="str">
        <f t="shared" ca="1" si="2"/>
        <v xml:space="preserve"> </v>
      </c>
      <c r="M11" s="29" t="str">
        <f t="shared" ca="1" si="2"/>
        <v>sabbia + oro</v>
      </c>
      <c r="N11" s="2" t="str">
        <f t="shared" ca="1" si="1"/>
        <v>8APASPA*aaaaae+</v>
      </c>
    </row>
    <row r="12" spans="1:19" ht="31.5" x14ac:dyDescent="0.45">
      <c r="A12" s="3" t="str">
        <f t="shared" ca="1" si="2"/>
        <v>'005</v>
      </c>
      <c r="B12" s="3">
        <f t="shared" ca="1" si="2"/>
        <v>90</v>
      </c>
      <c r="C12" s="5">
        <f t="shared" ca="1" si="2"/>
        <v>8050850000000</v>
      </c>
      <c r="D12" s="8" t="str">
        <f t="shared" ca="1" si="2"/>
        <v>HLESC901-ECS00-615</v>
      </c>
      <c r="E12" s="12" t="str">
        <f t="shared" ca="1" si="2"/>
        <v>ANSES COURTES CHAINE EN " T " EN FAUX CUIR</v>
      </c>
      <c r="F12" s="18" t="str">
        <f t="shared" ca="1" si="2"/>
        <v>UNICA</v>
      </c>
      <c r="G12" s="10">
        <f t="shared" ca="1" si="2"/>
        <v>2</v>
      </c>
      <c r="H12" s="20">
        <f t="shared" ca="1" si="2"/>
        <v>10</v>
      </c>
      <c r="I12" s="22">
        <f t="shared" ca="1" si="2"/>
        <v>20</v>
      </c>
      <c r="J12" s="14" t="str">
        <f t="shared" ca="1" si="2"/>
        <v xml:space="preserve"> </v>
      </c>
      <c r="K12" s="16" t="str">
        <f t="shared" ca="1" si="2"/>
        <v xml:space="preserve"> </v>
      </c>
      <c r="L12" s="27" t="str">
        <f t="shared" ca="1" si="2"/>
        <v xml:space="preserve"> </v>
      </c>
      <c r="M12" s="29" t="str">
        <f t="shared" ca="1" si="2"/>
        <v>military + oro</v>
      </c>
      <c r="N12" s="2" t="str">
        <f t="shared" ca="1" si="1"/>
        <v>8APASPA*aaaaae+</v>
      </c>
      <c r="O12" s="1" t="s">
        <v>20</v>
      </c>
    </row>
    <row r="13" spans="1:19" ht="31.5" x14ac:dyDescent="0.45">
      <c r="A13" s="3" t="str">
        <f t="shared" ca="1" si="2"/>
        <v>'006</v>
      </c>
      <c r="B13" s="3">
        <f t="shared" ca="1" si="2"/>
        <v>181</v>
      </c>
      <c r="C13" s="5">
        <f t="shared" ca="1" si="2"/>
        <v>8050850000000</v>
      </c>
      <c r="D13" s="8" t="str">
        <f t="shared" ca="1" si="2"/>
        <v>HLESC901-ECS07-055</v>
      </c>
      <c r="E13" s="12" t="str">
        <f t="shared" ca="1" si="2"/>
        <v>ANSES COURTES CHAINE EN " T " EN FAUX CUIR EFFET GRIFFE</v>
      </c>
      <c r="F13" s="18" t="str">
        <f t="shared" ca="1" si="2"/>
        <v>UNICA</v>
      </c>
      <c r="G13" s="10">
        <f t="shared" ca="1" si="2"/>
        <v>2</v>
      </c>
      <c r="H13" s="20">
        <f t="shared" ca="1" si="2"/>
        <v>10</v>
      </c>
      <c r="I13" s="22">
        <f t="shared" ca="1" si="2"/>
        <v>20</v>
      </c>
      <c r="J13" s="14" t="str">
        <f t="shared" ca="1" si="2"/>
        <v xml:space="preserve"> </v>
      </c>
      <c r="K13" s="16" t="str">
        <f t="shared" ca="1" si="2"/>
        <v xml:space="preserve"> </v>
      </c>
      <c r="L13" s="27" t="str">
        <f t="shared" ca="1" si="2"/>
        <v xml:space="preserve"> </v>
      </c>
      <c r="M13" s="29" t="str">
        <f t="shared" ca="1" si="2"/>
        <v>nero + argento</v>
      </c>
      <c r="N13" s="2" t="str">
        <f t="shared" ca="1" si="1"/>
        <v>8APASPA*aaaaae+</v>
      </c>
      <c r="O13" s="34" t="s">
        <v>22</v>
      </c>
      <c r="P13" s="1" t="s">
        <v>21</v>
      </c>
    </row>
    <row r="14" spans="1:19" ht="31.5" x14ac:dyDescent="0.45">
      <c r="A14" s="3" t="str">
        <f t="shared" ca="1" si="2"/>
        <v>'007</v>
      </c>
      <c r="B14" s="3">
        <f t="shared" ca="1" si="2"/>
        <v>1</v>
      </c>
      <c r="C14" s="5">
        <f t="shared" ca="1" si="2"/>
        <v>8050850000000</v>
      </c>
      <c r="D14" s="8" t="str">
        <f t="shared" ca="1" si="2"/>
        <v>HLESC901-ECS07-371</v>
      </c>
      <c r="E14" s="12" t="str">
        <f t="shared" ca="1" si="2"/>
        <v>ANSES COURTES CHAINE EN " T " EN FAUX CUIR EFFET GRIFFE</v>
      </c>
      <c r="F14" s="18" t="str">
        <f t="shared" ca="1" si="2"/>
        <v>UNICA</v>
      </c>
      <c r="G14" s="10">
        <f t="shared" ca="1" si="2"/>
        <v>2</v>
      </c>
      <c r="H14" s="20">
        <f t="shared" ca="1" si="2"/>
        <v>10</v>
      </c>
      <c r="I14" s="22">
        <f t="shared" ca="1" si="2"/>
        <v>20</v>
      </c>
      <c r="J14" s="14" t="str">
        <f t="shared" ca="1" si="2"/>
        <v xml:space="preserve"> </v>
      </c>
      <c r="K14" s="16" t="str">
        <f t="shared" ca="1" si="2"/>
        <v xml:space="preserve"> </v>
      </c>
      <c r="L14" s="27" t="str">
        <f t="shared" ca="1" si="2"/>
        <v xml:space="preserve"> </v>
      </c>
      <c r="M14" s="29" t="str">
        <f t="shared" ca="1" si="2"/>
        <v>latte + argento</v>
      </c>
      <c r="N14" s="2" t="str">
        <f t="shared" ca="1" si="1"/>
        <v>8APASPA*aaaaae+</v>
      </c>
      <c r="O14" s="34">
        <v>18</v>
      </c>
      <c r="P14" s="1" t="s">
        <v>23</v>
      </c>
    </row>
    <row r="15" spans="1:19" ht="31.5" x14ac:dyDescent="0.45">
      <c r="A15" s="3" t="str">
        <f t="shared" ca="1" si="2"/>
        <v>'008</v>
      </c>
      <c r="B15" s="3">
        <f t="shared" ca="1" si="2"/>
        <v>7</v>
      </c>
      <c r="C15" s="5">
        <f t="shared" ca="1" si="2"/>
        <v>8050850000000</v>
      </c>
      <c r="D15" s="8" t="str">
        <f t="shared" ca="1" si="2"/>
        <v>HLESCE01-ECS00-017</v>
      </c>
      <c r="E15" s="12" t="str">
        <f t="shared" ca="1" si="2"/>
        <v>ANSES DOUBLE CHAINE EN " T " EN FAUX CUIR</v>
      </c>
      <c r="F15" s="18" t="str">
        <f t="shared" ca="1" si="2"/>
        <v>UNICA</v>
      </c>
      <c r="G15" s="10">
        <f t="shared" ca="1" si="2"/>
        <v>3</v>
      </c>
      <c r="H15" s="20">
        <f t="shared" ca="1" si="2"/>
        <v>12.66</v>
      </c>
      <c r="I15" s="22">
        <f t="shared" ca="1" si="2"/>
        <v>37.979999999999997</v>
      </c>
      <c r="J15" s="14" t="str">
        <f t="shared" ca="1" si="2"/>
        <v>ANSES/DOUBLECHAI</v>
      </c>
      <c r="K15" s="16" t="str">
        <f t="shared" ca="1" si="2"/>
        <v xml:space="preserve">NAVY </v>
      </c>
      <c r="L15" s="27">
        <f t="shared" ca="1" si="2"/>
        <v>0</v>
      </c>
      <c r="M15" s="29" t="str">
        <f t="shared" ca="1" si="2"/>
        <v>blu navy + oro</v>
      </c>
      <c r="N15" s="2" t="str">
        <f t="shared" ca="1" si="1"/>
        <v>8APASPA*aaaaae+</v>
      </c>
      <c r="O15" s="35" t="str">
        <f ca="1">INDEX($D:$D,SUM($S$14:$S15))</f>
        <v>OBAGB002-EVS18-055</v>
      </c>
      <c r="P15" s="36">
        <f ca="1">INDEX($H:$H,SUM($S$14:$S15))</f>
        <v>15.6</v>
      </c>
      <c r="Q15" s="37" t="str">
        <f ca="1">INDEX($E:$E,SUM($S$14:$S15))</f>
        <v>CORPS O BAG MINI EVA COMPOUND TEXTURE Ã€ CHEVRONS</v>
      </c>
      <c r="S15" s="38">
        <f ca="1">MATCH($O$13&amp;"*-*"&amp;$O$14&amp;"*",INDIRECT("D" &amp; (SUM(S$14:S14)+1) &amp; ":D" &amp;SUM(S$14:S14)+500),0)</f>
        <v>44</v>
      </c>
    </row>
    <row r="16" spans="1:19" ht="31.5" x14ac:dyDescent="0.45">
      <c r="A16" s="3" t="str">
        <f t="shared" ca="1" si="2"/>
        <v>'009</v>
      </c>
      <c r="B16" s="3">
        <f t="shared" ca="1" si="2"/>
        <v>76</v>
      </c>
      <c r="C16" s="5">
        <f t="shared" ca="1" si="2"/>
        <v>8050850000000</v>
      </c>
      <c r="D16" s="8" t="str">
        <f t="shared" ca="1" si="2"/>
        <v>HLESCE01-ECS00-055</v>
      </c>
      <c r="E16" s="12" t="str">
        <f t="shared" ca="1" si="2"/>
        <v>ANSES DOUBLE CHAINE EN " T " EN FAUX CUIR</v>
      </c>
      <c r="F16" s="18" t="str">
        <f t="shared" ca="1" si="2"/>
        <v>UNICA</v>
      </c>
      <c r="G16" s="10">
        <f t="shared" ca="1" si="2"/>
        <v>6</v>
      </c>
      <c r="H16" s="20">
        <f t="shared" ca="1" si="2"/>
        <v>12.66</v>
      </c>
      <c r="I16" s="22">
        <f t="shared" ca="1" si="2"/>
        <v>75.959999999999994</v>
      </c>
      <c r="J16" s="14" t="str">
        <f t="shared" ca="1" si="2"/>
        <v>ANSES/DOUBLECHAI</v>
      </c>
      <c r="K16" s="16" t="str">
        <f t="shared" ca="1" si="2"/>
        <v>BLACK</v>
      </c>
      <c r="L16" s="27">
        <f t="shared" ca="1" si="2"/>
        <v>0</v>
      </c>
      <c r="M16" s="29" t="str">
        <f t="shared" ca="1" si="2"/>
        <v>nero  + argento</v>
      </c>
      <c r="N16" s="2" t="str">
        <f t="shared" ca="1" si="1"/>
        <v>8APASPA*aaaaae+</v>
      </c>
      <c r="O16" s="35" t="str">
        <f ca="1">INDEX($D:$D,SUM($S$14:$S16))</f>
        <v>OBAGB002-EVS18-067</v>
      </c>
      <c r="P16" s="36">
        <f ca="1">INDEX($H:$H,SUM($S$14:$S16))</f>
        <v>15.6</v>
      </c>
      <c r="Q16" s="37" t="str">
        <f ca="1">INDEX($E:$E,SUM($S$14:$S16))</f>
        <v>CORPS O BAG MINI EVA COMPOUND TEXTURE Ã€ CHEVRONS</v>
      </c>
      <c r="S16" s="38">
        <f ca="1">MATCH($O$13&amp;"*-*"&amp;$O$14&amp;"*",INDIRECT("D" &amp; (SUM(S$14:S15)+1) &amp; ":D" &amp;SUM(S$14:S15)+500),0)</f>
        <v>1</v>
      </c>
    </row>
    <row r="17" spans="1:19" ht="31.5" x14ac:dyDescent="0.45">
      <c r="A17" s="3" t="str">
        <f t="shared" ca="1" si="2"/>
        <v>'010</v>
      </c>
      <c r="B17" s="3">
        <f t="shared" ca="1" si="2"/>
        <v>168</v>
      </c>
      <c r="C17" s="5">
        <f t="shared" ca="1" si="2"/>
        <v>8050850000000</v>
      </c>
      <c r="D17" s="8" t="str">
        <f t="shared" ca="1" si="2"/>
        <v>HLESCE01-ECS00-612</v>
      </c>
      <c r="E17" s="12" t="str">
        <f t="shared" ca="1" si="2"/>
        <v>ANSES DOUBLE CHAINE EN " T " EN FAUX CUIR</v>
      </c>
      <c r="F17" s="18" t="str">
        <f t="shared" ca="1" si="2"/>
        <v>UNICA</v>
      </c>
      <c r="G17" s="10">
        <f t="shared" ca="1" si="2"/>
        <v>3</v>
      </c>
      <c r="H17" s="20">
        <f t="shared" ca="1" si="2"/>
        <v>12.66</v>
      </c>
      <c r="I17" s="22">
        <f t="shared" ca="1" si="2"/>
        <v>37.979999999999997</v>
      </c>
      <c r="J17" s="14" t="str">
        <f t="shared" ca="1" si="2"/>
        <v xml:space="preserve"> </v>
      </c>
      <c r="K17" s="16" t="str">
        <f t="shared" ca="1" si="2"/>
        <v xml:space="preserve"> </v>
      </c>
      <c r="L17" s="27" t="str">
        <f t="shared" ca="1" si="2"/>
        <v xml:space="preserve"> </v>
      </c>
      <c r="M17" s="29" t="str">
        <f t="shared" ca="1" si="2"/>
        <v>blu navy + argento</v>
      </c>
      <c r="N17" s="2" t="str">
        <f t="shared" ca="1" si="1"/>
        <v>8APASPA*aaaaae+</v>
      </c>
      <c r="O17" s="35" t="str">
        <f ca="1">INDEX($D:$D,SUM($S$14:$S17))</f>
        <v>OBAGB002-EVS18-078</v>
      </c>
      <c r="P17" s="36">
        <f ca="1">INDEX($H:$H,SUM($S$14:$S17))</f>
        <v>15.6</v>
      </c>
      <c r="Q17" s="37" t="str">
        <f ca="1">INDEX($E:$E,SUM($S$14:$S17))</f>
        <v>CORPS O BAG MINI EVA COMPOUND TEXTURE Ã€ CHEVRONS</v>
      </c>
      <c r="S17" s="38">
        <f ca="1">MATCH($O$13&amp;"*-*"&amp;$O$14&amp;"*",INDIRECT("D" &amp; (SUM(S$14:S16)+1) &amp; ":D" &amp;SUM(S$14:S16)+500),0)</f>
        <v>1</v>
      </c>
    </row>
    <row r="18" spans="1:19" ht="31.5" x14ac:dyDescent="0.45">
      <c r="A18" s="3" t="str">
        <f t="shared" ca="1" si="2"/>
        <v>'011</v>
      </c>
      <c r="B18" s="3">
        <f t="shared" ca="1" si="2"/>
        <v>87</v>
      </c>
      <c r="C18" s="5">
        <f t="shared" ca="1" si="2"/>
        <v>8050850000000</v>
      </c>
      <c r="D18" s="8" t="str">
        <f t="shared" ca="1" si="2"/>
        <v>HLESCE01-ECS00-613</v>
      </c>
      <c r="E18" s="12" t="str">
        <f t="shared" ca="1" si="2"/>
        <v>ANSES DOUBLE CHAINE EN " T " EN FAUX CUIR</v>
      </c>
      <c r="F18" s="18" t="str">
        <f t="shared" ca="1" si="2"/>
        <v>UNICA</v>
      </c>
      <c r="G18" s="10">
        <f t="shared" ca="1" si="2"/>
        <v>6</v>
      </c>
      <c r="H18" s="20">
        <f t="shared" ca="1" si="2"/>
        <v>12.66</v>
      </c>
      <c r="I18" s="22">
        <f t="shared" ca="1" si="2"/>
        <v>75.959999999999994</v>
      </c>
      <c r="J18" s="14" t="str">
        <f t="shared" ca="1" si="2"/>
        <v xml:space="preserve"> </v>
      </c>
      <c r="K18" s="16" t="str">
        <f t="shared" ca="1" si="2"/>
        <v xml:space="preserve"> </v>
      </c>
      <c r="L18" s="27" t="str">
        <f t="shared" ca="1" si="2"/>
        <v xml:space="preserve"> </v>
      </c>
      <c r="M18" s="29" t="str">
        <f t="shared" ca="1" si="2"/>
        <v>cuoio + argento</v>
      </c>
      <c r="N18" s="2" t="str">
        <f t="shared" ca="1" si="1"/>
        <v>8APASPA*aaaaae+</v>
      </c>
      <c r="O18" s="35" t="str">
        <f ca="1">INDEX($D:$D,SUM($S$14:$S18))</f>
        <v>OBAGB002-EVS18-371</v>
      </c>
      <c r="P18" s="36">
        <f ca="1">INDEX($H:$H,SUM($S$14:$S18))</f>
        <v>15.6</v>
      </c>
      <c r="Q18" s="37" t="str">
        <f ca="1">INDEX($E:$E,SUM($S$14:$S18))</f>
        <v>CORPS O BAG MINI EVA COMPOUND TEXTURE Ã€ CHEVRONS</v>
      </c>
      <c r="S18" s="38">
        <f ca="1">MATCH($O$13&amp;"*-*"&amp;$O$14&amp;"*",INDIRECT("D" &amp; (SUM(S$14:S17)+1) &amp; ":D" &amp;SUM(S$14:S17)+500),0)</f>
        <v>1</v>
      </c>
    </row>
    <row r="19" spans="1:19" ht="31.5" x14ac:dyDescent="0.45">
      <c r="A19" s="3" t="str">
        <f t="shared" ca="1" si="2"/>
        <v>'012</v>
      </c>
      <c r="B19" s="3">
        <f t="shared" ca="1" si="2"/>
        <v>128</v>
      </c>
      <c r="C19" s="5">
        <f t="shared" ca="1" si="2"/>
        <v>8050850000000</v>
      </c>
      <c r="D19" s="8" t="str">
        <f t="shared" ca="1" si="2"/>
        <v>HLESG020-ECSC7-055</v>
      </c>
      <c r="E19" s="12" t="str">
        <f t="shared" ca="1" si="2"/>
        <v>ANSES LONGUES + GOUTTE EN FAUX CUIR SPIRALE BICOLORE</v>
      </c>
      <c r="F19" s="18" t="str">
        <f t="shared" ca="1" si="2"/>
        <v>UNICA</v>
      </c>
      <c r="G19" s="10">
        <f t="shared" ca="1" si="2"/>
        <v>2</v>
      </c>
      <c r="H19" s="20">
        <f t="shared" ca="1" si="2"/>
        <v>15.56</v>
      </c>
      <c r="I19" s="22">
        <f t="shared" ca="1" si="2"/>
        <v>31.12</v>
      </c>
      <c r="J19" s="14" t="str">
        <f t="shared" ca="1" si="2"/>
        <v xml:space="preserve"> </v>
      </c>
      <c r="K19" s="16" t="str">
        <f t="shared" ca="1" si="2"/>
        <v xml:space="preserve"> </v>
      </c>
      <c r="L19" s="27" t="str">
        <f t="shared" ca="1" si="2"/>
        <v xml:space="preserve"> </v>
      </c>
      <c r="M19" s="29" t="str">
        <f t="shared" ca="1" si="2"/>
        <v>nero</v>
      </c>
      <c r="N19" s="2" t="str">
        <f t="shared" ca="1" si="1"/>
        <v>8APASPA*aaaaae+</v>
      </c>
      <c r="O19" s="35" t="str">
        <f ca="1">INDEX($D:$D,SUM($S$14:$S19))</f>
        <v>OBAGB002-EVS18-614</v>
      </c>
      <c r="P19" s="36">
        <f ca="1">INDEX($H:$H,SUM($S$14:$S19))</f>
        <v>15.6</v>
      </c>
      <c r="Q19" s="37" t="str">
        <f ca="1">INDEX($E:$E,SUM($S$14:$S19))</f>
        <v>CORPS O BAG MINI EVA COMPOUND TEXTURE Ã€ CHEVRONS</v>
      </c>
      <c r="S19" s="38">
        <f ca="1">MATCH($O$13&amp;"*-*"&amp;$O$14&amp;"*",INDIRECT("D" &amp; (SUM(S$14:S18)+1) &amp; ":D" &amp;SUM(S$14:S18)+500),0)</f>
        <v>1</v>
      </c>
    </row>
    <row r="20" spans="1:19" ht="31.5" x14ac:dyDescent="0.45">
      <c r="A20" s="3" t="str">
        <f t="shared" ca="1" si="2"/>
        <v>'013</v>
      </c>
      <c r="B20" s="3">
        <f t="shared" ca="1" si="2"/>
        <v>62</v>
      </c>
      <c r="C20" s="5">
        <f t="shared" ca="1" si="2"/>
        <v>8050850000000</v>
      </c>
      <c r="D20" s="8" t="str">
        <f t="shared" ca="1" si="2"/>
        <v>HLESG020-ECSC7-076</v>
      </c>
      <c r="E20" s="12" t="str">
        <f t="shared" ca="1" si="2"/>
        <v>ANSES LONGUES + GOUTTE EN FAUX CUIR SPIRALE BICOLORE</v>
      </c>
      <c r="F20" s="18" t="str">
        <f t="shared" ca="1" si="2"/>
        <v>UNICA</v>
      </c>
      <c r="G20" s="10">
        <f t="shared" ca="1" si="2"/>
        <v>2</v>
      </c>
      <c r="H20" s="20">
        <f t="shared" ca="1" si="2"/>
        <v>15.56</v>
      </c>
      <c r="I20" s="22">
        <f t="shared" ca="1" si="2"/>
        <v>31.12</v>
      </c>
      <c r="J20" s="14" t="str">
        <f t="shared" ca="1" si="2"/>
        <v xml:space="preserve"> </v>
      </c>
      <c r="K20" s="16" t="str">
        <f t="shared" ca="1" si="2"/>
        <v xml:space="preserve"> </v>
      </c>
      <c r="L20" s="27" t="str">
        <f t="shared" ca="1" si="2"/>
        <v xml:space="preserve"> </v>
      </c>
      <c r="M20" s="29" t="str">
        <f t="shared" ca="1" si="2"/>
        <v>rosso</v>
      </c>
      <c r="N20" s="2" t="str">
        <f t="shared" ca="1" si="1"/>
        <v>8APASPA*aaaaae+</v>
      </c>
      <c r="O20" s="35" t="str">
        <f ca="1">INDEX($D:$D,SUM($S$14:$S20))</f>
        <v>OBAGB002-EVS18-615</v>
      </c>
      <c r="P20" s="36">
        <f ca="1">INDEX($H:$H,SUM($S$14:$S20))</f>
        <v>15.6</v>
      </c>
      <c r="Q20" s="37" t="str">
        <f ca="1">INDEX($E:$E,SUM($S$14:$S20))</f>
        <v>CORPS O BAG MINI EVA COMPOUND TEXTURE Ã€ CHEVRONS</v>
      </c>
      <c r="S20" s="38">
        <f ca="1">MATCH($O$13&amp;"*-*"&amp;$O$14&amp;"*",INDIRECT("D" &amp; (SUM(S$14:S19)+1) &amp; ":D" &amp;SUM(S$14:S19)+500),0)</f>
        <v>1</v>
      </c>
    </row>
    <row r="21" spans="1:19" ht="31.5" x14ac:dyDescent="0.45">
      <c r="A21" s="3" t="str">
        <f t="shared" ref="A21:M30" ca="1" si="3">INDEX(INDIRECT($O$10),ROW(A21),COLUMN(A21))</f>
        <v>'014</v>
      </c>
      <c r="B21" s="3">
        <f t="shared" ca="1" si="3"/>
        <v>25</v>
      </c>
      <c r="C21" s="5">
        <f t="shared" ca="1" si="3"/>
        <v>8050850000000</v>
      </c>
      <c r="D21" s="8" t="str">
        <f t="shared" ca="1" si="3"/>
        <v>HLESG020-ECSC7-137</v>
      </c>
      <c r="E21" s="12" t="str">
        <f t="shared" ca="1" si="3"/>
        <v>ANSES LONGUES + GOUTTE EN FAUX CUIR SPIRALE BICOLORE</v>
      </c>
      <c r="F21" s="18" t="str">
        <f t="shared" ca="1" si="3"/>
        <v>UNICA</v>
      </c>
      <c r="G21" s="10">
        <f t="shared" ca="1" si="3"/>
        <v>2</v>
      </c>
      <c r="H21" s="20">
        <f t="shared" ca="1" si="3"/>
        <v>15.56</v>
      </c>
      <c r="I21" s="22">
        <f t="shared" ca="1" si="3"/>
        <v>31.12</v>
      </c>
      <c r="J21" s="14" t="str">
        <f t="shared" ca="1" si="3"/>
        <v xml:space="preserve"> </v>
      </c>
      <c r="K21" s="16" t="str">
        <f t="shared" ca="1" si="3"/>
        <v xml:space="preserve"> </v>
      </c>
      <c r="L21" s="27" t="str">
        <f t="shared" ca="1" si="3"/>
        <v xml:space="preserve"> </v>
      </c>
      <c r="M21" s="29" t="str">
        <f t="shared" ca="1" si="3"/>
        <v>bluette</v>
      </c>
      <c r="N21" s="2" t="str">
        <f t="shared" ca="1" si="1"/>
        <v>8APASPA*aaaaae+</v>
      </c>
      <c r="O21" s="35" t="e">
        <f ca="1">INDEX($D:$D,SUM($S$14:$S21))</f>
        <v>#N/A</v>
      </c>
      <c r="P21" s="36" t="e">
        <f ca="1">INDEX($H:$H,SUM($S$14:$S21))</f>
        <v>#N/A</v>
      </c>
      <c r="Q21" s="37" t="e">
        <f ca="1">INDEX($E:$E,SUM($S$14:$S21))</f>
        <v>#N/A</v>
      </c>
      <c r="S21" s="38" t="e">
        <f ca="1">MATCH($O$13&amp;"*-*"&amp;$O$14&amp;"*",INDIRECT("D" &amp; (SUM(S$14:S20)+1) &amp; ":D" &amp;SUM(S$14:S20)+500),0)</f>
        <v>#N/A</v>
      </c>
    </row>
    <row r="22" spans="1:19" ht="31.5" x14ac:dyDescent="0.45">
      <c r="A22" s="3" t="str">
        <f t="shared" ca="1" si="3"/>
        <v>'015</v>
      </c>
      <c r="B22" s="3">
        <f t="shared" ca="1" si="3"/>
        <v>46</v>
      </c>
      <c r="C22" s="5">
        <f t="shared" ca="1" si="3"/>
        <v>8050850000000</v>
      </c>
      <c r="D22" s="8" t="str">
        <f t="shared" ca="1" si="3"/>
        <v>HLESGC00-ECSC4-055</v>
      </c>
      <c r="E22" s="12" t="str">
        <f t="shared" ca="1" si="3"/>
        <v>ANSES COURTES EN FAUX CUIR EFFET GRIFFE + CLOUS</v>
      </c>
      <c r="F22" s="18" t="str">
        <f t="shared" ca="1" si="3"/>
        <v>UNICA</v>
      </c>
      <c r="G22" s="10">
        <f t="shared" ca="1" si="3"/>
        <v>3</v>
      </c>
      <c r="H22" s="20">
        <f t="shared" ca="1" si="3"/>
        <v>16.670000000000002</v>
      </c>
      <c r="I22" s="22">
        <f t="shared" ca="1" si="3"/>
        <v>50.01</v>
      </c>
      <c r="J22" s="14" t="str">
        <f t="shared" ca="1" si="3"/>
        <v xml:space="preserve"> </v>
      </c>
      <c r="K22" s="16" t="str">
        <f t="shared" ca="1" si="3"/>
        <v xml:space="preserve"> </v>
      </c>
      <c r="L22" s="27" t="str">
        <f t="shared" ca="1" si="3"/>
        <v xml:space="preserve"> </v>
      </c>
      <c r="M22" s="29" t="str">
        <f t="shared" ca="1" si="3"/>
        <v>nero</v>
      </c>
      <c r="N22" s="2" t="str">
        <f t="shared" ca="1" si="1"/>
        <v>8APASPA*aaaaae+</v>
      </c>
      <c r="O22" s="35" t="e">
        <f ca="1">INDEX($D:$D,SUM($S$14:$S22))</f>
        <v>#N/A</v>
      </c>
      <c r="P22" s="36" t="e">
        <f ca="1">INDEX($H:$H,SUM($S$14:$S22))</f>
        <v>#N/A</v>
      </c>
      <c r="Q22" s="37" t="e">
        <f ca="1">INDEX($E:$E,SUM($S$14:$S22))</f>
        <v>#N/A</v>
      </c>
      <c r="S22" s="38" t="e">
        <f ca="1">MATCH($O$13&amp;"*-*"&amp;$O$14&amp;"*",INDIRECT("D" &amp; (SUM(S$14:S21)+1) &amp; ":D" &amp;SUM(S$14:S21)+500),0)</f>
        <v>#N/A</v>
      </c>
    </row>
    <row r="23" spans="1:19" ht="31.5" x14ac:dyDescent="0.45">
      <c r="A23" s="3" t="str">
        <f t="shared" ca="1" si="3"/>
        <v>'016</v>
      </c>
      <c r="B23" s="3">
        <f t="shared" ca="1" si="3"/>
        <v>179</v>
      </c>
      <c r="C23" s="5">
        <f t="shared" ca="1" si="3"/>
        <v>8050850000000</v>
      </c>
      <c r="D23" s="8" t="str">
        <f t="shared" ca="1" si="3"/>
        <v>HLESGC00-ECSC4-371</v>
      </c>
      <c r="E23" s="12" t="str">
        <f t="shared" ca="1" si="3"/>
        <v>ANSES COURTES EN FAUX CUIR EFFET GRIFFE + CLOUS</v>
      </c>
      <c r="F23" s="18" t="str">
        <f t="shared" ca="1" si="3"/>
        <v>UNICA</v>
      </c>
      <c r="G23" s="10">
        <f t="shared" ca="1" si="3"/>
        <v>3</v>
      </c>
      <c r="H23" s="20">
        <f t="shared" ca="1" si="3"/>
        <v>16.670000000000002</v>
      </c>
      <c r="I23" s="22">
        <f t="shared" ca="1" si="3"/>
        <v>50.01</v>
      </c>
      <c r="J23" s="14" t="str">
        <f t="shared" ca="1" si="3"/>
        <v xml:space="preserve"> </v>
      </c>
      <c r="K23" s="16" t="str">
        <f t="shared" ca="1" si="3"/>
        <v xml:space="preserve"> </v>
      </c>
      <c r="L23" s="27" t="str">
        <f t="shared" ca="1" si="3"/>
        <v xml:space="preserve"> </v>
      </c>
      <c r="M23" s="29" t="str">
        <f t="shared" ca="1" si="3"/>
        <v>latte</v>
      </c>
      <c r="N23" s="2" t="str">
        <f t="shared" ca="1" si="1"/>
        <v>8APASPA*aaaaae+</v>
      </c>
      <c r="O23" s="35" t="e">
        <f ca="1">INDEX($D:$D,SUM($S$14:$S23))</f>
        <v>#N/A</v>
      </c>
      <c r="P23" s="36" t="e">
        <f ca="1">INDEX($H:$H,SUM($S$14:$S23))</f>
        <v>#N/A</v>
      </c>
      <c r="Q23" s="37" t="e">
        <f ca="1">INDEX($E:$E,SUM($S$14:$S23))</f>
        <v>#N/A</v>
      </c>
      <c r="S23" s="38" t="e">
        <f ca="1">MATCH($O$13&amp;"*-*"&amp;$O$14&amp;"*",INDIRECT("D" &amp; (SUM(S$14:S22)+1) &amp; ":D" &amp;SUM(S$14:S22)+500),0)</f>
        <v>#N/A</v>
      </c>
    </row>
    <row r="24" spans="1:19" ht="31.5" x14ac:dyDescent="0.45">
      <c r="A24" s="3" t="str">
        <f t="shared" ca="1" si="3"/>
        <v>'017</v>
      </c>
      <c r="B24" s="3">
        <f t="shared" ca="1" si="3"/>
        <v>77</v>
      </c>
      <c r="C24" s="5">
        <f t="shared" ca="1" si="3"/>
        <v>8050850000000</v>
      </c>
      <c r="D24" s="8" t="str">
        <f t="shared" ca="1" si="3"/>
        <v>HLESGC01-EVS54-055</v>
      </c>
      <c r="E24" s="12" t="str">
        <f t="shared" ca="1" si="3"/>
        <v>ANSES COURTES + ANNEAU EVA COMPOUND EFFET BAMBOU</v>
      </c>
      <c r="F24" s="18" t="str">
        <f t="shared" ca="1" si="3"/>
        <v>UNICA</v>
      </c>
      <c r="G24" s="10">
        <f t="shared" ca="1" si="3"/>
        <v>2</v>
      </c>
      <c r="H24" s="20">
        <f t="shared" ca="1" si="3"/>
        <v>8.52</v>
      </c>
      <c r="I24" s="22">
        <f t="shared" ca="1" si="3"/>
        <v>17.04</v>
      </c>
      <c r="J24" s="14" t="str">
        <f t="shared" ca="1" si="3"/>
        <v xml:space="preserve"> </v>
      </c>
      <c r="K24" s="16" t="str">
        <f t="shared" ca="1" si="3"/>
        <v xml:space="preserve"> </v>
      </c>
      <c r="L24" s="27" t="str">
        <f t="shared" ca="1" si="3"/>
        <v xml:space="preserve"> </v>
      </c>
      <c r="M24" s="29" t="str">
        <f t="shared" ca="1" si="3"/>
        <v>nero</v>
      </c>
      <c r="N24" s="2" t="str">
        <f t="shared" ca="1" si="1"/>
        <v>8APASPA*aaaaae+</v>
      </c>
      <c r="O24" s="35" t="e">
        <f ca="1">INDEX($D:$D,SUM($S$14:$S24))</f>
        <v>#N/A</v>
      </c>
      <c r="P24" s="36" t="e">
        <f ca="1">INDEX($H:$H,SUM($S$14:$S24))</f>
        <v>#N/A</v>
      </c>
      <c r="Q24" s="37" t="e">
        <f ca="1">INDEX($E:$E,SUM($S$14:$S24))</f>
        <v>#N/A</v>
      </c>
      <c r="S24" s="38" t="e">
        <f ca="1">MATCH($O$13&amp;"*-*"&amp;$O$14&amp;"*",INDIRECT("D" &amp; (SUM(S$14:S23)+1) &amp; ":D" &amp;SUM(S$14:S23)+500),0)</f>
        <v>#N/A</v>
      </c>
    </row>
    <row r="25" spans="1:19" ht="31.5" x14ac:dyDescent="0.45">
      <c r="A25" s="3" t="str">
        <f t="shared" ca="1" si="3"/>
        <v>'018</v>
      </c>
      <c r="B25" s="3">
        <f t="shared" ca="1" si="3"/>
        <v>132</v>
      </c>
      <c r="C25" s="5">
        <f t="shared" ca="1" si="3"/>
        <v>8050850000000</v>
      </c>
      <c r="D25" s="8" t="str">
        <f t="shared" ca="1" si="3"/>
        <v>HLESLL01-ECS00-017</v>
      </c>
      <c r="E25" s="12" t="str">
        <f t="shared" ca="1" si="3"/>
        <v>ANSES LONGUES LINEAR AVEC BOUCLE EN FAUX CUIR</v>
      </c>
      <c r="F25" s="18" t="str">
        <f t="shared" ca="1" si="3"/>
        <v>UNICA</v>
      </c>
      <c r="G25" s="10">
        <f t="shared" ca="1" si="3"/>
        <v>2</v>
      </c>
      <c r="H25" s="20">
        <f t="shared" ca="1" si="3"/>
        <v>13.33</v>
      </c>
      <c r="I25" s="22">
        <f t="shared" ca="1" si="3"/>
        <v>26.66</v>
      </c>
      <c r="J25" s="14" t="str">
        <f t="shared" ca="1" si="3"/>
        <v xml:space="preserve"> </v>
      </c>
      <c r="K25" s="16" t="str">
        <f t="shared" ca="1" si="3"/>
        <v xml:space="preserve"> </v>
      </c>
      <c r="L25" s="27" t="str">
        <f t="shared" ca="1" si="3"/>
        <v xml:space="preserve"> </v>
      </c>
      <c r="M25" s="29" t="str">
        <f t="shared" ca="1" si="3"/>
        <v>blu navy</v>
      </c>
      <c r="N25" s="2" t="str">
        <f t="shared" ca="1" si="1"/>
        <v>8APASPA*aaaaae+</v>
      </c>
      <c r="O25" s="35" t="e">
        <f ca="1">INDEX($D:$D,SUM($S$14:$S25))</f>
        <v>#N/A</v>
      </c>
      <c r="P25" s="36" t="e">
        <f ca="1">INDEX($H:$H,SUM($S$14:$S25))</f>
        <v>#N/A</v>
      </c>
      <c r="Q25" s="37" t="e">
        <f ca="1">INDEX($E:$E,SUM($S$14:$S25))</f>
        <v>#N/A</v>
      </c>
      <c r="S25" s="38" t="e">
        <f ca="1">MATCH($O$13&amp;"*-*"&amp;$O$14&amp;"*",INDIRECT("D" &amp; (SUM(S$14:S24)+1) &amp; ":D" &amp;SUM(S$14:S24)+500),0)</f>
        <v>#N/A</v>
      </c>
    </row>
    <row r="26" spans="1:19" ht="31.5" x14ac:dyDescent="0.45">
      <c r="A26" s="3" t="str">
        <f t="shared" ca="1" si="3"/>
        <v>'019</v>
      </c>
      <c r="B26" s="3">
        <f t="shared" ca="1" si="3"/>
        <v>212</v>
      </c>
      <c r="C26" s="5">
        <f t="shared" ca="1" si="3"/>
        <v>8050850000000</v>
      </c>
      <c r="D26" s="8" t="str">
        <f t="shared" ca="1" si="3"/>
        <v>HLESLL01-ECS00-132</v>
      </c>
      <c r="E26" s="12" t="str">
        <f t="shared" ca="1" si="3"/>
        <v>ANSES LONGUES LINEAR AVEC BOUCLE EN FAUX CUIR</v>
      </c>
      <c r="F26" s="18" t="str">
        <f t="shared" ca="1" si="3"/>
        <v>UNICA</v>
      </c>
      <c r="G26" s="10">
        <f t="shared" ca="1" si="3"/>
        <v>2</v>
      </c>
      <c r="H26" s="20">
        <f t="shared" ca="1" si="3"/>
        <v>13.33</v>
      </c>
      <c r="I26" s="22">
        <f t="shared" ca="1" si="3"/>
        <v>26.66</v>
      </c>
      <c r="J26" s="14" t="str">
        <f t="shared" ca="1" si="3"/>
        <v xml:space="preserve"> </v>
      </c>
      <c r="K26" s="16" t="str">
        <f t="shared" ca="1" si="3"/>
        <v xml:space="preserve"> </v>
      </c>
      <c r="L26" s="27" t="str">
        <f t="shared" ca="1" si="3"/>
        <v xml:space="preserve"> </v>
      </c>
      <c r="M26" s="29" t="str">
        <f t="shared" ca="1" si="3"/>
        <v>biscotto</v>
      </c>
      <c r="N26" s="2" t="str">
        <f t="shared" ca="1" si="1"/>
        <v>8APASPA*aaaaae+</v>
      </c>
      <c r="O26" s="35" t="e">
        <f ca="1">INDEX($D:$D,SUM($S$14:$S26))</f>
        <v>#N/A</v>
      </c>
      <c r="P26" s="36" t="e">
        <f ca="1">INDEX($H:$H,SUM($S$14:$S26))</f>
        <v>#N/A</v>
      </c>
      <c r="Q26" s="37" t="e">
        <f ca="1">INDEX($E:$E,SUM($S$14:$S26))</f>
        <v>#N/A</v>
      </c>
      <c r="S26" s="38" t="e">
        <f ca="1">MATCH($O$13&amp;"*-*"&amp;$O$14&amp;"*",INDIRECT("D" &amp; (SUM(S$14:S25)+1) &amp; ":D" &amp;SUM(S$14:S25)+500),0)</f>
        <v>#N/A</v>
      </c>
    </row>
    <row r="27" spans="1:19" ht="31.5" x14ac:dyDescent="0.45">
      <c r="A27" s="3" t="str">
        <f t="shared" ca="1" si="3"/>
        <v>'020</v>
      </c>
      <c r="B27" s="3">
        <f t="shared" ca="1" si="3"/>
        <v>213</v>
      </c>
      <c r="C27" s="5">
        <f t="shared" ca="1" si="3"/>
        <v>8050850000000</v>
      </c>
      <c r="D27" s="8" t="str">
        <f t="shared" ca="1" si="3"/>
        <v>HLESLL01-ECS00-615</v>
      </c>
      <c r="E27" s="12" t="str">
        <f t="shared" ca="1" si="3"/>
        <v>ANSES LONGUES LINEAR AVEC BOUCLE EN FAUX CUIR</v>
      </c>
      <c r="F27" s="18" t="str">
        <f t="shared" ca="1" si="3"/>
        <v>UNICA</v>
      </c>
      <c r="G27" s="10">
        <f t="shared" ca="1" si="3"/>
        <v>2</v>
      </c>
      <c r="H27" s="20">
        <f t="shared" ca="1" si="3"/>
        <v>13.33</v>
      </c>
      <c r="I27" s="22">
        <f t="shared" ca="1" si="3"/>
        <v>26.66</v>
      </c>
      <c r="J27" s="14" t="str">
        <f t="shared" ca="1" si="3"/>
        <v xml:space="preserve"> </v>
      </c>
      <c r="K27" s="16" t="str">
        <f t="shared" ca="1" si="3"/>
        <v xml:space="preserve"> </v>
      </c>
      <c r="L27" s="27" t="str">
        <f t="shared" ca="1" si="3"/>
        <v xml:space="preserve"> </v>
      </c>
      <c r="M27" s="29" t="str">
        <f t="shared" ca="1" si="3"/>
        <v>military</v>
      </c>
      <c r="N27" s="2" t="str">
        <f t="shared" ca="1" si="1"/>
        <v>8APASPA*aaaaae+</v>
      </c>
      <c r="O27" s="35" t="e">
        <f ca="1">INDEX($D:$D,SUM($S$14:$S27))</f>
        <v>#N/A</v>
      </c>
      <c r="P27" s="36" t="e">
        <f ca="1">INDEX($H:$H,SUM($S$14:$S27))</f>
        <v>#N/A</v>
      </c>
      <c r="Q27" s="37" t="e">
        <f ca="1">INDEX($E:$E,SUM($S$14:$S27))</f>
        <v>#N/A</v>
      </c>
      <c r="S27" s="38" t="e">
        <f ca="1">MATCH($O$13&amp;"*-*"&amp;$O$14&amp;"*",INDIRECT("D" &amp; (SUM(S$14:S26)+1) &amp; ":D" &amp;SUM(S$14:S26)+500),0)</f>
        <v>#N/A</v>
      </c>
    </row>
    <row r="28" spans="1:19" ht="31.5" x14ac:dyDescent="0.45">
      <c r="A28" s="3" t="str">
        <f t="shared" ca="1" si="3"/>
        <v>'021</v>
      </c>
      <c r="B28" s="3">
        <f t="shared" ca="1" si="3"/>
        <v>188</v>
      </c>
      <c r="C28" s="5">
        <f t="shared" ca="1" si="3"/>
        <v>8050850000000</v>
      </c>
      <c r="D28" s="8" t="str">
        <f t="shared" ca="1" si="3"/>
        <v>HLESMD00-ECS46-017</v>
      </c>
      <c r="E28" s="12" t="str">
        <f t="shared" ca="1" si="3"/>
        <v>MICRO-ANSES TUBULAIRES COURTES EN FAUX CUIR LISSE</v>
      </c>
      <c r="F28" s="18" t="str">
        <f t="shared" ca="1" si="3"/>
        <v>UNICA</v>
      </c>
      <c r="G28" s="10">
        <f t="shared" ca="1" si="3"/>
        <v>3</v>
      </c>
      <c r="H28" s="20">
        <f t="shared" ca="1" si="3"/>
        <v>12.66</v>
      </c>
      <c r="I28" s="22">
        <f t="shared" ca="1" si="3"/>
        <v>37.979999999999997</v>
      </c>
      <c r="J28" s="14" t="str">
        <f t="shared" ca="1" si="3"/>
        <v xml:space="preserve">ANSES/MICROTUB  </v>
      </c>
      <c r="K28" s="16" t="str">
        <f t="shared" ca="1" si="3"/>
        <v xml:space="preserve">NAVY </v>
      </c>
      <c r="L28" s="27">
        <f t="shared" ca="1" si="3"/>
        <v>0</v>
      </c>
      <c r="M28" s="29" t="str">
        <f t="shared" ca="1" si="3"/>
        <v>blu navy</v>
      </c>
      <c r="N28" s="2" t="str">
        <f t="shared" ca="1" si="1"/>
        <v>8APASPA*aaaaae+</v>
      </c>
    </row>
    <row r="29" spans="1:19" ht="31.5" x14ac:dyDescent="0.45">
      <c r="A29" s="3" t="str">
        <f t="shared" ca="1" si="3"/>
        <v>'022</v>
      </c>
      <c r="B29" s="3">
        <f t="shared" ca="1" si="3"/>
        <v>40</v>
      </c>
      <c r="C29" s="5">
        <f t="shared" ca="1" si="3"/>
        <v>8050850000000</v>
      </c>
      <c r="D29" s="8" t="str">
        <f t="shared" ca="1" si="3"/>
        <v>HLESMD00-ECS46-055</v>
      </c>
      <c r="E29" s="12" t="str">
        <f t="shared" ca="1" si="3"/>
        <v>MICRO-ANSES TUBULAIRES COURTES EN FAUX CUIR LISSE</v>
      </c>
      <c r="F29" s="18" t="str">
        <f t="shared" ca="1" si="3"/>
        <v>UNICA</v>
      </c>
      <c r="G29" s="10">
        <f t="shared" ca="1" si="3"/>
        <v>6</v>
      </c>
      <c r="H29" s="20">
        <f t="shared" ca="1" si="3"/>
        <v>12.66</v>
      </c>
      <c r="I29" s="22">
        <f t="shared" ca="1" si="3"/>
        <v>75.959999999999994</v>
      </c>
      <c r="J29" s="14" t="str">
        <f t="shared" ca="1" si="3"/>
        <v xml:space="preserve">ANSES/MICROTUB  </v>
      </c>
      <c r="K29" s="16" t="str">
        <f t="shared" ca="1" si="3"/>
        <v>BLACK</v>
      </c>
      <c r="L29" s="27">
        <f t="shared" ca="1" si="3"/>
        <v>0</v>
      </c>
      <c r="M29" s="29" t="str">
        <f t="shared" ca="1" si="3"/>
        <v>nero</v>
      </c>
      <c r="N29" s="2" t="str">
        <f t="shared" ca="1" si="1"/>
        <v>8APASPA*aaaaae+</v>
      </c>
    </row>
    <row r="30" spans="1:19" ht="31.5" x14ac:dyDescent="0.45">
      <c r="A30" s="3" t="str">
        <f t="shared" ca="1" si="3"/>
        <v>'023</v>
      </c>
      <c r="B30" s="3">
        <f t="shared" ca="1" si="3"/>
        <v>63</v>
      </c>
      <c r="C30" s="5">
        <f t="shared" ca="1" si="3"/>
        <v>8050850000000</v>
      </c>
      <c r="D30" s="8" t="str">
        <f t="shared" ca="1" si="3"/>
        <v>HLESMD00-ECS46-221</v>
      </c>
      <c r="E30" s="12" t="str">
        <f t="shared" ca="1" si="3"/>
        <v>MICRO-ANSES TUBULAIRES COURTES EN FAUX CUIR LISSE</v>
      </c>
      <c r="F30" s="18" t="str">
        <f t="shared" ca="1" si="3"/>
        <v>UNICA</v>
      </c>
      <c r="G30" s="10">
        <f t="shared" ca="1" si="3"/>
        <v>3</v>
      </c>
      <c r="H30" s="20">
        <f t="shared" ca="1" si="3"/>
        <v>12.66</v>
      </c>
      <c r="I30" s="22">
        <f t="shared" ca="1" si="3"/>
        <v>37.979999999999997</v>
      </c>
      <c r="J30" s="14" t="str">
        <f t="shared" ca="1" si="3"/>
        <v xml:space="preserve">ANSES/MICROTUB  </v>
      </c>
      <c r="K30" s="16" t="str">
        <f t="shared" ca="1" si="3"/>
        <v>COGNA</v>
      </c>
      <c r="L30" s="27">
        <f t="shared" ca="1" si="3"/>
        <v>0</v>
      </c>
      <c r="M30" s="29" t="str">
        <f t="shared" ca="1" si="3"/>
        <v>cognac</v>
      </c>
      <c r="N30" s="2" t="str">
        <f t="shared" ca="1" si="1"/>
        <v>8APASPA*aaaaae+</v>
      </c>
    </row>
    <row r="31" spans="1:19" ht="31.5" x14ac:dyDescent="0.45">
      <c r="A31" s="3" t="str">
        <f t="shared" ref="A31:M40" ca="1" si="4">INDEX(INDIRECT($O$10),ROW(A31),COLUMN(A31))</f>
        <v>'024</v>
      </c>
      <c r="B31" s="3">
        <f t="shared" ca="1" si="4"/>
        <v>104</v>
      </c>
      <c r="C31" s="5">
        <f t="shared" ca="1" si="4"/>
        <v>8050850000000</v>
      </c>
      <c r="D31" s="8" t="str">
        <f t="shared" ca="1" si="4"/>
        <v>HLESXF00-ECS03-017</v>
      </c>
      <c r="E31" s="12" t="str">
        <f t="shared" ca="1" si="4"/>
        <v>ANSES LONGUES EXTRA SLIM GOUTTE AVEC DEMI-ANNEAU EN FAUX CUIR SUÃˆDE</v>
      </c>
      <c r="F31" s="18" t="str">
        <f t="shared" ca="1" si="4"/>
        <v>UNICA</v>
      </c>
      <c r="G31" s="10">
        <f t="shared" ca="1" si="4"/>
        <v>3</v>
      </c>
      <c r="H31" s="20">
        <f t="shared" ca="1" si="4"/>
        <v>14.52</v>
      </c>
      <c r="I31" s="22">
        <f t="shared" ca="1" si="4"/>
        <v>43.56</v>
      </c>
      <c r="J31" s="14" t="str">
        <f t="shared" ca="1" si="4"/>
        <v>ANSESLONGUESSUED</v>
      </c>
      <c r="K31" s="16" t="str">
        <f t="shared" ca="1" si="4"/>
        <v xml:space="preserve">NAVY </v>
      </c>
      <c r="L31" s="27">
        <f t="shared" ca="1" si="4"/>
        <v>0</v>
      </c>
      <c r="M31" s="29" t="str">
        <f t="shared" ca="1" si="4"/>
        <v>blu navy</v>
      </c>
      <c r="N31" s="2" t="str">
        <f t="shared" ca="1" si="1"/>
        <v>8APASPA*aaaaae+</v>
      </c>
    </row>
    <row r="32" spans="1:19" ht="31.5" x14ac:dyDescent="0.45">
      <c r="A32" s="3" t="str">
        <f t="shared" ca="1" si="4"/>
        <v>'025</v>
      </c>
      <c r="B32" s="3">
        <f t="shared" ca="1" si="4"/>
        <v>48</v>
      </c>
      <c r="C32" s="5">
        <f t="shared" ca="1" si="4"/>
        <v>8050850000000</v>
      </c>
      <c r="D32" s="8" t="str">
        <f t="shared" ca="1" si="4"/>
        <v>HLESXF00-ECS03-084</v>
      </c>
      <c r="E32" s="12" t="str">
        <f t="shared" ca="1" si="4"/>
        <v>ANSES LONGUES EXTRA SLIM GOUTTE AVEC DEMI-ANNEAU EN FAUX CUIR SUÃˆDE</v>
      </c>
      <c r="F32" s="18" t="str">
        <f t="shared" ca="1" si="4"/>
        <v>UNICA</v>
      </c>
      <c r="G32" s="10">
        <f t="shared" ca="1" si="4"/>
        <v>3</v>
      </c>
      <c r="H32" s="20">
        <f t="shared" ca="1" si="4"/>
        <v>14.52</v>
      </c>
      <c r="I32" s="22">
        <f t="shared" ca="1" si="4"/>
        <v>43.56</v>
      </c>
      <c r="J32" s="14" t="str">
        <f t="shared" ca="1" si="4"/>
        <v>ANSESLONGUESSUED</v>
      </c>
      <c r="K32" s="16" t="str">
        <f t="shared" ca="1" si="4"/>
        <v>TESTA</v>
      </c>
      <c r="L32" s="27">
        <f t="shared" ca="1" si="4"/>
        <v>0</v>
      </c>
      <c r="M32" s="29" t="str">
        <f t="shared" ca="1" si="4"/>
        <v>testa di moro</v>
      </c>
      <c r="N32" s="2" t="str">
        <f t="shared" ca="1" si="1"/>
        <v>8APASPA*aaaaae+</v>
      </c>
    </row>
    <row r="33" spans="1:14" ht="31.5" x14ac:dyDescent="0.45">
      <c r="A33" s="3" t="str">
        <f t="shared" ca="1" si="4"/>
        <v>'026</v>
      </c>
      <c r="B33" s="3">
        <f t="shared" ca="1" si="4"/>
        <v>32</v>
      </c>
      <c r="C33" s="5">
        <f t="shared" ca="1" si="4"/>
        <v>8050850000000</v>
      </c>
      <c r="D33" s="8" t="str">
        <f t="shared" ca="1" si="4"/>
        <v>OBAGA000-ECS42-055</v>
      </c>
      <c r="E33" s="12" t="str">
        <f t="shared" ca="1" si="4"/>
        <v>ACCESSOIRE CLIP EN FAUX CUIR OPAQUE + ARGENT</v>
      </c>
      <c r="F33" s="18" t="str">
        <f t="shared" ca="1" si="4"/>
        <v>UNICA</v>
      </c>
      <c r="G33" s="10">
        <f t="shared" ca="1" si="4"/>
        <v>2</v>
      </c>
      <c r="H33" s="20">
        <f t="shared" ca="1" si="4"/>
        <v>3.6</v>
      </c>
      <c r="I33" s="22">
        <f t="shared" ca="1" si="4"/>
        <v>7.2</v>
      </c>
      <c r="J33" s="14" t="str">
        <f t="shared" ca="1" si="4"/>
        <v xml:space="preserve"> </v>
      </c>
      <c r="K33" s="16" t="str">
        <f t="shared" ca="1" si="4"/>
        <v xml:space="preserve"> </v>
      </c>
      <c r="L33" s="27" t="str">
        <f t="shared" ca="1" si="4"/>
        <v xml:space="preserve"> </v>
      </c>
      <c r="M33" s="29" t="str">
        <f t="shared" ca="1" si="4"/>
        <v>nero</v>
      </c>
      <c r="N33" s="2" t="str">
        <f t="shared" ca="1" si="1"/>
        <v>8APASPA*aaaaae+</v>
      </c>
    </row>
    <row r="34" spans="1:14" ht="31.5" x14ac:dyDescent="0.45">
      <c r="A34" s="3" t="str">
        <f t="shared" ca="1" si="4"/>
        <v>'027</v>
      </c>
      <c r="B34" s="3">
        <f t="shared" ca="1" si="4"/>
        <v>182</v>
      </c>
      <c r="C34" s="5">
        <f t="shared" ca="1" si="4"/>
        <v>8051770000000</v>
      </c>
      <c r="D34" s="8" t="str">
        <f t="shared" ca="1" si="4"/>
        <v>OBAGB001-EVS00-076</v>
      </c>
      <c r="E34" s="12" t="str">
        <f t="shared" ca="1" si="4"/>
        <v>CORPS O BAG EVA COMPOUND</v>
      </c>
      <c r="F34" s="18" t="str">
        <f t="shared" ca="1" si="4"/>
        <v>UNICA</v>
      </c>
      <c r="G34" s="10">
        <f t="shared" ca="1" si="4"/>
        <v>2</v>
      </c>
      <c r="H34" s="20">
        <f t="shared" ca="1" si="4"/>
        <v>14.4</v>
      </c>
      <c r="I34" s="22">
        <f t="shared" ca="1" si="4"/>
        <v>28.8</v>
      </c>
      <c r="J34" s="14" t="str">
        <f t="shared" ca="1" si="4"/>
        <v xml:space="preserve">OBODY           </v>
      </c>
      <c r="K34" s="16" t="str">
        <f t="shared" ca="1" si="4"/>
        <v xml:space="preserve">RED  </v>
      </c>
      <c r="L34" s="27">
        <f t="shared" ca="1" si="4"/>
        <v>0</v>
      </c>
      <c r="M34" s="29" t="str">
        <f t="shared" ca="1" si="4"/>
        <v>rosso</v>
      </c>
      <c r="N34" s="2" t="str">
        <f t="shared" ca="1" si="1"/>
        <v>8APBRRA*aaaaag+</v>
      </c>
    </row>
    <row r="35" spans="1:14" ht="31.5" x14ac:dyDescent="0.45">
      <c r="A35" s="3" t="str">
        <f t="shared" ca="1" si="4"/>
        <v>'028</v>
      </c>
      <c r="B35" s="3">
        <f t="shared" ca="1" si="4"/>
        <v>110</v>
      </c>
      <c r="C35" s="5">
        <f t="shared" ca="1" si="4"/>
        <v>8056100000000</v>
      </c>
      <c r="D35" s="8" t="str">
        <f t="shared" ca="1" si="4"/>
        <v>OBAGB001-EVS00-132</v>
      </c>
      <c r="E35" s="12" t="str">
        <f t="shared" ca="1" si="4"/>
        <v>CORPS O BAG EVA COMPOUND</v>
      </c>
      <c r="F35" s="18" t="str">
        <f t="shared" ca="1" si="4"/>
        <v>UNICA</v>
      </c>
      <c r="G35" s="10">
        <f t="shared" ca="1" si="4"/>
        <v>2</v>
      </c>
      <c r="H35" s="20">
        <f t="shared" ca="1" si="4"/>
        <v>14.4</v>
      </c>
      <c r="I35" s="22">
        <f t="shared" ca="1" si="4"/>
        <v>28.8</v>
      </c>
      <c r="J35" s="14" t="str">
        <f t="shared" ca="1" si="4"/>
        <v xml:space="preserve">OBODY           </v>
      </c>
      <c r="K35" s="16" t="str">
        <f t="shared" ca="1" si="4"/>
        <v>BISCO</v>
      </c>
      <c r="L35" s="27">
        <f t="shared" ca="1" si="4"/>
        <v>0</v>
      </c>
      <c r="M35" s="29" t="str">
        <f t="shared" ca="1" si="4"/>
        <v>biscotto</v>
      </c>
      <c r="N35" s="2" t="str">
        <f t="shared" ca="1" si="1"/>
        <v>8APGLKA*aaaaai+</v>
      </c>
    </row>
    <row r="36" spans="1:14" ht="31.5" x14ac:dyDescent="0.45">
      <c r="A36" s="3" t="str">
        <f t="shared" ca="1" si="4"/>
        <v>'029</v>
      </c>
      <c r="B36" s="3">
        <f t="shared" ca="1" si="4"/>
        <v>183</v>
      </c>
      <c r="C36" s="5">
        <f t="shared" ca="1" si="4"/>
        <v>8050850000000</v>
      </c>
      <c r="D36" s="8" t="str">
        <f t="shared" ca="1" si="4"/>
        <v>OBAGB001-EVS00-614</v>
      </c>
      <c r="E36" s="12" t="str">
        <f t="shared" ca="1" si="4"/>
        <v>CORPS O BAG EVA COMPOUND</v>
      </c>
      <c r="F36" s="18" t="str">
        <f t="shared" ca="1" si="4"/>
        <v>UNICA</v>
      </c>
      <c r="G36" s="10">
        <f t="shared" ca="1" si="4"/>
        <v>2</v>
      </c>
      <c r="H36" s="20">
        <f t="shared" ca="1" si="4"/>
        <v>14.4</v>
      </c>
      <c r="I36" s="22">
        <f t="shared" ca="1" si="4"/>
        <v>28.8</v>
      </c>
      <c r="J36" s="14" t="str">
        <f t="shared" ca="1" si="4"/>
        <v xml:space="preserve"> </v>
      </c>
      <c r="K36" s="16" t="str">
        <f t="shared" ca="1" si="4"/>
        <v xml:space="preserve"> </v>
      </c>
      <c r="L36" s="27" t="str">
        <f t="shared" ca="1" si="4"/>
        <v xml:space="preserve"> </v>
      </c>
      <c r="M36" s="29" t="str">
        <f t="shared" ca="1" si="4"/>
        <v>imperial blu</v>
      </c>
      <c r="N36" s="2" t="str">
        <f t="shared" ca="1" si="1"/>
        <v>8APASPA*aaaaae+</v>
      </c>
    </row>
    <row r="37" spans="1:14" ht="31.5" x14ac:dyDescent="0.45">
      <c r="A37" s="3" t="str">
        <f t="shared" ca="1" si="4"/>
        <v>'030</v>
      </c>
      <c r="B37" s="3">
        <f t="shared" ca="1" si="4"/>
        <v>41</v>
      </c>
      <c r="C37" s="5">
        <f t="shared" ca="1" si="4"/>
        <v>8050850000000</v>
      </c>
      <c r="D37" s="8" t="str">
        <f t="shared" ca="1" si="4"/>
        <v>OBAGB001-EVS00-615</v>
      </c>
      <c r="E37" s="12" t="str">
        <f t="shared" ca="1" si="4"/>
        <v>CORPS O BAG EVA COMPOUND</v>
      </c>
      <c r="F37" s="18" t="str">
        <f t="shared" ca="1" si="4"/>
        <v>UNICA</v>
      </c>
      <c r="G37" s="10">
        <f t="shared" ca="1" si="4"/>
        <v>2</v>
      </c>
      <c r="H37" s="20">
        <f t="shared" ca="1" si="4"/>
        <v>14.4</v>
      </c>
      <c r="I37" s="22">
        <f t="shared" ca="1" si="4"/>
        <v>28.8</v>
      </c>
      <c r="J37" s="14" t="str">
        <f t="shared" ca="1" si="4"/>
        <v xml:space="preserve"> </v>
      </c>
      <c r="K37" s="16" t="str">
        <f t="shared" ca="1" si="4"/>
        <v xml:space="preserve"> </v>
      </c>
      <c r="L37" s="27" t="str">
        <f t="shared" ca="1" si="4"/>
        <v xml:space="preserve"> </v>
      </c>
      <c r="M37" s="29" t="str">
        <f t="shared" ca="1" si="4"/>
        <v>military</v>
      </c>
      <c r="N37" s="2" t="str">
        <f t="shared" ca="1" si="1"/>
        <v>8APASPA*aaaaae+</v>
      </c>
    </row>
    <row r="38" spans="1:14" ht="31.5" x14ac:dyDescent="0.45">
      <c r="A38" s="3" t="str">
        <f t="shared" ca="1" si="4"/>
        <v>'031</v>
      </c>
      <c r="B38" s="3">
        <f t="shared" ca="1" si="4"/>
        <v>64</v>
      </c>
      <c r="C38" s="5">
        <f t="shared" ca="1" si="4"/>
        <v>8050850000000</v>
      </c>
      <c r="D38" s="8" t="str">
        <f t="shared" ca="1" si="4"/>
        <v>OBAGB001-EVS00-616</v>
      </c>
      <c r="E38" s="12" t="str">
        <f t="shared" ca="1" si="4"/>
        <v>CORPS O BAG EVA COMPOUND</v>
      </c>
      <c r="F38" s="18" t="str">
        <f t="shared" ca="1" si="4"/>
        <v>UNICA</v>
      </c>
      <c r="G38" s="10">
        <f t="shared" ca="1" si="4"/>
        <v>2</v>
      </c>
      <c r="H38" s="20">
        <f t="shared" ca="1" si="4"/>
        <v>14.4</v>
      </c>
      <c r="I38" s="22">
        <f t="shared" ca="1" si="4"/>
        <v>28.8</v>
      </c>
      <c r="J38" s="14" t="str">
        <f t="shared" ca="1" si="4"/>
        <v xml:space="preserve"> </v>
      </c>
      <c r="K38" s="16" t="str">
        <f t="shared" ca="1" si="4"/>
        <v xml:space="preserve"> </v>
      </c>
      <c r="L38" s="27" t="str">
        <f t="shared" ca="1" si="4"/>
        <v xml:space="preserve"> </v>
      </c>
      <c r="M38" s="29" t="str">
        <f t="shared" ca="1" si="4"/>
        <v>ice</v>
      </c>
      <c r="N38" s="2" t="str">
        <f t="shared" ca="1" si="1"/>
        <v>8APASPA*aaaaae+</v>
      </c>
    </row>
    <row r="39" spans="1:14" ht="31.5" x14ac:dyDescent="0.45">
      <c r="A39" s="3" t="str">
        <f t="shared" ca="1" si="4"/>
        <v>'032</v>
      </c>
      <c r="B39" s="3">
        <f t="shared" ca="1" si="4"/>
        <v>58</v>
      </c>
      <c r="C39" s="5">
        <f t="shared" ca="1" si="4"/>
        <v>8050450000000</v>
      </c>
      <c r="D39" s="8" t="str">
        <f t="shared" ca="1" si="4"/>
        <v>OBAGB002-EVS00-076</v>
      </c>
      <c r="E39" s="12" t="str">
        <f t="shared" ca="1" si="4"/>
        <v>CORPS O BAG MINI EVA COMPOUND</v>
      </c>
      <c r="F39" s="18" t="str">
        <f t="shared" ca="1" si="4"/>
        <v>UNICA</v>
      </c>
      <c r="G39" s="10">
        <f t="shared" ca="1" si="4"/>
        <v>2</v>
      </c>
      <c r="H39" s="20">
        <f t="shared" ca="1" si="4"/>
        <v>14.4</v>
      </c>
      <c r="I39" s="22">
        <f t="shared" ca="1" si="4"/>
        <v>28.8</v>
      </c>
      <c r="J39" s="14" t="str">
        <f t="shared" ca="1" si="4"/>
        <v xml:space="preserve">MINIOBODY       </v>
      </c>
      <c r="K39" s="16" t="str">
        <f t="shared" ca="1" si="4"/>
        <v xml:space="preserve">RED  </v>
      </c>
      <c r="L39" s="27">
        <f t="shared" ca="1" si="4"/>
        <v>0</v>
      </c>
      <c r="M39" s="29" t="str">
        <f t="shared" ca="1" si="4"/>
        <v>rosso</v>
      </c>
      <c r="N39" s="2" t="str">
        <f t="shared" ca="1" si="1"/>
        <v>8APAOPA*aaaaai+</v>
      </c>
    </row>
    <row r="40" spans="1:14" ht="31.5" x14ac:dyDescent="0.45">
      <c r="A40" s="3" t="str">
        <f t="shared" ca="1" si="4"/>
        <v>'033</v>
      </c>
      <c r="B40" s="3">
        <f t="shared" ca="1" si="4"/>
        <v>153</v>
      </c>
      <c r="C40" s="5">
        <f t="shared" ca="1" si="4"/>
        <v>8050850000000</v>
      </c>
      <c r="D40" s="8" t="str">
        <f t="shared" ca="1" si="4"/>
        <v>OBAGB002-EVS00-132</v>
      </c>
      <c r="E40" s="12" t="str">
        <f t="shared" ca="1" si="4"/>
        <v>CORPS O BAG MINI EVA COMPOUND</v>
      </c>
      <c r="F40" s="18" t="str">
        <f t="shared" ca="1" si="4"/>
        <v>UNICA</v>
      </c>
      <c r="G40" s="10">
        <f t="shared" ca="1" si="4"/>
        <v>2</v>
      </c>
      <c r="H40" s="20">
        <f t="shared" ca="1" si="4"/>
        <v>14.4</v>
      </c>
      <c r="I40" s="22">
        <f t="shared" ca="1" si="4"/>
        <v>28.8</v>
      </c>
      <c r="J40" s="14" t="str">
        <f t="shared" ca="1" si="4"/>
        <v xml:space="preserve"> </v>
      </c>
      <c r="K40" s="16" t="str">
        <f t="shared" ca="1" si="4"/>
        <v xml:space="preserve"> </v>
      </c>
      <c r="L40" s="27" t="str">
        <f t="shared" ca="1" si="4"/>
        <v xml:space="preserve"> </v>
      </c>
      <c r="M40" s="29" t="str">
        <f t="shared" ca="1" si="4"/>
        <v>biscotto</v>
      </c>
      <c r="N40" s="2" t="str">
        <f t="shared" ca="1" si="1"/>
        <v>8APASPA*aaaaae+</v>
      </c>
    </row>
    <row r="41" spans="1:14" ht="31.5" x14ac:dyDescent="0.45">
      <c r="A41" s="3" t="str">
        <f t="shared" ref="A41:M50" ca="1" si="5">INDEX(INDIRECT($O$10),ROW(A41),COLUMN(A41))</f>
        <v>'034</v>
      </c>
      <c r="B41" s="3">
        <f t="shared" ca="1" si="5"/>
        <v>116</v>
      </c>
      <c r="C41" s="5">
        <f t="shared" ca="1" si="5"/>
        <v>8050850000000</v>
      </c>
      <c r="D41" s="8" t="str">
        <f t="shared" ca="1" si="5"/>
        <v>OBAGB002-EVS00-614</v>
      </c>
      <c r="E41" s="12" t="str">
        <f t="shared" ca="1" si="5"/>
        <v>CORPS O BAG MINI EVA COMPOUND</v>
      </c>
      <c r="F41" s="18" t="str">
        <f t="shared" ca="1" si="5"/>
        <v>UNICA</v>
      </c>
      <c r="G41" s="10">
        <f t="shared" ca="1" si="5"/>
        <v>2</v>
      </c>
      <c r="H41" s="20">
        <f t="shared" ca="1" si="5"/>
        <v>14.4</v>
      </c>
      <c r="I41" s="22">
        <f t="shared" ca="1" si="5"/>
        <v>28.8</v>
      </c>
      <c r="J41" s="14" t="str">
        <f t="shared" ca="1" si="5"/>
        <v xml:space="preserve"> </v>
      </c>
      <c r="K41" s="16" t="str">
        <f t="shared" ca="1" si="5"/>
        <v xml:space="preserve"> </v>
      </c>
      <c r="L41" s="27" t="str">
        <f t="shared" ca="1" si="5"/>
        <v xml:space="preserve"> </v>
      </c>
      <c r="M41" s="29" t="str">
        <f t="shared" ca="1" si="5"/>
        <v>imperial blu</v>
      </c>
      <c r="N41" s="2" t="str">
        <f t="shared" ca="1" si="1"/>
        <v>8APASPA*aaaaae+</v>
      </c>
    </row>
    <row r="42" spans="1:14" ht="31.5" x14ac:dyDescent="0.45">
      <c r="A42" s="3" t="str">
        <f t="shared" ca="1" si="5"/>
        <v>'035</v>
      </c>
      <c r="B42" s="3">
        <f t="shared" ca="1" si="5"/>
        <v>205</v>
      </c>
      <c r="C42" s="5">
        <f t="shared" ca="1" si="5"/>
        <v>8050850000000</v>
      </c>
      <c r="D42" s="8" t="str">
        <f t="shared" ca="1" si="5"/>
        <v>OBAGB002-EVS00-615</v>
      </c>
      <c r="E42" s="12" t="str">
        <f t="shared" ca="1" si="5"/>
        <v>CORPS O BAG MINI EVA COMPOUND</v>
      </c>
      <c r="F42" s="18" t="str">
        <f t="shared" ca="1" si="5"/>
        <v>UNICA</v>
      </c>
      <c r="G42" s="10">
        <f t="shared" ca="1" si="5"/>
        <v>2</v>
      </c>
      <c r="H42" s="20">
        <f t="shared" ca="1" si="5"/>
        <v>14.4</v>
      </c>
      <c r="I42" s="22">
        <f t="shared" ca="1" si="5"/>
        <v>28.8</v>
      </c>
      <c r="J42" s="14" t="str">
        <f t="shared" ca="1" si="5"/>
        <v xml:space="preserve"> </v>
      </c>
      <c r="K42" s="16" t="str">
        <f t="shared" ca="1" si="5"/>
        <v xml:space="preserve"> </v>
      </c>
      <c r="L42" s="27" t="str">
        <f t="shared" ca="1" si="5"/>
        <v xml:space="preserve"> </v>
      </c>
      <c r="M42" s="29" t="str">
        <f t="shared" ca="1" si="5"/>
        <v>military</v>
      </c>
      <c r="N42" s="2" t="str">
        <f t="shared" ca="1" si="1"/>
        <v>8APASPA*aaaaae+</v>
      </c>
    </row>
    <row r="43" spans="1:14" ht="31.5" x14ac:dyDescent="0.45">
      <c r="A43" s="3" t="str">
        <f t="shared" ca="1" si="5"/>
        <v>'036</v>
      </c>
      <c r="B43" s="3">
        <f t="shared" ca="1" si="5"/>
        <v>49</v>
      </c>
      <c r="C43" s="5">
        <f t="shared" ca="1" si="5"/>
        <v>8050450000000</v>
      </c>
      <c r="D43" s="8" t="str">
        <f t="shared" ca="1" si="5"/>
        <v>OBAGB002-EVS00-616</v>
      </c>
      <c r="E43" s="12" t="str">
        <f t="shared" ca="1" si="5"/>
        <v>CORPS O BAG MINI EVA COMPOUND</v>
      </c>
      <c r="F43" s="18" t="str">
        <f t="shared" ca="1" si="5"/>
        <v>UNICA</v>
      </c>
      <c r="G43" s="10">
        <f t="shared" ca="1" si="5"/>
        <v>2</v>
      </c>
      <c r="H43" s="20">
        <f t="shared" ca="1" si="5"/>
        <v>14.4</v>
      </c>
      <c r="I43" s="22">
        <f t="shared" ca="1" si="5"/>
        <v>28.8</v>
      </c>
      <c r="J43" s="14" t="str">
        <f t="shared" ca="1" si="5"/>
        <v xml:space="preserve">MINIOBODY       </v>
      </c>
      <c r="K43" s="16" t="str">
        <f t="shared" ca="1" si="5"/>
        <v xml:space="preserve">RED  </v>
      </c>
      <c r="L43" s="27">
        <f t="shared" ca="1" si="5"/>
        <v>0</v>
      </c>
      <c r="M43" s="29" t="str">
        <f t="shared" ca="1" si="5"/>
        <v>ice</v>
      </c>
      <c r="N43" s="2" t="str">
        <f t="shared" ca="1" si="1"/>
        <v>8APAOPA*aaaaai+</v>
      </c>
    </row>
    <row r="44" spans="1:14" ht="31.5" x14ac:dyDescent="0.45">
      <c r="A44" s="3" t="str">
        <f t="shared" ca="1" si="5"/>
        <v>'037</v>
      </c>
      <c r="B44" s="3">
        <f t="shared" ca="1" si="5"/>
        <v>163</v>
      </c>
      <c r="C44" s="5">
        <f t="shared" ca="1" si="5"/>
        <v>8050850000000</v>
      </c>
      <c r="D44" s="8" t="str">
        <f t="shared" ca="1" si="5"/>
        <v>OBAGB002-EVS18-055</v>
      </c>
      <c r="E44" s="12" t="str">
        <f t="shared" ca="1" si="5"/>
        <v>CORPS O BAG MINI EVA COMPOUND TEXTURE Ã€ CHEVRONS</v>
      </c>
      <c r="F44" s="18" t="str">
        <f t="shared" ca="1" si="5"/>
        <v>UNICA</v>
      </c>
      <c r="G44" s="10">
        <f t="shared" ca="1" si="5"/>
        <v>2</v>
      </c>
      <c r="H44" s="20">
        <f t="shared" ca="1" si="5"/>
        <v>15.6</v>
      </c>
      <c r="I44" s="22">
        <f t="shared" ca="1" si="5"/>
        <v>31.2</v>
      </c>
      <c r="J44" s="14" t="str">
        <f t="shared" ca="1" si="5"/>
        <v>MINIOBODYCHEVRON</v>
      </c>
      <c r="K44" s="16" t="str">
        <f t="shared" ca="1" si="5"/>
        <v>BLACK</v>
      </c>
      <c r="L44" s="27">
        <f t="shared" ca="1" si="5"/>
        <v>0</v>
      </c>
      <c r="M44" s="29" t="str">
        <f t="shared" ca="1" si="5"/>
        <v>nero</v>
      </c>
      <c r="N44" s="2" t="str">
        <f t="shared" ca="1" si="1"/>
        <v>8APASPA*aaaaae+</v>
      </c>
    </row>
    <row r="45" spans="1:14" ht="31.5" x14ac:dyDescent="0.45">
      <c r="A45" s="3" t="str">
        <f t="shared" ca="1" si="5"/>
        <v>'038</v>
      </c>
      <c r="B45" s="3">
        <f t="shared" ca="1" si="5"/>
        <v>209</v>
      </c>
      <c r="C45" s="5">
        <f t="shared" ca="1" si="5"/>
        <v>8050850000000</v>
      </c>
      <c r="D45" s="8" t="str">
        <f t="shared" ca="1" si="5"/>
        <v>OBAGB002-EVS18-067</v>
      </c>
      <c r="E45" s="12" t="str">
        <f t="shared" ca="1" si="5"/>
        <v>CORPS O BAG MINI EVA COMPOUND TEXTURE Ã€ CHEVRONS</v>
      </c>
      <c r="F45" s="18" t="str">
        <f t="shared" ca="1" si="5"/>
        <v>UNICA</v>
      </c>
      <c r="G45" s="10">
        <f t="shared" ca="1" si="5"/>
        <v>2</v>
      </c>
      <c r="H45" s="20">
        <f t="shared" ca="1" si="5"/>
        <v>15.6</v>
      </c>
      <c r="I45" s="22">
        <f t="shared" ca="1" si="5"/>
        <v>31.2</v>
      </c>
      <c r="J45" s="14" t="str">
        <f t="shared" ca="1" si="5"/>
        <v xml:space="preserve"> </v>
      </c>
      <c r="K45" s="16" t="str">
        <f t="shared" ca="1" si="5"/>
        <v xml:space="preserve"> </v>
      </c>
      <c r="L45" s="27" t="str">
        <f t="shared" ca="1" si="5"/>
        <v xml:space="preserve"> </v>
      </c>
      <c r="M45" s="29" t="str">
        <f t="shared" ca="1" si="5"/>
        <v>phard</v>
      </c>
      <c r="N45" s="2" t="str">
        <f t="shared" ca="1" si="1"/>
        <v>8APASPA*aaaaae+</v>
      </c>
    </row>
    <row r="46" spans="1:14" ht="31.5" x14ac:dyDescent="0.45">
      <c r="A46" s="3" t="str">
        <f t="shared" ca="1" si="5"/>
        <v>'039</v>
      </c>
      <c r="B46" s="3">
        <f t="shared" ca="1" si="5"/>
        <v>133</v>
      </c>
      <c r="C46" s="5">
        <f t="shared" ca="1" si="5"/>
        <v>8050850000000</v>
      </c>
      <c r="D46" s="8" t="str">
        <f t="shared" ca="1" si="5"/>
        <v>OBAGB002-EVS18-078</v>
      </c>
      <c r="E46" s="12" t="str">
        <f t="shared" ca="1" si="5"/>
        <v>CORPS O BAG MINI EVA COMPOUND TEXTURE Ã€ CHEVRONS</v>
      </c>
      <c r="F46" s="18" t="str">
        <f t="shared" ca="1" si="5"/>
        <v>UNICA</v>
      </c>
      <c r="G46" s="10">
        <f t="shared" ca="1" si="5"/>
        <v>2</v>
      </c>
      <c r="H46" s="20">
        <f t="shared" ca="1" si="5"/>
        <v>15.6</v>
      </c>
      <c r="I46" s="22">
        <f t="shared" ca="1" si="5"/>
        <v>31.2</v>
      </c>
      <c r="J46" s="14" t="str">
        <f t="shared" ca="1" si="5"/>
        <v xml:space="preserve"> </v>
      </c>
      <c r="K46" s="16" t="str">
        <f t="shared" ca="1" si="5"/>
        <v xml:space="preserve"> </v>
      </c>
      <c r="L46" s="27" t="str">
        <f t="shared" ca="1" si="5"/>
        <v xml:space="preserve"> </v>
      </c>
      <c r="M46" s="29" t="str">
        <f t="shared" ca="1" si="5"/>
        <v>sabbia</v>
      </c>
      <c r="N46" s="2" t="str">
        <f t="shared" ca="1" si="1"/>
        <v>8APASPA*aaaaae+</v>
      </c>
    </row>
    <row r="47" spans="1:14" ht="31.5" x14ac:dyDescent="0.45">
      <c r="A47" s="3" t="str">
        <f t="shared" ca="1" si="5"/>
        <v>'040</v>
      </c>
      <c r="B47" s="3">
        <f t="shared" ca="1" si="5"/>
        <v>54</v>
      </c>
      <c r="C47" s="5">
        <f t="shared" ca="1" si="5"/>
        <v>8050850000000</v>
      </c>
      <c r="D47" s="8" t="str">
        <f t="shared" ca="1" si="5"/>
        <v>OBAGB002-EVS18-371</v>
      </c>
      <c r="E47" s="12" t="str">
        <f t="shared" ca="1" si="5"/>
        <v>CORPS O BAG MINI EVA COMPOUND TEXTURE Ã€ CHEVRONS</v>
      </c>
      <c r="F47" s="18" t="str">
        <f t="shared" ca="1" si="5"/>
        <v>UNICA</v>
      </c>
      <c r="G47" s="10">
        <f t="shared" ca="1" si="5"/>
        <v>2</v>
      </c>
      <c r="H47" s="20">
        <f t="shared" ca="1" si="5"/>
        <v>15.6</v>
      </c>
      <c r="I47" s="22">
        <f t="shared" ca="1" si="5"/>
        <v>31.2</v>
      </c>
      <c r="J47" s="14" t="str">
        <f t="shared" ca="1" si="5"/>
        <v>MINIOBODYCHEVRON</v>
      </c>
      <c r="K47" s="16" t="str">
        <f t="shared" ca="1" si="5"/>
        <v>WHITE</v>
      </c>
      <c r="L47" s="27">
        <f t="shared" ca="1" si="5"/>
        <v>0</v>
      </c>
      <c r="M47" s="29" t="str">
        <f t="shared" ca="1" si="5"/>
        <v>latte</v>
      </c>
      <c r="N47" s="2" t="str">
        <f t="shared" ca="1" si="1"/>
        <v>8APASPA*aaaaae+</v>
      </c>
    </row>
    <row r="48" spans="1:14" ht="31.5" x14ac:dyDescent="0.45">
      <c r="A48" s="3" t="str">
        <f t="shared" ca="1" si="5"/>
        <v>'041</v>
      </c>
      <c r="B48" s="3">
        <f t="shared" ca="1" si="5"/>
        <v>189</v>
      </c>
      <c r="C48" s="5">
        <f t="shared" ca="1" si="5"/>
        <v>8050850000000</v>
      </c>
      <c r="D48" s="8" t="str">
        <f t="shared" ca="1" si="5"/>
        <v>OBAGB002-EVS18-614</v>
      </c>
      <c r="E48" s="12" t="str">
        <f t="shared" ca="1" si="5"/>
        <v>CORPS O BAG MINI EVA COMPOUND TEXTURE Ã€ CHEVRONS</v>
      </c>
      <c r="F48" s="18" t="str">
        <f t="shared" ca="1" si="5"/>
        <v>UNICA</v>
      </c>
      <c r="G48" s="10">
        <f t="shared" ca="1" si="5"/>
        <v>2</v>
      </c>
      <c r="H48" s="20">
        <f t="shared" ca="1" si="5"/>
        <v>15.6</v>
      </c>
      <c r="I48" s="22">
        <f t="shared" ca="1" si="5"/>
        <v>31.2</v>
      </c>
      <c r="J48" s="14" t="str">
        <f t="shared" ca="1" si="5"/>
        <v xml:space="preserve"> </v>
      </c>
      <c r="K48" s="16" t="str">
        <f t="shared" ca="1" si="5"/>
        <v xml:space="preserve"> </v>
      </c>
      <c r="L48" s="27" t="str">
        <f t="shared" ca="1" si="5"/>
        <v xml:space="preserve"> </v>
      </c>
      <c r="M48" s="29" t="str">
        <f t="shared" ca="1" si="5"/>
        <v>imperial blu</v>
      </c>
      <c r="N48" s="2" t="str">
        <f t="shared" ca="1" si="1"/>
        <v>8APASPA*aaaaae+</v>
      </c>
    </row>
    <row r="49" spans="1:14" ht="31.5" x14ac:dyDescent="0.45">
      <c r="A49" s="3" t="str">
        <f t="shared" ca="1" si="5"/>
        <v>'042</v>
      </c>
      <c r="B49" s="3">
        <f t="shared" ca="1" si="5"/>
        <v>221</v>
      </c>
      <c r="C49" s="5">
        <f t="shared" ca="1" si="5"/>
        <v>8050850000000</v>
      </c>
      <c r="D49" s="8" t="str">
        <f t="shared" ca="1" si="5"/>
        <v>OBAGB002-EVS18-615</v>
      </c>
      <c r="E49" s="12" t="str">
        <f t="shared" ca="1" si="5"/>
        <v>CORPS O BAG MINI EVA COMPOUND TEXTURE Ã€ CHEVRONS</v>
      </c>
      <c r="F49" s="18" t="str">
        <f t="shared" ca="1" si="5"/>
        <v>UNICA</v>
      </c>
      <c r="G49" s="10">
        <f t="shared" ca="1" si="5"/>
        <v>2</v>
      </c>
      <c r="H49" s="20">
        <f t="shared" ca="1" si="5"/>
        <v>15.6</v>
      </c>
      <c r="I49" s="22">
        <f t="shared" ca="1" si="5"/>
        <v>31.2</v>
      </c>
      <c r="J49" s="14" t="str">
        <f t="shared" ca="1" si="5"/>
        <v xml:space="preserve"> </v>
      </c>
      <c r="K49" s="16" t="str">
        <f t="shared" ca="1" si="5"/>
        <v xml:space="preserve"> </v>
      </c>
      <c r="L49" s="27" t="str">
        <f t="shared" ca="1" si="5"/>
        <v xml:space="preserve"> </v>
      </c>
      <c r="M49" s="29" t="str">
        <f t="shared" ca="1" si="5"/>
        <v>military</v>
      </c>
      <c r="N49" s="2" t="str">
        <f t="shared" ca="1" si="1"/>
        <v>8APASPA*aaaaae+</v>
      </c>
    </row>
    <row r="50" spans="1:14" ht="31.5" x14ac:dyDescent="0.45">
      <c r="A50" s="3" t="str">
        <f t="shared" ca="1" si="5"/>
        <v>'043</v>
      </c>
      <c r="B50" s="3">
        <f t="shared" ca="1" si="5"/>
        <v>55</v>
      </c>
      <c r="C50" s="5">
        <f t="shared" ca="1" si="5"/>
        <v>8050850000000</v>
      </c>
      <c r="D50" s="8" t="str">
        <f t="shared" ca="1" si="5"/>
        <v>OBAGB033-EVS00-017</v>
      </c>
      <c r="E50" s="12" t="str">
        <f t="shared" ca="1" si="5"/>
        <v>CORPS O BAG URBAN EVA COMPOUND</v>
      </c>
      <c r="F50" s="18" t="str">
        <f t="shared" ca="1" si="5"/>
        <v>UNICA</v>
      </c>
      <c r="G50" s="10">
        <f t="shared" ca="1" si="5"/>
        <v>2</v>
      </c>
      <c r="H50" s="20">
        <f t="shared" ca="1" si="5"/>
        <v>14.16</v>
      </c>
      <c r="I50" s="22">
        <f t="shared" ca="1" si="5"/>
        <v>28.32</v>
      </c>
      <c r="J50" s="14" t="str">
        <f t="shared" ca="1" si="5"/>
        <v xml:space="preserve">OURBAN          </v>
      </c>
      <c r="K50" s="16" t="str">
        <f t="shared" ca="1" si="5"/>
        <v xml:space="preserve">NAVY </v>
      </c>
      <c r="L50" s="27">
        <f t="shared" ca="1" si="5"/>
        <v>0</v>
      </c>
      <c r="M50" s="29" t="str">
        <f t="shared" ca="1" si="5"/>
        <v>blu navy</v>
      </c>
      <c r="N50" s="2" t="str">
        <f t="shared" ca="1" si="1"/>
        <v>8APASPA*aaaaae+</v>
      </c>
    </row>
    <row r="51" spans="1:14" ht="31.5" x14ac:dyDescent="0.45">
      <c r="A51" s="3" t="str">
        <f t="shared" ref="A51:M60" ca="1" si="6">INDEX(INDIRECT($O$10),ROW(A51),COLUMN(A51))</f>
        <v>'044</v>
      </c>
      <c r="B51" s="3">
        <f t="shared" ca="1" si="6"/>
        <v>190</v>
      </c>
      <c r="C51" s="5">
        <f t="shared" ca="1" si="6"/>
        <v>8050850000000</v>
      </c>
      <c r="D51" s="8" t="str">
        <f t="shared" ca="1" si="6"/>
        <v>OBAGB033-EVS00-038</v>
      </c>
      <c r="E51" s="12" t="str">
        <f t="shared" ca="1" si="6"/>
        <v>CORPS O BAG URBAN EVA COMPOUND</v>
      </c>
      <c r="F51" s="18" t="str">
        <f t="shared" ca="1" si="6"/>
        <v>UNICA</v>
      </c>
      <c r="G51" s="10">
        <f t="shared" ca="1" si="6"/>
        <v>2</v>
      </c>
      <c r="H51" s="20">
        <f t="shared" ca="1" si="6"/>
        <v>14.16</v>
      </c>
      <c r="I51" s="22">
        <f t="shared" ca="1" si="6"/>
        <v>28.32</v>
      </c>
      <c r="J51" s="14" t="str">
        <f t="shared" ca="1" si="6"/>
        <v xml:space="preserve"> </v>
      </c>
      <c r="K51" s="16" t="str">
        <f t="shared" ca="1" si="6"/>
        <v xml:space="preserve"> </v>
      </c>
      <c r="L51" s="27" t="str">
        <f t="shared" ca="1" si="6"/>
        <v xml:space="preserve"> </v>
      </c>
      <c r="M51" s="29" t="str">
        <f t="shared" ca="1" si="6"/>
        <v>grafite</v>
      </c>
      <c r="N51" s="2" t="str">
        <f t="shared" ca="1" si="1"/>
        <v>8APASPA*aaaaae+</v>
      </c>
    </row>
    <row r="52" spans="1:14" ht="31.5" x14ac:dyDescent="0.45">
      <c r="A52" s="3" t="str">
        <f t="shared" ca="1" si="6"/>
        <v>'045</v>
      </c>
      <c r="B52" s="3">
        <f t="shared" ca="1" si="6"/>
        <v>82</v>
      </c>
      <c r="C52" s="5">
        <f t="shared" ca="1" si="6"/>
        <v>8050850000000</v>
      </c>
      <c r="D52" s="8" t="str">
        <f t="shared" ca="1" si="6"/>
        <v>OBAGB033-EVS00-055</v>
      </c>
      <c r="E52" s="12" t="str">
        <f t="shared" ca="1" si="6"/>
        <v>CORPS O BAG URBAN EVA COMPOUND</v>
      </c>
      <c r="F52" s="18" t="str">
        <f t="shared" ca="1" si="6"/>
        <v>UNICA</v>
      </c>
      <c r="G52" s="10">
        <f t="shared" ca="1" si="6"/>
        <v>2</v>
      </c>
      <c r="H52" s="20">
        <f t="shared" ca="1" si="6"/>
        <v>14.16</v>
      </c>
      <c r="I52" s="22">
        <f t="shared" ca="1" si="6"/>
        <v>28.32</v>
      </c>
      <c r="J52" s="14" t="str">
        <f t="shared" ca="1" si="6"/>
        <v xml:space="preserve">OURBAN          </v>
      </c>
      <c r="K52" s="16" t="str">
        <f t="shared" ca="1" si="6"/>
        <v>BLACK</v>
      </c>
      <c r="L52" s="27">
        <f t="shared" ca="1" si="6"/>
        <v>0</v>
      </c>
      <c r="M52" s="29" t="str">
        <f t="shared" ca="1" si="6"/>
        <v>nero</v>
      </c>
      <c r="N52" s="2" t="str">
        <f t="shared" ca="1" si="1"/>
        <v>8APASPA*aaaaae+</v>
      </c>
    </row>
    <row r="53" spans="1:14" ht="31.5" x14ac:dyDescent="0.45">
      <c r="A53" s="3" t="str">
        <f t="shared" ca="1" si="6"/>
        <v>'046</v>
      </c>
      <c r="B53" s="3">
        <f t="shared" ca="1" si="6"/>
        <v>119</v>
      </c>
      <c r="C53" s="5">
        <f t="shared" ca="1" si="6"/>
        <v>8050850000000</v>
      </c>
      <c r="D53" s="8" t="str">
        <f t="shared" ca="1" si="6"/>
        <v>OBAGB033-EVS00-078</v>
      </c>
      <c r="E53" s="12" t="str">
        <f t="shared" ca="1" si="6"/>
        <v>CORPS O BAG URBAN EVA COMPOUND</v>
      </c>
      <c r="F53" s="18" t="str">
        <f t="shared" ca="1" si="6"/>
        <v>UNICA</v>
      </c>
      <c r="G53" s="10">
        <f t="shared" ca="1" si="6"/>
        <v>2</v>
      </c>
      <c r="H53" s="20">
        <f t="shared" ca="1" si="6"/>
        <v>14.16</v>
      </c>
      <c r="I53" s="22">
        <f t="shared" ca="1" si="6"/>
        <v>28.32</v>
      </c>
      <c r="J53" s="14" t="str">
        <f t="shared" ca="1" si="6"/>
        <v xml:space="preserve">OURBAN          </v>
      </c>
      <c r="K53" s="16" t="str">
        <f t="shared" ca="1" si="6"/>
        <v xml:space="preserve">SAND </v>
      </c>
      <c r="L53" s="27">
        <f t="shared" ca="1" si="6"/>
        <v>0</v>
      </c>
      <c r="M53" s="29" t="str">
        <f t="shared" ca="1" si="6"/>
        <v>sabbia</v>
      </c>
      <c r="N53" s="2" t="str">
        <f t="shared" ca="1" si="1"/>
        <v>8APASPA*aaaaae+</v>
      </c>
    </row>
    <row r="54" spans="1:14" ht="31.5" x14ac:dyDescent="0.45">
      <c r="A54" s="3" t="str">
        <f t="shared" ca="1" si="6"/>
        <v>'047</v>
      </c>
      <c r="B54" s="3">
        <f t="shared" ca="1" si="6"/>
        <v>122</v>
      </c>
      <c r="C54" s="5">
        <f t="shared" ca="1" si="6"/>
        <v>8050850000000</v>
      </c>
      <c r="D54" s="8" t="str">
        <f t="shared" ca="1" si="6"/>
        <v>OBAGB033-EVS00-615</v>
      </c>
      <c r="E54" s="12" t="str">
        <f t="shared" ca="1" si="6"/>
        <v>CORPS O BAG URBAN EVA COMPOUND</v>
      </c>
      <c r="F54" s="18" t="str">
        <f t="shared" ca="1" si="6"/>
        <v>UNICA</v>
      </c>
      <c r="G54" s="10">
        <f t="shared" ca="1" si="6"/>
        <v>2</v>
      </c>
      <c r="H54" s="20">
        <f t="shared" ca="1" si="6"/>
        <v>14.16</v>
      </c>
      <c r="I54" s="22">
        <f t="shared" ca="1" si="6"/>
        <v>28.32</v>
      </c>
      <c r="J54" s="14" t="str">
        <f t="shared" ca="1" si="6"/>
        <v xml:space="preserve"> </v>
      </c>
      <c r="K54" s="16" t="str">
        <f t="shared" ca="1" si="6"/>
        <v xml:space="preserve"> </v>
      </c>
      <c r="L54" s="27" t="str">
        <f t="shared" ca="1" si="6"/>
        <v xml:space="preserve"> </v>
      </c>
      <c r="M54" s="29" t="str">
        <f t="shared" ca="1" si="6"/>
        <v>military</v>
      </c>
      <c r="N54" s="2" t="str">
        <f t="shared" ca="1" si="1"/>
        <v>8APASPA*aaaaae+</v>
      </c>
    </row>
    <row r="55" spans="1:14" ht="31.5" x14ac:dyDescent="0.45">
      <c r="A55" s="3" t="str">
        <f t="shared" ca="1" si="6"/>
        <v>'048</v>
      </c>
      <c r="B55" s="3">
        <f t="shared" ca="1" si="6"/>
        <v>214</v>
      </c>
      <c r="C55" s="5">
        <f t="shared" ca="1" si="6"/>
        <v>8050850000000</v>
      </c>
      <c r="D55" s="8" t="str">
        <f t="shared" ca="1" si="6"/>
        <v>OBAGB033-EVS09-017</v>
      </c>
      <c r="E55" s="12" t="str">
        <f t="shared" ca="1" si="6"/>
        <v>CORPS O BAG URBAN EVA COMPOUND TEXTURE MATELASSEE</v>
      </c>
      <c r="F55" s="18" t="str">
        <f t="shared" ca="1" si="6"/>
        <v>UNICA</v>
      </c>
      <c r="G55" s="10">
        <f t="shared" ca="1" si="6"/>
        <v>2</v>
      </c>
      <c r="H55" s="20">
        <f t="shared" ca="1" si="6"/>
        <v>16.670000000000002</v>
      </c>
      <c r="I55" s="22">
        <f t="shared" ca="1" si="6"/>
        <v>33.340000000000003</v>
      </c>
      <c r="J55" s="14" t="str">
        <f t="shared" ca="1" si="6"/>
        <v xml:space="preserve"> </v>
      </c>
      <c r="K55" s="16" t="str">
        <f t="shared" ca="1" si="6"/>
        <v xml:space="preserve"> </v>
      </c>
      <c r="L55" s="27" t="str">
        <f t="shared" ca="1" si="6"/>
        <v xml:space="preserve"> </v>
      </c>
      <c r="M55" s="29" t="str">
        <f t="shared" ca="1" si="6"/>
        <v>blu navy</v>
      </c>
      <c r="N55" s="2" t="str">
        <f t="shared" ca="1" si="1"/>
        <v>8APASPA*aaaaae+</v>
      </c>
    </row>
    <row r="56" spans="1:14" ht="31.5" x14ac:dyDescent="0.45">
      <c r="A56" s="3" t="str">
        <f t="shared" ca="1" si="6"/>
        <v>'049</v>
      </c>
      <c r="B56" s="3">
        <f t="shared" ca="1" si="6"/>
        <v>111</v>
      </c>
      <c r="C56" s="5">
        <f t="shared" ca="1" si="6"/>
        <v>8050850000000</v>
      </c>
      <c r="D56" s="8" t="str">
        <f t="shared" ca="1" si="6"/>
        <v>OBAGB033-EVS09-038</v>
      </c>
      <c r="E56" s="12" t="str">
        <f t="shared" ca="1" si="6"/>
        <v>CORPS O BAG URBAN EVA COMPOUND TEXTURE MATELASSEE</v>
      </c>
      <c r="F56" s="18" t="str">
        <f t="shared" ca="1" si="6"/>
        <v>UNICA</v>
      </c>
      <c r="G56" s="10">
        <f t="shared" ca="1" si="6"/>
        <v>1</v>
      </c>
      <c r="H56" s="20">
        <f t="shared" ca="1" si="6"/>
        <v>16.670000000000002</v>
      </c>
      <c r="I56" s="22">
        <f t="shared" ca="1" si="6"/>
        <v>16.670000000000002</v>
      </c>
      <c r="J56" s="14" t="str">
        <f t="shared" ca="1" si="6"/>
        <v xml:space="preserve"> </v>
      </c>
      <c r="K56" s="16" t="str">
        <f t="shared" ca="1" si="6"/>
        <v xml:space="preserve"> </v>
      </c>
      <c r="L56" s="27" t="str">
        <f t="shared" ca="1" si="6"/>
        <v xml:space="preserve"> </v>
      </c>
      <c r="M56" s="29" t="str">
        <f t="shared" ca="1" si="6"/>
        <v>grafite</v>
      </c>
      <c r="N56" s="2" t="str">
        <f t="shared" ca="1" si="1"/>
        <v>8APASPA*aaaaae+</v>
      </c>
    </row>
    <row r="57" spans="1:14" ht="31.5" x14ac:dyDescent="0.45">
      <c r="A57" s="3" t="str">
        <f t="shared" ca="1" si="6"/>
        <v>'050</v>
      </c>
      <c r="B57" s="3">
        <f t="shared" ca="1" si="6"/>
        <v>197</v>
      </c>
      <c r="C57" s="5">
        <f t="shared" ca="1" si="6"/>
        <v>8050850000000</v>
      </c>
      <c r="D57" s="8" t="str">
        <f t="shared" ca="1" si="6"/>
        <v>OBAGB033-EVS09-055</v>
      </c>
      <c r="E57" s="12" t="str">
        <f t="shared" ca="1" si="6"/>
        <v>CORPS O BAG URBAN EVA COMPOUND TEXTURE MATELASSEE</v>
      </c>
      <c r="F57" s="18" t="str">
        <f t="shared" ca="1" si="6"/>
        <v>UNICA</v>
      </c>
      <c r="G57" s="10">
        <f t="shared" ca="1" si="6"/>
        <v>2</v>
      </c>
      <c r="H57" s="20">
        <f t="shared" ca="1" si="6"/>
        <v>16.670000000000002</v>
      </c>
      <c r="I57" s="22">
        <f t="shared" ca="1" si="6"/>
        <v>33.340000000000003</v>
      </c>
      <c r="J57" s="14" t="str">
        <f t="shared" ca="1" si="6"/>
        <v xml:space="preserve"> </v>
      </c>
      <c r="K57" s="16" t="str">
        <f t="shared" ca="1" si="6"/>
        <v xml:space="preserve"> </v>
      </c>
      <c r="L57" s="27" t="str">
        <f t="shared" ca="1" si="6"/>
        <v xml:space="preserve"> </v>
      </c>
      <c r="M57" s="29" t="str">
        <f t="shared" ca="1" si="6"/>
        <v>nero</v>
      </c>
      <c r="N57" s="2" t="str">
        <f t="shared" ca="1" si="1"/>
        <v>8APASPA*aaaaae+</v>
      </c>
    </row>
    <row r="58" spans="1:14" ht="31.5" x14ac:dyDescent="0.45">
      <c r="A58" s="3" t="str">
        <f t="shared" ca="1" si="6"/>
        <v>'051</v>
      </c>
      <c r="B58" s="3">
        <f t="shared" ca="1" si="6"/>
        <v>97</v>
      </c>
      <c r="C58" s="5">
        <f t="shared" ca="1" si="6"/>
        <v>8050850000000</v>
      </c>
      <c r="D58" s="8" t="str">
        <f t="shared" ca="1" si="6"/>
        <v>OBAGB033-EVS09-078</v>
      </c>
      <c r="E58" s="12" t="str">
        <f t="shared" ca="1" si="6"/>
        <v>CORPS O BAG URBAN EVA COMPOUND TEXTURE MATELASSEE</v>
      </c>
      <c r="F58" s="18" t="str">
        <f t="shared" ca="1" si="6"/>
        <v>UNICA</v>
      </c>
      <c r="G58" s="10">
        <f t="shared" ca="1" si="6"/>
        <v>1</v>
      </c>
      <c r="H58" s="20">
        <f t="shared" ca="1" si="6"/>
        <v>16.670000000000002</v>
      </c>
      <c r="I58" s="22">
        <f t="shared" ca="1" si="6"/>
        <v>16.670000000000002</v>
      </c>
      <c r="J58" s="14" t="str">
        <f t="shared" ca="1" si="6"/>
        <v xml:space="preserve"> </v>
      </c>
      <c r="K58" s="16" t="str">
        <f t="shared" ca="1" si="6"/>
        <v xml:space="preserve"> </v>
      </c>
      <c r="L58" s="27" t="str">
        <f t="shared" ca="1" si="6"/>
        <v xml:space="preserve"> </v>
      </c>
      <c r="M58" s="29" t="str">
        <f t="shared" ca="1" si="6"/>
        <v>sabbia</v>
      </c>
      <c r="N58" s="2" t="str">
        <f t="shared" ca="1" si="1"/>
        <v>8APASPA*aaaaae+</v>
      </c>
    </row>
    <row r="59" spans="1:14" ht="31.5" x14ac:dyDescent="0.45">
      <c r="A59" s="3" t="str">
        <f t="shared" ca="1" si="6"/>
        <v>'052</v>
      </c>
      <c r="B59" s="3">
        <f t="shared" ca="1" si="6"/>
        <v>139</v>
      </c>
      <c r="C59" s="5">
        <f t="shared" ca="1" si="6"/>
        <v>8050850000000</v>
      </c>
      <c r="D59" s="8" t="str">
        <f t="shared" ca="1" si="6"/>
        <v>OBAGB033-EVS09-615</v>
      </c>
      <c r="E59" s="12" t="str">
        <f t="shared" ca="1" si="6"/>
        <v>CORPS O BAG URBAN EVA COMPOUND TEXTURE MATELASSEE</v>
      </c>
      <c r="F59" s="18" t="str">
        <f t="shared" ca="1" si="6"/>
        <v>UNICA</v>
      </c>
      <c r="G59" s="10">
        <f t="shared" ca="1" si="6"/>
        <v>1</v>
      </c>
      <c r="H59" s="20">
        <f t="shared" ca="1" si="6"/>
        <v>16.670000000000002</v>
      </c>
      <c r="I59" s="22">
        <f t="shared" ca="1" si="6"/>
        <v>16.670000000000002</v>
      </c>
      <c r="J59" s="14" t="str">
        <f t="shared" ca="1" si="6"/>
        <v xml:space="preserve"> </v>
      </c>
      <c r="K59" s="16" t="str">
        <f t="shared" ca="1" si="6"/>
        <v xml:space="preserve"> </v>
      </c>
      <c r="L59" s="27" t="str">
        <f t="shared" ca="1" si="6"/>
        <v xml:space="preserve"> </v>
      </c>
      <c r="M59" s="29" t="str">
        <f t="shared" ca="1" si="6"/>
        <v>military</v>
      </c>
      <c r="N59" s="2" t="str">
        <f t="shared" ca="1" si="1"/>
        <v>8APASPA*aaaaae+</v>
      </c>
    </row>
    <row r="60" spans="1:14" ht="31.5" x14ac:dyDescent="0.45">
      <c r="A60" s="3" t="str">
        <f t="shared" ca="1" si="6"/>
        <v>'053</v>
      </c>
      <c r="B60" s="3">
        <f t="shared" ca="1" si="6"/>
        <v>11</v>
      </c>
      <c r="C60" s="5">
        <f t="shared" ca="1" si="6"/>
        <v>8050850000000</v>
      </c>
      <c r="D60" s="8" t="str">
        <f t="shared" ca="1" si="6"/>
        <v>OBAGB034-EVS00-017</v>
      </c>
      <c r="E60" s="12" t="str">
        <f t="shared" ca="1" si="6"/>
        <v>CORPS O BAG GLAM EVA COMPOUND</v>
      </c>
      <c r="F60" s="18" t="str">
        <f t="shared" ca="1" si="6"/>
        <v>UNICA</v>
      </c>
      <c r="G60" s="10">
        <f t="shared" ca="1" si="6"/>
        <v>2</v>
      </c>
      <c r="H60" s="20">
        <f t="shared" ca="1" si="6"/>
        <v>12.59</v>
      </c>
      <c r="I60" s="22">
        <f t="shared" ca="1" si="6"/>
        <v>25.18</v>
      </c>
      <c r="J60" s="14" t="str">
        <f t="shared" ca="1" si="6"/>
        <v xml:space="preserve">OGLAM           </v>
      </c>
      <c r="K60" s="16" t="str">
        <f t="shared" ca="1" si="6"/>
        <v xml:space="preserve">NAVY </v>
      </c>
      <c r="L60" s="27">
        <f t="shared" ca="1" si="6"/>
        <v>0</v>
      </c>
      <c r="M60" s="29" t="str">
        <f t="shared" ca="1" si="6"/>
        <v>blu navy</v>
      </c>
      <c r="N60" s="2" t="str">
        <f t="shared" ca="1" si="1"/>
        <v>8APASPA*aaaaae+</v>
      </c>
    </row>
    <row r="61" spans="1:14" ht="31.5" x14ac:dyDescent="0.45">
      <c r="A61" s="3" t="str">
        <f t="shared" ref="A61:M70" ca="1" si="7">INDEX(INDIRECT($O$10),ROW(A61),COLUMN(A61))</f>
        <v>'054</v>
      </c>
      <c r="B61" s="3">
        <f t="shared" ca="1" si="7"/>
        <v>210</v>
      </c>
      <c r="C61" s="5">
        <f t="shared" ca="1" si="7"/>
        <v>8050850000000</v>
      </c>
      <c r="D61" s="8" t="str">
        <f t="shared" ca="1" si="7"/>
        <v>OBAGB034-EVS00-038</v>
      </c>
      <c r="E61" s="12" t="str">
        <f t="shared" ca="1" si="7"/>
        <v>CORPS O BAG GLAM EVA COMPOUND</v>
      </c>
      <c r="F61" s="18" t="str">
        <f t="shared" ca="1" si="7"/>
        <v>UNICA</v>
      </c>
      <c r="G61" s="10">
        <f t="shared" ca="1" si="7"/>
        <v>2</v>
      </c>
      <c r="H61" s="20">
        <f t="shared" ca="1" si="7"/>
        <v>12.59</v>
      </c>
      <c r="I61" s="22">
        <f t="shared" ca="1" si="7"/>
        <v>25.18</v>
      </c>
      <c r="J61" s="14" t="str">
        <f t="shared" ca="1" si="7"/>
        <v xml:space="preserve"> </v>
      </c>
      <c r="K61" s="16" t="str">
        <f t="shared" ca="1" si="7"/>
        <v xml:space="preserve"> </v>
      </c>
      <c r="L61" s="27" t="str">
        <f t="shared" ca="1" si="7"/>
        <v xml:space="preserve"> </v>
      </c>
      <c r="M61" s="29" t="str">
        <f t="shared" ca="1" si="7"/>
        <v>grafite</v>
      </c>
      <c r="N61" s="2" t="str">
        <f t="shared" ca="1" si="1"/>
        <v>8APASPA*aaaaae+</v>
      </c>
    </row>
    <row r="62" spans="1:14" ht="31.5" x14ac:dyDescent="0.45">
      <c r="A62" s="3" t="str">
        <f t="shared" ca="1" si="7"/>
        <v>'055</v>
      </c>
      <c r="B62" s="3">
        <f t="shared" ca="1" si="7"/>
        <v>91</v>
      </c>
      <c r="C62" s="5">
        <f t="shared" ca="1" si="7"/>
        <v>8050850000000</v>
      </c>
      <c r="D62" s="8" t="str">
        <f t="shared" ca="1" si="7"/>
        <v>OBAGB034-EVS00-055</v>
      </c>
      <c r="E62" s="12" t="str">
        <f t="shared" ca="1" si="7"/>
        <v>CORPS O BAG GLAM EVA COMPOUND</v>
      </c>
      <c r="F62" s="18" t="str">
        <f t="shared" ca="1" si="7"/>
        <v>UNICA</v>
      </c>
      <c r="G62" s="10">
        <f t="shared" ca="1" si="7"/>
        <v>3</v>
      </c>
      <c r="H62" s="20">
        <f t="shared" ca="1" si="7"/>
        <v>12.59</v>
      </c>
      <c r="I62" s="22">
        <f t="shared" ca="1" si="7"/>
        <v>37.770000000000003</v>
      </c>
      <c r="J62" s="14" t="str">
        <f t="shared" ca="1" si="7"/>
        <v xml:space="preserve">OGLAM           </v>
      </c>
      <c r="K62" s="16" t="str">
        <f t="shared" ca="1" si="7"/>
        <v>BLACK</v>
      </c>
      <c r="L62" s="27">
        <f t="shared" ca="1" si="7"/>
        <v>0</v>
      </c>
      <c r="M62" s="29" t="str">
        <f t="shared" ca="1" si="7"/>
        <v>nero</v>
      </c>
      <c r="N62" s="2" t="str">
        <f t="shared" ca="1" si="1"/>
        <v>8APASPA*aaaaae+</v>
      </c>
    </row>
    <row r="63" spans="1:14" ht="31.5" x14ac:dyDescent="0.45">
      <c r="A63" s="3" t="str">
        <f t="shared" ca="1" si="7"/>
        <v>'056</v>
      </c>
      <c r="B63" s="3">
        <f t="shared" ca="1" si="7"/>
        <v>94</v>
      </c>
      <c r="C63" s="5">
        <f t="shared" ca="1" si="7"/>
        <v>8050850000000</v>
      </c>
      <c r="D63" s="8" t="str">
        <f t="shared" ca="1" si="7"/>
        <v>OBAGB034-EVS00-076</v>
      </c>
      <c r="E63" s="12" t="str">
        <f t="shared" ca="1" si="7"/>
        <v>CORPS O BAG GLAM EVA COMPOUND</v>
      </c>
      <c r="F63" s="18" t="str">
        <f t="shared" ca="1" si="7"/>
        <v>UNICA</v>
      </c>
      <c r="G63" s="10">
        <f t="shared" ca="1" si="7"/>
        <v>2</v>
      </c>
      <c r="H63" s="20">
        <f t="shared" ca="1" si="7"/>
        <v>12.59</v>
      </c>
      <c r="I63" s="22">
        <f t="shared" ca="1" si="7"/>
        <v>25.18</v>
      </c>
      <c r="J63" s="14" t="str">
        <f t="shared" ca="1" si="7"/>
        <v xml:space="preserve">OGLAM           </v>
      </c>
      <c r="K63" s="16" t="str">
        <f t="shared" ca="1" si="7"/>
        <v xml:space="preserve">RED  </v>
      </c>
      <c r="L63" s="27">
        <f t="shared" ca="1" si="7"/>
        <v>0</v>
      </c>
      <c r="M63" s="29" t="str">
        <f t="shared" ca="1" si="7"/>
        <v>rosso</v>
      </c>
      <c r="N63" s="2" t="str">
        <f t="shared" ca="1" si="1"/>
        <v>8APASPA*aaaaae+</v>
      </c>
    </row>
    <row r="64" spans="1:14" ht="31.5" x14ac:dyDescent="0.45">
      <c r="A64" s="3" t="str">
        <f t="shared" ca="1" si="7"/>
        <v>'057</v>
      </c>
      <c r="B64" s="3">
        <f t="shared" ca="1" si="7"/>
        <v>148</v>
      </c>
      <c r="C64" s="5">
        <f t="shared" ca="1" si="7"/>
        <v>8050850000000</v>
      </c>
      <c r="D64" s="8" t="str">
        <f t="shared" ca="1" si="7"/>
        <v>OBAGB034-EVS00-078</v>
      </c>
      <c r="E64" s="12" t="str">
        <f t="shared" ca="1" si="7"/>
        <v>CORPS O BAG GLAM EVA COMPOUND</v>
      </c>
      <c r="F64" s="18" t="str">
        <f t="shared" ca="1" si="7"/>
        <v>UNICA</v>
      </c>
      <c r="G64" s="10">
        <f t="shared" ca="1" si="7"/>
        <v>2</v>
      </c>
      <c r="H64" s="20">
        <f t="shared" ca="1" si="7"/>
        <v>12.59</v>
      </c>
      <c r="I64" s="22">
        <f t="shared" ca="1" si="7"/>
        <v>25.18</v>
      </c>
      <c r="J64" s="14" t="str">
        <f t="shared" ca="1" si="7"/>
        <v xml:space="preserve">OGLAM           </v>
      </c>
      <c r="K64" s="16" t="str">
        <f t="shared" ca="1" si="7"/>
        <v xml:space="preserve">SAND </v>
      </c>
      <c r="L64" s="27">
        <f t="shared" ca="1" si="7"/>
        <v>0</v>
      </c>
      <c r="M64" s="29" t="str">
        <f t="shared" ca="1" si="7"/>
        <v>sabbia</v>
      </c>
      <c r="N64" s="2" t="str">
        <f t="shared" ca="1" si="1"/>
        <v>8APASPA*aaaaae+</v>
      </c>
    </row>
    <row r="65" spans="1:14" ht="31.5" x14ac:dyDescent="0.45">
      <c r="A65" s="3" t="str">
        <f t="shared" ca="1" si="7"/>
        <v>'058</v>
      </c>
      <c r="B65" s="3">
        <f t="shared" ca="1" si="7"/>
        <v>98</v>
      </c>
      <c r="C65" s="5">
        <f t="shared" ca="1" si="7"/>
        <v>8050850000000</v>
      </c>
      <c r="D65" s="8" t="str">
        <f t="shared" ca="1" si="7"/>
        <v>OBAGB034-EVS00-614</v>
      </c>
      <c r="E65" s="12" t="str">
        <f t="shared" ca="1" si="7"/>
        <v>CORPS O BAG GLAM EVA COMPOUND</v>
      </c>
      <c r="F65" s="18" t="str">
        <f t="shared" ca="1" si="7"/>
        <v>UNICA</v>
      </c>
      <c r="G65" s="10">
        <f t="shared" ca="1" si="7"/>
        <v>2</v>
      </c>
      <c r="H65" s="20">
        <f t="shared" ca="1" si="7"/>
        <v>12.59</v>
      </c>
      <c r="I65" s="22">
        <f t="shared" ca="1" si="7"/>
        <v>25.18</v>
      </c>
      <c r="J65" s="14" t="str">
        <f t="shared" ca="1" si="7"/>
        <v xml:space="preserve"> </v>
      </c>
      <c r="K65" s="16" t="str">
        <f t="shared" ca="1" si="7"/>
        <v xml:space="preserve"> </v>
      </c>
      <c r="L65" s="27" t="str">
        <f t="shared" ca="1" si="7"/>
        <v xml:space="preserve"> </v>
      </c>
      <c r="M65" s="29" t="str">
        <f t="shared" ca="1" si="7"/>
        <v>imperial blu</v>
      </c>
      <c r="N65" s="2" t="str">
        <f t="shared" ca="1" si="1"/>
        <v>8APASPA*aaaaae+</v>
      </c>
    </row>
    <row r="66" spans="1:14" ht="31.5" x14ac:dyDescent="0.45">
      <c r="A66" s="3" t="str">
        <f t="shared" ca="1" si="7"/>
        <v>'059</v>
      </c>
      <c r="B66" s="3">
        <f t="shared" ca="1" si="7"/>
        <v>33</v>
      </c>
      <c r="C66" s="5">
        <f t="shared" ca="1" si="7"/>
        <v>8050850000000</v>
      </c>
      <c r="D66" s="8" t="str">
        <f t="shared" ca="1" si="7"/>
        <v>OBAGB034-EVS00-615</v>
      </c>
      <c r="E66" s="12" t="str">
        <f t="shared" ca="1" si="7"/>
        <v>CORPS O BAG GLAM EVA COMPOUND</v>
      </c>
      <c r="F66" s="18" t="str">
        <f t="shared" ca="1" si="7"/>
        <v>UNICA</v>
      </c>
      <c r="G66" s="10">
        <f t="shared" ca="1" si="7"/>
        <v>2</v>
      </c>
      <c r="H66" s="20">
        <f t="shared" ca="1" si="7"/>
        <v>12.59</v>
      </c>
      <c r="I66" s="22">
        <f t="shared" ca="1" si="7"/>
        <v>25.18</v>
      </c>
      <c r="J66" s="14" t="str">
        <f t="shared" ca="1" si="7"/>
        <v xml:space="preserve"> </v>
      </c>
      <c r="K66" s="16" t="str">
        <f t="shared" ca="1" si="7"/>
        <v xml:space="preserve"> </v>
      </c>
      <c r="L66" s="27" t="str">
        <f t="shared" ca="1" si="7"/>
        <v xml:space="preserve"> </v>
      </c>
      <c r="M66" s="29" t="str">
        <f t="shared" ca="1" si="7"/>
        <v>military</v>
      </c>
      <c r="N66" s="2" t="str">
        <f t="shared" ca="1" si="1"/>
        <v>8APASPA*aaaaae+</v>
      </c>
    </row>
    <row r="67" spans="1:14" ht="31.5" x14ac:dyDescent="0.45">
      <c r="A67" s="3" t="str">
        <f t="shared" ca="1" si="7"/>
        <v>'060</v>
      </c>
      <c r="B67" s="3">
        <f t="shared" ca="1" si="7"/>
        <v>56</v>
      </c>
      <c r="C67" s="5">
        <f t="shared" ca="1" si="7"/>
        <v>8050850000000</v>
      </c>
      <c r="D67" s="8" t="str">
        <f t="shared" ca="1" si="7"/>
        <v>OBAGB034-EVS00-616</v>
      </c>
      <c r="E67" s="12" t="str">
        <f t="shared" ca="1" si="7"/>
        <v>CORPS O BAG GLAM EVA COMPOUND</v>
      </c>
      <c r="F67" s="18" t="str">
        <f t="shared" ca="1" si="7"/>
        <v>UNICA</v>
      </c>
      <c r="G67" s="10">
        <f t="shared" ca="1" si="7"/>
        <v>2</v>
      </c>
      <c r="H67" s="20">
        <f t="shared" ca="1" si="7"/>
        <v>12.59</v>
      </c>
      <c r="I67" s="22">
        <f t="shared" ca="1" si="7"/>
        <v>25.18</v>
      </c>
      <c r="J67" s="14" t="str">
        <f t="shared" ca="1" si="7"/>
        <v xml:space="preserve"> </v>
      </c>
      <c r="K67" s="16" t="str">
        <f t="shared" ca="1" si="7"/>
        <v xml:space="preserve"> </v>
      </c>
      <c r="L67" s="27" t="str">
        <f t="shared" ca="1" si="7"/>
        <v xml:space="preserve"> </v>
      </c>
      <c r="M67" s="29" t="str">
        <f t="shared" ca="1" si="7"/>
        <v>ice</v>
      </c>
      <c r="N67" s="2" t="str">
        <f t="shared" ca="1" si="1"/>
        <v>8APASPA*aaaaae+</v>
      </c>
    </row>
    <row r="68" spans="1:14" ht="31.5" x14ac:dyDescent="0.45">
      <c r="A68" s="3" t="str">
        <f t="shared" ca="1" si="7"/>
        <v>'061</v>
      </c>
      <c r="B68" s="3">
        <f t="shared" ca="1" si="7"/>
        <v>184</v>
      </c>
      <c r="C68" s="5">
        <f t="shared" ca="1" si="7"/>
        <v>8050850000000</v>
      </c>
      <c r="D68" s="8" t="str">
        <f t="shared" ca="1" si="7"/>
        <v>OBAGB056-TESBK-055</v>
      </c>
      <c r="E68" s="12" t="str">
        <f t="shared" ca="1" si="7"/>
        <v>CORPS O BAG MARKET EN TISSU DOUDOUNE Ã€ CHEVRONS</v>
      </c>
      <c r="F68" s="18" t="str">
        <f t="shared" ca="1" si="7"/>
        <v>UNICA</v>
      </c>
      <c r="G68" s="10">
        <f t="shared" ca="1" si="7"/>
        <v>2</v>
      </c>
      <c r="H68" s="20">
        <f t="shared" ca="1" si="7"/>
        <v>18.52</v>
      </c>
      <c r="I68" s="22">
        <f t="shared" ca="1" si="7"/>
        <v>37.04</v>
      </c>
      <c r="J68" s="14" t="str">
        <f t="shared" ca="1" si="7"/>
        <v xml:space="preserve"> </v>
      </c>
      <c r="K68" s="16" t="str">
        <f t="shared" ca="1" si="7"/>
        <v xml:space="preserve"> </v>
      </c>
      <c r="L68" s="27" t="str">
        <f t="shared" ca="1" si="7"/>
        <v xml:space="preserve"> </v>
      </c>
      <c r="M68" s="29" t="str">
        <f t="shared" ca="1" si="7"/>
        <v>nero</v>
      </c>
      <c r="N68" s="2" t="str">
        <f t="shared" ref="N68:N131" ca="1" si="8">IF(ISNUMBER($C68),codeEAN13(INT(C68/10)),"")</f>
        <v>8APASPA*aaaaae+</v>
      </c>
    </row>
    <row r="69" spans="1:14" ht="31.5" x14ac:dyDescent="0.45">
      <c r="A69" s="3" t="str">
        <f t="shared" ca="1" si="7"/>
        <v>'062</v>
      </c>
      <c r="B69" s="3">
        <f t="shared" ca="1" si="7"/>
        <v>12</v>
      </c>
      <c r="C69" s="5">
        <f t="shared" ca="1" si="7"/>
        <v>8050850000000</v>
      </c>
      <c r="D69" s="8" t="str">
        <f t="shared" ca="1" si="7"/>
        <v>OBAGB056-TESBN-615</v>
      </c>
      <c r="E69" s="12" t="str">
        <f t="shared" ca="1" si="7"/>
        <v>CORPS O BAG MARKET EN TISSU DOUDOUNE Ã€ CHECK</v>
      </c>
      <c r="F69" s="18" t="str">
        <f t="shared" ca="1" si="7"/>
        <v>UNICA</v>
      </c>
      <c r="G69" s="10">
        <f t="shared" ca="1" si="7"/>
        <v>2</v>
      </c>
      <c r="H69" s="20">
        <f t="shared" ca="1" si="7"/>
        <v>18.52</v>
      </c>
      <c r="I69" s="22">
        <f t="shared" ca="1" si="7"/>
        <v>37.04</v>
      </c>
      <c r="J69" s="14" t="str">
        <f t="shared" ca="1" si="7"/>
        <v xml:space="preserve"> </v>
      </c>
      <c r="K69" s="16" t="str">
        <f t="shared" ca="1" si="7"/>
        <v xml:space="preserve"> </v>
      </c>
      <c r="L69" s="27" t="str">
        <f t="shared" ca="1" si="7"/>
        <v xml:space="preserve"> </v>
      </c>
      <c r="M69" s="29" t="str">
        <f t="shared" ca="1" si="7"/>
        <v>military</v>
      </c>
      <c r="N69" s="2" t="str">
        <f t="shared" ca="1" si="8"/>
        <v>8APASPA*aaaaae+</v>
      </c>
    </row>
    <row r="70" spans="1:14" ht="31.5" x14ac:dyDescent="0.45">
      <c r="A70" s="3" t="str">
        <f t="shared" ca="1" si="7"/>
        <v>'063</v>
      </c>
      <c r="B70" s="3">
        <f t="shared" ca="1" si="7"/>
        <v>50</v>
      </c>
      <c r="C70" s="5">
        <f t="shared" ca="1" si="7"/>
        <v>8056100000000</v>
      </c>
      <c r="D70" s="8" t="str">
        <f t="shared" ca="1" si="7"/>
        <v>OBAGB206-EVS00-076</v>
      </c>
      <c r="E70" s="12" t="str">
        <f t="shared" ca="1" si="7"/>
        <v>CORPS INFERIEUR O POCKET EVA COMPOUND</v>
      </c>
      <c r="F70" s="18" t="str">
        <f t="shared" ca="1" si="7"/>
        <v>UNICA</v>
      </c>
      <c r="G70" s="10">
        <f t="shared" ca="1" si="7"/>
        <v>2</v>
      </c>
      <c r="H70" s="20">
        <f t="shared" ca="1" si="7"/>
        <v>4.8</v>
      </c>
      <c r="I70" s="22">
        <f t="shared" ca="1" si="7"/>
        <v>9.6</v>
      </c>
      <c r="J70" s="14" t="str">
        <f t="shared" ca="1" si="7"/>
        <v xml:space="preserve">COQUOPOCKET     </v>
      </c>
      <c r="K70" s="16" t="str">
        <f t="shared" ca="1" si="7"/>
        <v xml:space="preserve">RED  </v>
      </c>
      <c r="L70" s="27">
        <f t="shared" ca="1" si="7"/>
        <v>0</v>
      </c>
      <c r="M70" s="29" t="str">
        <f t="shared" ca="1" si="7"/>
        <v>rosso</v>
      </c>
      <c r="N70" s="2" t="str">
        <f t="shared" ca="1" si="8"/>
        <v>8APGLKA*aaaaai+</v>
      </c>
    </row>
    <row r="71" spans="1:14" ht="31.5" x14ac:dyDescent="0.45">
      <c r="A71" s="3" t="str">
        <f t="shared" ref="A71:M80" ca="1" si="9">INDEX(INDIRECT($O$10),ROW(A71),COLUMN(A71))</f>
        <v>'064</v>
      </c>
      <c r="B71" s="3">
        <f t="shared" ca="1" si="9"/>
        <v>164</v>
      </c>
      <c r="C71" s="5">
        <f t="shared" ca="1" si="9"/>
        <v>8050850000000</v>
      </c>
      <c r="D71" s="8" t="str">
        <f t="shared" ca="1" si="9"/>
        <v>OBAGB206-EVS00-144</v>
      </c>
      <c r="E71" s="12" t="str">
        <f t="shared" ca="1" si="9"/>
        <v>CORPS INFERIEUR O POCKET EVA COMPOUND</v>
      </c>
      <c r="F71" s="18" t="str">
        <f t="shared" ca="1" si="9"/>
        <v>UNICA</v>
      </c>
      <c r="G71" s="10">
        <f t="shared" ca="1" si="9"/>
        <v>2</v>
      </c>
      <c r="H71" s="20">
        <f t="shared" ca="1" si="9"/>
        <v>4.8</v>
      </c>
      <c r="I71" s="22">
        <f t="shared" ca="1" si="9"/>
        <v>9.6</v>
      </c>
      <c r="J71" s="14" t="str">
        <f t="shared" ca="1" si="9"/>
        <v xml:space="preserve"> </v>
      </c>
      <c r="K71" s="16" t="str">
        <f t="shared" ca="1" si="9"/>
        <v xml:space="preserve"> </v>
      </c>
      <c r="L71" s="27" t="str">
        <f t="shared" ca="1" si="9"/>
        <v xml:space="preserve"> </v>
      </c>
      <c r="M71" s="29" t="str">
        <f t="shared" ca="1" si="9"/>
        <v>ginestra</v>
      </c>
      <c r="N71" s="2" t="str">
        <f t="shared" ca="1" si="8"/>
        <v>8APASPA*aaaaae+</v>
      </c>
    </row>
    <row r="72" spans="1:14" ht="31.5" x14ac:dyDescent="0.45">
      <c r="A72" s="3" t="str">
        <f t="shared" ca="1" si="9"/>
        <v>'065</v>
      </c>
      <c r="B72" s="3">
        <f t="shared" ca="1" si="9"/>
        <v>141</v>
      </c>
      <c r="C72" s="5">
        <f t="shared" ca="1" si="9"/>
        <v>8050540000000</v>
      </c>
      <c r="D72" s="8" t="str">
        <f t="shared" ca="1" si="9"/>
        <v>OBAGB206-EVS00-158</v>
      </c>
      <c r="E72" s="12" t="str">
        <f t="shared" ca="1" si="9"/>
        <v>CORPS INFERIEUR O POCKET EVA COMPOUND</v>
      </c>
      <c r="F72" s="18" t="str">
        <f t="shared" ca="1" si="9"/>
        <v>UNICA</v>
      </c>
      <c r="G72" s="10">
        <f t="shared" ca="1" si="9"/>
        <v>2</v>
      </c>
      <c r="H72" s="20">
        <f t="shared" ca="1" si="9"/>
        <v>4.8</v>
      </c>
      <c r="I72" s="22">
        <f t="shared" ca="1" si="9"/>
        <v>9.6</v>
      </c>
      <c r="J72" s="14" t="str">
        <f t="shared" ca="1" si="9"/>
        <v xml:space="preserve">COQUOPOCKET     </v>
      </c>
      <c r="K72" s="16" t="str">
        <f t="shared" ca="1" si="9"/>
        <v xml:space="preserve">VOLC </v>
      </c>
      <c r="L72" s="27">
        <f t="shared" ca="1" si="9"/>
        <v>0</v>
      </c>
      <c r="M72" s="29" t="str">
        <f t="shared" ca="1" si="9"/>
        <v>vulcano</v>
      </c>
      <c r="N72" s="2" t="str">
        <f t="shared" ca="1" si="8"/>
        <v>8APAPOA*aaaaaa+</v>
      </c>
    </row>
    <row r="73" spans="1:14" ht="31.5" x14ac:dyDescent="0.45">
      <c r="A73" s="3" t="str">
        <f t="shared" ca="1" si="9"/>
        <v>'066</v>
      </c>
      <c r="B73" s="3">
        <f t="shared" ca="1" si="9"/>
        <v>123</v>
      </c>
      <c r="C73" s="5">
        <f t="shared" ca="1" si="9"/>
        <v>8050850000000</v>
      </c>
      <c r="D73" s="8" t="str">
        <f t="shared" ca="1" si="9"/>
        <v>OBAGB206-EVS00-614</v>
      </c>
      <c r="E73" s="12" t="str">
        <f t="shared" ca="1" si="9"/>
        <v>CORPS INFERIEUR O POCKET EVA COMPOUND</v>
      </c>
      <c r="F73" s="18" t="str">
        <f t="shared" ca="1" si="9"/>
        <v>UNICA</v>
      </c>
      <c r="G73" s="10">
        <f t="shared" ca="1" si="9"/>
        <v>2</v>
      </c>
      <c r="H73" s="20">
        <f t="shared" ca="1" si="9"/>
        <v>4.8</v>
      </c>
      <c r="I73" s="22">
        <f t="shared" ca="1" si="9"/>
        <v>9.6</v>
      </c>
      <c r="J73" s="14" t="str">
        <f t="shared" ca="1" si="9"/>
        <v xml:space="preserve"> </v>
      </c>
      <c r="K73" s="16" t="str">
        <f t="shared" ca="1" si="9"/>
        <v xml:space="preserve"> </v>
      </c>
      <c r="L73" s="27" t="str">
        <f t="shared" ca="1" si="9"/>
        <v xml:space="preserve"> </v>
      </c>
      <c r="M73" s="29" t="str">
        <f t="shared" ca="1" si="9"/>
        <v>imperial blu</v>
      </c>
      <c r="N73" s="2" t="str">
        <f t="shared" ca="1" si="8"/>
        <v>8APASPA*aaaaae+</v>
      </c>
    </row>
    <row r="74" spans="1:14" ht="31.5" x14ac:dyDescent="0.45">
      <c r="A74" s="3" t="str">
        <f t="shared" ca="1" si="9"/>
        <v>'067</v>
      </c>
      <c r="B74" s="3">
        <f t="shared" ca="1" si="9"/>
        <v>37</v>
      </c>
      <c r="C74" s="5">
        <f t="shared" ca="1" si="9"/>
        <v>8050850000000</v>
      </c>
      <c r="D74" s="8" t="str">
        <f t="shared" ca="1" si="9"/>
        <v>OBAGB206-EVS00-615</v>
      </c>
      <c r="E74" s="12" t="str">
        <f t="shared" ca="1" si="9"/>
        <v>CORPS INFERIEUR O POCKET EVA COMPOUND</v>
      </c>
      <c r="F74" s="18" t="str">
        <f t="shared" ca="1" si="9"/>
        <v>UNICA</v>
      </c>
      <c r="G74" s="10">
        <f t="shared" ca="1" si="9"/>
        <v>2</v>
      </c>
      <c r="H74" s="20">
        <f t="shared" ca="1" si="9"/>
        <v>4.8</v>
      </c>
      <c r="I74" s="22">
        <f t="shared" ca="1" si="9"/>
        <v>9.6</v>
      </c>
      <c r="J74" s="14" t="str">
        <f t="shared" ca="1" si="9"/>
        <v xml:space="preserve"> </v>
      </c>
      <c r="K74" s="16" t="str">
        <f t="shared" ca="1" si="9"/>
        <v xml:space="preserve"> </v>
      </c>
      <c r="L74" s="27" t="str">
        <f t="shared" ca="1" si="9"/>
        <v xml:space="preserve"> </v>
      </c>
      <c r="M74" s="29" t="str">
        <f t="shared" ca="1" si="9"/>
        <v>military</v>
      </c>
      <c r="N74" s="2" t="str">
        <f t="shared" ca="1" si="8"/>
        <v>8APASPA*aaaaae+</v>
      </c>
    </row>
    <row r="75" spans="1:14" ht="31.5" x14ac:dyDescent="0.45">
      <c r="A75" s="3" t="str">
        <f t="shared" ca="1" si="9"/>
        <v>'068</v>
      </c>
      <c r="B75" s="3">
        <f t="shared" ca="1" si="9"/>
        <v>154</v>
      </c>
      <c r="C75" s="5">
        <f t="shared" ca="1" si="9"/>
        <v>8050850000000</v>
      </c>
      <c r="D75" s="8" t="str">
        <f t="shared" ca="1" si="9"/>
        <v>OBAGB206-EVS00-616</v>
      </c>
      <c r="E75" s="12" t="str">
        <f t="shared" ca="1" si="9"/>
        <v>CORPS INFERIEUR O POCKET EVA COMPOUND</v>
      </c>
      <c r="F75" s="18" t="str">
        <f t="shared" ca="1" si="9"/>
        <v>UNICA</v>
      </c>
      <c r="G75" s="10">
        <f t="shared" ca="1" si="9"/>
        <v>2</v>
      </c>
      <c r="H75" s="20">
        <f t="shared" ca="1" si="9"/>
        <v>4.8</v>
      </c>
      <c r="I75" s="22">
        <f t="shared" ca="1" si="9"/>
        <v>9.6</v>
      </c>
      <c r="J75" s="14" t="str">
        <f t="shared" ca="1" si="9"/>
        <v xml:space="preserve"> </v>
      </c>
      <c r="K75" s="16" t="str">
        <f t="shared" ca="1" si="9"/>
        <v xml:space="preserve"> </v>
      </c>
      <c r="L75" s="27" t="str">
        <f t="shared" ca="1" si="9"/>
        <v xml:space="preserve"> </v>
      </c>
      <c r="M75" s="29" t="str">
        <f t="shared" ca="1" si="9"/>
        <v>ice</v>
      </c>
      <c r="N75" s="2" t="str">
        <f t="shared" ca="1" si="8"/>
        <v>8APASPA*aaaaae+</v>
      </c>
    </row>
    <row r="76" spans="1:14" ht="31.5" x14ac:dyDescent="0.45">
      <c r="A76" s="3" t="str">
        <f t="shared" ca="1" si="9"/>
        <v>'069</v>
      </c>
      <c r="B76" s="3">
        <f t="shared" ca="1" si="9"/>
        <v>142</v>
      </c>
      <c r="C76" s="5">
        <f t="shared" ca="1" si="9"/>
        <v>8050850000000</v>
      </c>
      <c r="D76" s="8" t="str">
        <f t="shared" ca="1" si="9"/>
        <v>OBAGB426-ECSD3-227</v>
      </c>
      <c r="E76" s="12" t="str">
        <f t="shared" ca="1" si="9"/>
        <v>CORPS COMPLET O BAG TOTE EN FAUX CUIR IMPRIME MARIGOLD</v>
      </c>
      <c r="F76" s="18" t="str">
        <f t="shared" ca="1" si="9"/>
        <v>UNICA</v>
      </c>
      <c r="G76" s="10">
        <f t="shared" ca="1" si="9"/>
        <v>2</v>
      </c>
      <c r="H76" s="20">
        <f t="shared" ca="1" si="9"/>
        <v>31.48</v>
      </c>
      <c r="I76" s="22">
        <f t="shared" ca="1" si="9"/>
        <v>62.96</v>
      </c>
      <c r="J76" s="14" t="str">
        <f t="shared" ca="1" si="9"/>
        <v xml:space="preserve"> </v>
      </c>
      <c r="K76" s="16" t="str">
        <f t="shared" ca="1" si="9"/>
        <v xml:space="preserve"> </v>
      </c>
      <c r="L76" s="27" t="str">
        <f t="shared" ca="1" si="9"/>
        <v xml:space="preserve"> </v>
      </c>
      <c r="M76" s="29" t="str">
        <f t="shared" ca="1" si="9"/>
        <v>bianco/nero</v>
      </c>
      <c r="N76" s="2" t="str">
        <f t="shared" ca="1" si="8"/>
        <v>8APASPA*aaaaae+</v>
      </c>
    </row>
    <row r="77" spans="1:14" ht="31.5" x14ac:dyDescent="0.45">
      <c r="A77" s="3" t="str">
        <f t="shared" ca="1" si="9"/>
        <v>'070</v>
      </c>
      <c r="B77" s="3">
        <f t="shared" ca="1" si="9"/>
        <v>89</v>
      </c>
      <c r="C77" s="5">
        <f t="shared" ca="1" si="9"/>
        <v>8050850000000</v>
      </c>
      <c r="D77" s="8" t="str">
        <f t="shared" ca="1" si="9"/>
        <v>OBAGC534-ECS29-017</v>
      </c>
      <c r="E77" s="12" t="str">
        <f t="shared" ca="1" si="9"/>
        <v>FERMETURE Ã€ BANDEAU AVEC BOUCLE O BAG GLAM EN FAUX CUIR IMPRIME COCO</v>
      </c>
      <c r="F77" s="18" t="str">
        <f t="shared" ca="1" si="9"/>
        <v>UNICA</v>
      </c>
      <c r="G77" s="10">
        <f t="shared" ca="1" si="9"/>
        <v>1</v>
      </c>
      <c r="H77" s="20">
        <f t="shared" ca="1" si="9"/>
        <v>8.89</v>
      </c>
      <c r="I77" s="22">
        <f t="shared" ca="1" si="9"/>
        <v>8.89</v>
      </c>
      <c r="J77" s="14" t="str">
        <f t="shared" ca="1" si="9"/>
        <v xml:space="preserve"> </v>
      </c>
      <c r="K77" s="16" t="str">
        <f t="shared" ca="1" si="9"/>
        <v xml:space="preserve"> </v>
      </c>
      <c r="L77" s="27" t="str">
        <f t="shared" ca="1" si="9"/>
        <v xml:space="preserve"> </v>
      </c>
      <c r="M77" s="29" t="str">
        <f t="shared" ca="1" si="9"/>
        <v>blu navy</v>
      </c>
      <c r="N77" s="2" t="str">
        <f t="shared" ca="1" si="8"/>
        <v>8APASPA*aaaaae+</v>
      </c>
    </row>
    <row r="78" spans="1:14" ht="31.5" x14ac:dyDescent="0.45">
      <c r="A78" s="3" t="str">
        <f t="shared" ca="1" si="9"/>
        <v>'071</v>
      </c>
      <c r="B78" s="3">
        <f t="shared" ca="1" si="9"/>
        <v>218</v>
      </c>
      <c r="C78" s="5">
        <f t="shared" ca="1" si="9"/>
        <v>8050850000000</v>
      </c>
      <c r="D78" s="8" t="str">
        <f t="shared" ca="1" si="9"/>
        <v>OBAGC534-ECS29-084</v>
      </c>
      <c r="E78" s="12" t="str">
        <f t="shared" ca="1" si="9"/>
        <v>FERMETURE Ã€ BANDEAU AVEC BOUCLE O BAG GLAM EN FAUX CUIR IMPRIME COCO</v>
      </c>
      <c r="F78" s="18" t="str">
        <f t="shared" ca="1" si="9"/>
        <v>UNICA</v>
      </c>
      <c r="G78" s="10">
        <f t="shared" ca="1" si="9"/>
        <v>1</v>
      </c>
      <c r="H78" s="20">
        <f t="shared" ca="1" si="9"/>
        <v>8.89</v>
      </c>
      <c r="I78" s="22">
        <f t="shared" ca="1" si="9"/>
        <v>8.89</v>
      </c>
      <c r="J78" s="14" t="str">
        <f t="shared" ca="1" si="9"/>
        <v xml:space="preserve"> </v>
      </c>
      <c r="K78" s="16" t="str">
        <f t="shared" ca="1" si="9"/>
        <v xml:space="preserve"> </v>
      </c>
      <c r="L78" s="27" t="str">
        <f t="shared" ca="1" si="9"/>
        <v xml:space="preserve"> </v>
      </c>
      <c r="M78" s="29" t="str">
        <f t="shared" ca="1" si="9"/>
        <v>testa di moro</v>
      </c>
      <c r="N78" s="2" t="str">
        <f t="shared" ca="1" si="8"/>
        <v>8APASPA*aaaaae+</v>
      </c>
    </row>
    <row r="79" spans="1:14" ht="31.5" x14ac:dyDescent="0.45">
      <c r="A79" s="3" t="str">
        <f t="shared" ca="1" si="9"/>
        <v>'072</v>
      </c>
      <c r="B79" s="3">
        <f t="shared" ca="1" si="9"/>
        <v>173</v>
      </c>
      <c r="C79" s="5">
        <f t="shared" ca="1" si="9"/>
        <v>8050850000000</v>
      </c>
      <c r="D79" s="8" t="str">
        <f t="shared" ca="1" si="9"/>
        <v>OBAGC534-ECSC4-371</v>
      </c>
      <c r="E79" s="12" t="str">
        <f t="shared" ca="1" si="9"/>
        <v>FERMETURE Ã€ BANDEAU AVEC BOUCLE O BAG GLAM EN FAUX CUIR EFFET GRIFFE + CLOUS</v>
      </c>
      <c r="F79" s="18" t="str">
        <f t="shared" ca="1" si="9"/>
        <v>UNICA</v>
      </c>
      <c r="G79" s="10">
        <f t="shared" ca="1" si="9"/>
        <v>1</v>
      </c>
      <c r="H79" s="20">
        <f t="shared" ca="1" si="9"/>
        <v>11.85</v>
      </c>
      <c r="I79" s="22">
        <f t="shared" ca="1" si="9"/>
        <v>11.85</v>
      </c>
      <c r="J79" s="14" t="str">
        <f t="shared" ca="1" si="9"/>
        <v xml:space="preserve"> </v>
      </c>
      <c r="K79" s="16" t="str">
        <f t="shared" ca="1" si="9"/>
        <v xml:space="preserve"> </v>
      </c>
      <c r="L79" s="27" t="str">
        <f t="shared" ca="1" si="9"/>
        <v xml:space="preserve"> </v>
      </c>
      <c r="M79" s="29" t="str">
        <f t="shared" ca="1" si="9"/>
        <v>latte</v>
      </c>
      <c r="N79" s="2" t="str">
        <f t="shared" ca="1" si="8"/>
        <v>8APASPA*aaaaae+</v>
      </c>
    </row>
    <row r="80" spans="1:14" ht="31.5" x14ac:dyDescent="0.45">
      <c r="A80" s="3" t="str">
        <f t="shared" ca="1" si="9"/>
        <v>'073</v>
      </c>
      <c r="B80" s="3">
        <f t="shared" ca="1" si="9"/>
        <v>99</v>
      </c>
      <c r="C80" s="5">
        <f t="shared" ca="1" si="9"/>
        <v>8050850000000</v>
      </c>
      <c r="D80" s="8" t="str">
        <f t="shared" ca="1" si="9"/>
        <v>OBAGC534-ECSC9-055</v>
      </c>
      <c r="E80" s="12" t="str">
        <f t="shared" ca="1" si="9"/>
        <v>FERMETURE Ã€ BANDEAU AVEC BOUCLE O BAG GLAM EN FAUX CUIR IMPRIME ATHLEISURE</v>
      </c>
      <c r="F80" s="18" t="str">
        <f t="shared" ca="1" si="9"/>
        <v>UNICA</v>
      </c>
      <c r="G80" s="10">
        <f t="shared" ca="1" si="9"/>
        <v>1</v>
      </c>
      <c r="H80" s="20">
        <f t="shared" ca="1" si="9"/>
        <v>8.89</v>
      </c>
      <c r="I80" s="22">
        <f t="shared" ca="1" si="9"/>
        <v>8.89</v>
      </c>
      <c r="J80" s="14" t="str">
        <f t="shared" ca="1" si="9"/>
        <v xml:space="preserve"> </v>
      </c>
      <c r="K80" s="16" t="str">
        <f t="shared" ca="1" si="9"/>
        <v xml:space="preserve"> </v>
      </c>
      <c r="L80" s="27" t="str">
        <f t="shared" ca="1" si="9"/>
        <v xml:space="preserve"> </v>
      </c>
      <c r="M80" s="29" t="str">
        <f t="shared" ca="1" si="9"/>
        <v>nero</v>
      </c>
      <c r="N80" s="2" t="str">
        <f t="shared" ca="1" si="8"/>
        <v>8APASPA*aaaaae+</v>
      </c>
    </row>
    <row r="81" spans="1:14" ht="31.5" x14ac:dyDescent="0.45">
      <c r="A81" s="3" t="str">
        <f t="shared" ref="A81:M90" ca="1" si="10">INDEX(INDIRECT($O$10),ROW(A81),COLUMN(A81))</f>
        <v>'074</v>
      </c>
      <c r="B81" s="3">
        <f t="shared" ca="1" si="10"/>
        <v>114</v>
      </c>
      <c r="C81" s="5">
        <f t="shared" ca="1" si="10"/>
        <v>8050850000000</v>
      </c>
      <c r="D81" s="8" t="str">
        <f t="shared" ca="1" si="10"/>
        <v>OBAGC534-ECSC9-137</v>
      </c>
      <c r="E81" s="12" t="str">
        <f t="shared" ca="1" si="10"/>
        <v>FERMETURE Ã€ BANDEAU AVEC BOUCLE O BAG GLAM EN FAUX CUIR IMPRIME ATHLEISURE</v>
      </c>
      <c r="F81" s="18" t="str">
        <f t="shared" ca="1" si="10"/>
        <v>UNICA</v>
      </c>
      <c r="G81" s="10">
        <f t="shared" ca="1" si="10"/>
        <v>1</v>
      </c>
      <c r="H81" s="20">
        <f t="shared" ca="1" si="10"/>
        <v>8.89</v>
      </c>
      <c r="I81" s="22">
        <f t="shared" ca="1" si="10"/>
        <v>8.89</v>
      </c>
      <c r="J81" s="14" t="str">
        <f t="shared" ca="1" si="10"/>
        <v xml:space="preserve"> </v>
      </c>
      <c r="K81" s="16" t="str">
        <f t="shared" ca="1" si="10"/>
        <v xml:space="preserve"> </v>
      </c>
      <c r="L81" s="27" t="str">
        <f t="shared" ca="1" si="10"/>
        <v xml:space="preserve"> </v>
      </c>
      <c r="M81" s="29" t="str">
        <f t="shared" ca="1" si="10"/>
        <v>bluette</v>
      </c>
      <c r="N81" s="2" t="str">
        <f t="shared" ca="1" si="8"/>
        <v>8APASPA*aaaaae+</v>
      </c>
    </row>
    <row r="82" spans="1:14" ht="31.5" x14ac:dyDescent="0.45">
      <c r="A82" s="3" t="str">
        <f t="shared" ca="1" si="10"/>
        <v>'075</v>
      </c>
      <c r="B82" s="3">
        <f t="shared" ca="1" si="10"/>
        <v>2</v>
      </c>
      <c r="C82" s="5">
        <f t="shared" ca="1" si="10"/>
        <v>8050850000000</v>
      </c>
      <c r="D82" s="8" t="str">
        <f t="shared" ca="1" si="10"/>
        <v>OBAGC534-ECSD1-615</v>
      </c>
      <c r="E82" s="12" t="str">
        <f t="shared" ca="1" si="10"/>
        <v>FERMETURE Ã€ BANDEAU AVEC BOUCLE O BAG GLAM EN FAUX CUIR IMPRIME FLEURS GEOMETRIQUES</v>
      </c>
      <c r="F82" s="18" t="str">
        <f t="shared" ca="1" si="10"/>
        <v>UNICA</v>
      </c>
      <c r="G82" s="10">
        <f t="shared" ca="1" si="10"/>
        <v>1</v>
      </c>
      <c r="H82" s="20">
        <f t="shared" ca="1" si="10"/>
        <v>10</v>
      </c>
      <c r="I82" s="22">
        <f t="shared" ca="1" si="10"/>
        <v>10</v>
      </c>
      <c r="J82" s="14" t="str">
        <f t="shared" ca="1" si="10"/>
        <v xml:space="preserve"> </v>
      </c>
      <c r="K82" s="16" t="str">
        <f t="shared" ca="1" si="10"/>
        <v xml:space="preserve"> </v>
      </c>
      <c r="L82" s="27" t="str">
        <f t="shared" ca="1" si="10"/>
        <v xml:space="preserve"> </v>
      </c>
      <c r="M82" s="29" t="str">
        <f t="shared" ca="1" si="10"/>
        <v>military</v>
      </c>
      <c r="N82" s="2" t="str">
        <f t="shared" ca="1" si="8"/>
        <v>8APASPA*aaaaae+</v>
      </c>
    </row>
    <row r="83" spans="1:14" ht="31.5" x14ac:dyDescent="0.45">
      <c r="A83" s="3" t="str">
        <f t="shared" ca="1" si="10"/>
        <v>'076</v>
      </c>
      <c r="B83" s="3">
        <f t="shared" ca="1" si="10"/>
        <v>211</v>
      </c>
      <c r="C83" s="5">
        <f t="shared" ca="1" si="10"/>
        <v>8050850000000</v>
      </c>
      <c r="D83" s="8" t="str">
        <f t="shared" ca="1" si="10"/>
        <v>OBAGC534-ECSD2-227</v>
      </c>
      <c r="E83" s="12" t="str">
        <f t="shared" ca="1" si="10"/>
        <v>FERMETURE Ã€ BANDEAU AVEC BOUCLE O BAG GLAM EN FAUX CUIR IMPRIME GEOMETRIC LILY</v>
      </c>
      <c r="F83" s="18" t="str">
        <f t="shared" ca="1" si="10"/>
        <v>UNICA</v>
      </c>
      <c r="G83" s="10">
        <f t="shared" ca="1" si="10"/>
        <v>1</v>
      </c>
      <c r="H83" s="20">
        <f t="shared" ca="1" si="10"/>
        <v>10</v>
      </c>
      <c r="I83" s="22">
        <f t="shared" ca="1" si="10"/>
        <v>10</v>
      </c>
      <c r="J83" s="14" t="str">
        <f t="shared" ca="1" si="10"/>
        <v xml:space="preserve"> </v>
      </c>
      <c r="K83" s="16" t="str">
        <f t="shared" ca="1" si="10"/>
        <v xml:space="preserve"> </v>
      </c>
      <c r="L83" s="27" t="str">
        <f t="shared" ca="1" si="10"/>
        <v xml:space="preserve"> </v>
      </c>
      <c r="M83" s="29" t="str">
        <f t="shared" ca="1" si="10"/>
        <v>bianco/nero</v>
      </c>
      <c r="N83" s="2" t="str">
        <f t="shared" ca="1" si="8"/>
        <v>8APASPA*aaaaae+</v>
      </c>
    </row>
    <row r="84" spans="1:14" ht="31.5" x14ac:dyDescent="0.45">
      <c r="A84" s="3" t="str">
        <f t="shared" ca="1" si="10"/>
        <v>'077</v>
      </c>
      <c r="B84" s="3">
        <f t="shared" ca="1" si="10"/>
        <v>203</v>
      </c>
      <c r="C84" s="5">
        <f t="shared" ca="1" si="10"/>
        <v>8050850000000</v>
      </c>
      <c r="D84" s="8" t="str">
        <f t="shared" ca="1" si="10"/>
        <v>OBAGC534-ECSD6-615</v>
      </c>
      <c r="E84" s="12" t="str">
        <f t="shared" ca="1" si="10"/>
        <v>FERMETURE Ã€ BANDEAU AVEC BOUCLE O BAG GLAM EN FAUX CUIR IMPRIME DIANTHUS</v>
      </c>
      <c r="F84" s="18" t="str">
        <f t="shared" ca="1" si="10"/>
        <v>UNICA</v>
      </c>
      <c r="G84" s="10">
        <f t="shared" ca="1" si="10"/>
        <v>1</v>
      </c>
      <c r="H84" s="20">
        <f t="shared" ca="1" si="10"/>
        <v>10</v>
      </c>
      <c r="I84" s="22">
        <f t="shared" ca="1" si="10"/>
        <v>10</v>
      </c>
      <c r="J84" s="14" t="str">
        <f t="shared" ca="1" si="10"/>
        <v xml:space="preserve"> </v>
      </c>
      <c r="K84" s="16" t="str">
        <f t="shared" ca="1" si="10"/>
        <v xml:space="preserve"> </v>
      </c>
      <c r="L84" s="27" t="str">
        <f t="shared" ca="1" si="10"/>
        <v xml:space="preserve"> </v>
      </c>
      <c r="M84" s="29" t="str">
        <f t="shared" ca="1" si="10"/>
        <v>military</v>
      </c>
      <c r="N84" s="2" t="str">
        <f t="shared" ca="1" si="8"/>
        <v>8APASPA*aaaaae+</v>
      </c>
    </row>
    <row r="85" spans="1:14" ht="31.5" x14ac:dyDescent="0.45">
      <c r="A85" s="3" t="str">
        <f t="shared" ca="1" si="10"/>
        <v>'078</v>
      </c>
      <c r="B85" s="3">
        <f t="shared" ca="1" si="10"/>
        <v>149</v>
      </c>
      <c r="C85" s="5">
        <f t="shared" ca="1" si="10"/>
        <v>8050850000000</v>
      </c>
      <c r="D85" s="8" t="str">
        <f t="shared" ca="1" si="10"/>
        <v>OBAGP006-ECSD2-227</v>
      </c>
      <c r="E85" s="12" t="str">
        <f t="shared" ca="1" si="10"/>
        <v>RABAT O POCKET EN FAUX CUIR IMPRIME GEOMETRIC LILY</v>
      </c>
      <c r="F85" s="18" t="str">
        <f t="shared" ca="1" si="10"/>
        <v>UNICA</v>
      </c>
      <c r="G85" s="10">
        <f t="shared" ca="1" si="10"/>
        <v>2</v>
      </c>
      <c r="H85" s="20">
        <f t="shared" ca="1" si="10"/>
        <v>11.85</v>
      </c>
      <c r="I85" s="22">
        <f t="shared" ca="1" si="10"/>
        <v>23.7</v>
      </c>
      <c r="J85" s="14" t="str">
        <f t="shared" ca="1" si="10"/>
        <v xml:space="preserve"> </v>
      </c>
      <c r="K85" s="16" t="str">
        <f t="shared" ca="1" si="10"/>
        <v xml:space="preserve"> </v>
      </c>
      <c r="L85" s="27" t="str">
        <f t="shared" ca="1" si="10"/>
        <v xml:space="preserve"> </v>
      </c>
      <c r="M85" s="29" t="str">
        <f t="shared" ca="1" si="10"/>
        <v>bianco/nero</v>
      </c>
      <c r="N85" s="2" t="str">
        <f t="shared" ca="1" si="8"/>
        <v>8APASPA*aaaaae+</v>
      </c>
    </row>
    <row r="86" spans="1:14" ht="31.5" x14ac:dyDescent="0.45">
      <c r="A86" s="3" t="str">
        <f t="shared" ca="1" si="10"/>
        <v>'079</v>
      </c>
      <c r="B86" s="3">
        <f t="shared" ca="1" si="10"/>
        <v>115</v>
      </c>
      <c r="C86" s="5">
        <f t="shared" ca="1" si="10"/>
        <v>8050850000000</v>
      </c>
      <c r="D86" s="8" t="str">
        <f t="shared" ca="1" si="10"/>
        <v>OBAGP006-ECSD6-615</v>
      </c>
      <c r="E86" s="12" t="str">
        <f t="shared" ca="1" si="10"/>
        <v>RABAT O POCKET EN FAUX CUIR IMPRIME DIANTHUS</v>
      </c>
      <c r="F86" s="18" t="str">
        <f t="shared" ca="1" si="10"/>
        <v>UNICA</v>
      </c>
      <c r="G86" s="10">
        <f t="shared" ca="1" si="10"/>
        <v>2</v>
      </c>
      <c r="H86" s="20">
        <f t="shared" ca="1" si="10"/>
        <v>11.85</v>
      </c>
      <c r="I86" s="22">
        <f t="shared" ca="1" si="10"/>
        <v>23.7</v>
      </c>
      <c r="J86" s="14" t="str">
        <f t="shared" ca="1" si="10"/>
        <v xml:space="preserve"> </v>
      </c>
      <c r="K86" s="16" t="str">
        <f t="shared" ca="1" si="10"/>
        <v xml:space="preserve"> </v>
      </c>
      <c r="L86" s="27" t="str">
        <f t="shared" ca="1" si="10"/>
        <v xml:space="preserve"> </v>
      </c>
      <c r="M86" s="29" t="str">
        <f t="shared" ca="1" si="10"/>
        <v>military</v>
      </c>
      <c r="N86" s="2" t="str">
        <f t="shared" ca="1" si="8"/>
        <v>8APASPA*aaaaae+</v>
      </c>
    </row>
    <row r="87" spans="1:14" ht="31.5" x14ac:dyDescent="0.45">
      <c r="A87" s="3" t="str">
        <f t="shared" ca="1" si="10"/>
        <v>'080</v>
      </c>
      <c r="B87" s="3">
        <f t="shared" ca="1" si="10"/>
        <v>134</v>
      </c>
      <c r="C87" s="5">
        <f t="shared" ca="1" si="10"/>
        <v>8056100000000</v>
      </c>
      <c r="D87" s="8" t="str">
        <f t="shared" ca="1" si="10"/>
        <v>OBAGP006-FAS09-067</v>
      </c>
      <c r="E87" s="12" t="str">
        <f t="shared" ca="1" si="10"/>
        <v>RABAT O POCKET EN FAUSSE FOURRURE LAPIN REX</v>
      </c>
      <c r="F87" s="18" t="str">
        <f t="shared" ca="1" si="10"/>
        <v>UNICA</v>
      </c>
      <c r="G87" s="10">
        <f t="shared" ca="1" si="10"/>
        <v>2</v>
      </c>
      <c r="H87" s="20">
        <f t="shared" ca="1" si="10"/>
        <v>18</v>
      </c>
      <c r="I87" s="22">
        <f t="shared" ca="1" si="10"/>
        <v>36</v>
      </c>
      <c r="J87" s="14" t="str">
        <f t="shared" ca="1" si="10"/>
        <v xml:space="preserve">FLAPECOFOU      </v>
      </c>
      <c r="K87" s="16" t="str">
        <f t="shared" ca="1" si="10"/>
        <v>LAPHA</v>
      </c>
      <c r="L87" s="27">
        <f t="shared" ca="1" si="10"/>
        <v>0</v>
      </c>
      <c r="M87" s="29" t="str">
        <f t="shared" ca="1" si="10"/>
        <v>phard</v>
      </c>
      <c r="N87" s="2" t="str">
        <f t="shared" ca="1" si="8"/>
        <v>8APGLKA*aaaaai+</v>
      </c>
    </row>
    <row r="88" spans="1:14" ht="31.5" x14ac:dyDescent="0.45">
      <c r="A88" s="3" t="str">
        <f t="shared" ca="1" si="10"/>
        <v>'081</v>
      </c>
      <c r="B88" s="3">
        <f t="shared" ca="1" si="10"/>
        <v>65</v>
      </c>
      <c r="C88" s="5">
        <f t="shared" ca="1" si="10"/>
        <v>8050850000000</v>
      </c>
      <c r="D88" s="8" t="str">
        <f t="shared" ca="1" si="10"/>
        <v>OBAGP006-FAS09-615</v>
      </c>
      <c r="E88" s="12" t="str">
        <f t="shared" ca="1" si="10"/>
        <v>RABAT O POCKET EN FAUSSE FOURRURE LAPIN REX</v>
      </c>
      <c r="F88" s="18" t="str">
        <f t="shared" ca="1" si="10"/>
        <v>UNICA</v>
      </c>
      <c r="G88" s="10">
        <f t="shared" ca="1" si="10"/>
        <v>2</v>
      </c>
      <c r="H88" s="20">
        <f t="shared" ca="1" si="10"/>
        <v>18</v>
      </c>
      <c r="I88" s="22">
        <f t="shared" ca="1" si="10"/>
        <v>36</v>
      </c>
      <c r="J88" s="14" t="str">
        <f t="shared" ca="1" si="10"/>
        <v xml:space="preserve"> </v>
      </c>
      <c r="K88" s="16" t="str">
        <f t="shared" ca="1" si="10"/>
        <v xml:space="preserve"> </v>
      </c>
      <c r="L88" s="27" t="str">
        <f t="shared" ca="1" si="10"/>
        <v xml:space="preserve"> </v>
      </c>
      <c r="M88" s="29" t="str">
        <f t="shared" ca="1" si="10"/>
        <v>military</v>
      </c>
      <c r="N88" s="2" t="str">
        <f t="shared" ca="1" si="8"/>
        <v>8APASPA*aaaaae+</v>
      </c>
    </row>
    <row r="89" spans="1:14" ht="31.5" x14ac:dyDescent="0.45">
      <c r="A89" s="3" t="str">
        <f t="shared" ca="1" si="10"/>
        <v>'082</v>
      </c>
      <c r="B89" s="3">
        <f t="shared" ca="1" si="10"/>
        <v>78</v>
      </c>
      <c r="C89" s="5">
        <f t="shared" ca="1" si="10"/>
        <v>8050850000000</v>
      </c>
      <c r="D89" s="8" t="str">
        <f t="shared" ca="1" si="10"/>
        <v>OBAGP006-TESBG-227</v>
      </c>
      <c r="E89" s="12" t="str">
        <f t="shared" ca="1" si="10"/>
        <v>REVERS O POCKET EN TISSU PRINCE DE GALLES + FLEURS</v>
      </c>
      <c r="F89" s="18" t="str">
        <f t="shared" ca="1" si="10"/>
        <v>UNICA</v>
      </c>
      <c r="G89" s="10">
        <f t="shared" ca="1" si="10"/>
        <v>2</v>
      </c>
      <c r="H89" s="20">
        <f t="shared" ca="1" si="10"/>
        <v>12.59</v>
      </c>
      <c r="I89" s="22">
        <f t="shared" ca="1" si="10"/>
        <v>25.18</v>
      </c>
      <c r="J89" s="14" t="str">
        <f t="shared" ca="1" si="10"/>
        <v xml:space="preserve"> </v>
      </c>
      <c r="K89" s="16" t="str">
        <f t="shared" ca="1" si="10"/>
        <v xml:space="preserve"> </v>
      </c>
      <c r="L89" s="27" t="str">
        <f t="shared" ca="1" si="10"/>
        <v xml:space="preserve"> </v>
      </c>
      <c r="M89" s="29" t="str">
        <f t="shared" ca="1" si="10"/>
        <v>bianco/nero</v>
      </c>
      <c r="N89" s="2" t="str">
        <f t="shared" ca="1" si="8"/>
        <v>8APASPA*aaaaae+</v>
      </c>
    </row>
    <row r="90" spans="1:14" ht="31.5" x14ac:dyDescent="0.45">
      <c r="A90" s="3" t="str">
        <f t="shared" ca="1" si="10"/>
        <v>'083</v>
      </c>
      <c r="B90" s="3">
        <f t="shared" ca="1" si="10"/>
        <v>30</v>
      </c>
      <c r="C90" s="5">
        <f t="shared" ca="1" si="10"/>
        <v>8050850000000</v>
      </c>
      <c r="D90" s="8" t="str">
        <f t="shared" ca="1" si="10"/>
        <v>OBAGP034-ECSC3-615</v>
      </c>
      <c r="E90" s="12" t="str">
        <f t="shared" ca="1" si="10"/>
        <v>RABAT O BAG GLAM EN FAUX CUIR SUÃˆDE + CLOUS</v>
      </c>
      <c r="F90" s="18" t="str">
        <f t="shared" ca="1" si="10"/>
        <v>UNICA</v>
      </c>
      <c r="G90" s="10">
        <f t="shared" ca="1" si="10"/>
        <v>1</v>
      </c>
      <c r="H90" s="20">
        <f t="shared" ca="1" si="10"/>
        <v>16.670000000000002</v>
      </c>
      <c r="I90" s="22">
        <f t="shared" ca="1" si="10"/>
        <v>16.670000000000002</v>
      </c>
      <c r="J90" s="14" t="str">
        <f t="shared" ca="1" si="10"/>
        <v xml:space="preserve"> </v>
      </c>
      <c r="K90" s="16" t="str">
        <f t="shared" ca="1" si="10"/>
        <v xml:space="preserve"> </v>
      </c>
      <c r="L90" s="27" t="str">
        <f t="shared" ca="1" si="10"/>
        <v xml:space="preserve"> </v>
      </c>
      <c r="M90" s="29" t="str">
        <f t="shared" ca="1" si="10"/>
        <v>military</v>
      </c>
      <c r="N90" s="2" t="str">
        <f t="shared" ca="1" si="8"/>
        <v>8APASPA*aaaaae+</v>
      </c>
    </row>
    <row r="91" spans="1:14" ht="31.5" x14ac:dyDescent="0.45">
      <c r="A91" s="3" t="str">
        <f t="shared" ref="A91:M100" ca="1" si="11">INDEX(INDIRECT($O$10),ROW(A91),COLUMN(A91))</f>
        <v>'084</v>
      </c>
      <c r="B91" s="3">
        <f t="shared" ca="1" si="11"/>
        <v>165</v>
      </c>
      <c r="C91" s="5">
        <f t="shared" ca="1" si="11"/>
        <v>8050850000000</v>
      </c>
      <c r="D91" s="8" t="str">
        <f t="shared" ca="1" si="11"/>
        <v>OBAGP034-ECSC4-055</v>
      </c>
      <c r="E91" s="12" t="str">
        <f t="shared" ca="1" si="11"/>
        <v>RABAT O BAG GLAM EN FAUX CUIR EFFET GRIFFE + CLOUS</v>
      </c>
      <c r="F91" s="18" t="str">
        <f t="shared" ca="1" si="11"/>
        <v>UNICA</v>
      </c>
      <c r="G91" s="10">
        <f t="shared" ca="1" si="11"/>
        <v>1</v>
      </c>
      <c r="H91" s="20">
        <f t="shared" ca="1" si="11"/>
        <v>16.670000000000002</v>
      </c>
      <c r="I91" s="22">
        <f t="shared" ca="1" si="11"/>
        <v>16.670000000000002</v>
      </c>
      <c r="J91" s="14" t="str">
        <f t="shared" ca="1" si="11"/>
        <v xml:space="preserve"> </v>
      </c>
      <c r="K91" s="16" t="str">
        <f t="shared" ca="1" si="11"/>
        <v xml:space="preserve"> </v>
      </c>
      <c r="L91" s="27" t="str">
        <f t="shared" ca="1" si="11"/>
        <v xml:space="preserve"> </v>
      </c>
      <c r="M91" s="29" t="str">
        <f t="shared" ca="1" si="11"/>
        <v>nero</v>
      </c>
      <c r="N91" s="2" t="str">
        <f t="shared" ca="1" si="8"/>
        <v>8APASPA*aaaaae+</v>
      </c>
    </row>
    <row r="92" spans="1:14" ht="31.5" x14ac:dyDescent="0.45">
      <c r="A92" s="3" t="str">
        <f t="shared" ca="1" si="11"/>
        <v>'085</v>
      </c>
      <c r="B92" s="3">
        <f t="shared" ca="1" si="11"/>
        <v>3</v>
      </c>
      <c r="C92" s="5">
        <f t="shared" ca="1" si="11"/>
        <v>8050850000000</v>
      </c>
      <c r="D92" s="8" t="str">
        <f t="shared" ca="1" si="11"/>
        <v>OBAGP034-ECSC4-371</v>
      </c>
      <c r="E92" s="12" t="str">
        <f t="shared" ca="1" si="11"/>
        <v>RABAT O BAG GLAM EN FAUX CUIR EFFET GRIFFE + CLOUS</v>
      </c>
      <c r="F92" s="18" t="str">
        <f t="shared" ca="1" si="11"/>
        <v>UNICA</v>
      </c>
      <c r="G92" s="10">
        <f t="shared" ca="1" si="11"/>
        <v>1</v>
      </c>
      <c r="H92" s="20">
        <f t="shared" ca="1" si="11"/>
        <v>16.670000000000002</v>
      </c>
      <c r="I92" s="22">
        <f t="shared" ca="1" si="11"/>
        <v>16.670000000000002</v>
      </c>
      <c r="J92" s="14" t="str">
        <f t="shared" ca="1" si="11"/>
        <v xml:space="preserve"> </v>
      </c>
      <c r="K92" s="16" t="str">
        <f t="shared" ca="1" si="11"/>
        <v xml:space="preserve"> </v>
      </c>
      <c r="L92" s="27" t="str">
        <f t="shared" ca="1" si="11"/>
        <v xml:space="preserve"> </v>
      </c>
      <c r="M92" s="29" t="str">
        <f t="shared" ca="1" si="11"/>
        <v>latte</v>
      </c>
      <c r="N92" s="2" t="str">
        <f t="shared" ca="1" si="8"/>
        <v>8APASPA*aaaaae+</v>
      </c>
    </row>
    <row r="93" spans="1:14" ht="31.5" x14ac:dyDescent="0.45">
      <c r="A93" s="3" t="str">
        <f t="shared" ca="1" si="11"/>
        <v>'086</v>
      </c>
      <c r="B93" s="3">
        <f t="shared" ca="1" si="11"/>
        <v>151</v>
      </c>
      <c r="C93" s="5">
        <f t="shared" ca="1" si="11"/>
        <v>8050850000000</v>
      </c>
      <c r="D93" s="8" t="str">
        <f t="shared" ca="1" si="11"/>
        <v>OBAGP034-ECSD1-615</v>
      </c>
      <c r="E93" s="12" t="str">
        <f t="shared" ca="1" si="11"/>
        <v>RABAT O BAG GLAM EN FAUX CUIR IMPRIME FLEURS GEOMETRIQUES</v>
      </c>
      <c r="F93" s="18" t="str">
        <f t="shared" ca="1" si="11"/>
        <v>UNICA</v>
      </c>
      <c r="G93" s="10">
        <f t="shared" ca="1" si="11"/>
        <v>1</v>
      </c>
      <c r="H93" s="20">
        <f t="shared" ca="1" si="11"/>
        <v>15.56</v>
      </c>
      <c r="I93" s="22">
        <f t="shared" ca="1" si="11"/>
        <v>15.56</v>
      </c>
      <c r="J93" s="14" t="str">
        <f t="shared" ca="1" si="11"/>
        <v xml:space="preserve"> </v>
      </c>
      <c r="K93" s="16" t="str">
        <f t="shared" ca="1" si="11"/>
        <v xml:space="preserve"> </v>
      </c>
      <c r="L93" s="27" t="str">
        <f t="shared" ca="1" si="11"/>
        <v xml:space="preserve"> </v>
      </c>
      <c r="M93" s="29" t="str">
        <f t="shared" ca="1" si="11"/>
        <v>military</v>
      </c>
      <c r="N93" s="2" t="str">
        <f t="shared" ca="1" si="8"/>
        <v>8APASPA*aaaaae+</v>
      </c>
    </row>
    <row r="94" spans="1:14" ht="31.5" x14ac:dyDescent="0.45">
      <c r="A94" s="3" t="str">
        <f t="shared" ca="1" si="11"/>
        <v>'087</v>
      </c>
      <c r="B94" s="3">
        <f t="shared" ca="1" si="11"/>
        <v>17</v>
      </c>
      <c r="C94" s="5">
        <f t="shared" ca="1" si="11"/>
        <v>8050850000000</v>
      </c>
      <c r="D94" s="8" t="str">
        <f t="shared" ca="1" si="11"/>
        <v>OBAGP034-ECSD2-227</v>
      </c>
      <c r="E94" s="12" t="str">
        <f t="shared" ca="1" si="11"/>
        <v>RABAT O BAG GLAM EN FAUX CUIR IMPRIME GEOMETRIC LILY</v>
      </c>
      <c r="F94" s="18" t="str">
        <f t="shared" ca="1" si="11"/>
        <v>UNICA</v>
      </c>
      <c r="G94" s="10">
        <f t="shared" ca="1" si="11"/>
        <v>1</v>
      </c>
      <c r="H94" s="20">
        <f t="shared" ca="1" si="11"/>
        <v>15.56</v>
      </c>
      <c r="I94" s="22">
        <f t="shared" ca="1" si="11"/>
        <v>15.56</v>
      </c>
      <c r="J94" s="14" t="str">
        <f t="shared" ca="1" si="11"/>
        <v xml:space="preserve"> </v>
      </c>
      <c r="K94" s="16" t="str">
        <f t="shared" ca="1" si="11"/>
        <v xml:space="preserve"> </v>
      </c>
      <c r="L94" s="27" t="str">
        <f t="shared" ca="1" si="11"/>
        <v xml:space="preserve"> </v>
      </c>
      <c r="M94" s="29" t="str">
        <f t="shared" ca="1" si="11"/>
        <v>bianco/nero</v>
      </c>
      <c r="N94" s="2" t="str">
        <f t="shared" ca="1" si="8"/>
        <v>8APASPA*aaaaae+</v>
      </c>
    </row>
    <row r="95" spans="1:14" ht="31.5" x14ac:dyDescent="0.45">
      <c r="A95" s="3" t="str">
        <f t="shared" ca="1" si="11"/>
        <v>'088</v>
      </c>
      <c r="B95" s="3">
        <f t="shared" ca="1" si="11"/>
        <v>47</v>
      </c>
      <c r="C95" s="5">
        <f t="shared" ca="1" si="11"/>
        <v>8050850000000</v>
      </c>
      <c r="D95" s="8" t="str">
        <f t="shared" ca="1" si="11"/>
        <v>OBAGP034-ECSD4-227</v>
      </c>
      <c r="E95" s="12" t="str">
        <f t="shared" ca="1" si="11"/>
        <v>RABAT O BAG GLAM EN FAUX CUIR IMPRIME MARIGOLD 3D</v>
      </c>
      <c r="F95" s="18" t="str">
        <f t="shared" ca="1" si="11"/>
        <v>UNICA</v>
      </c>
      <c r="G95" s="10">
        <f t="shared" ca="1" si="11"/>
        <v>1</v>
      </c>
      <c r="H95" s="20">
        <f t="shared" ca="1" si="11"/>
        <v>20</v>
      </c>
      <c r="I95" s="22">
        <f t="shared" ca="1" si="11"/>
        <v>20</v>
      </c>
      <c r="J95" s="14" t="str">
        <f t="shared" ca="1" si="11"/>
        <v xml:space="preserve"> </v>
      </c>
      <c r="K95" s="16" t="str">
        <f t="shared" ca="1" si="11"/>
        <v xml:space="preserve"> </v>
      </c>
      <c r="L95" s="27" t="str">
        <f t="shared" ca="1" si="11"/>
        <v xml:space="preserve"> </v>
      </c>
      <c r="M95" s="29" t="str">
        <f t="shared" ca="1" si="11"/>
        <v>bianco/nero</v>
      </c>
      <c r="N95" s="2" t="str">
        <f t="shared" ca="1" si="8"/>
        <v>8APASPA*aaaaae+</v>
      </c>
    </row>
    <row r="96" spans="1:14" ht="31.5" x14ac:dyDescent="0.45">
      <c r="A96" s="3" t="str">
        <f t="shared" ca="1" si="11"/>
        <v>'089</v>
      </c>
      <c r="B96" s="3">
        <f t="shared" ca="1" si="11"/>
        <v>69</v>
      </c>
      <c r="C96" s="5">
        <f t="shared" ca="1" si="11"/>
        <v>8050850000000</v>
      </c>
      <c r="D96" s="8" t="str">
        <f t="shared" ca="1" si="11"/>
        <v>OBAGP106-ECSC4-227</v>
      </c>
      <c r="E96" s="12" t="str">
        <f t="shared" ca="1" si="11"/>
        <v>RABAT AVEC BANDEAU O POCKET EN FAUX CUIR EFFET GRIFFE + CLOUS</v>
      </c>
      <c r="F96" s="18" t="str">
        <f t="shared" ca="1" si="11"/>
        <v>UNICA</v>
      </c>
      <c r="G96" s="10">
        <f t="shared" ca="1" si="11"/>
        <v>2</v>
      </c>
      <c r="H96" s="20">
        <f t="shared" ca="1" si="11"/>
        <v>15.56</v>
      </c>
      <c r="I96" s="22">
        <f t="shared" ca="1" si="11"/>
        <v>31.12</v>
      </c>
      <c r="J96" s="14" t="str">
        <f t="shared" ca="1" si="11"/>
        <v xml:space="preserve"> </v>
      </c>
      <c r="K96" s="16" t="str">
        <f t="shared" ca="1" si="11"/>
        <v xml:space="preserve"> </v>
      </c>
      <c r="L96" s="27" t="str">
        <f t="shared" ca="1" si="11"/>
        <v xml:space="preserve"> </v>
      </c>
      <c r="M96" s="29" t="str">
        <f t="shared" ca="1" si="11"/>
        <v>bianco/nero</v>
      </c>
      <c r="N96" s="2" t="str">
        <f t="shared" ca="1" si="8"/>
        <v>8APASPA*aaaaae+</v>
      </c>
    </row>
    <row r="97" spans="1:14" ht="31.5" x14ac:dyDescent="0.45">
      <c r="A97" s="3" t="str">
        <f t="shared" ca="1" si="11"/>
        <v>'090</v>
      </c>
      <c r="B97" s="3">
        <f t="shared" ca="1" si="11"/>
        <v>137</v>
      </c>
      <c r="C97" s="5">
        <f t="shared" ca="1" si="11"/>
        <v>8050850000000</v>
      </c>
      <c r="D97" s="8" t="str">
        <f t="shared" ca="1" si="11"/>
        <v>OBAGP134-ECSC4-227</v>
      </c>
      <c r="E97" s="12" t="str">
        <f t="shared" ca="1" si="11"/>
        <v>RABAT AVEC BANDEAU O BAG GLAM EN FAUX CUIR EFFET GRIFFE + CLOUS</v>
      </c>
      <c r="F97" s="18" t="str">
        <f t="shared" ca="1" si="11"/>
        <v>UNICA</v>
      </c>
      <c r="G97" s="10">
        <f t="shared" ca="1" si="11"/>
        <v>2</v>
      </c>
      <c r="H97" s="20">
        <f t="shared" ca="1" si="11"/>
        <v>20</v>
      </c>
      <c r="I97" s="22">
        <f t="shared" ca="1" si="11"/>
        <v>40</v>
      </c>
      <c r="J97" s="14" t="str">
        <f t="shared" ca="1" si="11"/>
        <v xml:space="preserve"> </v>
      </c>
      <c r="K97" s="16" t="str">
        <f t="shared" ca="1" si="11"/>
        <v xml:space="preserve"> </v>
      </c>
      <c r="L97" s="27" t="str">
        <f t="shared" ca="1" si="11"/>
        <v xml:space="preserve"> </v>
      </c>
      <c r="M97" s="29" t="str">
        <f t="shared" ca="1" si="11"/>
        <v>bianco/nero</v>
      </c>
      <c r="N97" s="2" t="str">
        <f t="shared" ca="1" si="8"/>
        <v>8APASPA*aaaaae+</v>
      </c>
    </row>
    <row r="98" spans="1:14" ht="31.5" x14ac:dyDescent="0.45">
      <c r="A98" s="3" t="str">
        <f t="shared" ca="1" si="11"/>
        <v>'091</v>
      </c>
      <c r="B98" s="3">
        <f t="shared" ca="1" si="11"/>
        <v>42</v>
      </c>
      <c r="C98" s="5">
        <f t="shared" ca="1" si="11"/>
        <v>8050850000000</v>
      </c>
      <c r="D98" s="8" t="str">
        <f t="shared" ca="1" si="11"/>
        <v>OBAGP206-ECS03-067</v>
      </c>
      <c r="E98" s="12" t="str">
        <f t="shared" ca="1" si="11"/>
        <v>RABAT AVEC BOUCLE O POCKET EN FAUX CUIR SUÃˆDE</v>
      </c>
      <c r="F98" s="18" t="str">
        <f t="shared" ca="1" si="11"/>
        <v>UNICA</v>
      </c>
      <c r="G98" s="10">
        <f t="shared" ca="1" si="11"/>
        <v>2</v>
      </c>
      <c r="H98" s="20">
        <f t="shared" ca="1" si="11"/>
        <v>12.59</v>
      </c>
      <c r="I98" s="22">
        <f t="shared" ca="1" si="11"/>
        <v>25.18</v>
      </c>
      <c r="J98" s="14" t="str">
        <f t="shared" ca="1" si="11"/>
        <v xml:space="preserve"> </v>
      </c>
      <c r="K98" s="16" t="str">
        <f t="shared" ca="1" si="11"/>
        <v xml:space="preserve"> </v>
      </c>
      <c r="L98" s="27" t="str">
        <f t="shared" ca="1" si="11"/>
        <v xml:space="preserve"> </v>
      </c>
      <c r="M98" s="29" t="str">
        <f t="shared" ca="1" si="11"/>
        <v>phard</v>
      </c>
      <c r="N98" s="2" t="str">
        <f t="shared" ca="1" si="8"/>
        <v>8APASPA*aaaaae+</v>
      </c>
    </row>
    <row r="99" spans="1:14" ht="31.5" x14ac:dyDescent="0.45">
      <c r="A99" s="3" t="str">
        <f t="shared" ca="1" si="11"/>
        <v>'092</v>
      </c>
      <c r="B99" s="3">
        <f t="shared" ca="1" si="11"/>
        <v>66</v>
      </c>
      <c r="C99" s="5">
        <f t="shared" ca="1" si="11"/>
        <v>8050850000000</v>
      </c>
      <c r="D99" s="8" t="str">
        <f t="shared" ca="1" si="11"/>
        <v>OBAGP206-ECS03-615</v>
      </c>
      <c r="E99" s="12" t="str">
        <f t="shared" ca="1" si="11"/>
        <v>RABAT AVEC BOUCLE O POCKET EN FAUX CUIR SUÃˆDE</v>
      </c>
      <c r="F99" s="18" t="str">
        <f t="shared" ca="1" si="11"/>
        <v>UNICA</v>
      </c>
      <c r="G99" s="10">
        <f t="shared" ca="1" si="11"/>
        <v>2</v>
      </c>
      <c r="H99" s="20">
        <f t="shared" ca="1" si="11"/>
        <v>12.59</v>
      </c>
      <c r="I99" s="22">
        <f t="shared" ca="1" si="11"/>
        <v>25.18</v>
      </c>
      <c r="J99" s="14" t="str">
        <f t="shared" ca="1" si="11"/>
        <v xml:space="preserve"> </v>
      </c>
      <c r="K99" s="16" t="str">
        <f t="shared" ca="1" si="11"/>
        <v xml:space="preserve"> </v>
      </c>
      <c r="L99" s="27" t="str">
        <f t="shared" ca="1" si="11"/>
        <v xml:space="preserve"> </v>
      </c>
      <c r="M99" s="29" t="str">
        <f t="shared" ca="1" si="11"/>
        <v>military</v>
      </c>
      <c r="N99" s="2" t="str">
        <f t="shared" ca="1" si="8"/>
        <v>8APASPA*aaaaae+</v>
      </c>
    </row>
    <row r="100" spans="1:14" ht="31.5" x14ac:dyDescent="0.45">
      <c r="A100" s="3" t="str">
        <f t="shared" ca="1" si="11"/>
        <v>'093</v>
      </c>
      <c r="B100" s="3">
        <f t="shared" ca="1" si="11"/>
        <v>26</v>
      </c>
      <c r="C100" s="5">
        <f t="shared" ca="1" si="11"/>
        <v>8050850000000</v>
      </c>
      <c r="D100" s="8" t="str">
        <f t="shared" ca="1" si="11"/>
        <v>OBAGP206-ECS29-017</v>
      </c>
      <c r="E100" s="12" t="str">
        <f t="shared" ca="1" si="11"/>
        <v>RABAT AVEC BOUCLE O POCKET EN FAUX CUIR IMPRIME COCO</v>
      </c>
      <c r="F100" s="18" t="str">
        <f t="shared" ca="1" si="11"/>
        <v>UNICA</v>
      </c>
      <c r="G100" s="10">
        <f t="shared" ca="1" si="11"/>
        <v>2</v>
      </c>
      <c r="H100" s="20">
        <f t="shared" ca="1" si="11"/>
        <v>13.33</v>
      </c>
      <c r="I100" s="22">
        <f t="shared" ca="1" si="11"/>
        <v>26.66</v>
      </c>
      <c r="J100" s="14" t="str">
        <f t="shared" ca="1" si="11"/>
        <v xml:space="preserve"> </v>
      </c>
      <c r="K100" s="16" t="str">
        <f t="shared" ca="1" si="11"/>
        <v xml:space="preserve"> </v>
      </c>
      <c r="L100" s="27" t="str">
        <f t="shared" ca="1" si="11"/>
        <v xml:space="preserve"> </v>
      </c>
      <c r="M100" s="29" t="str">
        <f t="shared" ca="1" si="11"/>
        <v>blu navy</v>
      </c>
      <c r="N100" s="2" t="str">
        <f t="shared" ca="1" si="8"/>
        <v>8APASPA*aaaaae+</v>
      </c>
    </row>
    <row r="101" spans="1:14" ht="31.5" x14ac:dyDescent="0.45">
      <c r="A101" s="3" t="str">
        <f t="shared" ref="A101:M110" ca="1" si="12">INDEX(INDIRECT($O$10),ROW(A101),COLUMN(A101))</f>
        <v>'094</v>
      </c>
      <c r="B101" s="3">
        <f t="shared" ca="1" si="12"/>
        <v>100</v>
      </c>
      <c r="C101" s="5">
        <f t="shared" ca="1" si="12"/>
        <v>8050850000000</v>
      </c>
      <c r="D101" s="8" t="str">
        <f t="shared" ca="1" si="12"/>
        <v>OBAGP206-ECS29-084</v>
      </c>
      <c r="E101" s="12" t="str">
        <f t="shared" ca="1" si="12"/>
        <v>RABAT AVEC BOUCLE O POCKET EN FAUX CUIR IMPRIME COCO</v>
      </c>
      <c r="F101" s="18" t="str">
        <f t="shared" ca="1" si="12"/>
        <v>UNICA</v>
      </c>
      <c r="G101" s="10">
        <f t="shared" ca="1" si="12"/>
        <v>2</v>
      </c>
      <c r="H101" s="20">
        <f t="shared" ca="1" si="12"/>
        <v>13.33</v>
      </c>
      <c r="I101" s="22">
        <f t="shared" ca="1" si="12"/>
        <v>26.66</v>
      </c>
      <c r="J101" s="14" t="str">
        <f t="shared" ca="1" si="12"/>
        <v xml:space="preserve"> </v>
      </c>
      <c r="K101" s="16" t="str">
        <f t="shared" ca="1" si="12"/>
        <v xml:space="preserve"> </v>
      </c>
      <c r="L101" s="27" t="str">
        <f t="shared" ca="1" si="12"/>
        <v xml:space="preserve"> </v>
      </c>
      <c r="M101" s="29" t="str">
        <f t="shared" ca="1" si="12"/>
        <v>testa di moro</v>
      </c>
      <c r="N101" s="2" t="str">
        <f t="shared" ca="1" si="8"/>
        <v>8APASPA*aaaaae+</v>
      </c>
    </row>
    <row r="102" spans="1:14" ht="31.5" x14ac:dyDescent="0.45">
      <c r="A102" s="3" t="str">
        <f t="shared" ca="1" si="12"/>
        <v>'095</v>
      </c>
      <c r="B102" s="3">
        <f t="shared" ca="1" si="12"/>
        <v>166</v>
      </c>
      <c r="C102" s="5">
        <f t="shared" ca="1" si="12"/>
        <v>8050850000000</v>
      </c>
      <c r="D102" s="8" t="str">
        <f t="shared" ca="1" si="12"/>
        <v>OBAGPA06-ECSC8-055</v>
      </c>
      <c r="E102" s="12" t="str">
        <f t="shared" ca="1" si="12"/>
        <v>RABAT TOURNIQUET O POCKET EN FAUX CUIR ACTIVE STRIPES</v>
      </c>
      <c r="F102" s="18" t="str">
        <f t="shared" ca="1" si="12"/>
        <v>UNICA</v>
      </c>
      <c r="G102" s="10">
        <f t="shared" ca="1" si="12"/>
        <v>2</v>
      </c>
      <c r="H102" s="20">
        <f t="shared" ca="1" si="12"/>
        <v>11.85</v>
      </c>
      <c r="I102" s="22">
        <f t="shared" ca="1" si="12"/>
        <v>23.7</v>
      </c>
      <c r="J102" s="14" t="str">
        <f t="shared" ca="1" si="12"/>
        <v xml:space="preserve"> </v>
      </c>
      <c r="K102" s="16" t="str">
        <f t="shared" ca="1" si="12"/>
        <v xml:space="preserve"> </v>
      </c>
      <c r="L102" s="27" t="str">
        <f t="shared" ca="1" si="12"/>
        <v xml:space="preserve"> </v>
      </c>
      <c r="M102" s="29" t="str">
        <f t="shared" ca="1" si="12"/>
        <v>nero</v>
      </c>
      <c r="N102" s="2" t="str">
        <f t="shared" ca="1" si="8"/>
        <v>8APASPA*aaaaae+</v>
      </c>
    </row>
    <row r="103" spans="1:14" ht="31.5" x14ac:dyDescent="0.45">
      <c r="A103" s="3" t="str">
        <f t="shared" ca="1" si="12"/>
        <v>'096</v>
      </c>
      <c r="B103" s="3">
        <f t="shared" ca="1" si="12"/>
        <v>150</v>
      </c>
      <c r="C103" s="5">
        <f t="shared" ca="1" si="12"/>
        <v>8050850000000</v>
      </c>
      <c r="D103" s="8" t="str">
        <f t="shared" ca="1" si="12"/>
        <v>OBAGPA06-ECSC8-137</v>
      </c>
      <c r="E103" s="12" t="str">
        <f t="shared" ca="1" si="12"/>
        <v>RABAT TOURNIQUET O POCKET EN FAUX CUIR ACTIVE STRIPES</v>
      </c>
      <c r="F103" s="18" t="str">
        <f t="shared" ca="1" si="12"/>
        <v>UNICA</v>
      </c>
      <c r="G103" s="10">
        <f t="shared" ca="1" si="12"/>
        <v>2</v>
      </c>
      <c r="H103" s="20">
        <f t="shared" ca="1" si="12"/>
        <v>11.85</v>
      </c>
      <c r="I103" s="22">
        <f t="shared" ca="1" si="12"/>
        <v>23.7</v>
      </c>
      <c r="J103" s="14" t="str">
        <f t="shared" ca="1" si="12"/>
        <v xml:space="preserve"> </v>
      </c>
      <c r="K103" s="16" t="str">
        <f t="shared" ca="1" si="12"/>
        <v xml:space="preserve"> </v>
      </c>
      <c r="L103" s="27" t="str">
        <f t="shared" ca="1" si="12"/>
        <v xml:space="preserve"> </v>
      </c>
      <c r="M103" s="29" t="str">
        <f t="shared" ca="1" si="12"/>
        <v>bluette</v>
      </c>
      <c r="N103" s="2" t="str">
        <f t="shared" ca="1" si="8"/>
        <v>8APASPA*aaaaae+</v>
      </c>
    </row>
    <row r="104" spans="1:14" ht="31.5" x14ac:dyDescent="0.45">
      <c r="A104" s="3" t="str">
        <f t="shared" ca="1" si="12"/>
        <v>'097</v>
      </c>
      <c r="B104" s="3">
        <f t="shared" ca="1" si="12"/>
        <v>21</v>
      </c>
      <c r="C104" s="5">
        <f t="shared" ca="1" si="12"/>
        <v>8050850000000</v>
      </c>
      <c r="D104" s="8" t="str">
        <f t="shared" ca="1" si="12"/>
        <v>OBAGPB34-ECS29-017</v>
      </c>
      <c r="E104" s="12" t="str">
        <f t="shared" ca="1" si="12"/>
        <v>RABAT BASIC O BAG GLAM EN FAUX CUIR IMPRIME COCO</v>
      </c>
      <c r="F104" s="18" t="str">
        <f t="shared" ca="1" si="12"/>
        <v>UNICA</v>
      </c>
      <c r="G104" s="10">
        <f t="shared" ca="1" si="12"/>
        <v>1</v>
      </c>
      <c r="H104" s="20">
        <f t="shared" ca="1" si="12"/>
        <v>12.59</v>
      </c>
      <c r="I104" s="22">
        <f t="shared" ca="1" si="12"/>
        <v>12.59</v>
      </c>
      <c r="J104" s="14" t="str">
        <f t="shared" ca="1" si="12"/>
        <v xml:space="preserve"> </v>
      </c>
      <c r="K104" s="16" t="str">
        <f t="shared" ca="1" si="12"/>
        <v xml:space="preserve"> </v>
      </c>
      <c r="L104" s="27" t="str">
        <f t="shared" ca="1" si="12"/>
        <v xml:space="preserve"> </v>
      </c>
      <c r="M104" s="29" t="str">
        <f t="shared" ca="1" si="12"/>
        <v>blu navy</v>
      </c>
      <c r="N104" s="2" t="str">
        <f t="shared" ca="1" si="8"/>
        <v>8APASPA*aaaaae+</v>
      </c>
    </row>
    <row r="105" spans="1:14" ht="31.5" x14ac:dyDescent="0.45">
      <c r="A105" s="3" t="str">
        <f t="shared" ca="1" si="12"/>
        <v>'098</v>
      </c>
      <c r="B105" s="3">
        <f t="shared" ca="1" si="12"/>
        <v>105</v>
      </c>
      <c r="C105" s="5">
        <f t="shared" ca="1" si="12"/>
        <v>8050850000000</v>
      </c>
      <c r="D105" s="8" t="str">
        <f t="shared" ca="1" si="12"/>
        <v>OBAGPB34-ECS29-084</v>
      </c>
      <c r="E105" s="12" t="str">
        <f t="shared" ca="1" si="12"/>
        <v>RABAT BASIC O BAG GLAM EN FAUX CUIR IMPRIME COCO</v>
      </c>
      <c r="F105" s="18" t="str">
        <f t="shared" ca="1" si="12"/>
        <v>UNICA</v>
      </c>
      <c r="G105" s="10">
        <f t="shared" ca="1" si="12"/>
        <v>1</v>
      </c>
      <c r="H105" s="20">
        <f t="shared" ca="1" si="12"/>
        <v>12.59</v>
      </c>
      <c r="I105" s="22">
        <f t="shared" ca="1" si="12"/>
        <v>12.59</v>
      </c>
      <c r="J105" s="14" t="str">
        <f t="shared" ca="1" si="12"/>
        <v xml:space="preserve"> </v>
      </c>
      <c r="K105" s="16" t="str">
        <f t="shared" ca="1" si="12"/>
        <v xml:space="preserve"> </v>
      </c>
      <c r="L105" s="27" t="str">
        <f t="shared" ca="1" si="12"/>
        <v xml:space="preserve"> </v>
      </c>
      <c r="M105" s="29" t="str">
        <f t="shared" ca="1" si="12"/>
        <v>testa di moro</v>
      </c>
      <c r="N105" s="2" t="str">
        <f t="shared" ca="1" si="8"/>
        <v>8APASPA*aaaaae+</v>
      </c>
    </row>
    <row r="106" spans="1:14" ht="31.5" x14ac:dyDescent="0.45">
      <c r="A106" s="3" t="str">
        <f t="shared" ca="1" si="12"/>
        <v>'099</v>
      </c>
      <c r="B106" s="3">
        <f t="shared" ca="1" si="12"/>
        <v>120</v>
      </c>
      <c r="C106" s="5">
        <f t="shared" ca="1" si="12"/>
        <v>8050850000000</v>
      </c>
      <c r="D106" s="8" t="str">
        <f t="shared" ca="1" si="12"/>
        <v>OBAGPB34-ECSD5-137</v>
      </c>
      <c r="E106" s="12" t="str">
        <f t="shared" ca="1" si="12"/>
        <v>RABAT BASIC O BAG GLAM EN FAUX CUIR IMPRIME PATCH ACTIVE</v>
      </c>
      <c r="F106" s="18" t="str">
        <f t="shared" ca="1" si="12"/>
        <v>UNICA</v>
      </c>
      <c r="G106" s="10">
        <f t="shared" ca="1" si="12"/>
        <v>1</v>
      </c>
      <c r="H106" s="20">
        <f t="shared" ca="1" si="12"/>
        <v>13.33</v>
      </c>
      <c r="I106" s="22">
        <f t="shared" ca="1" si="12"/>
        <v>13.33</v>
      </c>
      <c r="J106" s="14" t="str">
        <f t="shared" ca="1" si="12"/>
        <v xml:space="preserve"> </v>
      </c>
      <c r="K106" s="16" t="str">
        <f t="shared" ca="1" si="12"/>
        <v xml:space="preserve"> </v>
      </c>
      <c r="L106" s="27" t="str">
        <f t="shared" ca="1" si="12"/>
        <v xml:space="preserve"> </v>
      </c>
      <c r="M106" s="29" t="str">
        <f t="shared" ca="1" si="12"/>
        <v>bluette</v>
      </c>
      <c r="N106" s="2" t="str">
        <f t="shared" ca="1" si="8"/>
        <v>8APASPA*aaaaae+</v>
      </c>
    </row>
    <row r="107" spans="1:14" ht="31.5" x14ac:dyDescent="0.45">
      <c r="A107" s="3" t="str">
        <f t="shared" ca="1" si="12"/>
        <v>'100</v>
      </c>
      <c r="B107" s="3">
        <f t="shared" ca="1" si="12"/>
        <v>18</v>
      </c>
      <c r="C107" s="5">
        <f t="shared" ca="1" si="12"/>
        <v>8050850000000</v>
      </c>
      <c r="D107" s="8" t="str">
        <f t="shared" ca="1" si="12"/>
        <v>OBAGPB34-ECSD5-371</v>
      </c>
      <c r="E107" s="12" t="str">
        <f t="shared" ca="1" si="12"/>
        <v>RABAT BASIC O BAG GLAM EN FAUX CUIR IMPRIME PATCH ACTIVE</v>
      </c>
      <c r="F107" s="18" t="str">
        <f t="shared" ca="1" si="12"/>
        <v>UNICA</v>
      </c>
      <c r="G107" s="10">
        <f t="shared" ca="1" si="12"/>
        <v>1</v>
      </c>
      <c r="H107" s="20">
        <f t="shared" ca="1" si="12"/>
        <v>13.33</v>
      </c>
      <c r="I107" s="22">
        <f t="shared" ca="1" si="12"/>
        <v>13.33</v>
      </c>
      <c r="J107" s="14" t="str">
        <f t="shared" ca="1" si="12"/>
        <v xml:space="preserve"> </v>
      </c>
      <c r="K107" s="16" t="str">
        <f t="shared" ca="1" si="12"/>
        <v xml:space="preserve"> </v>
      </c>
      <c r="L107" s="27" t="str">
        <f t="shared" ca="1" si="12"/>
        <v xml:space="preserve"> </v>
      </c>
      <c r="M107" s="29" t="str">
        <f t="shared" ca="1" si="12"/>
        <v>latte</v>
      </c>
      <c r="N107" s="2" t="str">
        <f t="shared" ca="1" si="8"/>
        <v>8APASPA*aaaaae+</v>
      </c>
    </row>
    <row r="108" spans="1:14" ht="31.5" x14ac:dyDescent="0.45">
      <c r="A108" s="3" t="str">
        <f t="shared" ca="1" si="12"/>
        <v>'101</v>
      </c>
      <c r="B108" s="3">
        <f t="shared" ca="1" si="12"/>
        <v>169</v>
      </c>
      <c r="C108" s="5">
        <f t="shared" ca="1" si="12"/>
        <v>8050850000000</v>
      </c>
      <c r="D108" s="8" t="str">
        <f t="shared" ca="1" si="12"/>
        <v>OBAGPC48-ECSE2-017</v>
      </c>
      <c r="E108" s="12" t="str">
        <f t="shared" ca="1" si="12"/>
        <v>RABAT AVEC CHAINE O BAG SHEEN EN FAUX CUIR EFFET GRIFFE ARABESQUE</v>
      </c>
      <c r="F108" s="18" t="str">
        <f t="shared" ca="1" si="12"/>
        <v>UNICA</v>
      </c>
      <c r="G108" s="10">
        <f t="shared" ca="1" si="12"/>
        <v>1</v>
      </c>
      <c r="H108" s="20">
        <f t="shared" ca="1" si="12"/>
        <v>20</v>
      </c>
      <c r="I108" s="22">
        <f t="shared" ca="1" si="12"/>
        <v>20</v>
      </c>
      <c r="J108" s="14" t="str">
        <f t="shared" ca="1" si="12"/>
        <v xml:space="preserve"> </v>
      </c>
      <c r="K108" s="16" t="str">
        <f t="shared" ca="1" si="12"/>
        <v xml:space="preserve"> </v>
      </c>
      <c r="L108" s="27" t="str">
        <f t="shared" ca="1" si="12"/>
        <v xml:space="preserve"> </v>
      </c>
      <c r="M108" s="29" t="str">
        <f t="shared" ca="1" si="12"/>
        <v>blu navy</v>
      </c>
      <c r="N108" s="2" t="str">
        <f t="shared" ca="1" si="8"/>
        <v>8APASPA*aaaaae+</v>
      </c>
    </row>
    <row r="109" spans="1:14" ht="31.5" x14ac:dyDescent="0.45">
      <c r="A109" s="3" t="str">
        <f t="shared" ca="1" si="12"/>
        <v>'102</v>
      </c>
      <c r="B109" s="3">
        <f t="shared" ca="1" si="12"/>
        <v>51</v>
      </c>
      <c r="C109" s="5">
        <f t="shared" ca="1" si="12"/>
        <v>8050850000000</v>
      </c>
      <c r="D109" s="8" t="str">
        <f t="shared" ca="1" si="12"/>
        <v>OBAGPC48-ECSE3-055</v>
      </c>
      <c r="E109" s="12" t="str">
        <f t="shared" ca="1" si="12"/>
        <v>RABAT AVEC CHAINE O BAG SHEEN EN FAUX CUIR EFFET GRIFFE ORCHIDEE</v>
      </c>
      <c r="F109" s="18" t="str">
        <f t="shared" ca="1" si="12"/>
        <v>UNICA</v>
      </c>
      <c r="G109" s="10">
        <f t="shared" ca="1" si="12"/>
        <v>1</v>
      </c>
      <c r="H109" s="20">
        <f t="shared" ca="1" si="12"/>
        <v>20</v>
      </c>
      <c r="I109" s="22">
        <f t="shared" ca="1" si="12"/>
        <v>20</v>
      </c>
      <c r="J109" s="14" t="str">
        <f t="shared" ca="1" si="12"/>
        <v xml:space="preserve"> </v>
      </c>
      <c r="K109" s="16" t="str">
        <f t="shared" ca="1" si="12"/>
        <v xml:space="preserve"> </v>
      </c>
      <c r="L109" s="27" t="str">
        <f t="shared" ca="1" si="12"/>
        <v xml:space="preserve"> </v>
      </c>
      <c r="M109" s="29" t="str">
        <f t="shared" ca="1" si="12"/>
        <v>nero</v>
      </c>
      <c r="N109" s="2" t="str">
        <f t="shared" ca="1" si="8"/>
        <v>8APASPA*aaaaae+</v>
      </c>
    </row>
    <row r="110" spans="1:14" ht="31.5" x14ac:dyDescent="0.45">
      <c r="A110" s="3" t="str">
        <f t="shared" ca="1" si="12"/>
        <v>'103</v>
      </c>
      <c r="B110" s="3">
        <f t="shared" ca="1" si="12"/>
        <v>194</v>
      </c>
      <c r="C110" s="5">
        <f t="shared" ca="1" si="12"/>
        <v>8050850000000</v>
      </c>
      <c r="D110" s="8" t="str">
        <f t="shared" ca="1" si="12"/>
        <v>OBAGPF34-ECSC9-055</v>
      </c>
      <c r="E110" s="12" t="str">
        <f t="shared" ca="1" si="12"/>
        <v>RABAT TROUE Ã€ BANDEAU O BAG GLAM EN FAUX CUIR IMPRIME ATHLEISURE</v>
      </c>
      <c r="F110" s="18" t="str">
        <f t="shared" ca="1" si="12"/>
        <v>UNICA</v>
      </c>
      <c r="G110" s="10">
        <f t="shared" ca="1" si="12"/>
        <v>1</v>
      </c>
      <c r="H110" s="20">
        <f t="shared" ca="1" si="12"/>
        <v>20</v>
      </c>
      <c r="I110" s="22">
        <f t="shared" ca="1" si="12"/>
        <v>20</v>
      </c>
      <c r="J110" s="14" t="str">
        <f t="shared" ca="1" si="12"/>
        <v xml:space="preserve"> </v>
      </c>
      <c r="K110" s="16" t="str">
        <f t="shared" ca="1" si="12"/>
        <v xml:space="preserve"> </v>
      </c>
      <c r="L110" s="27" t="str">
        <f t="shared" ca="1" si="12"/>
        <v xml:space="preserve"> </v>
      </c>
      <c r="M110" s="29" t="str">
        <f t="shared" ca="1" si="12"/>
        <v>nero</v>
      </c>
      <c r="N110" s="2" t="str">
        <f t="shared" ca="1" si="8"/>
        <v>8APASPA*aaaaae+</v>
      </c>
    </row>
    <row r="111" spans="1:14" ht="31.5" x14ac:dyDescent="0.45">
      <c r="A111" s="3" t="str">
        <f t="shared" ref="A111:M120" ca="1" si="13">INDEX(INDIRECT($O$10),ROW(A111),COLUMN(A111))</f>
        <v>'104</v>
      </c>
      <c r="B111" s="3">
        <f t="shared" ca="1" si="13"/>
        <v>106</v>
      </c>
      <c r="C111" s="5">
        <f t="shared" ca="1" si="13"/>
        <v>8050850000000</v>
      </c>
      <c r="D111" s="8" t="str">
        <f t="shared" ca="1" si="13"/>
        <v>OBAGPF34-ECSC9-137</v>
      </c>
      <c r="E111" s="12" t="str">
        <f t="shared" ca="1" si="13"/>
        <v>RABAT TROUE Ã€ BANDEAU O BAG GLAM EN FAUX CUIR IMPRIME ATHLEISURE</v>
      </c>
      <c r="F111" s="18" t="str">
        <f t="shared" ca="1" si="13"/>
        <v>UNICA</v>
      </c>
      <c r="G111" s="10">
        <f t="shared" ca="1" si="13"/>
        <v>1</v>
      </c>
      <c r="H111" s="20">
        <f t="shared" ca="1" si="13"/>
        <v>20</v>
      </c>
      <c r="I111" s="22">
        <f t="shared" ca="1" si="13"/>
        <v>20</v>
      </c>
      <c r="J111" s="14" t="str">
        <f t="shared" ca="1" si="13"/>
        <v xml:space="preserve"> </v>
      </c>
      <c r="K111" s="16" t="str">
        <f t="shared" ca="1" si="13"/>
        <v xml:space="preserve"> </v>
      </c>
      <c r="L111" s="27" t="str">
        <f t="shared" ca="1" si="13"/>
        <v xml:space="preserve"> </v>
      </c>
      <c r="M111" s="29" t="str">
        <f t="shared" ca="1" si="13"/>
        <v>bluette</v>
      </c>
      <c r="N111" s="2" t="str">
        <f t="shared" ca="1" si="8"/>
        <v>8APASPA*aaaaae+</v>
      </c>
    </row>
    <row r="112" spans="1:14" ht="31.5" x14ac:dyDescent="0.45">
      <c r="A112" s="3" t="str">
        <f t="shared" ca="1" si="13"/>
        <v>'105</v>
      </c>
      <c r="B112" s="3">
        <f t="shared" ca="1" si="13"/>
        <v>112</v>
      </c>
      <c r="C112" s="5">
        <f t="shared" ca="1" si="13"/>
        <v>8050850000000</v>
      </c>
      <c r="D112" s="8" t="str">
        <f t="shared" ca="1" si="13"/>
        <v>OBAGPK06-ECS00-076</v>
      </c>
      <c r="E112" s="12" t="str">
        <f t="shared" ca="1" si="13"/>
        <v>RABAT EN CARTABLE O POCKET EN FAUX CUIR</v>
      </c>
      <c r="F112" s="18" t="str">
        <f t="shared" ca="1" si="13"/>
        <v>UNICA</v>
      </c>
      <c r="G112" s="10">
        <f t="shared" ca="1" si="13"/>
        <v>2</v>
      </c>
      <c r="H112" s="20">
        <f t="shared" ca="1" si="13"/>
        <v>13.33</v>
      </c>
      <c r="I112" s="22">
        <f t="shared" ca="1" si="13"/>
        <v>26.66</v>
      </c>
      <c r="J112" s="14" t="str">
        <f t="shared" ca="1" si="13"/>
        <v xml:space="preserve"> </v>
      </c>
      <c r="K112" s="16" t="str">
        <f t="shared" ca="1" si="13"/>
        <v xml:space="preserve"> </v>
      </c>
      <c r="L112" s="27" t="str">
        <f t="shared" ca="1" si="13"/>
        <v xml:space="preserve"> </v>
      </c>
      <c r="M112" s="29" t="str">
        <f t="shared" ca="1" si="13"/>
        <v>rosso</v>
      </c>
      <c r="N112" s="2" t="str">
        <f t="shared" ca="1" si="8"/>
        <v>8APASPA*aaaaae+</v>
      </c>
    </row>
    <row r="113" spans="1:14" ht="31.5" x14ac:dyDescent="0.45">
      <c r="A113" s="3" t="str">
        <f t="shared" ca="1" si="13"/>
        <v>'106</v>
      </c>
      <c r="B113" s="3">
        <f t="shared" ca="1" si="13"/>
        <v>143</v>
      </c>
      <c r="C113" s="5">
        <f t="shared" ca="1" si="13"/>
        <v>8050850000000</v>
      </c>
      <c r="D113" s="8" t="str">
        <f t="shared" ca="1" si="13"/>
        <v>OBAGPK06-ECS00-144</v>
      </c>
      <c r="E113" s="12" t="str">
        <f t="shared" ca="1" si="13"/>
        <v>RABAT EN CARTABLE O POCKET EN FAUX CUIR</v>
      </c>
      <c r="F113" s="18" t="str">
        <f t="shared" ca="1" si="13"/>
        <v>UNICA</v>
      </c>
      <c r="G113" s="10">
        <f t="shared" ca="1" si="13"/>
        <v>2</v>
      </c>
      <c r="H113" s="20">
        <f t="shared" ca="1" si="13"/>
        <v>13.33</v>
      </c>
      <c r="I113" s="22">
        <f t="shared" ca="1" si="13"/>
        <v>26.66</v>
      </c>
      <c r="J113" s="14" t="str">
        <f t="shared" ca="1" si="13"/>
        <v xml:space="preserve"> </v>
      </c>
      <c r="K113" s="16" t="str">
        <f t="shared" ca="1" si="13"/>
        <v xml:space="preserve"> </v>
      </c>
      <c r="L113" s="27" t="str">
        <f t="shared" ca="1" si="13"/>
        <v xml:space="preserve"> </v>
      </c>
      <c r="M113" s="29" t="str">
        <f t="shared" ca="1" si="13"/>
        <v>ginestra</v>
      </c>
      <c r="N113" s="2" t="str">
        <f t="shared" ca="1" si="8"/>
        <v>8APASPA*aaaaae+</v>
      </c>
    </row>
    <row r="114" spans="1:14" ht="31.5" x14ac:dyDescent="0.45">
      <c r="A114" s="3" t="str">
        <f t="shared" ca="1" si="13"/>
        <v>'107</v>
      </c>
      <c r="B114" s="3">
        <f t="shared" ca="1" si="13"/>
        <v>159</v>
      </c>
      <c r="C114" s="5">
        <f t="shared" ca="1" si="13"/>
        <v>8050850000000</v>
      </c>
      <c r="D114" s="8" t="str">
        <f t="shared" ca="1" si="13"/>
        <v>OBAGS001-TESBG-227</v>
      </c>
      <c r="E114" s="12" t="str">
        <f t="shared" ca="1" si="13"/>
        <v>POCHETTE INTERIEURE FERMETURE ECLAIR O BAG MINI EN TISSU PRINCE DE GALLES+ FLEURS</v>
      </c>
      <c r="F114" s="18" t="str">
        <f t="shared" ca="1" si="13"/>
        <v>UNICA</v>
      </c>
      <c r="G114" s="10">
        <f t="shared" ca="1" si="13"/>
        <v>2</v>
      </c>
      <c r="H114" s="20">
        <f t="shared" ca="1" si="13"/>
        <v>13.33</v>
      </c>
      <c r="I114" s="22">
        <f t="shared" ca="1" si="13"/>
        <v>26.66</v>
      </c>
      <c r="J114" s="14" t="str">
        <f t="shared" ca="1" si="13"/>
        <v xml:space="preserve"> </v>
      </c>
      <c r="K114" s="16" t="str">
        <f t="shared" ca="1" si="13"/>
        <v xml:space="preserve"> </v>
      </c>
      <c r="L114" s="27" t="str">
        <f t="shared" ca="1" si="13"/>
        <v xml:space="preserve"> </v>
      </c>
      <c r="M114" s="29" t="str">
        <f t="shared" ca="1" si="13"/>
        <v>bianco/nero</v>
      </c>
      <c r="N114" s="2" t="str">
        <f t="shared" ca="1" si="8"/>
        <v>8APASPA*aaaaae+</v>
      </c>
    </row>
    <row r="115" spans="1:14" ht="31.5" x14ac:dyDescent="0.45">
      <c r="A115" s="3" t="str">
        <f t="shared" ca="1" si="13"/>
        <v>'108</v>
      </c>
      <c r="B115" s="3">
        <f t="shared" ca="1" si="13"/>
        <v>215</v>
      </c>
      <c r="C115" s="5">
        <f t="shared" ca="1" si="13"/>
        <v>8050850000000</v>
      </c>
      <c r="D115" s="8" t="str">
        <f t="shared" ca="1" si="13"/>
        <v>OBAGS001-TESBK-055</v>
      </c>
      <c r="E115" s="12" t="str">
        <f ca="1">INDEX(INDIRECT($O$10),ROW(E115),COLUMN(E115))</f>
        <v>POCHETTE INTERIEURE FERMETURE ECLAIR O BAG EN TISSU DOUDOUNE Ã€ CHEVRONS</v>
      </c>
      <c r="F115" s="18" t="str">
        <f t="shared" ca="1" si="13"/>
        <v>UNICA</v>
      </c>
      <c r="G115" s="10">
        <f t="shared" ca="1" si="13"/>
        <v>2</v>
      </c>
      <c r="H115" s="20">
        <f t="shared" ca="1" si="13"/>
        <v>11.85</v>
      </c>
      <c r="I115" s="22">
        <f t="shared" ca="1" si="13"/>
        <v>23.7</v>
      </c>
      <c r="J115" s="14" t="str">
        <f t="shared" ca="1" si="13"/>
        <v xml:space="preserve"> </v>
      </c>
      <c r="K115" s="16" t="str">
        <f t="shared" ca="1" si="13"/>
        <v xml:space="preserve"> </v>
      </c>
      <c r="L115" s="27" t="str">
        <f t="shared" ca="1" si="13"/>
        <v xml:space="preserve"> </v>
      </c>
      <c r="M115" s="29" t="str">
        <f t="shared" ca="1" si="13"/>
        <v>nero</v>
      </c>
      <c r="N115" s="2" t="str">
        <f t="shared" ca="1" si="8"/>
        <v>8APASPA*aaaaae+</v>
      </c>
    </row>
    <row r="116" spans="1:14" ht="31.5" x14ac:dyDescent="0.45">
      <c r="A116" s="3" t="str">
        <f t="shared" ca="1" si="13"/>
        <v>'109</v>
      </c>
      <c r="B116" s="3">
        <f t="shared" ca="1" si="13"/>
        <v>43</v>
      </c>
      <c r="C116" s="5">
        <f t="shared" ca="1" si="13"/>
        <v>8050850000000</v>
      </c>
      <c r="D116" s="8" t="str">
        <f t="shared" ca="1" si="13"/>
        <v>OBAGS001-TESBK-137</v>
      </c>
      <c r="E116" s="12" t="str">
        <f t="shared" ca="1" si="13"/>
        <v>POCHETTE INTERIEURE FERMETURE ECLAIR O BAG EN TISSU DOUDOUNE Ã€ CHEVRONS</v>
      </c>
      <c r="F116" s="18" t="str">
        <f t="shared" ca="1" si="13"/>
        <v>UNICA</v>
      </c>
      <c r="G116" s="10">
        <f t="shared" ca="1" si="13"/>
        <v>2</v>
      </c>
      <c r="H116" s="20">
        <f t="shared" ca="1" si="13"/>
        <v>11.85</v>
      </c>
      <c r="I116" s="22">
        <f t="shared" ca="1" si="13"/>
        <v>23.7</v>
      </c>
      <c r="J116" s="14" t="str">
        <f t="shared" ca="1" si="13"/>
        <v xml:space="preserve"> </v>
      </c>
      <c r="K116" s="16" t="str">
        <f t="shared" ca="1" si="13"/>
        <v xml:space="preserve"> </v>
      </c>
      <c r="L116" s="27" t="str">
        <f t="shared" ca="1" si="13"/>
        <v xml:space="preserve"> </v>
      </c>
      <c r="M116" s="29" t="str">
        <f t="shared" ca="1" si="13"/>
        <v>bluette</v>
      </c>
      <c r="N116" s="2" t="str">
        <f t="shared" ca="1" si="8"/>
        <v>8APASPA*aaaaae+</v>
      </c>
    </row>
    <row r="117" spans="1:14" ht="31.5" x14ac:dyDescent="0.45">
      <c r="A117" s="3" t="str">
        <f t="shared" ca="1" si="13"/>
        <v>'110</v>
      </c>
      <c r="B117" s="3">
        <f t="shared" ca="1" si="13"/>
        <v>88</v>
      </c>
      <c r="C117" s="5">
        <f t="shared" ca="1" si="13"/>
        <v>8050850000000</v>
      </c>
      <c r="D117" s="8" t="str">
        <f t="shared" ca="1" si="13"/>
        <v>OBAGS001-TESD5-067</v>
      </c>
      <c r="E117" s="12" t="str">
        <f t="shared" ca="1" si="13"/>
        <v>POCHETTE INTERIEURE FERMETURE ECLAIR O BAG EN MICROFIBRE COULEUR UNIE</v>
      </c>
      <c r="F117" s="18" t="str">
        <f t="shared" ca="1" si="13"/>
        <v>UNICA</v>
      </c>
      <c r="G117" s="10">
        <f t="shared" ca="1" si="13"/>
        <v>2</v>
      </c>
      <c r="H117" s="20">
        <f t="shared" ca="1" si="13"/>
        <v>10.8</v>
      </c>
      <c r="I117" s="22">
        <f t="shared" ca="1" si="13"/>
        <v>21.6</v>
      </c>
      <c r="J117" s="14" t="str">
        <f t="shared" ca="1" si="13"/>
        <v xml:space="preserve"> </v>
      </c>
      <c r="K117" s="16" t="str">
        <f t="shared" ca="1" si="13"/>
        <v xml:space="preserve"> </v>
      </c>
      <c r="L117" s="27" t="str">
        <f t="shared" ca="1" si="13"/>
        <v xml:space="preserve"> </v>
      </c>
      <c r="M117" s="29" t="str">
        <f t="shared" ca="1" si="13"/>
        <v>phard</v>
      </c>
      <c r="N117" s="2" t="str">
        <f t="shared" ca="1" si="8"/>
        <v>8APASPA*aaaaae+</v>
      </c>
    </row>
    <row r="118" spans="1:14" ht="31.5" x14ac:dyDescent="0.45">
      <c r="A118" s="3" t="str">
        <f t="shared" ca="1" si="13"/>
        <v>'111</v>
      </c>
      <c r="B118" s="3">
        <f t="shared" ca="1" si="13"/>
        <v>129</v>
      </c>
      <c r="C118" s="5">
        <f t="shared" ca="1" si="13"/>
        <v>8050850000000</v>
      </c>
      <c r="D118" s="8" t="str">
        <f t="shared" ca="1" si="13"/>
        <v>OBAGS001-TESD5-615</v>
      </c>
      <c r="E118" s="12" t="str">
        <f t="shared" ca="1" si="13"/>
        <v>POCHETTE INTERIEURE FERMETURE ECLAIR O BAG EN MICROFIBRE COULEUR UNIE</v>
      </c>
      <c r="F118" s="18" t="str">
        <f t="shared" ca="1" si="13"/>
        <v>UNICA</v>
      </c>
      <c r="G118" s="10">
        <f t="shared" ca="1" si="13"/>
        <v>2</v>
      </c>
      <c r="H118" s="20">
        <f t="shared" ca="1" si="13"/>
        <v>10.8</v>
      </c>
      <c r="I118" s="22">
        <f t="shared" ca="1" si="13"/>
        <v>21.6</v>
      </c>
      <c r="J118" s="14" t="str">
        <f t="shared" ca="1" si="13"/>
        <v xml:space="preserve"> </v>
      </c>
      <c r="K118" s="16" t="str">
        <f t="shared" ca="1" si="13"/>
        <v xml:space="preserve"> </v>
      </c>
      <c r="L118" s="27" t="str">
        <f t="shared" ca="1" si="13"/>
        <v xml:space="preserve"> </v>
      </c>
      <c r="M118" s="29" t="str">
        <f t="shared" ca="1" si="13"/>
        <v>military</v>
      </c>
      <c r="N118" s="2" t="str">
        <f t="shared" ca="1" si="8"/>
        <v>8APASPA*aaaaae+</v>
      </c>
    </row>
    <row r="119" spans="1:14" ht="31.5" x14ac:dyDescent="0.45">
      <c r="A119" s="3" t="str">
        <f t="shared" ca="1" si="13"/>
        <v>'112</v>
      </c>
      <c r="B119" s="3">
        <f t="shared" ca="1" si="13"/>
        <v>34</v>
      </c>
      <c r="C119" s="5">
        <f t="shared" ca="1" si="13"/>
        <v>8050450000000</v>
      </c>
      <c r="D119" s="8" t="str">
        <f t="shared" ca="1" si="13"/>
        <v>OBAGS002-TES01-008</v>
      </c>
      <c r="E119" s="12" t="str">
        <f t="shared" ca="1" si="13"/>
        <v>POCHETTE INTERIEURE FERMETURE ECLAIR O BAG MINI EN TISSU CANVAS</v>
      </c>
      <c r="F119" s="18" t="str">
        <f t="shared" ca="1" si="13"/>
        <v>UNICA</v>
      </c>
      <c r="G119" s="10">
        <f t="shared" ca="1" si="13"/>
        <v>3</v>
      </c>
      <c r="H119" s="20">
        <f t="shared" ca="1" si="13"/>
        <v>7.08</v>
      </c>
      <c r="I119" s="22">
        <f t="shared" ca="1" si="13"/>
        <v>21.24</v>
      </c>
      <c r="J119" s="14" t="str">
        <f t="shared" ca="1" si="13"/>
        <v xml:space="preserve">MINICANVAS      </v>
      </c>
      <c r="K119" s="16" t="str">
        <f t="shared" ca="1" si="13"/>
        <v>WHITE</v>
      </c>
      <c r="L119" s="27">
        <f t="shared" ca="1" si="13"/>
        <v>0</v>
      </c>
      <c r="M119" s="29" t="str">
        <f t="shared" ca="1" si="13"/>
        <v>bianco</v>
      </c>
      <c r="N119" s="2" t="str">
        <f t="shared" ca="1" si="8"/>
        <v>8APAOPA*aaaaai+</v>
      </c>
    </row>
    <row r="120" spans="1:14" ht="31.5" x14ac:dyDescent="0.45">
      <c r="A120" s="3" t="str">
        <f t="shared" ca="1" si="13"/>
        <v>'113</v>
      </c>
      <c r="B120" s="3">
        <f t="shared" ca="1" si="13"/>
        <v>160</v>
      </c>
      <c r="C120" s="5">
        <f t="shared" ca="1" si="13"/>
        <v>8058980000000</v>
      </c>
      <c r="D120" s="8" t="str">
        <f t="shared" ca="1" si="13"/>
        <v>OBAGS002-TES01-009</v>
      </c>
      <c r="E120" s="12" t="str">
        <f t="shared" ca="1" si="13"/>
        <v>POCHETTE INTERIEURE FERMETURE ECLAIR O BAG MINI EN TISSU CANVAS</v>
      </c>
      <c r="F120" s="18" t="str">
        <f t="shared" ca="1" si="13"/>
        <v>UNICA</v>
      </c>
      <c r="G120" s="10">
        <f t="shared" ca="1" si="13"/>
        <v>3</v>
      </c>
      <c r="H120" s="20">
        <f t="shared" ca="1" si="13"/>
        <v>7.08</v>
      </c>
      <c r="I120" s="22">
        <f t="shared" ca="1" si="13"/>
        <v>21.24</v>
      </c>
      <c r="J120" s="14" t="str">
        <f t="shared" ca="1" si="13"/>
        <v xml:space="preserve">MINICANVAS      </v>
      </c>
      <c r="K120" s="16" t="str">
        <f t="shared" ca="1" si="13"/>
        <v xml:space="preserve">BLUE </v>
      </c>
      <c r="L120" s="27">
        <f t="shared" ca="1" si="13"/>
        <v>0</v>
      </c>
      <c r="M120" s="29" t="str">
        <f t="shared" ca="1" si="13"/>
        <v>blu</v>
      </c>
      <c r="N120" s="2" t="str">
        <f t="shared" ca="1" si="8"/>
        <v>8APITSA*aaaaaa+</v>
      </c>
    </row>
    <row r="121" spans="1:14" ht="31.5" x14ac:dyDescent="0.45">
      <c r="A121" s="3" t="str">
        <f t="shared" ref="A121:M130" ca="1" si="14">INDEX(INDIRECT($O$10),ROW(A121),COLUMN(A121))</f>
        <v>'114</v>
      </c>
      <c r="B121" s="3">
        <f t="shared" ca="1" si="14"/>
        <v>70</v>
      </c>
      <c r="C121" s="5">
        <f t="shared" ca="1" si="14"/>
        <v>8050450000000</v>
      </c>
      <c r="D121" s="8" t="str">
        <f t="shared" ca="1" si="14"/>
        <v>OBAGS002-TES01-054</v>
      </c>
      <c r="E121" s="12" t="str">
        <f t="shared" ca="1" si="14"/>
        <v>POCHETTE INTERIEURE FERMETURE ECLAIR O BAG MINI EN TISSU CANVAS</v>
      </c>
      <c r="F121" s="18" t="str">
        <f t="shared" ca="1" si="14"/>
        <v>UNICA</v>
      </c>
      <c r="G121" s="10">
        <f t="shared" ca="1" si="14"/>
        <v>4</v>
      </c>
      <c r="H121" s="20">
        <f t="shared" ca="1" si="14"/>
        <v>7.08</v>
      </c>
      <c r="I121" s="22">
        <f t="shared" ca="1" si="14"/>
        <v>28.32</v>
      </c>
      <c r="J121" s="14" t="str">
        <f t="shared" ca="1" si="14"/>
        <v xml:space="preserve">MINICANVAS      </v>
      </c>
      <c r="K121" s="16" t="str">
        <f t="shared" ca="1" si="14"/>
        <v>NATUR</v>
      </c>
      <c r="L121" s="27">
        <f t="shared" ca="1" si="14"/>
        <v>0</v>
      </c>
      <c r="M121" s="29" t="str">
        <f t="shared" ca="1" si="14"/>
        <v>naturale</v>
      </c>
      <c r="N121" s="2" t="str">
        <f t="shared" ca="1" si="8"/>
        <v>8APAOPA*aaaaai+</v>
      </c>
    </row>
    <row r="122" spans="1:14" ht="31.5" x14ac:dyDescent="0.45">
      <c r="A122" s="3" t="str">
        <f t="shared" ca="1" si="14"/>
        <v>'115</v>
      </c>
      <c r="B122" s="3">
        <f t="shared" ca="1" si="14"/>
        <v>101</v>
      </c>
      <c r="C122" s="5">
        <f t="shared" ca="1" si="14"/>
        <v>8050450000000</v>
      </c>
      <c r="D122" s="8" t="str">
        <f t="shared" ca="1" si="14"/>
        <v>OBAGS002-TES01-055</v>
      </c>
      <c r="E122" s="12" t="str">
        <f t="shared" ca="1" si="14"/>
        <v>POCHETTE INTERIEURE FERMETURE ECLAIR O BAG MINI EN TISSU CANVAS</v>
      </c>
      <c r="F122" s="18" t="str">
        <f t="shared" ca="1" si="14"/>
        <v>UNICA</v>
      </c>
      <c r="G122" s="10">
        <f t="shared" ca="1" si="14"/>
        <v>4</v>
      </c>
      <c r="H122" s="20">
        <f t="shared" ca="1" si="14"/>
        <v>7.08</v>
      </c>
      <c r="I122" s="22">
        <f t="shared" ca="1" si="14"/>
        <v>28.32</v>
      </c>
      <c r="J122" s="14" t="str">
        <f t="shared" ca="1" si="14"/>
        <v xml:space="preserve">MINICANVAS      </v>
      </c>
      <c r="K122" s="16" t="str">
        <f t="shared" ca="1" si="14"/>
        <v>BLACK</v>
      </c>
      <c r="L122" s="27">
        <f t="shared" ca="1" si="14"/>
        <v>0</v>
      </c>
      <c r="M122" s="29" t="str">
        <f t="shared" ca="1" si="14"/>
        <v>nero</v>
      </c>
      <c r="N122" s="2" t="str">
        <f t="shared" ca="1" si="8"/>
        <v>8APAOPA*aaaaai+</v>
      </c>
    </row>
    <row r="123" spans="1:14" ht="31.5" x14ac:dyDescent="0.45">
      <c r="A123" s="3" t="str">
        <f t="shared" ca="1" si="14"/>
        <v>'116</v>
      </c>
      <c r="B123" s="3">
        <f t="shared" ca="1" si="14"/>
        <v>155</v>
      </c>
      <c r="C123" s="5">
        <f t="shared" ca="1" si="14"/>
        <v>8050850000000</v>
      </c>
      <c r="D123" s="8" t="str">
        <f t="shared" ca="1" si="14"/>
        <v>OBAGS002-TESBG-227</v>
      </c>
      <c r="E123" s="12" t="str">
        <f t="shared" ca="1" si="14"/>
        <v>POCHETTE INTERIEURE FERMETURE ECLAIR O BAG MINI EN TISSU PRINCE DE GALLES+ FLEURS</v>
      </c>
      <c r="F123" s="18" t="str">
        <f t="shared" ca="1" si="14"/>
        <v>UNICA</v>
      </c>
      <c r="G123" s="10">
        <f t="shared" ca="1" si="14"/>
        <v>2</v>
      </c>
      <c r="H123" s="20">
        <f t="shared" ca="1" si="14"/>
        <v>13.33</v>
      </c>
      <c r="I123" s="22">
        <f t="shared" ca="1" si="14"/>
        <v>26.66</v>
      </c>
      <c r="J123" s="14" t="str">
        <f t="shared" ca="1" si="14"/>
        <v xml:space="preserve"> </v>
      </c>
      <c r="K123" s="16" t="str">
        <f t="shared" ca="1" si="14"/>
        <v xml:space="preserve"> </v>
      </c>
      <c r="L123" s="27" t="str">
        <f t="shared" ca="1" si="14"/>
        <v xml:space="preserve"> </v>
      </c>
      <c r="M123" s="29" t="str">
        <f t="shared" ca="1" si="14"/>
        <v>bianco/nero</v>
      </c>
      <c r="N123" s="2" t="str">
        <f t="shared" ca="1" si="8"/>
        <v>8APASPA*aaaaae+</v>
      </c>
    </row>
    <row r="124" spans="1:14" ht="31.5" x14ac:dyDescent="0.45">
      <c r="A124" s="3" t="str">
        <f t="shared" ca="1" si="14"/>
        <v>'117</v>
      </c>
      <c r="B124" s="3">
        <f t="shared" ca="1" si="14"/>
        <v>198</v>
      </c>
      <c r="C124" s="5">
        <f t="shared" ca="1" si="14"/>
        <v>8050850000000</v>
      </c>
      <c r="D124" s="8" t="str">
        <f t="shared" ca="1" si="14"/>
        <v>OBAGS002-TESBK-055</v>
      </c>
      <c r="E124" s="12" t="str">
        <f t="shared" ca="1" si="14"/>
        <v>POCHETTE INTERIEURE FERMETURE ECLAIR O BAG MINI EN TISSU DOUDOUNE Ã€ CHEVRONS</v>
      </c>
      <c r="F124" s="18" t="str">
        <f t="shared" ca="1" si="14"/>
        <v>UNICA</v>
      </c>
      <c r="G124" s="10">
        <f t="shared" ca="1" si="14"/>
        <v>2</v>
      </c>
      <c r="H124" s="20">
        <f t="shared" ca="1" si="14"/>
        <v>11.85</v>
      </c>
      <c r="I124" s="22">
        <f t="shared" ca="1" si="14"/>
        <v>23.7</v>
      </c>
      <c r="J124" s="14" t="str">
        <f t="shared" ca="1" si="14"/>
        <v xml:space="preserve"> </v>
      </c>
      <c r="K124" s="16" t="str">
        <f t="shared" ca="1" si="14"/>
        <v xml:space="preserve"> </v>
      </c>
      <c r="L124" s="27" t="str">
        <f t="shared" ca="1" si="14"/>
        <v xml:space="preserve"> </v>
      </c>
      <c r="M124" s="29" t="str">
        <f t="shared" ca="1" si="14"/>
        <v>nero</v>
      </c>
      <c r="N124" s="2" t="str">
        <f t="shared" ca="1" si="8"/>
        <v>8APASPA*aaaaae+</v>
      </c>
    </row>
    <row r="125" spans="1:14" ht="31.5" x14ac:dyDescent="0.45">
      <c r="A125" s="3" t="str">
        <f t="shared" ca="1" si="14"/>
        <v>'118</v>
      </c>
      <c r="B125" s="3">
        <f t="shared" ca="1" si="14"/>
        <v>79</v>
      </c>
      <c r="C125" s="5">
        <f t="shared" ca="1" si="14"/>
        <v>8050850000000</v>
      </c>
      <c r="D125" s="8" t="str">
        <f t="shared" ca="1" si="14"/>
        <v>OBAGS002-TESBK-137</v>
      </c>
      <c r="E125" s="12" t="str">
        <f t="shared" ca="1" si="14"/>
        <v>POCHETTE INTERIEURE FERMETURE ECLAIR O BAG MINI EN TISSU DOUDOUNE Ã€ CHEVRONS</v>
      </c>
      <c r="F125" s="18" t="str">
        <f t="shared" ca="1" si="14"/>
        <v>UNICA</v>
      </c>
      <c r="G125" s="10">
        <f t="shared" ca="1" si="14"/>
        <v>2</v>
      </c>
      <c r="H125" s="20">
        <f t="shared" ca="1" si="14"/>
        <v>11.85</v>
      </c>
      <c r="I125" s="22">
        <f t="shared" ca="1" si="14"/>
        <v>23.7</v>
      </c>
      <c r="J125" s="14" t="str">
        <f t="shared" ca="1" si="14"/>
        <v xml:space="preserve"> </v>
      </c>
      <c r="K125" s="16" t="str">
        <f t="shared" ca="1" si="14"/>
        <v xml:space="preserve"> </v>
      </c>
      <c r="L125" s="27" t="str">
        <f t="shared" ca="1" si="14"/>
        <v xml:space="preserve"> </v>
      </c>
      <c r="M125" s="29" t="str">
        <f t="shared" ca="1" si="14"/>
        <v>bluette</v>
      </c>
      <c r="N125" s="2" t="str">
        <f t="shared" ca="1" si="8"/>
        <v>8APASPA*aaaaae+</v>
      </c>
    </row>
    <row r="126" spans="1:14" ht="31.5" x14ac:dyDescent="0.45">
      <c r="A126" s="3" t="str">
        <f t="shared" ca="1" si="14"/>
        <v>'119</v>
      </c>
      <c r="B126" s="3">
        <f t="shared" ca="1" si="14"/>
        <v>8</v>
      </c>
      <c r="C126" s="5">
        <f t="shared" ca="1" si="14"/>
        <v>8050850000000</v>
      </c>
      <c r="D126" s="8" t="str">
        <f t="shared" ca="1" si="14"/>
        <v>OBAGS002-TESD5-067</v>
      </c>
      <c r="E126" s="12" t="str">
        <f t="shared" ca="1" si="14"/>
        <v>POCHETTE INTERIEURE FERMETURE ECLAIR O BAG MINI EN MICROFIBRE COULEUR UNIE</v>
      </c>
      <c r="F126" s="18" t="str">
        <f t="shared" ca="1" si="14"/>
        <v>UNICA</v>
      </c>
      <c r="G126" s="10">
        <f t="shared" ca="1" si="14"/>
        <v>2</v>
      </c>
      <c r="H126" s="20">
        <f t="shared" ca="1" si="14"/>
        <v>10.8</v>
      </c>
      <c r="I126" s="22">
        <f t="shared" ca="1" si="14"/>
        <v>21.6</v>
      </c>
      <c r="J126" s="14" t="str">
        <f t="shared" ca="1" si="14"/>
        <v xml:space="preserve"> </v>
      </c>
      <c r="K126" s="16" t="str">
        <f t="shared" ca="1" si="14"/>
        <v xml:space="preserve"> </v>
      </c>
      <c r="L126" s="27" t="str">
        <f t="shared" ca="1" si="14"/>
        <v xml:space="preserve"> </v>
      </c>
      <c r="M126" s="29" t="str">
        <f t="shared" ca="1" si="14"/>
        <v>phard</v>
      </c>
      <c r="N126" s="2" t="str">
        <f t="shared" ca="1" si="8"/>
        <v>8APASPA*aaaaae+</v>
      </c>
    </row>
    <row r="127" spans="1:14" ht="31.5" x14ac:dyDescent="0.45">
      <c r="A127" s="3" t="str">
        <f t="shared" ca="1" si="14"/>
        <v>'120</v>
      </c>
      <c r="B127" s="3">
        <f t="shared" ca="1" si="14"/>
        <v>144</v>
      </c>
      <c r="C127" s="5">
        <f t="shared" ca="1" si="14"/>
        <v>8050850000000</v>
      </c>
      <c r="D127" s="8" t="str">
        <f t="shared" ca="1" si="14"/>
        <v>OBAGS002-TESD5-615</v>
      </c>
      <c r="E127" s="12" t="str">
        <f t="shared" ca="1" si="14"/>
        <v>POCHETTE INTERIEURE FERMETURE ECLAIR O BAG MINI EN MICROFIBRE COULEUR UNIE</v>
      </c>
      <c r="F127" s="18" t="str">
        <f t="shared" ca="1" si="14"/>
        <v>UNICA</v>
      </c>
      <c r="G127" s="10">
        <f t="shared" ca="1" si="14"/>
        <v>2</v>
      </c>
      <c r="H127" s="20">
        <f t="shared" ca="1" si="14"/>
        <v>10.8</v>
      </c>
      <c r="I127" s="22">
        <f t="shared" ca="1" si="14"/>
        <v>21.6</v>
      </c>
      <c r="J127" s="14" t="str">
        <f t="shared" ca="1" si="14"/>
        <v xml:space="preserve"> </v>
      </c>
      <c r="K127" s="16" t="str">
        <f t="shared" ca="1" si="14"/>
        <v xml:space="preserve"> </v>
      </c>
      <c r="L127" s="27" t="str">
        <f t="shared" ca="1" si="14"/>
        <v xml:space="preserve"> </v>
      </c>
      <c r="M127" s="29" t="str">
        <f t="shared" ca="1" si="14"/>
        <v>military</v>
      </c>
      <c r="N127" s="2" t="str">
        <f t="shared" ca="1" si="8"/>
        <v>8APASPA*aaaaae+</v>
      </c>
    </row>
    <row r="128" spans="1:14" ht="31.5" x14ac:dyDescent="0.45">
      <c r="A128" s="3" t="str">
        <f t="shared" ca="1" si="14"/>
        <v>'121</v>
      </c>
      <c r="B128" s="3">
        <f t="shared" ca="1" si="14"/>
        <v>4</v>
      </c>
      <c r="C128" s="5" t="str">
        <f t="shared" ca="1" si="14"/>
        <v>CodeBarre</v>
      </c>
      <c r="D128" s="8" t="str">
        <f t="shared" ca="1" si="14"/>
        <v>OBAGS033-TESBG-227</v>
      </c>
      <c r="E128" s="12" t="str">
        <f t="shared" ca="1" si="14"/>
        <v>POCHETTE INTERIEURE FERMETURE ECLAIR O BAG URBAN EN TISSU PRINCE DE GALLES+ FLEURS</v>
      </c>
      <c r="F128" s="18" t="str">
        <f t="shared" ca="1" si="14"/>
        <v>UNICA</v>
      </c>
      <c r="G128" s="10">
        <f t="shared" ca="1" si="14"/>
        <v>2</v>
      </c>
      <c r="H128" s="20">
        <f t="shared" ca="1" si="14"/>
        <v>14.81</v>
      </c>
      <c r="I128" s="22">
        <f t="shared" ca="1" si="14"/>
        <v>29.62</v>
      </c>
      <c r="J128" s="14" t="str">
        <f t="shared" ca="1" si="14"/>
        <v>CodeBarre</v>
      </c>
      <c r="K128" s="16" t="str">
        <f t="shared" ca="1" si="14"/>
        <v>CodeBarre</v>
      </c>
      <c r="L128" s="27" t="str">
        <f t="shared" ca="1" si="14"/>
        <v>CodeBarre</v>
      </c>
      <c r="M128" s="29" t="str">
        <f t="shared" ca="1" si="14"/>
        <v>CodeBarre</v>
      </c>
      <c r="N128" s="2" t="str">
        <f t="shared" ca="1" si="8"/>
        <v/>
      </c>
    </row>
    <row r="129" spans="1:14" ht="31.5" x14ac:dyDescent="0.45">
      <c r="A129" s="3" t="str">
        <f t="shared" ca="1" si="14"/>
        <v>'122</v>
      </c>
      <c r="B129" s="3">
        <f t="shared" ca="1" si="14"/>
        <v>170</v>
      </c>
      <c r="C129" s="5">
        <f t="shared" ca="1" si="14"/>
        <v>8050850000000</v>
      </c>
      <c r="D129" s="8" t="str">
        <f t="shared" ca="1" si="14"/>
        <v>OBAGS033-TESBI-227</v>
      </c>
      <c r="E129" s="12" t="str">
        <f t="shared" ca="1" si="14"/>
        <v>POCHETTE INTERIEURE FERMETURE ECLAIR O BAG URBAN EN TISSU MARBLE</v>
      </c>
      <c r="F129" s="18" t="str">
        <f t="shared" ca="1" si="14"/>
        <v>UNICA</v>
      </c>
      <c r="G129" s="10">
        <f t="shared" ca="1" si="14"/>
        <v>2</v>
      </c>
      <c r="H129" s="20">
        <f t="shared" ca="1" si="14"/>
        <v>13.33</v>
      </c>
      <c r="I129" s="22">
        <f t="shared" ca="1" si="14"/>
        <v>26.66</v>
      </c>
      <c r="J129" s="14" t="str">
        <f t="shared" ca="1" si="14"/>
        <v xml:space="preserve"> </v>
      </c>
      <c r="K129" s="16" t="str">
        <f t="shared" ca="1" si="14"/>
        <v xml:space="preserve"> </v>
      </c>
      <c r="L129" s="27" t="str">
        <f t="shared" ca="1" si="14"/>
        <v xml:space="preserve"> </v>
      </c>
      <c r="M129" s="29" t="str">
        <f t="shared" ca="1" si="14"/>
        <v>bianco/nero</v>
      </c>
      <c r="N129" s="2" t="str">
        <f t="shared" ca="1" si="8"/>
        <v>8APASPA*aaaaae+</v>
      </c>
    </row>
    <row r="130" spans="1:14" ht="31.5" x14ac:dyDescent="0.45">
      <c r="A130" s="3" t="str">
        <f t="shared" ca="1" si="14"/>
        <v>'123</v>
      </c>
      <c r="B130" s="3">
        <f t="shared" ca="1" si="14"/>
        <v>52</v>
      </c>
      <c r="C130" s="5">
        <f t="shared" ca="1" si="14"/>
        <v>8050850000000</v>
      </c>
      <c r="D130" s="8" t="str">
        <f t="shared" ca="1" si="14"/>
        <v>OBAGS033-TESBK-055</v>
      </c>
      <c r="E130" s="12" t="str">
        <f t="shared" ca="1" si="14"/>
        <v>POCHETTE INTERIEURE FERMETURE ECLAIR O BAG URBAN EN TISSU DOUDOUNE Ã€ CHEVRONS</v>
      </c>
      <c r="F130" s="18" t="str">
        <f t="shared" ca="1" si="14"/>
        <v>UNICA</v>
      </c>
      <c r="G130" s="10">
        <f t="shared" ca="1" si="14"/>
        <v>2</v>
      </c>
      <c r="H130" s="20">
        <f t="shared" ca="1" si="14"/>
        <v>12.59</v>
      </c>
      <c r="I130" s="22">
        <f t="shared" ca="1" si="14"/>
        <v>25.18</v>
      </c>
      <c r="J130" s="14" t="str">
        <f t="shared" ca="1" si="14"/>
        <v xml:space="preserve"> </v>
      </c>
      <c r="K130" s="16" t="str">
        <f t="shared" ca="1" si="14"/>
        <v xml:space="preserve"> </v>
      </c>
      <c r="L130" s="27" t="str">
        <f t="shared" ca="1" si="14"/>
        <v xml:space="preserve"> </v>
      </c>
      <c r="M130" s="29" t="str">
        <f t="shared" ca="1" si="14"/>
        <v>nero</v>
      </c>
      <c r="N130" s="2" t="str">
        <f t="shared" ca="1" si="8"/>
        <v>8APASPA*aaaaae+</v>
      </c>
    </row>
    <row r="131" spans="1:14" ht="31.5" x14ac:dyDescent="0.45">
      <c r="A131" s="3" t="str">
        <f t="shared" ref="A131:M140" ca="1" si="15">INDEX(INDIRECT($O$10),ROW(A131),COLUMN(A131))</f>
        <v>'124</v>
      </c>
      <c r="B131" s="3">
        <f t="shared" ca="1" si="15"/>
        <v>171</v>
      </c>
      <c r="C131" s="5">
        <f t="shared" ca="1" si="15"/>
        <v>8050850000000</v>
      </c>
      <c r="D131" s="8" t="str">
        <f t="shared" ca="1" si="15"/>
        <v>OBAGS033-TESBK-137</v>
      </c>
      <c r="E131" s="12" t="str">
        <f t="shared" ca="1" si="15"/>
        <v>POCHETTE INTERIEURE FERMETURE ECLAIR O BAG URBAN EN TISSU DOUDOUNE Ã€ CHEVRONS</v>
      </c>
      <c r="F131" s="18" t="str">
        <f t="shared" ca="1" si="15"/>
        <v>UNICA</v>
      </c>
      <c r="G131" s="10">
        <f t="shared" ca="1" si="15"/>
        <v>2</v>
      </c>
      <c r="H131" s="20">
        <f t="shared" ca="1" si="15"/>
        <v>12.59</v>
      </c>
      <c r="I131" s="22">
        <f t="shared" ca="1" si="15"/>
        <v>25.18</v>
      </c>
      <c r="J131" s="14" t="str">
        <f t="shared" ca="1" si="15"/>
        <v xml:space="preserve"> </v>
      </c>
      <c r="K131" s="16" t="str">
        <f t="shared" ca="1" si="15"/>
        <v xml:space="preserve"> </v>
      </c>
      <c r="L131" s="27" t="str">
        <f t="shared" ca="1" si="15"/>
        <v xml:space="preserve"> </v>
      </c>
      <c r="M131" s="29" t="str">
        <f t="shared" ca="1" si="15"/>
        <v>bluette</v>
      </c>
      <c r="N131" s="2" t="str">
        <f t="shared" ca="1" si="8"/>
        <v>8APASPA*aaaaae+</v>
      </c>
    </row>
    <row r="132" spans="1:14" ht="31.5" x14ac:dyDescent="0.45">
      <c r="A132" s="3" t="str">
        <f t="shared" ca="1" si="15"/>
        <v>'125</v>
      </c>
      <c r="B132" s="3">
        <f t="shared" ca="1" si="15"/>
        <v>27</v>
      </c>
      <c r="C132" s="5">
        <f t="shared" ca="1" si="15"/>
        <v>8050850000000</v>
      </c>
      <c r="D132" s="8" t="str">
        <f t="shared" ca="1" si="15"/>
        <v>OBAGS033-TESBN-615</v>
      </c>
      <c r="E132" s="12" t="str">
        <f t="shared" ca="1" si="15"/>
        <v>POCHETTE INTERIEURE FERMETURE ECLAIR O BAG URBAN EN TISSU IMPRIME CHECK</v>
      </c>
      <c r="F132" s="18" t="str">
        <f t="shared" ca="1" si="15"/>
        <v>UNICA</v>
      </c>
      <c r="G132" s="10">
        <f t="shared" ca="1" si="15"/>
        <v>2</v>
      </c>
      <c r="H132" s="20">
        <f t="shared" ca="1" si="15"/>
        <v>14.81</v>
      </c>
      <c r="I132" s="22">
        <f t="shared" ca="1" si="15"/>
        <v>29.62</v>
      </c>
      <c r="J132" s="14" t="str">
        <f t="shared" ca="1" si="15"/>
        <v xml:space="preserve"> </v>
      </c>
      <c r="K132" s="16" t="str">
        <f t="shared" ca="1" si="15"/>
        <v xml:space="preserve"> </v>
      </c>
      <c r="L132" s="27" t="str">
        <f t="shared" ca="1" si="15"/>
        <v xml:space="preserve"> </v>
      </c>
      <c r="M132" s="29" t="str">
        <f t="shared" ca="1" si="15"/>
        <v>military</v>
      </c>
      <c r="N132" s="2" t="str">
        <f t="shared" ref="N132:N151" ca="1" si="16">IF(ISNUMBER($C132),codeEAN13(INT(C132/10)),"")</f>
        <v>8APASPA*aaaaae+</v>
      </c>
    </row>
    <row r="133" spans="1:14" ht="31.5" x14ac:dyDescent="0.45">
      <c r="A133" s="3" t="str">
        <f t="shared" ca="1" si="15"/>
        <v>'126</v>
      </c>
      <c r="B133" s="3">
        <f t="shared" ca="1" si="15"/>
        <v>44</v>
      </c>
      <c r="C133" s="5">
        <f t="shared" ca="1" si="15"/>
        <v>8050850000000</v>
      </c>
      <c r="D133" s="8" t="str">
        <f t="shared" ca="1" si="15"/>
        <v>OBAGS033-TESD5-055</v>
      </c>
      <c r="E133" s="12" t="str">
        <f t="shared" ca="1" si="15"/>
        <v>POCHETTE INTERIEURE FERMETURE ECLAIR O BAG URBAN EN MICROFIBRE COULEUR UNIE</v>
      </c>
      <c r="F133" s="18" t="str">
        <f t="shared" ca="1" si="15"/>
        <v>UNICA</v>
      </c>
      <c r="G133" s="10">
        <f t="shared" ca="1" si="15"/>
        <v>3</v>
      </c>
      <c r="H133" s="20">
        <f t="shared" ca="1" si="15"/>
        <v>11.85</v>
      </c>
      <c r="I133" s="22">
        <f t="shared" ca="1" si="15"/>
        <v>35.549999999999997</v>
      </c>
      <c r="J133" s="14" t="str">
        <f t="shared" ca="1" si="15"/>
        <v xml:space="preserve"> </v>
      </c>
      <c r="K133" s="16" t="str">
        <f t="shared" ca="1" si="15"/>
        <v xml:space="preserve"> </v>
      </c>
      <c r="L133" s="27" t="str">
        <f t="shared" ca="1" si="15"/>
        <v xml:space="preserve"> </v>
      </c>
      <c r="M133" s="29" t="str">
        <f t="shared" ca="1" si="15"/>
        <v>nero</v>
      </c>
      <c r="N133" s="2" t="str">
        <f t="shared" ca="1" si="16"/>
        <v>8APASPA*aaaaae+</v>
      </c>
    </row>
    <row r="134" spans="1:14" ht="31.5" x14ac:dyDescent="0.45">
      <c r="A134" s="3" t="str">
        <f t="shared" ca="1" si="15"/>
        <v>'127</v>
      </c>
      <c r="B134" s="3">
        <f t="shared" ca="1" si="15"/>
        <v>113</v>
      </c>
      <c r="C134" s="5">
        <f t="shared" ca="1" si="15"/>
        <v>8050850000000</v>
      </c>
      <c r="D134" s="8" t="str">
        <f t="shared" ca="1" si="15"/>
        <v>OBAGS033-TESD5-078</v>
      </c>
      <c r="E134" s="12" t="str">
        <f t="shared" ca="1" si="15"/>
        <v>POCHETTE INTERIEURE FERMETURE ECLAIR O BAG URBAN EN MICROFIBRE COULEUR UNIE</v>
      </c>
      <c r="F134" s="18" t="str">
        <f t="shared" ca="1" si="15"/>
        <v>UNICA</v>
      </c>
      <c r="G134" s="10">
        <f t="shared" ca="1" si="15"/>
        <v>1</v>
      </c>
      <c r="H134" s="20">
        <f t="shared" ca="1" si="15"/>
        <v>11.85</v>
      </c>
      <c r="I134" s="22">
        <f t="shared" ca="1" si="15"/>
        <v>11.85</v>
      </c>
      <c r="J134" s="14" t="str">
        <f t="shared" ca="1" si="15"/>
        <v xml:space="preserve"> </v>
      </c>
      <c r="K134" s="16" t="str">
        <f t="shared" ca="1" si="15"/>
        <v xml:space="preserve"> </v>
      </c>
      <c r="L134" s="27" t="str">
        <f t="shared" ca="1" si="15"/>
        <v xml:space="preserve"> </v>
      </c>
      <c r="M134" s="29" t="str">
        <f t="shared" ca="1" si="15"/>
        <v>sabbia</v>
      </c>
      <c r="N134" s="2" t="str">
        <f t="shared" ca="1" si="16"/>
        <v>8APASPA*aaaaae+</v>
      </c>
    </row>
    <row r="135" spans="1:14" ht="31.5" x14ac:dyDescent="0.45">
      <c r="A135" s="3" t="str">
        <f t="shared" ca="1" si="15"/>
        <v>'128</v>
      </c>
      <c r="B135" s="3">
        <f t="shared" ca="1" si="15"/>
        <v>185</v>
      </c>
      <c r="C135" s="5">
        <f t="shared" ca="1" si="15"/>
        <v>8050850000000</v>
      </c>
      <c r="D135" s="8" t="str">
        <f t="shared" ca="1" si="15"/>
        <v>OBAGS033-TESD5-615</v>
      </c>
      <c r="E135" s="12" t="str">
        <f t="shared" ca="1" si="15"/>
        <v>POCHETTE INTERIEURE FERMETURE ECLAIR O BAG URBAN EN MICROFIBRE COULEUR UNIE</v>
      </c>
      <c r="F135" s="18" t="str">
        <f t="shared" ca="1" si="15"/>
        <v>UNICA</v>
      </c>
      <c r="G135" s="10">
        <f t="shared" ca="1" si="15"/>
        <v>3</v>
      </c>
      <c r="H135" s="20">
        <f t="shared" ca="1" si="15"/>
        <v>11.85</v>
      </c>
      <c r="I135" s="22">
        <f t="shared" ca="1" si="15"/>
        <v>35.549999999999997</v>
      </c>
      <c r="J135" s="14" t="str">
        <f t="shared" ca="1" si="15"/>
        <v xml:space="preserve"> </v>
      </c>
      <c r="K135" s="16" t="str">
        <f t="shared" ca="1" si="15"/>
        <v xml:space="preserve"> </v>
      </c>
      <c r="L135" s="27" t="str">
        <f t="shared" ca="1" si="15"/>
        <v xml:space="preserve"> </v>
      </c>
      <c r="M135" s="29" t="str">
        <f t="shared" ca="1" si="15"/>
        <v>military</v>
      </c>
      <c r="N135" s="2" t="str">
        <f t="shared" ca="1" si="16"/>
        <v>8APASPA*aaaaae+</v>
      </c>
    </row>
    <row r="136" spans="1:14" ht="31.5" x14ac:dyDescent="0.45">
      <c r="A136" s="3" t="str">
        <f t="shared" ca="1" si="15"/>
        <v>'129</v>
      </c>
      <c r="B136" s="3">
        <f t="shared" ca="1" si="15"/>
        <v>216</v>
      </c>
      <c r="C136" s="5">
        <f t="shared" ca="1" si="15"/>
        <v>8050850000000</v>
      </c>
      <c r="D136" s="8" t="str">
        <f t="shared" ca="1" si="15"/>
        <v>OBAGS034-TESD5-009</v>
      </c>
      <c r="E136" s="12" t="str">
        <f t="shared" ca="1" si="15"/>
        <v>POCHETTE INTERIEURE FERMETURE ECLAIR O BAG GLAM EN MICROFIBRE COULEUR UNIE</v>
      </c>
      <c r="F136" s="18" t="str">
        <f t="shared" ca="1" si="15"/>
        <v>UNICA</v>
      </c>
      <c r="G136" s="10">
        <f t="shared" ca="1" si="15"/>
        <v>2</v>
      </c>
      <c r="H136" s="20">
        <f t="shared" ca="1" si="15"/>
        <v>10.74</v>
      </c>
      <c r="I136" s="22">
        <f t="shared" ca="1" si="15"/>
        <v>21.48</v>
      </c>
      <c r="J136" s="14" t="str">
        <f t="shared" ca="1" si="15"/>
        <v xml:space="preserve"> </v>
      </c>
      <c r="K136" s="16" t="str">
        <f t="shared" ca="1" si="15"/>
        <v xml:space="preserve"> </v>
      </c>
      <c r="L136" s="27" t="str">
        <f t="shared" ca="1" si="15"/>
        <v xml:space="preserve"> </v>
      </c>
      <c r="M136" s="29" t="str">
        <f t="shared" ca="1" si="15"/>
        <v>blu</v>
      </c>
      <c r="N136" s="2" t="str">
        <f t="shared" ca="1" si="16"/>
        <v>8APASPA*aaaaae+</v>
      </c>
    </row>
    <row r="137" spans="1:14" ht="31.5" x14ac:dyDescent="0.45">
      <c r="A137" s="3" t="str">
        <f t="shared" ca="1" si="15"/>
        <v>'130</v>
      </c>
      <c r="B137" s="3">
        <f t="shared" ca="1" si="15"/>
        <v>19</v>
      </c>
      <c r="C137" s="5">
        <f t="shared" ca="1" si="15"/>
        <v>8050850000000</v>
      </c>
      <c r="D137" s="8" t="str">
        <f t="shared" ca="1" si="15"/>
        <v>OBAGS034-TESD5-055</v>
      </c>
      <c r="E137" s="12" t="str">
        <f t="shared" ca="1" si="15"/>
        <v>POCHETTE INTERIEURE FERMETURE ECLAIR O BAG GLAM EN MICROFIBRE COULEUR UNIE</v>
      </c>
      <c r="F137" s="18" t="str">
        <f t="shared" ca="1" si="15"/>
        <v>UNICA</v>
      </c>
      <c r="G137" s="10">
        <f t="shared" ca="1" si="15"/>
        <v>2</v>
      </c>
      <c r="H137" s="20">
        <f t="shared" ca="1" si="15"/>
        <v>10.74</v>
      </c>
      <c r="I137" s="22">
        <f t="shared" ca="1" si="15"/>
        <v>21.48</v>
      </c>
      <c r="J137" s="14" t="str">
        <f t="shared" ca="1" si="15"/>
        <v xml:space="preserve">CANOGLAM        </v>
      </c>
      <c r="K137" s="16" t="str">
        <f t="shared" ca="1" si="15"/>
        <v>MIBLA</v>
      </c>
      <c r="L137" s="27">
        <f t="shared" ca="1" si="15"/>
        <v>0</v>
      </c>
      <c r="M137" s="29" t="str">
        <f t="shared" ca="1" si="15"/>
        <v>nero</v>
      </c>
      <c r="N137" s="2" t="str">
        <f t="shared" ca="1" si="16"/>
        <v>8APASPA*aaaaae+</v>
      </c>
    </row>
    <row r="138" spans="1:14" ht="31.5" x14ac:dyDescent="0.45">
      <c r="A138" s="3" t="str">
        <f t="shared" ca="1" si="15"/>
        <v>'131</v>
      </c>
      <c r="B138" s="3">
        <f t="shared" ca="1" si="15"/>
        <v>174</v>
      </c>
      <c r="C138" s="5">
        <f t="shared" ca="1" si="15"/>
        <v>8050850000000</v>
      </c>
      <c r="D138" s="8" t="str">
        <f t="shared" ca="1" si="15"/>
        <v>OBAGS034-TESD5-078</v>
      </c>
      <c r="E138" s="12" t="str">
        <f t="shared" ca="1" si="15"/>
        <v>POCHETTE INTERIEURE FERMETURE ECLAIR O BAG GLAM EN MICROFIBRE COULEUR UNIE</v>
      </c>
      <c r="F138" s="18" t="str">
        <f t="shared" ca="1" si="15"/>
        <v>UNICA</v>
      </c>
      <c r="G138" s="10">
        <f t="shared" ca="1" si="15"/>
        <v>2</v>
      </c>
      <c r="H138" s="20">
        <f t="shared" ca="1" si="15"/>
        <v>10.74</v>
      </c>
      <c r="I138" s="22">
        <f t="shared" ca="1" si="15"/>
        <v>21.48</v>
      </c>
      <c r="J138" s="14" t="str">
        <f t="shared" ca="1" si="15"/>
        <v xml:space="preserve"> </v>
      </c>
      <c r="K138" s="16" t="str">
        <f t="shared" ca="1" si="15"/>
        <v xml:space="preserve"> </v>
      </c>
      <c r="L138" s="27" t="str">
        <f t="shared" ca="1" si="15"/>
        <v xml:space="preserve"> </v>
      </c>
      <c r="M138" s="29" t="str">
        <f t="shared" ca="1" si="15"/>
        <v>sabbia</v>
      </c>
      <c r="N138" s="2" t="str">
        <f t="shared" ca="1" si="16"/>
        <v>8APASPA*aaaaae+</v>
      </c>
    </row>
    <row r="139" spans="1:14" ht="31.5" x14ac:dyDescent="0.45">
      <c r="A139" s="3" t="str">
        <f t="shared" ca="1" si="15"/>
        <v>'132</v>
      </c>
      <c r="B139" s="3">
        <f t="shared" ca="1" si="15"/>
        <v>124</v>
      </c>
      <c r="C139" s="5">
        <f t="shared" ca="1" si="15"/>
        <v>8050850000000</v>
      </c>
      <c r="D139" s="8" t="str">
        <f t="shared" ca="1" si="15"/>
        <v>OBAGS034-TESD5-371</v>
      </c>
      <c r="E139" s="12" t="str">
        <f t="shared" ca="1" si="15"/>
        <v>POCHETTE INTERIEURE FERMETURE ECLAIR O BAG GLAM EN MICROFIBRE COULEUR UNIE</v>
      </c>
      <c r="F139" s="18" t="str">
        <f t="shared" ca="1" si="15"/>
        <v>UNICA</v>
      </c>
      <c r="G139" s="10">
        <f t="shared" ca="1" si="15"/>
        <v>2</v>
      </c>
      <c r="H139" s="20">
        <f t="shared" ca="1" si="15"/>
        <v>10.74</v>
      </c>
      <c r="I139" s="22">
        <f t="shared" ca="1" si="15"/>
        <v>21.48</v>
      </c>
      <c r="J139" s="14" t="str">
        <f t="shared" ca="1" si="15"/>
        <v xml:space="preserve">CANOGLAM        </v>
      </c>
      <c r="K139" s="16" t="str">
        <f t="shared" ca="1" si="15"/>
        <v>MICLA</v>
      </c>
      <c r="L139" s="27">
        <f t="shared" ca="1" si="15"/>
        <v>0</v>
      </c>
      <c r="M139" s="29" t="str">
        <f t="shared" ca="1" si="15"/>
        <v>latte</v>
      </c>
      <c r="N139" s="2" t="str">
        <f t="shared" ca="1" si="16"/>
        <v>8APASPA*aaaaae+</v>
      </c>
    </row>
    <row r="140" spans="1:14" ht="31.5" x14ac:dyDescent="0.45">
      <c r="A140" s="3" t="str">
        <f t="shared" ca="1" si="15"/>
        <v>'133</v>
      </c>
      <c r="B140" s="3">
        <f t="shared" ca="1" si="15"/>
        <v>20</v>
      </c>
      <c r="C140" s="5">
        <f t="shared" ca="1" si="15"/>
        <v>8050850000000</v>
      </c>
      <c r="D140" s="8" t="str">
        <f t="shared" ca="1" si="15"/>
        <v>OBAGS034-TESD5-615</v>
      </c>
      <c r="E140" s="12" t="str">
        <f t="shared" ca="1" si="15"/>
        <v>POCHETTE INTERIEURE FERMETURE ECLAIR O BAG GLAM EN MICROFIBRE COULEUR UNIE</v>
      </c>
      <c r="F140" s="18" t="str">
        <f t="shared" ca="1" si="15"/>
        <v>UNICA</v>
      </c>
      <c r="G140" s="10">
        <f t="shared" ca="1" si="15"/>
        <v>2</v>
      </c>
      <c r="H140" s="20">
        <f t="shared" ca="1" si="15"/>
        <v>10.74</v>
      </c>
      <c r="I140" s="22">
        <f t="shared" ca="1" si="15"/>
        <v>21.48</v>
      </c>
      <c r="J140" s="14" t="str">
        <f t="shared" ca="1" si="15"/>
        <v xml:space="preserve"> </v>
      </c>
      <c r="K140" s="16" t="str">
        <f t="shared" ca="1" si="15"/>
        <v xml:space="preserve"> </v>
      </c>
      <c r="L140" s="27" t="str">
        <f t="shared" ca="1" si="15"/>
        <v xml:space="preserve"> </v>
      </c>
      <c r="M140" s="29" t="str">
        <f t="shared" ca="1" si="15"/>
        <v>military</v>
      </c>
      <c r="N140" s="2" t="str">
        <f t="shared" ca="1" si="16"/>
        <v>8APASPA*aaaaae+</v>
      </c>
    </row>
    <row r="141" spans="1:14" ht="31.5" x14ac:dyDescent="0.45">
      <c r="A141" s="3" t="str">
        <f t="shared" ref="A141:M150" ca="1" si="17">INDEX(INDIRECT($O$10),ROW(A141),COLUMN(A141))</f>
        <v>'134</v>
      </c>
      <c r="B141" s="3">
        <f t="shared" ca="1" si="17"/>
        <v>95</v>
      </c>
      <c r="C141" s="5">
        <f t="shared" ca="1" si="17"/>
        <v>8050850000000</v>
      </c>
      <c r="D141" s="8" t="str">
        <f t="shared" ca="1" si="17"/>
        <v>OBAGS533-TESBF-076</v>
      </c>
      <c r="E141" s="12" t="str">
        <f t="shared" ca="1" si="17"/>
        <v>POCHETTE INTERIEURE OVER O BAG URBAN EN TISSU CORDURA CONTRASTE</v>
      </c>
      <c r="F141" s="18" t="str">
        <f t="shared" ca="1" si="17"/>
        <v>UNICA</v>
      </c>
      <c r="G141" s="10">
        <f t="shared" ca="1" si="17"/>
        <v>1</v>
      </c>
      <c r="H141" s="20">
        <f t="shared" ca="1" si="17"/>
        <v>14.81</v>
      </c>
      <c r="I141" s="22">
        <f t="shared" ca="1" si="17"/>
        <v>14.81</v>
      </c>
      <c r="J141" s="14" t="str">
        <f t="shared" ca="1" si="17"/>
        <v xml:space="preserve"> </v>
      </c>
      <c r="K141" s="16" t="str">
        <f t="shared" ca="1" si="17"/>
        <v xml:space="preserve"> </v>
      </c>
      <c r="L141" s="27" t="str">
        <f t="shared" ca="1" si="17"/>
        <v xml:space="preserve"> </v>
      </c>
      <c r="M141" s="29" t="str">
        <f t="shared" ca="1" si="17"/>
        <v>rosso</v>
      </c>
      <c r="N141" s="2" t="str">
        <f t="shared" ca="1" si="16"/>
        <v>8APASPA*aaaaae+</v>
      </c>
    </row>
    <row r="142" spans="1:14" ht="31.5" x14ac:dyDescent="0.45">
      <c r="A142" s="3" t="str">
        <f t="shared" ca="1" si="17"/>
        <v>'135</v>
      </c>
      <c r="B142" s="3">
        <f t="shared" ca="1" si="17"/>
        <v>161</v>
      </c>
      <c r="C142" s="5">
        <f t="shared" ca="1" si="17"/>
        <v>8050850000000</v>
      </c>
      <c r="D142" s="8" t="str">
        <f t="shared" ca="1" si="17"/>
        <v>OBAGS533-TESBF-137</v>
      </c>
      <c r="E142" s="12" t="str">
        <f t="shared" ca="1" si="17"/>
        <v>POCHETTE INTERIEURE OVER O BAG URBAN EN TISSU CORDURA CONTRASTE</v>
      </c>
      <c r="F142" s="18" t="str">
        <f t="shared" ca="1" si="17"/>
        <v>UNICA</v>
      </c>
      <c r="G142" s="10">
        <f t="shared" ca="1" si="17"/>
        <v>1</v>
      </c>
      <c r="H142" s="20">
        <f t="shared" ca="1" si="17"/>
        <v>14.81</v>
      </c>
      <c r="I142" s="22">
        <f t="shared" ca="1" si="17"/>
        <v>14.81</v>
      </c>
      <c r="J142" s="14" t="str">
        <f t="shared" ca="1" si="17"/>
        <v xml:space="preserve"> </v>
      </c>
      <c r="K142" s="16" t="str">
        <f t="shared" ca="1" si="17"/>
        <v xml:space="preserve"> </v>
      </c>
      <c r="L142" s="27" t="str">
        <f t="shared" ca="1" si="17"/>
        <v xml:space="preserve"> </v>
      </c>
      <c r="M142" s="29" t="str">
        <f t="shared" ca="1" si="17"/>
        <v>bluette</v>
      </c>
      <c r="N142" s="2" t="str">
        <f t="shared" ca="1" si="16"/>
        <v>8APASPA*aaaaae+</v>
      </c>
    </row>
    <row r="143" spans="1:14" ht="31.5" x14ac:dyDescent="0.45">
      <c r="A143" s="3" t="str">
        <f t="shared" ca="1" si="17"/>
        <v>'136</v>
      </c>
      <c r="B143" s="3">
        <f t="shared" ca="1" si="17"/>
        <v>138</v>
      </c>
      <c r="C143" s="5">
        <f t="shared" ca="1" si="17"/>
        <v>8050850000000</v>
      </c>
      <c r="D143" s="8" t="str">
        <f t="shared" ca="1" si="17"/>
        <v>OBAGS601-TESBB-615</v>
      </c>
      <c r="E143" s="12" t="str">
        <f t="shared" ca="1" si="17"/>
        <v>POCHETTE INTERIEURE SWITCH O BAG EN TISSU IMPRIME DIANTHUS</v>
      </c>
      <c r="F143" s="18" t="str">
        <f t="shared" ca="1" si="17"/>
        <v>UNICA</v>
      </c>
      <c r="G143" s="10">
        <f t="shared" ca="1" si="17"/>
        <v>2</v>
      </c>
      <c r="H143" s="20">
        <f t="shared" ca="1" si="17"/>
        <v>13.33</v>
      </c>
      <c r="I143" s="22">
        <f t="shared" ca="1" si="17"/>
        <v>26.66</v>
      </c>
      <c r="J143" s="14" t="str">
        <f t="shared" ca="1" si="17"/>
        <v xml:space="preserve"> </v>
      </c>
      <c r="K143" s="16" t="str">
        <f t="shared" ca="1" si="17"/>
        <v xml:space="preserve"> </v>
      </c>
      <c r="L143" s="27" t="str">
        <f t="shared" ca="1" si="17"/>
        <v xml:space="preserve"> </v>
      </c>
      <c r="M143" s="29" t="str">
        <f t="shared" ca="1" si="17"/>
        <v>military</v>
      </c>
      <c r="N143" s="2" t="str">
        <f t="shared" ca="1" si="16"/>
        <v>8APASPA*aaaaae+</v>
      </c>
    </row>
    <row r="144" spans="1:14" ht="31.5" x14ac:dyDescent="0.45">
      <c r="A144" s="3" t="str">
        <f t="shared" ca="1" si="17"/>
        <v>'137</v>
      </c>
      <c r="B144" s="3">
        <f t="shared" ca="1" si="17"/>
        <v>146</v>
      </c>
      <c r="C144" s="5">
        <f t="shared" ca="1" si="17"/>
        <v>8050850000000</v>
      </c>
      <c r="D144" s="8" t="str">
        <f t="shared" ca="1" si="17"/>
        <v>OBAGS601-TESBD-227</v>
      </c>
      <c r="E144" s="12" t="str">
        <f t="shared" ca="1" si="17"/>
        <v>POCHETTE INTERIEURE SWITCH O BAG EN TISSU CHECK EFFET LAINE</v>
      </c>
      <c r="F144" s="18" t="str">
        <f t="shared" ca="1" si="17"/>
        <v>UNICA</v>
      </c>
      <c r="G144" s="10">
        <f t="shared" ca="1" si="17"/>
        <v>2</v>
      </c>
      <c r="H144" s="20">
        <f t="shared" ca="1" si="17"/>
        <v>11.85</v>
      </c>
      <c r="I144" s="22">
        <f t="shared" ca="1" si="17"/>
        <v>23.7</v>
      </c>
      <c r="J144" s="14" t="str">
        <f t="shared" ca="1" si="17"/>
        <v xml:space="preserve"> </v>
      </c>
      <c r="K144" s="16" t="str">
        <f t="shared" ca="1" si="17"/>
        <v xml:space="preserve"> </v>
      </c>
      <c r="L144" s="27" t="str">
        <f t="shared" ca="1" si="17"/>
        <v xml:space="preserve"> </v>
      </c>
      <c r="M144" s="29" t="str">
        <f t="shared" ca="1" si="17"/>
        <v>bianco/nero</v>
      </c>
      <c r="N144" s="2" t="str">
        <f t="shared" ca="1" si="16"/>
        <v>8APASPA*aaaaae+</v>
      </c>
    </row>
    <row r="145" spans="1:14" ht="31.5" x14ac:dyDescent="0.45">
      <c r="A145" s="3" t="str">
        <f t="shared" ca="1" si="17"/>
        <v>'138</v>
      </c>
      <c r="B145" s="3">
        <f t="shared" ca="1" si="17"/>
        <v>195</v>
      </c>
      <c r="C145" s="5">
        <f t="shared" ca="1" si="17"/>
        <v>8050850000000</v>
      </c>
      <c r="D145" s="8" t="str">
        <f t="shared" ca="1" si="17"/>
        <v>OBAGS601-TESBF-076</v>
      </c>
      <c r="E145" s="12" t="str">
        <f t="shared" ca="1" si="17"/>
        <v>POCHETTE INTERIEURE SWITCH O BAG EN TISSU CORDURA CONTRASTE</v>
      </c>
      <c r="F145" s="18" t="str">
        <f t="shared" ca="1" si="17"/>
        <v>UNICA</v>
      </c>
      <c r="G145" s="10">
        <f t="shared" ca="1" si="17"/>
        <v>2</v>
      </c>
      <c r="H145" s="20">
        <f t="shared" ca="1" si="17"/>
        <v>11.85</v>
      </c>
      <c r="I145" s="22">
        <f t="shared" ca="1" si="17"/>
        <v>23.7</v>
      </c>
      <c r="J145" s="14" t="str">
        <f t="shared" ca="1" si="17"/>
        <v xml:space="preserve"> </v>
      </c>
      <c r="K145" s="16" t="str">
        <f t="shared" ca="1" si="17"/>
        <v xml:space="preserve"> </v>
      </c>
      <c r="L145" s="27" t="str">
        <f t="shared" ca="1" si="17"/>
        <v xml:space="preserve"> </v>
      </c>
      <c r="M145" s="29" t="str">
        <f t="shared" ca="1" si="17"/>
        <v>rosso</v>
      </c>
      <c r="N145" s="2" t="str">
        <f t="shared" ca="1" si="16"/>
        <v>8APASPA*aaaaae+</v>
      </c>
    </row>
    <row r="146" spans="1:14" ht="31.5" x14ac:dyDescent="0.45">
      <c r="A146" s="3" t="str">
        <f t="shared" ca="1" si="17"/>
        <v>'139</v>
      </c>
      <c r="B146" s="3">
        <f t="shared" ca="1" si="17"/>
        <v>38</v>
      </c>
      <c r="C146" s="5">
        <f t="shared" ca="1" si="17"/>
        <v>8050850000000</v>
      </c>
      <c r="D146" s="8" t="str">
        <f t="shared" ca="1" si="17"/>
        <v>OBAGS601-TESBF-137</v>
      </c>
      <c r="E146" s="12" t="str">
        <f t="shared" ca="1" si="17"/>
        <v>POCHETTE INTERIEURE SWITCH O BAG EN TISSU CORDURA CONTRASTE</v>
      </c>
      <c r="F146" s="18" t="str">
        <f t="shared" ca="1" si="17"/>
        <v>UNICA</v>
      </c>
      <c r="G146" s="10">
        <f t="shared" ca="1" si="17"/>
        <v>2</v>
      </c>
      <c r="H146" s="20">
        <f t="shared" ca="1" si="17"/>
        <v>11.85</v>
      </c>
      <c r="I146" s="22">
        <f t="shared" ca="1" si="17"/>
        <v>23.7</v>
      </c>
      <c r="J146" s="14" t="str">
        <f t="shared" ca="1" si="17"/>
        <v xml:space="preserve"> </v>
      </c>
      <c r="K146" s="16" t="str">
        <f t="shared" ca="1" si="17"/>
        <v xml:space="preserve"> </v>
      </c>
      <c r="L146" s="27" t="str">
        <f t="shared" ca="1" si="17"/>
        <v xml:space="preserve"> </v>
      </c>
      <c r="M146" s="29" t="str">
        <f t="shared" ca="1" si="17"/>
        <v>bluette</v>
      </c>
      <c r="N146" s="2" t="str">
        <f t="shared" ca="1" si="16"/>
        <v>8APASPA*aaaaae+</v>
      </c>
    </row>
    <row r="147" spans="1:14" ht="31.5" x14ac:dyDescent="0.45">
      <c r="A147" s="3" t="str">
        <f t="shared" ca="1" si="17"/>
        <v>'140</v>
      </c>
      <c r="B147" s="3">
        <f t="shared" ca="1" si="17"/>
        <v>217</v>
      </c>
      <c r="C147" s="5">
        <f t="shared" ca="1" si="17"/>
        <v>8050850000000</v>
      </c>
      <c r="D147" s="8" t="str">
        <f t="shared" ca="1" si="17"/>
        <v>OBAGS601-TESBF-144</v>
      </c>
      <c r="E147" s="12" t="str">
        <f t="shared" ca="1" si="17"/>
        <v>POCHETTE INTERIEURE SWITCH O BAG EN TISSU CORDURA CONTRASTE</v>
      </c>
      <c r="F147" s="18" t="str">
        <f t="shared" ca="1" si="17"/>
        <v>UNICA</v>
      </c>
      <c r="G147" s="10">
        <f t="shared" ca="1" si="17"/>
        <v>2</v>
      </c>
      <c r="H147" s="20">
        <f t="shared" ca="1" si="17"/>
        <v>11.85</v>
      </c>
      <c r="I147" s="22">
        <f t="shared" ca="1" si="17"/>
        <v>23.7</v>
      </c>
      <c r="J147" s="14" t="str">
        <f t="shared" ca="1" si="17"/>
        <v xml:space="preserve"> </v>
      </c>
      <c r="K147" s="16" t="str">
        <f t="shared" ca="1" si="17"/>
        <v xml:space="preserve"> </v>
      </c>
      <c r="L147" s="27" t="str">
        <f t="shared" ca="1" si="17"/>
        <v xml:space="preserve"> </v>
      </c>
      <c r="M147" s="29" t="str">
        <f t="shared" ca="1" si="17"/>
        <v>ginestra</v>
      </c>
      <c r="N147" s="2" t="str">
        <f t="shared" ca="1" si="16"/>
        <v>8APASPA*aaaaae+</v>
      </c>
    </row>
    <row r="148" spans="1:14" ht="31.5" x14ac:dyDescent="0.45">
      <c r="A148" s="3" t="str">
        <f t="shared" ca="1" si="17"/>
        <v>'141</v>
      </c>
      <c r="B148" s="3">
        <f t="shared" ca="1" si="17"/>
        <v>176</v>
      </c>
      <c r="C148" s="5">
        <f t="shared" ca="1" si="17"/>
        <v>8050850000000</v>
      </c>
      <c r="D148" s="8" t="str">
        <f t="shared" ca="1" si="17"/>
        <v>OBAGS601-TESBH-017</v>
      </c>
      <c r="E148" s="12" t="str">
        <f t="shared" ca="1" si="17"/>
        <v>POCHETTE INTERIEURE SWITCH O BAG EN TISSU JACQUARD MICRO FANTAISIE</v>
      </c>
      <c r="F148" s="18" t="str">
        <f t="shared" ca="1" si="17"/>
        <v>UNICA</v>
      </c>
      <c r="G148" s="10">
        <f t="shared" ca="1" si="17"/>
        <v>2</v>
      </c>
      <c r="H148" s="20">
        <f t="shared" ca="1" si="17"/>
        <v>13.33</v>
      </c>
      <c r="I148" s="22">
        <f t="shared" ca="1" si="17"/>
        <v>26.66</v>
      </c>
      <c r="J148" s="14" t="str">
        <f t="shared" ca="1" si="17"/>
        <v xml:space="preserve"> </v>
      </c>
      <c r="K148" s="16" t="str">
        <f t="shared" ca="1" si="17"/>
        <v xml:space="preserve"> </v>
      </c>
      <c r="L148" s="27" t="str">
        <f t="shared" ca="1" si="17"/>
        <v xml:space="preserve"> </v>
      </c>
      <c r="M148" s="29" t="str">
        <f t="shared" ca="1" si="17"/>
        <v>blu navy</v>
      </c>
      <c r="N148" s="2" t="str">
        <f t="shared" ca="1" si="16"/>
        <v>8APASPA*aaaaae+</v>
      </c>
    </row>
    <row r="149" spans="1:14" ht="31.5" x14ac:dyDescent="0.45">
      <c r="A149" s="3" t="str">
        <f t="shared" ca="1" si="17"/>
        <v>'142</v>
      </c>
      <c r="B149" s="3">
        <f t="shared" ca="1" si="17"/>
        <v>156</v>
      </c>
      <c r="C149" s="5">
        <f t="shared" ca="1" si="17"/>
        <v>8050850000000</v>
      </c>
      <c r="D149" s="8" t="str">
        <f t="shared" ca="1" si="17"/>
        <v>OBAGS601-TESBM-227</v>
      </c>
      <c r="E149" s="12" t="str">
        <f t="shared" ca="1" si="17"/>
        <v>POCHETTE INTERIEURE SWITCH O BAG EN TISSU IMPRIME GEOMETRIC LILY</v>
      </c>
      <c r="F149" s="18" t="str">
        <f t="shared" ca="1" si="17"/>
        <v>UNICA</v>
      </c>
      <c r="G149" s="10">
        <f t="shared" ca="1" si="17"/>
        <v>2</v>
      </c>
      <c r="H149" s="20">
        <f t="shared" ca="1" si="17"/>
        <v>11.85</v>
      </c>
      <c r="I149" s="22">
        <f t="shared" ca="1" si="17"/>
        <v>23.7</v>
      </c>
      <c r="J149" s="14" t="str">
        <f t="shared" ca="1" si="17"/>
        <v xml:space="preserve"> </v>
      </c>
      <c r="K149" s="16" t="str">
        <f t="shared" ca="1" si="17"/>
        <v xml:space="preserve"> </v>
      </c>
      <c r="L149" s="27" t="str">
        <f t="shared" ca="1" si="17"/>
        <v xml:space="preserve"> </v>
      </c>
      <c r="M149" s="29" t="str">
        <f t="shared" ca="1" si="17"/>
        <v>bianco/nero</v>
      </c>
      <c r="N149" s="2" t="str">
        <f t="shared" ca="1" si="16"/>
        <v>8APASPA*aaaaae+</v>
      </c>
    </row>
    <row r="150" spans="1:14" ht="31.5" x14ac:dyDescent="0.45">
      <c r="A150" s="3" t="str">
        <f t="shared" ca="1" si="17"/>
        <v>'143</v>
      </c>
      <c r="B150" s="3">
        <f t="shared" ca="1" si="17"/>
        <v>180</v>
      </c>
      <c r="C150" s="5">
        <f t="shared" ca="1" si="17"/>
        <v>8050850000000</v>
      </c>
      <c r="D150" s="8" t="str">
        <f t="shared" ca="1" si="17"/>
        <v>OBAGS602-TESBB-615</v>
      </c>
      <c r="E150" s="12" t="str">
        <f t="shared" ca="1" si="17"/>
        <v>POCHETTE INTERIEURE SWITCH O BAG MINI EN TISSU IMPRIME DIANTHUS</v>
      </c>
      <c r="F150" s="18" t="str">
        <f t="shared" ca="1" si="17"/>
        <v>UNICA</v>
      </c>
      <c r="G150" s="10">
        <f t="shared" ca="1" si="17"/>
        <v>2</v>
      </c>
      <c r="H150" s="20">
        <f t="shared" ca="1" si="17"/>
        <v>13.33</v>
      </c>
      <c r="I150" s="22">
        <f t="shared" ca="1" si="17"/>
        <v>26.66</v>
      </c>
      <c r="J150" s="14" t="str">
        <f t="shared" ca="1" si="17"/>
        <v xml:space="preserve"> </v>
      </c>
      <c r="K150" s="16" t="str">
        <f t="shared" ca="1" si="17"/>
        <v xml:space="preserve"> </v>
      </c>
      <c r="L150" s="27" t="str">
        <f t="shared" ca="1" si="17"/>
        <v xml:space="preserve"> </v>
      </c>
      <c r="M150" s="29" t="str">
        <f t="shared" ca="1" si="17"/>
        <v>military</v>
      </c>
      <c r="N150" s="2" t="str">
        <f t="shared" ca="1" si="16"/>
        <v>8APASPA*aaaaae+</v>
      </c>
    </row>
    <row r="151" spans="1:14" ht="31.5" x14ac:dyDescent="0.45">
      <c r="A151" s="3" t="str">
        <f t="shared" ref="A151:M166" ca="1" si="18">INDEX(INDIRECT($O$10),ROW(A151),COLUMN(A151))</f>
        <v>'144</v>
      </c>
      <c r="B151" s="3">
        <f t="shared" ca="1" si="18"/>
        <v>107</v>
      </c>
      <c r="C151" s="5">
        <f t="shared" ca="1" si="18"/>
        <v>8050850000000</v>
      </c>
      <c r="D151" s="8" t="str">
        <f t="shared" ca="1" si="18"/>
        <v>OBAGS602-TESBD-227</v>
      </c>
      <c r="E151" s="12" t="str">
        <f t="shared" ca="1" si="18"/>
        <v>POCHETTE INTERIEURE SWITCH O BAG MINI EN TISSU CHECK EFFET LAINE</v>
      </c>
      <c r="F151" s="18" t="str">
        <f t="shared" ca="1" si="18"/>
        <v>UNICA</v>
      </c>
      <c r="G151" s="10">
        <f t="shared" ca="1" si="18"/>
        <v>2</v>
      </c>
      <c r="H151" s="20">
        <f t="shared" ca="1" si="18"/>
        <v>11.85</v>
      </c>
      <c r="I151" s="22">
        <f t="shared" ca="1" si="18"/>
        <v>23.7</v>
      </c>
      <c r="J151" s="14" t="str">
        <f t="shared" ca="1" si="18"/>
        <v xml:space="preserve"> </v>
      </c>
      <c r="K151" s="16" t="str">
        <f t="shared" ca="1" si="18"/>
        <v xml:space="preserve"> </v>
      </c>
      <c r="L151" s="27" t="str">
        <f t="shared" ca="1" si="18"/>
        <v xml:space="preserve"> </v>
      </c>
      <c r="M151" s="29" t="str">
        <f t="shared" ca="1" si="18"/>
        <v>bianco/nero</v>
      </c>
      <c r="N151" s="2" t="str">
        <f t="shared" ca="1" si="16"/>
        <v>8APASPA*aaaaae+</v>
      </c>
    </row>
    <row r="152" spans="1:14" ht="31.5" x14ac:dyDescent="0.45">
      <c r="A152" s="3" t="str">
        <f t="shared" ca="1" si="18"/>
        <v>'145</v>
      </c>
      <c r="B152" s="3">
        <f t="shared" ca="1" si="18"/>
        <v>152</v>
      </c>
      <c r="C152" s="5">
        <f t="shared" ca="1" si="18"/>
        <v>8050850000000</v>
      </c>
      <c r="D152" s="8" t="str">
        <f t="shared" ca="1" si="18"/>
        <v>OBAGS602-TESBF-076</v>
      </c>
      <c r="E152" s="12" t="str">
        <f t="shared" ca="1" si="18"/>
        <v>POCHETTE INTERIEURE SWITCH O BAG MINI EN TISSU CORDURA CONTRASTE</v>
      </c>
      <c r="F152" s="18" t="str">
        <f t="shared" ca="1" si="18"/>
        <v>UNICA</v>
      </c>
      <c r="G152" s="10">
        <f t="shared" ca="1" si="18"/>
        <v>2</v>
      </c>
      <c r="H152" s="20">
        <f t="shared" ca="1" si="18"/>
        <v>11.85</v>
      </c>
      <c r="I152" s="22">
        <f t="shared" ca="1" si="18"/>
        <v>23.7</v>
      </c>
      <c r="J152" s="14" t="str">
        <f t="shared" ca="1" si="18"/>
        <v xml:space="preserve"> </v>
      </c>
      <c r="K152" s="16" t="str">
        <f t="shared" ca="1" si="18"/>
        <v xml:space="preserve"> </v>
      </c>
      <c r="L152" s="27" t="str">
        <f t="shared" ca="1" si="18"/>
        <v xml:space="preserve"> </v>
      </c>
      <c r="M152" s="29" t="str">
        <f t="shared" ca="1" si="18"/>
        <v>rosso</v>
      </c>
      <c r="N152" s="2" t="str">
        <f t="shared" ref="N152:N215" ca="1" si="19">IF(ISNUMBER($C152),codeEAN13(INT(C152/10)),"")</f>
        <v>8APASPA*aaaaae+</v>
      </c>
    </row>
    <row r="153" spans="1:14" ht="31.5" x14ac:dyDescent="0.45">
      <c r="A153" s="3" t="str">
        <f t="shared" ca="1" si="18"/>
        <v>'146</v>
      </c>
      <c r="B153" s="3">
        <f t="shared" ca="1" si="18"/>
        <v>35</v>
      </c>
      <c r="C153" s="5">
        <f t="shared" ca="1" si="18"/>
        <v>8050850000000</v>
      </c>
      <c r="D153" s="8" t="str">
        <f t="shared" ca="1" si="18"/>
        <v>OBAGS602-TESBF-137</v>
      </c>
      <c r="E153" s="12" t="str">
        <f t="shared" ca="1" si="18"/>
        <v>POCHETTE INTERIEURE SWITCH O BAG MINI EN TISSU CORDURA CONTRASTE</v>
      </c>
      <c r="F153" s="18" t="str">
        <f t="shared" ca="1" si="18"/>
        <v>UNICA</v>
      </c>
      <c r="G153" s="10">
        <f t="shared" ca="1" si="18"/>
        <v>2</v>
      </c>
      <c r="H153" s="20">
        <f t="shared" ca="1" si="18"/>
        <v>11.85</v>
      </c>
      <c r="I153" s="22">
        <f t="shared" ca="1" si="18"/>
        <v>23.7</v>
      </c>
      <c r="J153" s="14" t="str">
        <f t="shared" ca="1" si="18"/>
        <v xml:space="preserve"> </v>
      </c>
      <c r="K153" s="16" t="str">
        <f t="shared" ca="1" si="18"/>
        <v xml:space="preserve"> </v>
      </c>
      <c r="L153" s="27" t="str">
        <f t="shared" ca="1" si="18"/>
        <v xml:space="preserve"> </v>
      </c>
      <c r="M153" s="29" t="str">
        <f t="shared" ca="1" si="18"/>
        <v>bluette</v>
      </c>
      <c r="N153" s="2" t="str">
        <f t="shared" ca="1" si="19"/>
        <v>8APASPA*aaaaae+</v>
      </c>
    </row>
    <row r="154" spans="1:14" ht="31.5" x14ac:dyDescent="0.45">
      <c r="A154" s="3" t="str">
        <f t="shared" ca="1" si="18"/>
        <v>'147</v>
      </c>
      <c r="B154" s="3">
        <f t="shared" ca="1" si="18"/>
        <v>130</v>
      </c>
      <c r="C154" s="5">
        <f t="shared" ca="1" si="18"/>
        <v>8050850000000</v>
      </c>
      <c r="D154" s="8" t="str">
        <f t="shared" ca="1" si="18"/>
        <v>OBAGS602-TESBF-144</v>
      </c>
      <c r="E154" s="12" t="str">
        <f t="shared" ca="1" si="18"/>
        <v>POCHETTE INTERIEURE SWITCH O BAG MINI EN TISSU CORDURA CONTRASTE</v>
      </c>
      <c r="F154" s="18" t="str">
        <f t="shared" ca="1" si="18"/>
        <v>UNICA</v>
      </c>
      <c r="G154" s="10">
        <f t="shared" ca="1" si="18"/>
        <v>2</v>
      </c>
      <c r="H154" s="20">
        <f t="shared" ca="1" si="18"/>
        <v>11.85</v>
      </c>
      <c r="I154" s="22">
        <f t="shared" ca="1" si="18"/>
        <v>23.7</v>
      </c>
      <c r="J154" s="14" t="str">
        <f t="shared" ca="1" si="18"/>
        <v xml:space="preserve"> </v>
      </c>
      <c r="K154" s="16" t="str">
        <f t="shared" ca="1" si="18"/>
        <v xml:space="preserve"> </v>
      </c>
      <c r="L154" s="27" t="str">
        <f t="shared" ca="1" si="18"/>
        <v xml:space="preserve"> </v>
      </c>
      <c r="M154" s="29" t="str">
        <f t="shared" ca="1" si="18"/>
        <v>ginestra</v>
      </c>
      <c r="N154" s="2" t="str">
        <f t="shared" ca="1" si="19"/>
        <v>8APASPA*aaaaae+</v>
      </c>
    </row>
    <row r="155" spans="1:14" ht="31.5" x14ac:dyDescent="0.45">
      <c r="A155" s="3" t="str">
        <f t="shared" ca="1" si="18"/>
        <v>'148</v>
      </c>
      <c r="B155" s="3">
        <f t="shared" ca="1" si="18"/>
        <v>5</v>
      </c>
      <c r="C155" s="5">
        <f t="shared" ca="1" si="18"/>
        <v>8050850000000</v>
      </c>
      <c r="D155" s="8" t="str">
        <f t="shared" ca="1" si="18"/>
        <v>OBAGS602-TESBH-017</v>
      </c>
      <c r="E155" s="12" t="str">
        <f t="shared" ca="1" si="18"/>
        <v>POCHETTE INTERIEURE SWITCH O BAG MINI EN TISSU JACQUARD MICRO FANTAISIE</v>
      </c>
      <c r="F155" s="18" t="str">
        <f t="shared" ca="1" si="18"/>
        <v>UNICA</v>
      </c>
      <c r="G155" s="10">
        <f t="shared" ca="1" si="18"/>
        <v>2</v>
      </c>
      <c r="H155" s="20">
        <f t="shared" ca="1" si="18"/>
        <v>13.33</v>
      </c>
      <c r="I155" s="22">
        <f t="shared" ca="1" si="18"/>
        <v>26.66</v>
      </c>
      <c r="J155" s="14" t="str">
        <f t="shared" ca="1" si="18"/>
        <v xml:space="preserve"> </v>
      </c>
      <c r="K155" s="16" t="str">
        <f t="shared" ca="1" si="18"/>
        <v xml:space="preserve"> </v>
      </c>
      <c r="L155" s="27" t="str">
        <f t="shared" ca="1" si="18"/>
        <v xml:space="preserve"> </v>
      </c>
      <c r="M155" s="29" t="str">
        <f t="shared" ca="1" si="18"/>
        <v>blu navy</v>
      </c>
      <c r="N155" s="2" t="str">
        <f t="shared" ca="1" si="19"/>
        <v>8APASPA*aaaaae+</v>
      </c>
    </row>
    <row r="156" spans="1:14" ht="31.5" x14ac:dyDescent="0.45">
      <c r="A156" s="3" t="str">
        <f t="shared" ca="1" si="18"/>
        <v>'149</v>
      </c>
      <c r="B156" s="3">
        <f t="shared" ca="1" si="18"/>
        <v>206</v>
      </c>
      <c r="C156" s="5">
        <f t="shared" ca="1" si="18"/>
        <v>8050850000000</v>
      </c>
      <c r="D156" s="8" t="str">
        <f t="shared" ca="1" si="18"/>
        <v>OBAGS602-TESBM-227</v>
      </c>
      <c r="E156" s="12" t="str">
        <f t="shared" ca="1" si="18"/>
        <v>POCHETTE INTERIEURE SWITCH O BAG MINI EN TISSU IMPRIME GEOMETRIC LILY</v>
      </c>
      <c r="F156" s="18" t="str">
        <f t="shared" ca="1" si="18"/>
        <v>UNICA</v>
      </c>
      <c r="G156" s="10">
        <f t="shared" ca="1" si="18"/>
        <v>2</v>
      </c>
      <c r="H156" s="20">
        <f t="shared" ca="1" si="18"/>
        <v>11.85</v>
      </c>
      <c r="I156" s="22">
        <f t="shared" ca="1" si="18"/>
        <v>23.7</v>
      </c>
      <c r="J156" s="14" t="str">
        <f t="shared" ca="1" si="18"/>
        <v xml:space="preserve"> </v>
      </c>
      <c r="K156" s="16" t="str">
        <f t="shared" ca="1" si="18"/>
        <v xml:space="preserve"> </v>
      </c>
      <c r="L156" s="27" t="str">
        <f t="shared" ca="1" si="18"/>
        <v xml:space="preserve"> </v>
      </c>
      <c r="M156" s="29" t="str">
        <f t="shared" ca="1" si="18"/>
        <v>bianco/nero</v>
      </c>
      <c r="N156" s="2" t="str">
        <f t="shared" ca="1" si="19"/>
        <v>8APASPA*aaaaae+</v>
      </c>
    </row>
    <row r="157" spans="1:14" ht="31.5" x14ac:dyDescent="0.45">
      <c r="A157" s="3" t="str">
        <f t="shared" ca="1" si="18"/>
        <v>'150</v>
      </c>
      <c r="B157" s="3">
        <f t="shared" ca="1" si="18"/>
        <v>199</v>
      </c>
      <c r="C157" s="5">
        <f t="shared" ca="1" si="18"/>
        <v>8050540000000</v>
      </c>
      <c r="D157" s="8" t="str">
        <f t="shared" ca="1" si="18"/>
        <v>OBAGT001-FAS09-067</v>
      </c>
      <c r="E157" s="12" t="str">
        <f t="shared" ca="1" si="18"/>
        <v>REVERS O BAG EN FAUSSE FOURRURE LAPIN REX</v>
      </c>
      <c r="F157" s="18" t="str">
        <f t="shared" ca="1" si="18"/>
        <v>UNICA</v>
      </c>
      <c r="G157" s="10">
        <f t="shared" ca="1" si="18"/>
        <v>2</v>
      </c>
      <c r="H157" s="20">
        <f t="shared" ca="1" si="18"/>
        <v>18.48</v>
      </c>
      <c r="I157" s="22">
        <f t="shared" ca="1" si="18"/>
        <v>36.96</v>
      </c>
      <c r="J157" s="14" t="str">
        <f t="shared" ca="1" si="18"/>
        <v xml:space="preserve">ECOFOURRURE     </v>
      </c>
      <c r="K157" s="16" t="str">
        <f t="shared" ca="1" si="18"/>
        <v>LAPHA</v>
      </c>
      <c r="L157" s="27">
        <f t="shared" ca="1" si="18"/>
        <v>0</v>
      </c>
      <c r="M157" s="29" t="str">
        <f t="shared" ca="1" si="18"/>
        <v>phard</v>
      </c>
      <c r="N157" s="2" t="str">
        <f t="shared" ca="1" si="19"/>
        <v>8APAPOA*aaaaaa+</v>
      </c>
    </row>
    <row r="158" spans="1:14" ht="31.5" x14ac:dyDescent="0.45">
      <c r="A158" s="3" t="str">
        <f t="shared" ca="1" si="18"/>
        <v>'151</v>
      </c>
      <c r="B158" s="3">
        <f t="shared" ca="1" si="18"/>
        <v>31</v>
      </c>
      <c r="C158" s="5">
        <f t="shared" ca="1" si="18"/>
        <v>8050850000000</v>
      </c>
      <c r="D158" s="8" t="str">
        <f t="shared" ca="1" si="18"/>
        <v>OBAGT001-FAS09-615</v>
      </c>
      <c r="E158" s="12" t="str">
        <f t="shared" ca="1" si="18"/>
        <v>REVERS O BAG EN FAUSSE FOURRURE LAPIN REX</v>
      </c>
      <c r="F158" s="18" t="str">
        <f t="shared" ca="1" si="18"/>
        <v>UNICA</v>
      </c>
      <c r="G158" s="10">
        <f t="shared" ca="1" si="18"/>
        <v>2</v>
      </c>
      <c r="H158" s="20">
        <f t="shared" ca="1" si="18"/>
        <v>18.48</v>
      </c>
      <c r="I158" s="22">
        <f t="shared" ca="1" si="18"/>
        <v>36.96</v>
      </c>
      <c r="J158" s="14" t="str">
        <f t="shared" ca="1" si="18"/>
        <v xml:space="preserve"> </v>
      </c>
      <c r="K158" s="16" t="str">
        <f t="shared" ca="1" si="18"/>
        <v xml:space="preserve"> </v>
      </c>
      <c r="L158" s="27" t="str">
        <f t="shared" ca="1" si="18"/>
        <v xml:space="preserve"> </v>
      </c>
      <c r="M158" s="29" t="str">
        <f t="shared" ca="1" si="18"/>
        <v>military</v>
      </c>
      <c r="N158" s="2" t="str">
        <f t="shared" ca="1" si="19"/>
        <v>8APASPA*aaaaae+</v>
      </c>
    </row>
    <row r="159" spans="1:14" ht="31.5" x14ac:dyDescent="0.45">
      <c r="A159" s="3" t="str">
        <f t="shared" ca="1" si="18"/>
        <v>'152</v>
      </c>
      <c r="B159" s="3">
        <f t="shared" ca="1" si="18"/>
        <v>45</v>
      </c>
      <c r="C159" s="5">
        <f t="shared" ca="1" si="18"/>
        <v>8050850000000</v>
      </c>
      <c r="D159" s="8" t="str">
        <f t="shared" ca="1" si="18"/>
        <v>OBAGT001-FAS58-078</v>
      </c>
      <c r="E159" s="12" t="str">
        <f t="shared" ca="1" si="18"/>
        <v>REVERS O BAG EN FAUSSE FOURRURE CASTOR</v>
      </c>
      <c r="F159" s="18" t="str">
        <f t="shared" ca="1" si="18"/>
        <v>UNICA</v>
      </c>
      <c r="G159" s="10">
        <f t="shared" ca="1" si="18"/>
        <v>2</v>
      </c>
      <c r="H159" s="20">
        <f t="shared" ca="1" si="18"/>
        <v>24.07</v>
      </c>
      <c r="I159" s="22">
        <f t="shared" ca="1" si="18"/>
        <v>48.14</v>
      </c>
      <c r="J159" s="14" t="str">
        <f t="shared" ca="1" si="18"/>
        <v xml:space="preserve"> </v>
      </c>
      <c r="K159" s="16" t="str">
        <f t="shared" ca="1" si="18"/>
        <v xml:space="preserve"> </v>
      </c>
      <c r="L159" s="27" t="str">
        <f t="shared" ca="1" si="18"/>
        <v xml:space="preserve"> </v>
      </c>
      <c r="M159" s="29" t="str">
        <f t="shared" ca="1" si="18"/>
        <v>sabbia</v>
      </c>
      <c r="N159" s="2" t="str">
        <f t="shared" ca="1" si="19"/>
        <v>8APASPA*aaaaae+</v>
      </c>
    </row>
    <row r="160" spans="1:14" ht="31.5" x14ac:dyDescent="0.45">
      <c r="A160" s="3" t="str">
        <f t="shared" ca="1" si="18"/>
        <v>'153</v>
      </c>
      <c r="B160" s="3">
        <f t="shared" ca="1" si="18"/>
        <v>117</v>
      </c>
      <c r="C160" s="5">
        <f t="shared" ca="1" si="18"/>
        <v>8050850000000</v>
      </c>
      <c r="D160" s="8" t="str">
        <f t="shared" ca="1" si="18"/>
        <v>OBAGT001-FAS58-084</v>
      </c>
      <c r="E160" s="12" t="str">
        <f t="shared" ca="1" si="18"/>
        <v>REVERS O BAG EN FAUSSE FOURRURE CASTOR</v>
      </c>
      <c r="F160" s="18" t="str">
        <f t="shared" ca="1" si="18"/>
        <v>UNICA</v>
      </c>
      <c r="G160" s="10">
        <f t="shared" ca="1" si="18"/>
        <v>2</v>
      </c>
      <c r="H160" s="20">
        <f t="shared" ca="1" si="18"/>
        <v>24.07</v>
      </c>
      <c r="I160" s="22">
        <f t="shared" ca="1" si="18"/>
        <v>48.14</v>
      </c>
      <c r="J160" s="14" t="str">
        <f t="shared" ca="1" si="18"/>
        <v xml:space="preserve"> </v>
      </c>
      <c r="K160" s="16" t="str">
        <f t="shared" ca="1" si="18"/>
        <v xml:space="preserve"> </v>
      </c>
      <c r="L160" s="27" t="str">
        <f t="shared" ca="1" si="18"/>
        <v xml:space="preserve"> </v>
      </c>
      <c r="M160" s="29" t="str">
        <f t="shared" ca="1" si="18"/>
        <v>testa di moro</v>
      </c>
      <c r="N160" s="2" t="str">
        <f t="shared" ca="1" si="19"/>
        <v>8APASPA*aaaaae+</v>
      </c>
    </row>
    <row r="161" spans="1:14" ht="31.5" x14ac:dyDescent="0.45">
      <c r="A161" s="3" t="str">
        <f t="shared" ca="1" si="18"/>
        <v>'154</v>
      </c>
      <c r="B161" s="3">
        <f t="shared" ca="1" si="18"/>
        <v>67</v>
      </c>
      <c r="C161" s="5">
        <f t="shared" ca="1" si="18"/>
        <v>8050850000000</v>
      </c>
      <c r="D161" s="8" t="str">
        <f t="shared" ca="1" si="18"/>
        <v>OBAGT001-FAS59-227</v>
      </c>
      <c r="E161" s="12" t="str">
        <f t="shared" ca="1" si="18"/>
        <v>REVERS O BAG EN FAUSSE FOURRURE LAPIN MARBLE</v>
      </c>
      <c r="F161" s="18" t="str">
        <f t="shared" ca="1" si="18"/>
        <v>UNICA</v>
      </c>
      <c r="G161" s="10">
        <f t="shared" ca="1" si="18"/>
        <v>2</v>
      </c>
      <c r="H161" s="20">
        <f t="shared" ca="1" si="18"/>
        <v>20.37</v>
      </c>
      <c r="I161" s="22">
        <f t="shared" ca="1" si="18"/>
        <v>40.74</v>
      </c>
      <c r="J161" s="14" t="str">
        <f t="shared" ca="1" si="18"/>
        <v xml:space="preserve"> </v>
      </c>
      <c r="K161" s="16" t="str">
        <f t="shared" ca="1" si="18"/>
        <v xml:space="preserve"> </v>
      </c>
      <c r="L161" s="27" t="str">
        <f t="shared" ca="1" si="18"/>
        <v xml:space="preserve"> </v>
      </c>
      <c r="M161" s="29" t="str">
        <f t="shared" ca="1" si="18"/>
        <v>bianco/nero</v>
      </c>
      <c r="N161" s="2" t="str">
        <f t="shared" ca="1" si="19"/>
        <v>8APASPA*aaaaae+</v>
      </c>
    </row>
    <row r="162" spans="1:14" ht="31.5" x14ac:dyDescent="0.45">
      <c r="A162" s="3" t="str">
        <f t="shared" ca="1" si="18"/>
        <v>'155</v>
      </c>
      <c r="B162" s="3">
        <f t="shared" ca="1" si="18"/>
        <v>186</v>
      </c>
      <c r="C162" s="5">
        <f t="shared" ca="1" si="18"/>
        <v>8050850000000</v>
      </c>
      <c r="D162" s="8" t="str">
        <f t="shared" ca="1" si="18"/>
        <v>OBAGT001-FAS60-227</v>
      </c>
      <c r="E162" s="12" t="str">
        <f t="shared" ca="1" si="18"/>
        <v>REVERS O BAG EN FAUSSE FOURRURE RENARD MARQUETEE</v>
      </c>
      <c r="F162" s="18" t="str">
        <f t="shared" ca="1" si="18"/>
        <v>UNICA</v>
      </c>
      <c r="G162" s="10">
        <f t="shared" ca="1" si="18"/>
        <v>2</v>
      </c>
      <c r="H162" s="20">
        <f t="shared" ca="1" si="18"/>
        <v>27.04</v>
      </c>
      <c r="I162" s="22">
        <f t="shared" ca="1" si="18"/>
        <v>54.08</v>
      </c>
      <c r="J162" s="14" t="str">
        <f t="shared" ca="1" si="18"/>
        <v xml:space="preserve"> </v>
      </c>
      <c r="K162" s="16" t="str">
        <f t="shared" ca="1" si="18"/>
        <v xml:space="preserve"> </v>
      </c>
      <c r="L162" s="27" t="str">
        <f t="shared" ca="1" si="18"/>
        <v xml:space="preserve"> </v>
      </c>
      <c r="M162" s="29" t="str">
        <f t="shared" ca="1" si="18"/>
        <v>bianco/nero</v>
      </c>
      <c r="N162" s="2" t="str">
        <f t="shared" ca="1" si="19"/>
        <v>8APASPA*aaaaae+</v>
      </c>
    </row>
    <row r="163" spans="1:14" ht="31.5" x14ac:dyDescent="0.45">
      <c r="A163" s="3" t="str">
        <f t="shared" ca="1" si="18"/>
        <v>'156</v>
      </c>
      <c r="B163" s="3">
        <f t="shared" ca="1" si="18"/>
        <v>219</v>
      </c>
      <c r="C163" s="5">
        <f t="shared" ca="1" si="18"/>
        <v>8050850000000</v>
      </c>
      <c r="D163" s="8" t="str">
        <f t="shared" ca="1" si="18"/>
        <v>OBAGT001-LAS44-017</v>
      </c>
      <c r="E163" s="12" t="str">
        <f t="shared" ca="1" si="18"/>
        <v>REVERS O BAG EN LAINE HANOVRE</v>
      </c>
      <c r="F163" s="18" t="str">
        <f t="shared" ca="1" si="18"/>
        <v>UNICA</v>
      </c>
      <c r="G163" s="10">
        <f t="shared" ca="1" si="18"/>
        <v>2</v>
      </c>
      <c r="H163" s="20">
        <f t="shared" ca="1" si="18"/>
        <v>10.74</v>
      </c>
      <c r="I163" s="22">
        <f t="shared" ca="1" si="18"/>
        <v>21.48</v>
      </c>
      <c r="J163" s="14" t="str">
        <f t="shared" ca="1" si="18"/>
        <v xml:space="preserve"> </v>
      </c>
      <c r="K163" s="16" t="str">
        <f t="shared" ca="1" si="18"/>
        <v xml:space="preserve"> </v>
      </c>
      <c r="L163" s="27" t="str">
        <f t="shared" ca="1" si="18"/>
        <v xml:space="preserve"> </v>
      </c>
      <c r="M163" s="29" t="str">
        <f t="shared" ca="1" si="18"/>
        <v>blu navy</v>
      </c>
      <c r="N163" s="2" t="str">
        <f t="shared" ca="1" si="19"/>
        <v>8APASPA*aaaaae+</v>
      </c>
    </row>
    <row r="164" spans="1:14" ht="31.5" x14ac:dyDescent="0.45">
      <c r="A164" s="3" t="str">
        <f t="shared" ca="1" si="18"/>
        <v>'157</v>
      </c>
      <c r="B164" s="3">
        <f t="shared" ca="1" si="18"/>
        <v>86</v>
      </c>
      <c r="C164" s="5">
        <f t="shared" ca="1" si="18"/>
        <v>8050850000000</v>
      </c>
      <c r="D164" s="8" t="str">
        <f t="shared" ca="1" si="18"/>
        <v>OBAGT001-LAS44-078</v>
      </c>
      <c r="E164" s="12" t="str">
        <f t="shared" ca="1" si="18"/>
        <v>REVERS O BAG EN LAINE HANOVRE</v>
      </c>
      <c r="F164" s="18" t="str">
        <f t="shared" ca="1" si="18"/>
        <v>UNICA</v>
      </c>
      <c r="G164" s="10">
        <f t="shared" ca="1" si="18"/>
        <v>2</v>
      </c>
      <c r="H164" s="20">
        <f t="shared" ca="1" si="18"/>
        <v>10.74</v>
      </c>
      <c r="I164" s="22">
        <f t="shared" ca="1" si="18"/>
        <v>21.48</v>
      </c>
      <c r="J164" s="14" t="str">
        <f t="shared" ca="1" si="18"/>
        <v xml:space="preserve"> </v>
      </c>
      <c r="K164" s="16" t="str">
        <f t="shared" ca="1" si="18"/>
        <v xml:space="preserve"> </v>
      </c>
      <c r="L164" s="27" t="str">
        <f t="shared" ca="1" si="18"/>
        <v xml:space="preserve"> </v>
      </c>
      <c r="M164" s="29" t="str">
        <f t="shared" ca="1" si="18"/>
        <v>sabbia</v>
      </c>
      <c r="N164" s="2" t="str">
        <f t="shared" ca="1" si="19"/>
        <v>8APASPA*aaaaae+</v>
      </c>
    </row>
    <row r="165" spans="1:14" ht="31.5" x14ac:dyDescent="0.45">
      <c r="A165" s="3" t="str">
        <f t="shared" ca="1" si="18"/>
        <v>'158</v>
      </c>
      <c r="B165" s="3">
        <f t="shared" ca="1" si="18"/>
        <v>204</v>
      </c>
      <c r="C165" s="5">
        <f t="shared" ca="1" si="18"/>
        <v>8050850000000</v>
      </c>
      <c r="D165" s="8" t="str">
        <f t="shared" ca="1" si="18"/>
        <v>OBAGT001-LAS44-615</v>
      </c>
      <c r="E165" s="12" t="str">
        <f t="shared" ca="1" si="18"/>
        <v>REVERS O BAG EN LAINE HANOVRE</v>
      </c>
      <c r="F165" s="18" t="str">
        <f t="shared" ca="1" si="18"/>
        <v>UNICA</v>
      </c>
      <c r="G165" s="10">
        <f t="shared" ca="1" si="18"/>
        <v>2</v>
      </c>
      <c r="H165" s="20">
        <f t="shared" ca="1" si="18"/>
        <v>10.74</v>
      </c>
      <c r="I165" s="22">
        <f t="shared" ca="1" si="18"/>
        <v>21.48</v>
      </c>
      <c r="J165" s="14" t="str">
        <f t="shared" ca="1" si="18"/>
        <v xml:space="preserve"> </v>
      </c>
      <c r="K165" s="16" t="str">
        <f t="shared" ca="1" si="18"/>
        <v xml:space="preserve"> </v>
      </c>
      <c r="L165" s="27" t="str">
        <f t="shared" ca="1" si="18"/>
        <v xml:space="preserve"> </v>
      </c>
      <c r="M165" s="29" t="str">
        <f t="shared" ca="1" si="18"/>
        <v>military</v>
      </c>
      <c r="N165" s="2" t="str">
        <f t="shared" ca="1" si="19"/>
        <v>8APASPA*aaaaae+</v>
      </c>
    </row>
    <row r="166" spans="1:14" ht="31.5" x14ac:dyDescent="0.45">
      <c r="A166" s="3" t="str">
        <f t="shared" ca="1" si="18"/>
        <v>'159</v>
      </c>
      <c r="B166" s="3">
        <f t="shared" ca="1" si="18"/>
        <v>57</v>
      </c>
      <c r="C166" s="5">
        <f t="shared" ca="1" si="18"/>
        <v>8050850000000</v>
      </c>
      <c r="D166" s="8" t="str">
        <f t="shared" ca="1" si="18"/>
        <v>OBAGT001-LAS47-227</v>
      </c>
      <c r="E166" s="12" t="str">
        <f t="shared" ca="1" si="18"/>
        <v>REVERS O BAG EN LAINE HELSINKI</v>
      </c>
      <c r="F166" s="18" t="str">
        <f t="shared" ca="1" si="18"/>
        <v>UNICA</v>
      </c>
      <c r="G166" s="10">
        <f t="shared" ca="1" si="18"/>
        <v>2</v>
      </c>
      <c r="H166" s="20">
        <f t="shared" ca="1" si="18"/>
        <v>11.85</v>
      </c>
      <c r="I166" s="22">
        <f t="shared" ca="1" si="18"/>
        <v>23.7</v>
      </c>
      <c r="J166" s="14" t="str">
        <f t="shared" ca="1" si="18"/>
        <v xml:space="preserve"> </v>
      </c>
      <c r="K166" s="16" t="str">
        <f t="shared" ca="1" si="18"/>
        <v xml:space="preserve"> </v>
      </c>
      <c r="L166" s="27" t="str">
        <f t="shared" ca="1" si="18"/>
        <v xml:space="preserve"> </v>
      </c>
      <c r="M166" s="29" t="str">
        <f t="shared" ca="1" si="18"/>
        <v>bianco/nero</v>
      </c>
      <c r="N166" s="2" t="str">
        <f t="shared" ca="1" si="19"/>
        <v>8APASPA*aaaaae+</v>
      </c>
    </row>
    <row r="167" spans="1:14" ht="31.5" x14ac:dyDescent="0.45">
      <c r="A167" s="3" t="str">
        <f t="shared" ref="A167:M186" ca="1" si="20">INDEX(INDIRECT($O$10),ROW(A167),COLUMN(A167))</f>
        <v>'160</v>
      </c>
      <c r="B167" s="3">
        <f t="shared" ca="1" si="20"/>
        <v>83</v>
      </c>
      <c r="C167" s="5">
        <f t="shared" ca="1" si="20"/>
        <v>8050850000000</v>
      </c>
      <c r="D167" s="8" t="str">
        <f t="shared" ca="1" si="20"/>
        <v>OBAGT001-TESBB-615</v>
      </c>
      <c r="E167" s="12" t="str">
        <f t="shared" ca="1" si="20"/>
        <v>REVERS O BAG EN TISSU IMPRIME DIANTHUS</v>
      </c>
      <c r="F167" s="18" t="str">
        <f t="shared" ca="1" si="20"/>
        <v>UNICA</v>
      </c>
      <c r="G167" s="10">
        <f t="shared" ca="1" si="20"/>
        <v>2</v>
      </c>
      <c r="H167" s="20">
        <f t="shared" ca="1" si="20"/>
        <v>13.33</v>
      </c>
      <c r="I167" s="22">
        <f t="shared" ca="1" si="20"/>
        <v>26.66</v>
      </c>
      <c r="J167" s="14" t="str">
        <f t="shared" ca="1" si="20"/>
        <v xml:space="preserve"> </v>
      </c>
      <c r="K167" s="16" t="str">
        <f t="shared" ca="1" si="20"/>
        <v xml:space="preserve"> </v>
      </c>
      <c r="L167" s="27" t="str">
        <f t="shared" ca="1" si="20"/>
        <v xml:space="preserve"> </v>
      </c>
      <c r="M167" s="29" t="str">
        <f t="shared" ca="1" si="20"/>
        <v>military</v>
      </c>
      <c r="N167" s="2" t="str">
        <f t="shared" ca="1" si="19"/>
        <v>8APASPA*aaaaae+</v>
      </c>
    </row>
    <row r="168" spans="1:14" ht="31.5" x14ac:dyDescent="0.45">
      <c r="A168" s="3" t="str">
        <f t="shared" ca="1" si="20"/>
        <v>'161</v>
      </c>
      <c r="B168" s="3">
        <f t="shared" ca="1" si="20"/>
        <v>125</v>
      </c>
      <c r="C168" s="5">
        <f t="shared" ca="1" si="20"/>
        <v>8050850000000</v>
      </c>
      <c r="D168" s="8" t="str">
        <f t="shared" ca="1" si="20"/>
        <v>OBAGT001-TESBD-227</v>
      </c>
      <c r="E168" s="12" t="str">
        <f t="shared" ca="1" si="20"/>
        <v>REVERS O BAG EN TISSU CHECK EFFET LAINE</v>
      </c>
      <c r="F168" s="18" t="str">
        <f t="shared" ca="1" si="20"/>
        <v>UNICA</v>
      </c>
      <c r="G168" s="10">
        <f t="shared" ca="1" si="20"/>
        <v>2</v>
      </c>
      <c r="H168" s="20">
        <f t="shared" ca="1" si="20"/>
        <v>13.33</v>
      </c>
      <c r="I168" s="22">
        <f t="shared" ca="1" si="20"/>
        <v>26.66</v>
      </c>
      <c r="J168" s="14" t="str">
        <f t="shared" ca="1" si="20"/>
        <v xml:space="preserve"> </v>
      </c>
      <c r="K168" s="16" t="str">
        <f t="shared" ca="1" si="20"/>
        <v xml:space="preserve"> </v>
      </c>
      <c r="L168" s="27" t="str">
        <f t="shared" ca="1" si="20"/>
        <v xml:space="preserve"> </v>
      </c>
      <c r="M168" s="29" t="str">
        <f t="shared" ca="1" si="20"/>
        <v>bianco/nero</v>
      </c>
      <c r="N168" s="2" t="str">
        <f t="shared" ca="1" si="19"/>
        <v>8APASPA*aaaaae+</v>
      </c>
    </row>
    <row r="169" spans="1:14" ht="31.5" x14ac:dyDescent="0.45">
      <c r="A169" s="3" t="str">
        <f t="shared" ca="1" si="20"/>
        <v>'162</v>
      </c>
      <c r="B169" s="3">
        <f t="shared" ca="1" si="20"/>
        <v>9</v>
      </c>
      <c r="C169" s="5">
        <f t="shared" ca="1" si="20"/>
        <v>8050850000000</v>
      </c>
      <c r="D169" s="8" t="str">
        <f t="shared" ca="1" si="20"/>
        <v>OBAGT001-TESBE-227</v>
      </c>
      <c r="E169" s="12" t="str">
        <f t="shared" ca="1" si="20"/>
        <v>REVERS O BAG EN TISSU Ã€ CHEVRONS</v>
      </c>
      <c r="F169" s="18" t="str">
        <f t="shared" ca="1" si="20"/>
        <v>UNICA</v>
      </c>
      <c r="G169" s="10">
        <f t="shared" ca="1" si="20"/>
        <v>2</v>
      </c>
      <c r="H169" s="20">
        <f t="shared" ca="1" si="20"/>
        <v>13.33</v>
      </c>
      <c r="I169" s="22">
        <f t="shared" ca="1" si="20"/>
        <v>26.66</v>
      </c>
      <c r="J169" s="14" t="str">
        <f t="shared" ca="1" si="20"/>
        <v xml:space="preserve"> </v>
      </c>
      <c r="K169" s="16" t="str">
        <f t="shared" ca="1" si="20"/>
        <v xml:space="preserve"> </v>
      </c>
      <c r="L169" s="27" t="str">
        <f t="shared" ca="1" si="20"/>
        <v xml:space="preserve"> </v>
      </c>
      <c r="M169" s="29" t="str">
        <f t="shared" ca="1" si="20"/>
        <v>bianco/nero</v>
      </c>
      <c r="N169" s="2" t="str">
        <f t="shared" ca="1" si="19"/>
        <v>8APASPA*aaaaae+</v>
      </c>
    </row>
    <row r="170" spans="1:14" ht="31.5" x14ac:dyDescent="0.45">
      <c r="A170" s="3" t="str">
        <f t="shared" ca="1" si="20"/>
        <v>'163</v>
      </c>
      <c r="B170" s="3">
        <f t="shared" ca="1" si="20"/>
        <v>13</v>
      </c>
      <c r="C170" s="5">
        <f t="shared" ca="1" si="20"/>
        <v>8050850000000</v>
      </c>
      <c r="D170" s="8" t="str">
        <f t="shared" ca="1" si="20"/>
        <v>OBAGT001-TESBG-227</v>
      </c>
      <c r="E170" s="12" t="str">
        <f t="shared" ca="1" si="20"/>
        <v>REVERS O BAG EN TISSU PRINCE DE GALLES + FLEURS</v>
      </c>
      <c r="F170" s="18" t="str">
        <f t="shared" ca="1" si="20"/>
        <v>UNICA</v>
      </c>
      <c r="G170" s="10">
        <f t="shared" ca="1" si="20"/>
        <v>2</v>
      </c>
      <c r="H170" s="20">
        <f t="shared" ca="1" si="20"/>
        <v>15.56</v>
      </c>
      <c r="I170" s="22">
        <f t="shared" ca="1" si="20"/>
        <v>31.12</v>
      </c>
      <c r="J170" s="14" t="str">
        <f t="shared" ca="1" si="20"/>
        <v xml:space="preserve"> </v>
      </c>
      <c r="K170" s="16" t="str">
        <f t="shared" ca="1" si="20"/>
        <v xml:space="preserve"> </v>
      </c>
      <c r="L170" s="27" t="str">
        <f t="shared" ca="1" si="20"/>
        <v xml:space="preserve"> </v>
      </c>
      <c r="M170" s="29" t="str">
        <f t="shared" ca="1" si="20"/>
        <v>bianco/nero</v>
      </c>
      <c r="N170" s="2" t="str">
        <f t="shared" ca="1" si="19"/>
        <v>8APASPA*aaaaae+</v>
      </c>
    </row>
    <row r="171" spans="1:14" ht="31.5" x14ac:dyDescent="0.45">
      <c r="A171" s="3" t="str">
        <f t="shared" ca="1" si="20"/>
        <v>'164</v>
      </c>
      <c r="B171" s="3">
        <f t="shared" ca="1" si="20"/>
        <v>71</v>
      </c>
      <c r="C171" s="5">
        <f t="shared" ca="1" si="20"/>
        <v>8050850000000</v>
      </c>
      <c r="D171" s="8" t="str">
        <f t="shared" ca="1" si="20"/>
        <v>OBAGT001-TESBH-017</v>
      </c>
      <c r="E171" s="12" t="str">
        <f t="shared" ca="1" si="20"/>
        <v>REVERS O BAG EN TISSU IMPRIME JACQUARD MICRO FANTAISIE</v>
      </c>
      <c r="F171" s="18" t="str">
        <f t="shared" ca="1" si="20"/>
        <v>UNICA</v>
      </c>
      <c r="G171" s="10">
        <f t="shared" ca="1" si="20"/>
        <v>2</v>
      </c>
      <c r="H171" s="20">
        <f t="shared" ca="1" si="20"/>
        <v>13.33</v>
      </c>
      <c r="I171" s="22">
        <f t="shared" ca="1" si="20"/>
        <v>26.66</v>
      </c>
      <c r="J171" s="14" t="str">
        <f t="shared" ca="1" si="20"/>
        <v xml:space="preserve"> </v>
      </c>
      <c r="K171" s="16" t="str">
        <f t="shared" ca="1" si="20"/>
        <v xml:space="preserve"> </v>
      </c>
      <c r="L171" s="27" t="str">
        <f t="shared" ca="1" si="20"/>
        <v xml:space="preserve"> </v>
      </c>
      <c r="M171" s="29" t="str">
        <f t="shared" ca="1" si="20"/>
        <v>blu navy</v>
      </c>
      <c r="N171" s="2" t="str">
        <f t="shared" ca="1" si="19"/>
        <v>8APASPA*aaaaae+</v>
      </c>
    </row>
    <row r="172" spans="1:14" ht="31.5" x14ac:dyDescent="0.45">
      <c r="A172" s="3" t="str">
        <f t="shared" ca="1" si="20"/>
        <v>'165</v>
      </c>
      <c r="B172" s="3">
        <f t="shared" ca="1" si="20"/>
        <v>208</v>
      </c>
      <c r="C172" s="5">
        <f t="shared" ca="1" si="20"/>
        <v>8050850000000</v>
      </c>
      <c r="D172" s="8" t="str">
        <f t="shared" ca="1" si="20"/>
        <v>OBAGT001-TESBJ-227</v>
      </c>
      <c r="E172" s="12" t="str">
        <f t="shared" ca="1" si="20"/>
        <v>REVERS O BAG EN TISSU OPTICAL STRIPES</v>
      </c>
      <c r="F172" s="18" t="str">
        <f t="shared" ca="1" si="20"/>
        <v>UNICA</v>
      </c>
      <c r="G172" s="10">
        <f t="shared" ca="1" si="20"/>
        <v>2</v>
      </c>
      <c r="H172" s="20">
        <f t="shared" ca="1" si="20"/>
        <v>11.85</v>
      </c>
      <c r="I172" s="22">
        <f t="shared" ca="1" si="20"/>
        <v>23.7</v>
      </c>
      <c r="J172" s="14" t="str">
        <f t="shared" ca="1" si="20"/>
        <v xml:space="preserve"> </v>
      </c>
      <c r="K172" s="16" t="str">
        <f t="shared" ca="1" si="20"/>
        <v xml:space="preserve"> </v>
      </c>
      <c r="L172" s="27" t="str">
        <f t="shared" ca="1" si="20"/>
        <v xml:space="preserve"> </v>
      </c>
      <c r="M172" s="29" t="str">
        <f t="shared" ca="1" si="20"/>
        <v>bianco/nero</v>
      </c>
      <c r="N172" s="2" t="str">
        <f t="shared" ca="1" si="19"/>
        <v>8APASPA*aaaaae+</v>
      </c>
    </row>
    <row r="173" spans="1:14" ht="31.5" x14ac:dyDescent="0.45">
      <c r="A173" s="3" t="str">
        <f t="shared" ca="1" si="20"/>
        <v>'166</v>
      </c>
      <c r="B173" s="3">
        <f t="shared" ca="1" si="20"/>
        <v>10</v>
      </c>
      <c r="C173" s="5">
        <f t="shared" ca="1" si="20"/>
        <v>8050850000000</v>
      </c>
      <c r="D173" s="8" t="str">
        <f t="shared" ca="1" si="20"/>
        <v>OBAGT001-TESBK-055</v>
      </c>
      <c r="E173" s="12" t="str">
        <f t="shared" ca="1" si="20"/>
        <v>REVERS O BAG EN TISSU DOUDOUNE Ã€ CHEVRONS</v>
      </c>
      <c r="F173" s="18" t="str">
        <f t="shared" ca="1" si="20"/>
        <v>UNICA</v>
      </c>
      <c r="G173" s="10">
        <f t="shared" ca="1" si="20"/>
        <v>2</v>
      </c>
      <c r="H173" s="20">
        <f t="shared" ca="1" si="20"/>
        <v>11.85</v>
      </c>
      <c r="I173" s="22">
        <f t="shared" ca="1" si="20"/>
        <v>23.7</v>
      </c>
      <c r="J173" s="14" t="str">
        <f t="shared" ca="1" si="20"/>
        <v xml:space="preserve"> </v>
      </c>
      <c r="K173" s="16" t="str">
        <f t="shared" ca="1" si="20"/>
        <v xml:space="preserve"> </v>
      </c>
      <c r="L173" s="27" t="str">
        <f t="shared" ca="1" si="20"/>
        <v xml:space="preserve"> </v>
      </c>
      <c r="M173" s="29" t="str">
        <f t="shared" ca="1" si="20"/>
        <v>nero</v>
      </c>
      <c r="N173" s="2" t="str">
        <f t="shared" ca="1" si="19"/>
        <v>8APASPA*aaaaae+</v>
      </c>
    </row>
    <row r="174" spans="1:14" ht="31.5" x14ac:dyDescent="0.45">
      <c r="A174" s="3" t="str">
        <f t="shared" ca="1" si="20"/>
        <v>'167</v>
      </c>
      <c r="B174" s="3">
        <f t="shared" ca="1" si="20"/>
        <v>59</v>
      </c>
      <c r="C174" s="5">
        <f t="shared" ca="1" si="20"/>
        <v>8050850000000</v>
      </c>
      <c r="D174" s="8" t="str">
        <f t="shared" ca="1" si="20"/>
        <v>OBAGT001-TESBK-137</v>
      </c>
      <c r="E174" s="12" t="str">
        <f t="shared" ca="1" si="20"/>
        <v>REVERS O BAG EN TISSU DOUDOUNE Ã€ CHEVRONS</v>
      </c>
      <c r="F174" s="18" t="str">
        <f t="shared" ca="1" si="20"/>
        <v>UNICA</v>
      </c>
      <c r="G174" s="10">
        <f t="shared" ca="1" si="20"/>
        <v>2</v>
      </c>
      <c r="H174" s="20">
        <f t="shared" ca="1" si="20"/>
        <v>11.85</v>
      </c>
      <c r="I174" s="22">
        <f t="shared" ca="1" si="20"/>
        <v>23.7</v>
      </c>
      <c r="J174" s="14" t="str">
        <f t="shared" ca="1" si="20"/>
        <v xml:space="preserve"> </v>
      </c>
      <c r="K174" s="16" t="str">
        <f t="shared" ca="1" si="20"/>
        <v xml:space="preserve"> </v>
      </c>
      <c r="L174" s="27" t="str">
        <f t="shared" ca="1" si="20"/>
        <v xml:space="preserve"> </v>
      </c>
      <c r="M174" s="29" t="str">
        <f t="shared" ca="1" si="20"/>
        <v>bluette</v>
      </c>
      <c r="N174" s="2" t="str">
        <f t="shared" ca="1" si="19"/>
        <v>8APASPA*aaaaae+</v>
      </c>
    </row>
    <row r="175" spans="1:14" ht="31.5" x14ac:dyDescent="0.45">
      <c r="A175" s="3" t="str">
        <f t="shared" ca="1" si="20"/>
        <v>'168</v>
      </c>
      <c r="B175" s="3">
        <f t="shared" ca="1" si="20"/>
        <v>72</v>
      </c>
      <c r="C175" s="5">
        <f t="shared" ca="1" si="20"/>
        <v>8050850000000</v>
      </c>
      <c r="D175" s="8" t="str">
        <f t="shared" ca="1" si="20"/>
        <v>OBAGT001-TESBN-615</v>
      </c>
      <c r="E175" s="12" t="str">
        <f t="shared" ca="1" si="20"/>
        <v>REVERS O BAG EN TISSU DOUDOUNE CHECK</v>
      </c>
      <c r="F175" s="18" t="str">
        <f t="shared" ca="1" si="20"/>
        <v>UNICA</v>
      </c>
      <c r="G175" s="10">
        <f t="shared" ca="1" si="20"/>
        <v>2</v>
      </c>
      <c r="H175" s="20">
        <f t="shared" ca="1" si="20"/>
        <v>15.56</v>
      </c>
      <c r="I175" s="22">
        <f t="shared" ca="1" si="20"/>
        <v>31.12</v>
      </c>
      <c r="J175" s="14" t="str">
        <f t="shared" ca="1" si="20"/>
        <v xml:space="preserve"> </v>
      </c>
      <c r="K175" s="16" t="str">
        <f t="shared" ca="1" si="20"/>
        <v xml:space="preserve"> </v>
      </c>
      <c r="L175" s="27" t="str">
        <f t="shared" ca="1" si="20"/>
        <v xml:space="preserve"> </v>
      </c>
      <c r="M175" s="29" t="str">
        <f t="shared" ca="1" si="20"/>
        <v>military</v>
      </c>
      <c r="N175" s="2" t="str">
        <f t="shared" ca="1" si="19"/>
        <v>8APASPA*aaaaae+</v>
      </c>
    </row>
    <row r="176" spans="1:14" ht="31.5" x14ac:dyDescent="0.45">
      <c r="A176" s="3" t="str">
        <f t="shared" ca="1" si="20"/>
        <v>'169</v>
      </c>
      <c r="B176" s="3">
        <f t="shared" ca="1" si="20"/>
        <v>84</v>
      </c>
      <c r="C176" s="5">
        <f t="shared" ca="1" si="20"/>
        <v>8050850000000</v>
      </c>
      <c r="D176" s="8" t="str">
        <f t="shared" ca="1" si="20"/>
        <v>OBAGT002-FAS04-615</v>
      </c>
      <c r="E176" s="12" t="str">
        <f t="shared" ca="1" si="20"/>
        <v>REVERS O BAG MINI EN FAUSSE FOURRURE MURMANSKY</v>
      </c>
      <c r="F176" s="18" t="str">
        <f t="shared" ca="1" si="20"/>
        <v>UNICA</v>
      </c>
      <c r="G176" s="10">
        <f t="shared" ca="1" si="20"/>
        <v>2</v>
      </c>
      <c r="H176" s="20">
        <f t="shared" ca="1" si="20"/>
        <v>24</v>
      </c>
      <c r="I176" s="22">
        <f t="shared" ca="1" si="20"/>
        <v>48</v>
      </c>
      <c r="J176" s="14" t="str">
        <f t="shared" ca="1" si="20"/>
        <v xml:space="preserve"> </v>
      </c>
      <c r="K176" s="16" t="str">
        <f t="shared" ca="1" si="20"/>
        <v xml:space="preserve"> </v>
      </c>
      <c r="L176" s="27" t="str">
        <f t="shared" ca="1" si="20"/>
        <v xml:space="preserve"> </v>
      </c>
      <c r="M176" s="29" t="str">
        <f t="shared" ca="1" si="20"/>
        <v>military</v>
      </c>
      <c r="N176" s="2" t="str">
        <f t="shared" ca="1" si="19"/>
        <v>8APASPA*aaaaae+</v>
      </c>
    </row>
    <row r="177" spans="1:14" ht="31.5" x14ac:dyDescent="0.45">
      <c r="A177" s="3" t="str">
        <f t="shared" ca="1" si="20"/>
        <v>'170</v>
      </c>
      <c r="B177" s="3">
        <f t="shared" ca="1" si="20"/>
        <v>53</v>
      </c>
      <c r="C177" s="5">
        <f t="shared" ca="1" si="20"/>
        <v>8056100000000</v>
      </c>
      <c r="D177" s="8" t="str">
        <f t="shared" ca="1" si="20"/>
        <v>OBAGT002-FAS09-067</v>
      </c>
      <c r="E177" s="12" t="str">
        <f t="shared" ca="1" si="20"/>
        <v>REVERS O BAG MINI EN FAUSSE FOURRURE LAPIN REX</v>
      </c>
      <c r="F177" s="18" t="str">
        <f t="shared" ca="1" si="20"/>
        <v>UNICA</v>
      </c>
      <c r="G177" s="10">
        <f t="shared" ca="1" si="20"/>
        <v>2</v>
      </c>
      <c r="H177" s="20">
        <f t="shared" ca="1" si="20"/>
        <v>18.48</v>
      </c>
      <c r="I177" s="22">
        <f t="shared" ca="1" si="20"/>
        <v>36.96</v>
      </c>
      <c r="J177" s="14" t="str">
        <f t="shared" ca="1" si="20"/>
        <v xml:space="preserve">MINIECOFOURRURE </v>
      </c>
      <c r="K177" s="16" t="str">
        <f t="shared" ca="1" si="20"/>
        <v>LAPHA</v>
      </c>
      <c r="L177" s="27">
        <f t="shared" ca="1" si="20"/>
        <v>0</v>
      </c>
      <c r="M177" s="29" t="str">
        <f t="shared" ca="1" si="20"/>
        <v>phard</v>
      </c>
      <c r="N177" s="2" t="str">
        <f t="shared" ca="1" si="19"/>
        <v>8APGLKA*aaaaai+</v>
      </c>
    </row>
    <row r="178" spans="1:14" ht="31.5" x14ac:dyDescent="0.45">
      <c r="A178" s="3" t="str">
        <f t="shared" ca="1" si="20"/>
        <v>'171</v>
      </c>
      <c r="B178" s="3">
        <f t="shared" ca="1" si="20"/>
        <v>126</v>
      </c>
      <c r="C178" s="5">
        <f t="shared" ca="1" si="20"/>
        <v>8050850000000</v>
      </c>
      <c r="D178" s="8" t="str">
        <f t="shared" ca="1" si="20"/>
        <v>OBAGT002-FAS09-615</v>
      </c>
      <c r="E178" s="12" t="str">
        <f t="shared" ca="1" si="20"/>
        <v>REVERS O BAG MINI EN FAUSSE FOURRURE LAPIN REX</v>
      </c>
      <c r="F178" s="18" t="str">
        <f t="shared" ca="1" si="20"/>
        <v>UNICA</v>
      </c>
      <c r="G178" s="10">
        <f t="shared" ca="1" si="20"/>
        <v>2</v>
      </c>
      <c r="H178" s="20">
        <f t="shared" ca="1" si="20"/>
        <v>18.48</v>
      </c>
      <c r="I178" s="22">
        <f t="shared" ca="1" si="20"/>
        <v>36.96</v>
      </c>
      <c r="J178" s="14" t="str">
        <f t="shared" ca="1" si="20"/>
        <v xml:space="preserve"> </v>
      </c>
      <c r="K178" s="16" t="str">
        <f t="shared" ca="1" si="20"/>
        <v xml:space="preserve"> </v>
      </c>
      <c r="L178" s="27" t="str">
        <f t="shared" ca="1" si="20"/>
        <v xml:space="preserve"> </v>
      </c>
      <c r="M178" s="29" t="str">
        <f t="shared" ca="1" si="20"/>
        <v>military</v>
      </c>
      <c r="N178" s="2" t="str">
        <f t="shared" ca="1" si="19"/>
        <v>8APASPA*aaaaae+</v>
      </c>
    </row>
    <row r="179" spans="1:14" ht="31.5" x14ac:dyDescent="0.45">
      <c r="A179" s="3" t="str">
        <f t="shared" ca="1" si="20"/>
        <v>'172</v>
      </c>
      <c r="B179" s="3">
        <f t="shared" ca="1" si="20"/>
        <v>39</v>
      </c>
      <c r="C179" s="5">
        <f t="shared" ca="1" si="20"/>
        <v>8050850000000</v>
      </c>
      <c r="D179" s="8" t="str">
        <f t="shared" ca="1" si="20"/>
        <v>OBAGT002-FAS58-078</v>
      </c>
      <c r="E179" s="12" t="str">
        <f t="shared" ca="1" si="20"/>
        <v>REVERS O BAG MINI EN FAUSSE FOURRURE CASTOR</v>
      </c>
      <c r="F179" s="18" t="str">
        <f t="shared" ca="1" si="20"/>
        <v>UNICA</v>
      </c>
      <c r="G179" s="10">
        <f t="shared" ca="1" si="20"/>
        <v>2</v>
      </c>
      <c r="H179" s="20">
        <f t="shared" ca="1" si="20"/>
        <v>24.07</v>
      </c>
      <c r="I179" s="22">
        <f t="shared" ca="1" si="20"/>
        <v>48.14</v>
      </c>
      <c r="J179" s="14" t="str">
        <f t="shared" ca="1" si="20"/>
        <v xml:space="preserve"> </v>
      </c>
      <c r="K179" s="16" t="str">
        <f t="shared" ca="1" si="20"/>
        <v xml:space="preserve"> </v>
      </c>
      <c r="L179" s="27" t="str">
        <f t="shared" ca="1" si="20"/>
        <v xml:space="preserve"> </v>
      </c>
      <c r="M179" s="29" t="str">
        <f t="shared" ca="1" si="20"/>
        <v>sabbia</v>
      </c>
      <c r="N179" s="2" t="str">
        <f t="shared" ca="1" si="19"/>
        <v>8APASPA*aaaaae+</v>
      </c>
    </row>
    <row r="180" spans="1:14" ht="31.5" x14ac:dyDescent="0.45">
      <c r="A180" s="3" t="str">
        <f t="shared" ca="1" si="20"/>
        <v>'173</v>
      </c>
      <c r="B180" s="3">
        <f t="shared" ca="1" si="20"/>
        <v>135</v>
      </c>
      <c r="C180" s="5">
        <f t="shared" ca="1" si="20"/>
        <v>8050850000000</v>
      </c>
      <c r="D180" s="8" t="str">
        <f t="shared" ca="1" si="20"/>
        <v>OBAGT002-FAS58-084</v>
      </c>
      <c r="E180" s="12" t="str">
        <f t="shared" ca="1" si="20"/>
        <v>REVERS O BAG MINI EN FAUSSE FOURRURE CASTOR</v>
      </c>
      <c r="F180" s="18" t="str">
        <f t="shared" ca="1" si="20"/>
        <v>UNICA</v>
      </c>
      <c r="G180" s="10">
        <f t="shared" ca="1" si="20"/>
        <v>2</v>
      </c>
      <c r="H180" s="20">
        <f t="shared" ca="1" si="20"/>
        <v>24.07</v>
      </c>
      <c r="I180" s="22">
        <f t="shared" ca="1" si="20"/>
        <v>48.14</v>
      </c>
      <c r="J180" s="14" t="str">
        <f t="shared" ca="1" si="20"/>
        <v xml:space="preserve"> </v>
      </c>
      <c r="K180" s="16" t="str">
        <f t="shared" ca="1" si="20"/>
        <v xml:space="preserve"> </v>
      </c>
      <c r="L180" s="27" t="str">
        <f t="shared" ca="1" si="20"/>
        <v xml:space="preserve"> </v>
      </c>
      <c r="M180" s="29" t="str">
        <f t="shared" ca="1" si="20"/>
        <v>testa di moro</v>
      </c>
      <c r="N180" s="2" t="str">
        <f t="shared" ca="1" si="19"/>
        <v>8APASPA*aaaaae+</v>
      </c>
    </row>
    <row r="181" spans="1:14" ht="31.5" x14ac:dyDescent="0.45">
      <c r="A181" s="3" t="str">
        <f t="shared" ca="1" si="20"/>
        <v>'174</v>
      </c>
      <c r="B181" s="3">
        <f t="shared" ca="1" si="20"/>
        <v>68</v>
      </c>
      <c r="C181" s="5">
        <f t="shared" ca="1" si="20"/>
        <v>8050850000000</v>
      </c>
      <c r="D181" s="8" t="str">
        <f t="shared" ca="1" si="20"/>
        <v>OBAGT002-FAS59-227</v>
      </c>
      <c r="E181" s="12" t="str">
        <f t="shared" ca="1" si="20"/>
        <v>REVERS O BAG MINI EN FAUSSE FOURRURE LAPIN MARBLE</v>
      </c>
      <c r="F181" s="18" t="str">
        <f t="shared" ca="1" si="20"/>
        <v>UNICA</v>
      </c>
      <c r="G181" s="10">
        <f t="shared" ca="1" si="20"/>
        <v>2</v>
      </c>
      <c r="H181" s="20">
        <f t="shared" ca="1" si="20"/>
        <v>20.37</v>
      </c>
      <c r="I181" s="22">
        <f t="shared" ca="1" si="20"/>
        <v>40.74</v>
      </c>
      <c r="J181" s="14" t="str">
        <f t="shared" ca="1" si="20"/>
        <v xml:space="preserve"> </v>
      </c>
      <c r="K181" s="16" t="str">
        <f t="shared" ca="1" si="20"/>
        <v xml:space="preserve"> </v>
      </c>
      <c r="L181" s="27" t="str">
        <f t="shared" ca="1" si="20"/>
        <v xml:space="preserve"> </v>
      </c>
      <c r="M181" s="29" t="str">
        <f t="shared" ca="1" si="20"/>
        <v>bianco/nero</v>
      </c>
      <c r="N181" s="2" t="str">
        <f t="shared" ca="1" si="19"/>
        <v>8APASPA*aaaaae+</v>
      </c>
    </row>
    <row r="182" spans="1:14" ht="31.5" x14ac:dyDescent="0.45">
      <c r="A182" s="3" t="str">
        <f t="shared" ca="1" si="20"/>
        <v>'175</v>
      </c>
      <c r="B182" s="3">
        <f t="shared" ca="1" si="20"/>
        <v>6</v>
      </c>
      <c r="C182" s="5">
        <f t="shared" ca="1" si="20"/>
        <v>8050850000000</v>
      </c>
      <c r="D182" s="8" t="str">
        <f t="shared" ca="1" si="20"/>
        <v>OBAGT002-FAS60-227</v>
      </c>
      <c r="E182" s="12" t="str">
        <f t="shared" ca="1" si="20"/>
        <v>REVERS O BAG MINI EN FAUSSE FOURRURE RENARD MARQUETEE</v>
      </c>
      <c r="F182" s="18" t="str">
        <f t="shared" ca="1" si="20"/>
        <v>UNICA</v>
      </c>
      <c r="G182" s="10">
        <f t="shared" ca="1" si="20"/>
        <v>2</v>
      </c>
      <c r="H182" s="20">
        <f t="shared" ca="1" si="20"/>
        <v>27.04</v>
      </c>
      <c r="I182" s="22">
        <f t="shared" ca="1" si="20"/>
        <v>54.08</v>
      </c>
      <c r="J182" s="14" t="str">
        <f t="shared" ca="1" si="20"/>
        <v xml:space="preserve"> </v>
      </c>
      <c r="K182" s="16" t="str">
        <f t="shared" ca="1" si="20"/>
        <v xml:space="preserve"> </v>
      </c>
      <c r="L182" s="27" t="str">
        <f t="shared" ca="1" si="20"/>
        <v xml:space="preserve"> </v>
      </c>
      <c r="M182" s="29" t="str">
        <f t="shared" ca="1" si="20"/>
        <v>bianco/nero</v>
      </c>
      <c r="N182" s="2" t="str">
        <f t="shared" ca="1" si="19"/>
        <v>8APASPA*aaaaae+</v>
      </c>
    </row>
    <row r="183" spans="1:14" ht="31.5" x14ac:dyDescent="0.45">
      <c r="A183" s="3" t="str">
        <f t="shared" ca="1" si="20"/>
        <v>'176</v>
      </c>
      <c r="B183" s="3">
        <f t="shared" ca="1" si="20"/>
        <v>177</v>
      </c>
      <c r="C183" s="5">
        <f t="shared" ca="1" si="20"/>
        <v>8050850000000</v>
      </c>
      <c r="D183" s="8" t="str">
        <f t="shared" ca="1" si="20"/>
        <v>OBAGT002-LAS43-017</v>
      </c>
      <c r="E183" s="12" t="str">
        <f t="shared" ca="1" si="20"/>
        <v>REVERS O BAG MINI EN LAINE COPENHAGUE</v>
      </c>
      <c r="F183" s="18" t="str">
        <f t="shared" ca="1" si="20"/>
        <v>UNICA</v>
      </c>
      <c r="G183" s="10">
        <f t="shared" ca="1" si="20"/>
        <v>2</v>
      </c>
      <c r="H183" s="20">
        <f t="shared" ca="1" si="20"/>
        <v>10.74</v>
      </c>
      <c r="I183" s="22">
        <f t="shared" ca="1" si="20"/>
        <v>21.48</v>
      </c>
      <c r="J183" s="14" t="str">
        <f t="shared" ca="1" si="20"/>
        <v xml:space="preserve"> </v>
      </c>
      <c r="K183" s="16" t="str">
        <f t="shared" ca="1" si="20"/>
        <v xml:space="preserve"> </v>
      </c>
      <c r="L183" s="27" t="str">
        <f t="shared" ca="1" si="20"/>
        <v xml:space="preserve"> </v>
      </c>
      <c r="M183" s="29" t="str">
        <f t="shared" ca="1" si="20"/>
        <v>blu navy</v>
      </c>
      <c r="N183" s="2" t="str">
        <f t="shared" ca="1" si="19"/>
        <v>8APASPA*aaaaae+</v>
      </c>
    </row>
    <row r="184" spans="1:14" ht="31.5" x14ac:dyDescent="0.45">
      <c r="A184" s="3" t="str">
        <f t="shared" ca="1" si="20"/>
        <v>'177</v>
      </c>
      <c r="B184" s="3">
        <f t="shared" ca="1" si="20"/>
        <v>121</v>
      </c>
      <c r="C184" s="5">
        <f t="shared" ca="1" si="20"/>
        <v>8050850000000</v>
      </c>
      <c r="D184" s="8" t="str">
        <f t="shared" ca="1" si="20"/>
        <v>OBAGT002-LAS43-078</v>
      </c>
      <c r="E184" s="12" t="str">
        <f t="shared" ca="1" si="20"/>
        <v>REVERS O BAG MINI EN LAINE COPENHAGUE</v>
      </c>
      <c r="F184" s="18" t="str">
        <f t="shared" ca="1" si="20"/>
        <v>UNICA</v>
      </c>
      <c r="G184" s="10">
        <f t="shared" ca="1" si="20"/>
        <v>2</v>
      </c>
      <c r="H184" s="20">
        <f t="shared" ca="1" si="20"/>
        <v>10.74</v>
      </c>
      <c r="I184" s="22">
        <f t="shared" ca="1" si="20"/>
        <v>21.48</v>
      </c>
      <c r="J184" s="14" t="str">
        <f t="shared" ca="1" si="20"/>
        <v xml:space="preserve"> </v>
      </c>
      <c r="K184" s="16" t="str">
        <f t="shared" ca="1" si="20"/>
        <v xml:space="preserve"> </v>
      </c>
      <c r="L184" s="27" t="str">
        <f t="shared" ca="1" si="20"/>
        <v xml:space="preserve"> </v>
      </c>
      <c r="M184" s="29" t="str">
        <f t="shared" ca="1" si="20"/>
        <v>sabbia</v>
      </c>
      <c r="N184" s="2" t="str">
        <f t="shared" ca="1" si="19"/>
        <v>8APASPA*aaaaae+</v>
      </c>
    </row>
    <row r="185" spans="1:14" ht="31.5" x14ac:dyDescent="0.45">
      <c r="A185" s="3" t="str">
        <f t="shared" ca="1" si="20"/>
        <v>'178</v>
      </c>
      <c r="B185" s="3">
        <f t="shared" ca="1" si="20"/>
        <v>73</v>
      </c>
      <c r="C185" s="5">
        <f t="shared" ca="1" si="20"/>
        <v>8050850000000</v>
      </c>
      <c r="D185" s="8" t="str">
        <f t="shared" ca="1" si="20"/>
        <v>OBAGT002-LAS43-615</v>
      </c>
      <c r="E185" s="12" t="str">
        <f t="shared" ca="1" si="20"/>
        <v>REVERS O BAG MINI EN LAINE COPENHAGUE</v>
      </c>
      <c r="F185" s="18" t="str">
        <f t="shared" ca="1" si="20"/>
        <v>UNICA</v>
      </c>
      <c r="G185" s="10">
        <f t="shared" ca="1" si="20"/>
        <v>2</v>
      </c>
      <c r="H185" s="20">
        <f t="shared" ca="1" si="20"/>
        <v>10.74</v>
      </c>
      <c r="I185" s="22">
        <f t="shared" ca="1" si="20"/>
        <v>21.48</v>
      </c>
      <c r="J185" s="14" t="str">
        <f t="shared" ca="1" si="20"/>
        <v xml:space="preserve"> </v>
      </c>
      <c r="K185" s="16" t="str">
        <f t="shared" ca="1" si="20"/>
        <v xml:space="preserve"> </v>
      </c>
      <c r="L185" s="27" t="str">
        <f t="shared" ca="1" si="20"/>
        <v xml:space="preserve"> </v>
      </c>
      <c r="M185" s="29" t="str">
        <f t="shared" ca="1" si="20"/>
        <v>military</v>
      </c>
      <c r="N185" s="2" t="str">
        <f t="shared" ca="1" si="19"/>
        <v>8APASPA*aaaaae+</v>
      </c>
    </row>
    <row r="186" spans="1:14" ht="31.5" x14ac:dyDescent="0.45">
      <c r="A186" s="3" t="str">
        <f t="shared" ca="1" si="20"/>
        <v>'179</v>
      </c>
      <c r="B186" s="3">
        <f t="shared" ca="1" si="20"/>
        <v>60</v>
      </c>
      <c r="C186" s="5">
        <f t="shared" ca="1" si="20"/>
        <v>8050850000000</v>
      </c>
      <c r="D186" s="8" t="str">
        <f t="shared" ca="1" si="20"/>
        <v>OBAGT002-LAS45-038</v>
      </c>
      <c r="E186" s="12" t="str">
        <f t="shared" ca="1" si="20"/>
        <v>REVERS O BAG MINI EN LAINE OSLO</v>
      </c>
      <c r="F186" s="18" t="str">
        <f t="shared" ca="1" si="20"/>
        <v>UNICA</v>
      </c>
      <c r="G186" s="10">
        <f t="shared" ca="1" si="20"/>
        <v>2</v>
      </c>
      <c r="H186" s="20">
        <f t="shared" ca="1" si="20"/>
        <v>11.85</v>
      </c>
      <c r="I186" s="22">
        <f t="shared" ref="A186:M206" ca="1" si="21">INDEX(INDIRECT($O$10),ROW(I186),COLUMN(I186))</f>
        <v>23.7</v>
      </c>
      <c r="J186" s="14" t="str">
        <f t="shared" ca="1" si="21"/>
        <v xml:space="preserve"> </v>
      </c>
      <c r="K186" s="16" t="str">
        <f t="shared" ca="1" si="21"/>
        <v xml:space="preserve"> </v>
      </c>
      <c r="L186" s="27" t="str">
        <f t="shared" ca="1" si="21"/>
        <v xml:space="preserve"> </v>
      </c>
      <c r="M186" s="29" t="str">
        <f t="shared" ca="1" si="21"/>
        <v>grafite</v>
      </c>
      <c r="N186" s="2" t="str">
        <f t="shared" ca="1" si="19"/>
        <v>8APASPA*aaaaae+</v>
      </c>
    </row>
    <row r="187" spans="1:14" ht="31.5" x14ac:dyDescent="0.45">
      <c r="A187" s="3" t="str">
        <f t="shared" ca="1" si="21"/>
        <v>'180</v>
      </c>
      <c r="B187" s="3">
        <f t="shared" ca="1" si="21"/>
        <v>172</v>
      </c>
      <c r="C187" s="5">
        <f t="shared" ca="1" si="21"/>
        <v>8050850000000</v>
      </c>
      <c r="D187" s="8" t="str">
        <f t="shared" ca="1" si="21"/>
        <v>OBAGT002-LAS46-227</v>
      </c>
      <c r="E187" s="12" t="str">
        <f t="shared" ca="1" si="21"/>
        <v>REVERS O BAG MINI EN LAINE OPTICAL</v>
      </c>
      <c r="F187" s="18" t="str">
        <f t="shared" ca="1" si="21"/>
        <v>UNICA</v>
      </c>
      <c r="G187" s="10">
        <f t="shared" ca="1" si="21"/>
        <v>2</v>
      </c>
      <c r="H187" s="20">
        <f t="shared" ca="1" si="21"/>
        <v>11.85</v>
      </c>
      <c r="I187" s="22">
        <f t="shared" ca="1" si="21"/>
        <v>23.7</v>
      </c>
      <c r="J187" s="14" t="str">
        <f t="shared" ca="1" si="21"/>
        <v xml:space="preserve"> </v>
      </c>
      <c r="K187" s="16" t="str">
        <f t="shared" ca="1" si="21"/>
        <v xml:space="preserve"> </v>
      </c>
      <c r="L187" s="27" t="str">
        <f t="shared" ca="1" si="21"/>
        <v xml:space="preserve"> </v>
      </c>
      <c r="M187" s="29" t="str">
        <f t="shared" ca="1" si="21"/>
        <v>bianco/nero</v>
      </c>
      <c r="N187" s="2" t="str">
        <f t="shared" ca="1" si="19"/>
        <v>8APASPA*aaaaae+</v>
      </c>
    </row>
    <row r="188" spans="1:14" ht="31.5" x14ac:dyDescent="0.45">
      <c r="A188" s="3" t="str">
        <f t="shared" ca="1" si="21"/>
        <v>'181</v>
      </c>
      <c r="B188" s="3">
        <f t="shared" ca="1" si="21"/>
        <v>145</v>
      </c>
      <c r="C188" s="5">
        <f t="shared" ca="1" si="21"/>
        <v>8050850000000</v>
      </c>
      <c r="D188" s="8" t="str">
        <f t="shared" ca="1" si="21"/>
        <v>OBAGT002-TESBB-615</v>
      </c>
      <c r="E188" s="12" t="str">
        <f t="shared" ca="1" si="21"/>
        <v>REVERS O BAG MINI EN TISSU IMPRIME DIANTHUS</v>
      </c>
      <c r="F188" s="18" t="str">
        <f t="shared" ca="1" si="21"/>
        <v>UNICA</v>
      </c>
      <c r="G188" s="10">
        <f t="shared" ca="1" si="21"/>
        <v>2</v>
      </c>
      <c r="H188" s="20">
        <f t="shared" ca="1" si="21"/>
        <v>13.33</v>
      </c>
      <c r="I188" s="22">
        <f t="shared" ca="1" si="21"/>
        <v>26.66</v>
      </c>
      <c r="J188" s="14" t="str">
        <f t="shared" ca="1" si="21"/>
        <v xml:space="preserve"> </v>
      </c>
      <c r="K188" s="16" t="str">
        <f t="shared" ca="1" si="21"/>
        <v xml:space="preserve"> </v>
      </c>
      <c r="L188" s="27" t="str">
        <f t="shared" ca="1" si="21"/>
        <v xml:space="preserve"> </v>
      </c>
      <c r="M188" s="29" t="str">
        <f t="shared" ca="1" si="21"/>
        <v>military</v>
      </c>
      <c r="N188" s="2" t="str">
        <f t="shared" ca="1" si="19"/>
        <v>8APASPA*aaaaae+</v>
      </c>
    </row>
    <row r="189" spans="1:14" ht="31.5" x14ac:dyDescent="0.45">
      <c r="A189" s="3" t="str">
        <f t="shared" ca="1" si="21"/>
        <v>'182</v>
      </c>
      <c r="B189" s="3">
        <f t="shared" ca="1" si="21"/>
        <v>127</v>
      </c>
      <c r="C189" s="5">
        <f t="shared" ca="1" si="21"/>
        <v>8050850000000</v>
      </c>
      <c r="D189" s="8" t="str">
        <f t="shared" ca="1" si="21"/>
        <v>OBAGT002-TESBD-227</v>
      </c>
      <c r="E189" s="12" t="str">
        <f t="shared" ca="1" si="21"/>
        <v>REVERS O BAG MINI EN TISSU CHECK EFFET LAINE</v>
      </c>
      <c r="F189" s="18" t="str">
        <f t="shared" ca="1" si="21"/>
        <v>UNICA</v>
      </c>
      <c r="G189" s="10">
        <f t="shared" ca="1" si="21"/>
        <v>2</v>
      </c>
      <c r="H189" s="20">
        <f t="shared" ca="1" si="21"/>
        <v>13.33</v>
      </c>
      <c r="I189" s="22">
        <f t="shared" ca="1" si="21"/>
        <v>26.66</v>
      </c>
      <c r="J189" s="14" t="str">
        <f t="shared" ca="1" si="21"/>
        <v xml:space="preserve"> </v>
      </c>
      <c r="K189" s="16" t="str">
        <f t="shared" ca="1" si="21"/>
        <v xml:space="preserve"> </v>
      </c>
      <c r="L189" s="27" t="str">
        <f t="shared" ca="1" si="21"/>
        <v xml:space="preserve"> </v>
      </c>
      <c r="M189" s="29" t="str">
        <f t="shared" ca="1" si="21"/>
        <v>bianco/nero</v>
      </c>
      <c r="N189" s="2" t="str">
        <f t="shared" ca="1" si="19"/>
        <v>8APASPA*aaaaae+</v>
      </c>
    </row>
    <row r="190" spans="1:14" ht="31.5" x14ac:dyDescent="0.45">
      <c r="A190" s="3" t="str">
        <f t="shared" ca="1" si="21"/>
        <v>'183</v>
      </c>
      <c r="B190" s="3">
        <f t="shared" ca="1" si="21"/>
        <v>200</v>
      </c>
      <c r="C190" s="5">
        <f t="shared" ca="1" si="21"/>
        <v>8050850000000</v>
      </c>
      <c r="D190" s="8" t="str">
        <f t="shared" ca="1" si="21"/>
        <v>OBAGT002-TESBE-227</v>
      </c>
      <c r="E190" s="12" t="str">
        <f t="shared" ca="1" si="21"/>
        <v>REVERS O BAG MINI EN TISSU Ã€ CHEVRONS</v>
      </c>
      <c r="F190" s="18" t="str">
        <f t="shared" ca="1" si="21"/>
        <v>UNICA</v>
      </c>
      <c r="G190" s="10">
        <f t="shared" ca="1" si="21"/>
        <v>2</v>
      </c>
      <c r="H190" s="20">
        <f t="shared" ca="1" si="21"/>
        <v>13.33</v>
      </c>
      <c r="I190" s="22">
        <f t="shared" ca="1" si="21"/>
        <v>26.66</v>
      </c>
      <c r="J190" s="14" t="str">
        <f t="shared" ca="1" si="21"/>
        <v xml:space="preserve"> </v>
      </c>
      <c r="K190" s="16" t="str">
        <f t="shared" ca="1" si="21"/>
        <v xml:space="preserve"> </v>
      </c>
      <c r="L190" s="27" t="str">
        <f t="shared" ca="1" si="21"/>
        <v xml:space="preserve"> </v>
      </c>
      <c r="M190" s="29" t="str">
        <f t="shared" ca="1" si="21"/>
        <v>bianco/nero</v>
      </c>
      <c r="N190" s="2" t="str">
        <f t="shared" ca="1" si="19"/>
        <v>8APASPA*aaaaae+</v>
      </c>
    </row>
    <row r="191" spans="1:14" ht="31.5" x14ac:dyDescent="0.45">
      <c r="A191" s="3" t="str">
        <f t="shared" ca="1" si="21"/>
        <v>'184</v>
      </c>
      <c r="B191" s="3">
        <f t="shared" ca="1" si="21"/>
        <v>157</v>
      </c>
      <c r="C191" s="5">
        <f t="shared" ca="1" si="21"/>
        <v>8050850000000</v>
      </c>
      <c r="D191" s="8" t="str">
        <f t="shared" ca="1" si="21"/>
        <v>OBAGT002-TESBH-017</v>
      </c>
      <c r="E191" s="12" t="str">
        <f t="shared" ca="1" si="21"/>
        <v>REVERS O BAG MINI EN TISSU IMPRIME JACQUARD MICRO FANTAISIE</v>
      </c>
      <c r="F191" s="18" t="str">
        <f t="shared" ca="1" si="21"/>
        <v>UNICA</v>
      </c>
      <c r="G191" s="10">
        <f t="shared" ca="1" si="21"/>
        <v>2</v>
      </c>
      <c r="H191" s="20">
        <f t="shared" ca="1" si="21"/>
        <v>13.33</v>
      </c>
      <c r="I191" s="22">
        <f t="shared" ca="1" si="21"/>
        <v>26.66</v>
      </c>
      <c r="J191" s="14" t="str">
        <f t="shared" ca="1" si="21"/>
        <v xml:space="preserve"> </v>
      </c>
      <c r="K191" s="16" t="str">
        <f t="shared" ca="1" si="21"/>
        <v xml:space="preserve"> </v>
      </c>
      <c r="L191" s="27" t="str">
        <f t="shared" ca="1" si="21"/>
        <v xml:space="preserve"> </v>
      </c>
      <c r="M191" s="29" t="str">
        <f t="shared" ca="1" si="21"/>
        <v>blu navy</v>
      </c>
      <c r="N191" s="2" t="str">
        <f t="shared" ca="1" si="19"/>
        <v>8APASPA*aaaaae+</v>
      </c>
    </row>
    <row r="192" spans="1:14" ht="31.5" x14ac:dyDescent="0.45">
      <c r="A192" s="3" t="str">
        <f t="shared" ca="1" si="21"/>
        <v>'185</v>
      </c>
      <c r="B192" s="3">
        <f t="shared" ca="1" si="21"/>
        <v>201</v>
      </c>
      <c r="C192" s="5">
        <f t="shared" ca="1" si="21"/>
        <v>8050850000000</v>
      </c>
      <c r="D192" s="8" t="str">
        <f t="shared" ca="1" si="21"/>
        <v>OBAGT002-TESBJ-227</v>
      </c>
      <c r="E192" s="12" t="str">
        <f t="shared" ca="1" si="21"/>
        <v>REVERS O BAG MINI EN TISSU OPTICAL STRIPES</v>
      </c>
      <c r="F192" s="18" t="str">
        <f t="shared" ca="1" si="21"/>
        <v>UNICA</v>
      </c>
      <c r="G192" s="10">
        <f t="shared" ca="1" si="21"/>
        <v>2</v>
      </c>
      <c r="H192" s="20">
        <f t="shared" ca="1" si="21"/>
        <v>11.85</v>
      </c>
      <c r="I192" s="22">
        <f t="shared" ca="1" si="21"/>
        <v>23.7</v>
      </c>
      <c r="J192" s="14" t="str">
        <f t="shared" ca="1" si="21"/>
        <v xml:space="preserve"> </v>
      </c>
      <c r="K192" s="16" t="str">
        <f t="shared" ca="1" si="21"/>
        <v xml:space="preserve"> </v>
      </c>
      <c r="L192" s="27" t="str">
        <f t="shared" ca="1" si="21"/>
        <v xml:space="preserve"> </v>
      </c>
      <c r="M192" s="29" t="str">
        <f t="shared" ca="1" si="21"/>
        <v>bianco/nero</v>
      </c>
      <c r="N192" s="2" t="str">
        <f t="shared" ca="1" si="19"/>
        <v>8APASPA*aaaaae+</v>
      </c>
    </row>
    <row r="193" spans="1:14" ht="31.5" x14ac:dyDescent="0.45">
      <c r="A193" s="3" t="str">
        <f t="shared" ca="1" si="21"/>
        <v>'186</v>
      </c>
      <c r="B193" s="3">
        <f t="shared" ca="1" si="21"/>
        <v>108</v>
      </c>
      <c r="C193" s="5">
        <f t="shared" ca="1" si="21"/>
        <v>8050850000000</v>
      </c>
      <c r="D193" s="8" t="str">
        <f t="shared" ca="1" si="21"/>
        <v>OBAGT002-TESBK-055</v>
      </c>
      <c r="E193" s="12" t="str">
        <f t="shared" ca="1" si="21"/>
        <v>REVERS O BAG MINI EN TISSU DOUDOUNE Ã€ CHEVRONS</v>
      </c>
      <c r="F193" s="18" t="str">
        <f t="shared" ca="1" si="21"/>
        <v>UNICA</v>
      </c>
      <c r="G193" s="10">
        <f t="shared" ca="1" si="21"/>
        <v>2</v>
      </c>
      <c r="H193" s="20">
        <f t="shared" ca="1" si="21"/>
        <v>11.85</v>
      </c>
      <c r="I193" s="22">
        <f t="shared" ca="1" si="21"/>
        <v>23.7</v>
      </c>
      <c r="J193" s="14" t="str">
        <f t="shared" ca="1" si="21"/>
        <v xml:space="preserve"> </v>
      </c>
      <c r="K193" s="16" t="str">
        <f t="shared" ca="1" si="21"/>
        <v xml:space="preserve"> </v>
      </c>
      <c r="L193" s="27" t="str">
        <f t="shared" ca="1" si="21"/>
        <v xml:space="preserve"> </v>
      </c>
      <c r="M193" s="29" t="str">
        <f t="shared" ca="1" si="21"/>
        <v>nero</v>
      </c>
      <c r="N193" s="2" t="str">
        <f t="shared" ca="1" si="19"/>
        <v>8APASPA*aaaaae+</v>
      </c>
    </row>
    <row r="194" spans="1:14" ht="31.5" x14ac:dyDescent="0.45">
      <c r="A194" s="3" t="str">
        <f t="shared" ca="1" si="21"/>
        <v>'187</v>
      </c>
      <c r="B194" s="3">
        <f t="shared" ca="1" si="21"/>
        <v>191</v>
      </c>
      <c r="C194" s="5">
        <f t="shared" ca="1" si="21"/>
        <v>8050850000000</v>
      </c>
      <c r="D194" s="8" t="str">
        <f t="shared" ca="1" si="21"/>
        <v>OBAGT002-TESBK-137</v>
      </c>
      <c r="E194" s="12" t="str">
        <f t="shared" ca="1" si="21"/>
        <v>REVERS O BAG MINI EN TISSU DOUDOUNE Ã€ CHEVRONS</v>
      </c>
      <c r="F194" s="18" t="str">
        <f t="shared" ca="1" si="21"/>
        <v>UNICA</v>
      </c>
      <c r="G194" s="10">
        <f t="shared" ca="1" si="21"/>
        <v>2</v>
      </c>
      <c r="H194" s="20">
        <f t="shared" ca="1" si="21"/>
        <v>11.85</v>
      </c>
      <c r="I194" s="22">
        <f t="shared" ca="1" si="21"/>
        <v>23.7</v>
      </c>
      <c r="J194" s="14" t="str">
        <f t="shared" ca="1" si="21"/>
        <v xml:space="preserve"> </v>
      </c>
      <c r="K194" s="16" t="str">
        <f t="shared" ca="1" si="21"/>
        <v xml:space="preserve"> </v>
      </c>
      <c r="L194" s="27" t="str">
        <f t="shared" ca="1" si="21"/>
        <v xml:space="preserve"> </v>
      </c>
      <c r="M194" s="29" t="str">
        <f t="shared" ca="1" si="21"/>
        <v>bluette</v>
      </c>
      <c r="N194" s="2" t="str">
        <f t="shared" ca="1" si="19"/>
        <v>8APASPA*aaaaae+</v>
      </c>
    </row>
    <row r="195" spans="1:14" ht="31.5" x14ac:dyDescent="0.45">
      <c r="A195" s="3" t="str">
        <f t="shared" ca="1" si="21"/>
        <v>'188</v>
      </c>
      <c r="B195" s="3">
        <f t="shared" ca="1" si="21"/>
        <v>175</v>
      </c>
      <c r="C195" s="5">
        <f t="shared" ca="1" si="21"/>
        <v>8050850000000</v>
      </c>
      <c r="D195" s="8" t="str">
        <f t="shared" ca="1" si="21"/>
        <v>OBAGT002-TESBN-615</v>
      </c>
      <c r="E195" s="12" t="str">
        <f t="shared" ca="1" si="21"/>
        <v>REVERS O BAG MINI EN TISSU DOUDOUNE CHECK</v>
      </c>
      <c r="F195" s="18" t="str">
        <f t="shared" ca="1" si="21"/>
        <v>UNICA</v>
      </c>
      <c r="G195" s="10">
        <f t="shared" ca="1" si="21"/>
        <v>2</v>
      </c>
      <c r="H195" s="20">
        <f t="shared" ca="1" si="21"/>
        <v>15.56</v>
      </c>
      <c r="I195" s="22">
        <f t="shared" ca="1" si="21"/>
        <v>31.12</v>
      </c>
      <c r="J195" s="14" t="str">
        <f t="shared" ca="1" si="21"/>
        <v xml:space="preserve"> </v>
      </c>
      <c r="K195" s="16" t="str">
        <f t="shared" ca="1" si="21"/>
        <v xml:space="preserve"> </v>
      </c>
      <c r="L195" s="27" t="str">
        <f t="shared" ca="1" si="21"/>
        <v xml:space="preserve"> </v>
      </c>
      <c r="M195" s="29" t="str">
        <f t="shared" ca="1" si="21"/>
        <v>military</v>
      </c>
      <c r="N195" s="2" t="str">
        <f t="shared" ca="1" si="19"/>
        <v>8APASPA*aaaaae+</v>
      </c>
    </row>
    <row r="196" spans="1:14" ht="31.5" x14ac:dyDescent="0.45">
      <c r="A196" s="3" t="str">
        <f t="shared" ca="1" si="21"/>
        <v>'189</v>
      </c>
      <c r="B196" s="3">
        <f t="shared" ca="1" si="21"/>
        <v>61</v>
      </c>
      <c r="C196" s="5">
        <f t="shared" ca="1" si="21"/>
        <v>8050850000000</v>
      </c>
      <c r="D196" s="8" t="str">
        <f t="shared" ca="1" si="21"/>
        <v>OCLKD001-MESE3-067</v>
      </c>
      <c r="E196" s="12" t="str">
        <f t="shared" ca="1" si="21"/>
        <v>O CLOCK MECANISME CIRCLE SOLEIL</v>
      </c>
      <c r="F196" s="18" t="str">
        <f t="shared" ca="1" si="21"/>
        <v>UNICA</v>
      </c>
      <c r="G196" s="10">
        <f t="shared" ca="1" si="21"/>
        <v>3</v>
      </c>
      <c r="H196" s="20">
        <f t="shared" ca="1" si="21"/>
        <v>7.78</v>
      </c>
      <c r="I196" s="22">
        <f t="shared" ca="1" si="21"/>
        <v>23.34</v>
      </c>
      <c r="J196" s="14" t="str">
        <f t="shared" ca="1" si="21"/>
        <v xml:space="preserve"> </v>
      </c>
      <c r="K196" s="16" t="str">
        <f t="shared" ca="1" si="21"/>
        <v xml:space="preserve"> </v>
      </c>
      <c r="L196" s="27" t="str">
        <f t="shared" ca="1" si="21"/>
        <v xml:space="preserve"> </v>
      </c>
      <c r="M196" s="29" t="str">
        <f t="shared" ca="1" si="21"/>
        <v>phard</v>
      </c>
      <c r="N196" s="2" t="str">
        <f t="shared" ca="1" si="19"/>
        <v>8APASPA*aaaaae+</v>
      </c>
    </row>
    <row r="197" spans="1:14" ht="31.5" x14ac:dyDescent="0.45">
      <c r="A197" s="3" t="str">
        <f t="shared" ca="1" si="21"/>
        <v>'190</v>
      </c>
      <c r="B197" s="3">
        <f t="shared" ca="1" si="21"/>
        <v>193</v>
      </c>
      <c r="C197" s="5">
        <f t="shared" ca="1" si="21"/>
        <v>8050850000000</v>
      </c>
      <c r="D197" s="8" t="str">
        <f t="shared" ca="1" si="21"/>
        <v>OCLKD001-MESE3-137</v>
      </c>
      <c r="E197" s="12" t="str">
        <f t="shared" ca="1" si="21"/>
        <v>O CLOCK MECANISME CIRCLE SOLEIL</v>
      </c>
      <c r="F197" s="18" t="str">
        <f t="shared" ca="1" si="21"/>
        <v>UNICA</v>
      </c>
      <c r="G197" s="10">
        <f t="shared" ca="1" si="21"/>
        <v>3</v>
      </c>
      <c r="H197" s="20">
        <f t="shared" ca="1" si="21"/>
        <v>7.78</v>
      </c>
      <c r="I197" s="22">
        <f t="shared" ca="1" si="21"/>
        <v>23.34</v>
      </c>
      <c r="J197" s="14" t="str">
        <f t="shared" ca="1" si="21"/>
        <v xml:space="preserve"> </v>
      </c>
      <c r="K197" s="16" t="str">
        <f t="shared" ca="1" si="21"/>
        <v xml:space="preserve"> </v>
      </c>
      <c r="L197" s="27" t="str">
        <f t="shared" ca="1" si="21"/>
        <v xml:space="preserve"> </v>
      </c>
      <c r="M197" s="29" t="str">
        <f t="shared" ca="1" si="21"/>
        <v>bluette</v>
      </c>
      <c r="N197" s="2" t="str">
        <f t="shared" ca="1" si="19"/>
        <v>8APASPA*aaaaae+</v>
      </c>
    </row>
    <row r="198" spans="1:14" ht="31.5" x14ac:dyDescent="0.45">
      <c r="A198" s="3" t="str">
        <f t="shared" ca="1" si="21"/>
        <v>'191</v>
      </c>
      <c r="B198" s="3">
        <f t="shared" ca="1" si="21"/>
        <v>28</v>
      </c>
      <c r="C198" s="5">
        <f t="shared" ca="1" si="21"/>
        <v>8050850000000</v>
      </c>
      <c r="D198" s="8" t="str">
        <f t="shared" ca="1" si="21"/>
        <v>OCLKD001-MESE3-615</v>
      </c>
      <c r="E198" s="12" t="str">
        <f t="shared" ca="1" si="21"/>
        <v>O CLOCK MECANISME CIRCLE SOLEIL</v>
      </c>
      <c r="F198" s="18" t="str">
        <f t="shared" ca="1" si="21"/>
        <v>UNICA</v>
      </c>
      <c r="G198" s="10">
        <f t="shared" ca="1" si="21"/>
        <v>3</v>
      </c>
      <c r="H198" s="20">
        <f t="shared" ca="1" si="21"/>
        <v>7.78</v>
      </c>
      <c r="I198" s="22">
        <f t="shared" ca="1" si="21"/>
        <v>23.34</v>
      </c>
      <c r="J198" s="14" t="str">
        <f t="shared" ca="1" si="21"/>
        <v xml:space="preserve"> </v>
      </c>
      <c r="K198" s="16" t="str">
        <f t="shared" ca="1" si="21"/>
        <v xml:space="preserve"> </v>
      </c>
      <c r="L198" s="27" t="str">
        <f t="shared" ca="1" si="21"/>
        <v xml:space="preserve"> </v>
      </c>
      <c r="M198" s="29" t="str">
        <f t="shared" ca="1" si="21"/>
        <v>military</v>
      </c>
      <c r="N198" s="2" t="str">
        <f t="shared" ca="1" si="19"/>
        <v>8APASPA*aaaaae+</v>
      </c>
    </row>
    <row r="199" spans="1:14" ht="31.5" x14ac:dyDescent="0.45">
      <c r="A199" s="3" t="str">
        <f t="shared" ca="1" si="21"/>
        <v>'192</v>
      </c>
      <c r="B199" s="3">
        <f t="shared" ca="1" si="21"/>
        <v>80</v>
      </c>
      <c r="C199" s="5">
        <f t="shared" ca="1" si="21"/>
        <v>8050850000000</v>
      </c>
      <c r="D199" s="8" t="str">
        <f t="shared" ca="1" si="21"/>
        <v>OCLKD001-MESE6-004</v>
      </c>
      <c r="E199" s="12" t="str">
        <f t="shared" ca="1" si="21"/>
        <v>O CLOCK MECANISME GROOVE LUX</v>
      </c>
      <c r="F199" s="18" t="str">
        <f t="shared" ca="1" si="21"/>
        <v>UNICA</v>
      </c>
      <c r="G199" s="10">
        <f t="shared" ca="1" si="21"/>
        <v>3</v>
      </c>
      <c r="H199" s="20">
        <f t="shared" ca="1" si="21"/>
        <v>10</v>
      </c>
      <c r="I199" s="22">
        <f t="shared" ca="1" si="21"/>
        <v>30</v>
      </c>
      <c r="J199" s="14" t="str">
        <f t="shared" ca="1" si="21"/>
        <v xml:space="preserve"> </v>
      </c>
      <c r="K199" s="16" t="str">
        <f t="shared" ca="1" si="21"/>
        <v xml:space="preserve"> </v>
      </c>
      <c r="L199" s="27" t="str">
        <f t="shared" ca="1" si="21"/>
        <v xml:space="preserve"> </v>
      </c>
      <c r="M199" s="29" t="str">
        <f t="shared" ca="1" si="21"/>
        <v>argento</v>
      </c>
      <c r="N199" s="2" t="str">
        <f t="shared" ca="1" si="19"/>
        <v>8APASPA*aaaaae+</v>
      </c>
    </row>
    <row r="200" spans="1:14" ht="31.5" x14ac:dyDescent="0.45">
      <c r="A200" s="3" t="str">
        <f t="shared" ca="1" si="21"/>
        <v>'193</v>
      </c>
      <c r="B200" s="3">
        <f t="shared" ca="1" si="21"/>
        <v>167</v>
      </c>
      <c r="C200" s="5">
        <f t="shared" ca="1" si="21"/>
        <v>8050850000000</v>
      </c>
      <c r="D200" s="8" t="str">
        <f t="shared" ca="1" si="21"/>
        <v>OCLKD001-MESE6-061</v>
      </c>
      <c r="E200" s="12" t="str">
        <f t="shared" ca="1" si="21"/>
        <v>O CLOCK MECANISME GROOVE LUX</v>
      </c>
      <c r="F200" s="18" t="str">
        <f t="shared" ca="1" si="21"/>
        <v>UNICA</v>
      </c>
      <c r="G200" s="10">
        <f t="shared" ca="1" si="21"/>
        <v>3</v>
      </c>
      <c r="H200" s="20">
        <f t="shared" ca="1" si="21"/>
        <v>10</v>
      </c>
      <c r="I200" s="22">
        <f t="shared" ca="1" si="21"/>
        <v>30</v>
      </c>
      <c r="J200" s="14" t="str">
        <f t="shared" ca="1" si="21"/>
        <v xml:space="preserve"> </v>
      </c>
      <c r="K200" s="16" t="str">
        <f t="shared" ca="1" si="21"/>
        <v xml:space="preserve"> </v>
      </c>
      <c r="L200" s="27" t="str">
        <f t="shared" ca="1" si="21"/>
        <v xml:space="preserve"> </v>
      </c>
      <c r="M200" s="29" t="str">
        <f t="shared" ca="1" si="21"/>
        <v>oro</v>
      </c>
      <c r="N200" s="2" t="str">
        <f t="shared" ca="1" si="19"/>
        <v>8APASPA*aaaaae+</v>
      </c>
    </row>
    <row r="201" spans="1:14" ht="31.5" x14ac:dyDescent="0.45">
      <c r="A201" s="3" t="str">
        <f t="shared" ca="1" si="21"/>
        <v>'194</v>
      </c>
      <c r="B201" s="3">
        <f t="shared" ca="1" si="21"/>
        <v>22</v>
      </c>
      <c r="C201" s="5">
        <f t="shared" ca="1" si="21"/>
        <v>8050850000000</v>
      </c>
      <c r="D201" s="8" t="str">
        <f t="shared" ca="1" si="21"/>
        <v>OCLKD001-MESE7-055</v>
      </c>
      <c r="E201" s="12" t="str">
        <f t="shared" ca="1" si="21"/>
        <v>O CLOCK MECANISME GROOVE SOLEIL</v>
      </c>
      <c r="F201" s="18" t="str">
        <f t="shared" ca="1" si="21"/>
        <v>UNICA</v>
      </c>
      <c r="G201" s="10">
        <f t="shared" ca="1" si="21"/>
        <v>3</v>
      </c>
      <c r="H201" s="20">
        <f t="shared" ca="1" si="21"/>
        <v>8.52</v>
      </c>
      <c r="I201" s="22">
        <f t="shared" ca="1" si="21"/>
        <v>25.56</v>
      </c>
      <c r="J201" s="14" t="str">
        <f t="shared" ca="1" si="21"/>
        <v xml:space="preserve"> </v>
      </c>
      <c r="K201" s="16" t="str">
        <f t="shared" ca="1" si="21"/>
        <v xml:space="preserve"> </v>
      </c>
      <c r="L201" s="27" t="str">
        <f t="shared" ca="1" si="21"/>
        <v xml:space="preserve"> </v>
      </c>
      <c r="M201" s="29" t="str">
        <f t="shared" ca="1" si="21"/>
        <v>nero</v>
      </c>
      <c r="N201" s="2" t="str">
        <f t="shared" ca="1" si="19"/>
        <v>8APASPA*aaaaae+</v>
      </c>
    </row>
    <row r="202" spans="1:14" ht="31.5" x14ac:dyDescent="0.45">
      <c r="A202" s="3" t="str">
        <f t="shared" ca="1" si="21"/>
        <v>'195</v>
      </c>
      <c r="B202" s="3">
        <f t="shared" ca="1" si="21"/>
        <v>81</v>
      </c>
      <c r="C202" s="5">
        <f t="shared" ca="1" si="21"/>
        <v>8050850000000</v>
      </c>
      <c r="D202" s="8" t="str">
        <f t="shared" ca="1" si="21"/>
        <v>OCLKD001-MESE7-137</v>
      </c>
      <c r="E202" s="12" t="str">
        <f t="shared" ca="1" si="21"/>
        <v>O CLOCK MECANISME GROOVE SOLEIL</v>
      </c>
      <c r="F202" s="18" t="str">
        <f t="shared" ca="1" si="21"/>
        <v>UNICA</v>
      </c>
      <c r="G202" s="10">
        <f t="shared" ca="1" si="21"/>
        <v>3</v>
      </c>
      <c r="H202" s="20">
        <f t="shared" ca="1" si="21"/>
        <v>8.52</v>
      </c>
      <c r="I202" s="22">
        <f t="shared" ca="1" si="21"/>
        <v>25.56</v>
      </c>
      <c r="J202" s="14" t="str">
        <f t="shared" ca="1" si="21"/>
        <v xml:space="preserve"> </v>
      </c>
      <c r="K202" s="16" t="str">
        <f t="shared" ca="1" si="21"/>
        <v xml:space="preserve"> </v>
      </c>
      <c r="L202" s="27" t="str">
        <f t="shared" ca="1" si="21"/>
        <v xml:space="preserve"> </v>
      </c>
      <c r="M202" s="29" t="str">
        <f t="shared" ca="1" si="21"/>
        <v>bluette</v>
      </c>
      <c r="N202" s="2" t="str">
        <f t="shared" ca="1" si="19"/>
        <v>8APASPA*aaaaae+</v>
      </c>
    </row>
    <row r="203" spans="1:14" ht="31.5" x14ac:dyDescent="0.45">
      <c r="A203" s="3" t="str">
        <f t="shared" ca="1" si="21"/>
        <v>'196</v>
      </c>
      <c r="B203" s="3">
        <f t="shared" ca="1" si="21"/>
        <v>147</v>
      </c>
      <c r="C203" s="5">
        <f t="shared" ca="1" si="21"/>
        <v>8050850000000</v>
      </c>
      <c r="D203" s="8" t="str">
        <f t="shared" ca="1" si="21"/>
        <v>OCLKD001-MESE9-008</v>
      </c>
      <c r="E203" s="12" t="str">
        <f t="shared" ca="1" si="21"/>
        <v>O CLOCK MECANISME INDEX MIRROR</v>
      </c>
      <c r="F203" s="18" t="str">
        <f t="shared" ca="1" si="21"/>
        <v>UNICA</v>
      </c>
      <c r="G203" s="10">
        <f t="shared" ca="1" si="21"/>
        <v>3</v>
      </c>
      <c r="H203" s="20">
        <f t="shared" ca="1" si="21"/>
        <v>8.52</v>
      </c>
      <c r="I203" s="22">
        <f t="shared" ca="1" si="21"/>
        <v>25.56</v>
      </c>
      <c r="J203" s="14" t="str">
        <f t="shared" ca="1" si="21"/>
        <v xml:space="preserve"> </v>
      </c>
      <c r="K203" s="16" t="str">
        <f t="shared" ca="1" si="21"/>
        <v xml:space="preserve"> </v>
      </c>
      <c r="L203" s="27" t="str">
        <f t="shared" ca="1" si="21"/>
        <v xml:space="preserve"> </v>
      </c>
      <c r="M203" s="29" t="str">
        <f t="shared" ca="1" si="21"/>
        <v>bianco</v>
      </c>
      <c r="N203" s="2" t="str">
        <f t="shared" ca="1" si="19"/>
        <v>8APASPA*aaaaae+</v>
      </c>
    </row>
    <row r="204" spans="1:14" ht="31.5" x14ac:dyDescent="0.45">
      <c r="A204" s="3" t="str">
        <f t="shared" ca="1" si="21"/>
        <v>'197</v>
      </c>
      <c r="B204" s="3">
        <f t="shared" ca="1" si="21"/>
        <v>207</v>
      </c>
      <c r="C204" s="5">
        <f t="shared" ca="1" si="21"/>
        <v>8050850000000</v>
      </c>
      <c r="D204" s="8" t="str">
        <f t="shared" ca="1" si="21"/>
        <v>OCLKD001-MESE9-055</v>
      </c>
      <c r="E204" s="12" t="str">
        <f t="shared" ca="1" si="21"/>
        <v>O CLOCK MECANISME INDEX MIRROR</v>
      </c>
      <c r="F204" s="18" t="str">
        <f t="shared" ca="1" si="21"/>
        <v>UNICA</v>
      </c>
      <c r="G204" s="10">
        <f t="shared" ca="1" si="21"/>
        <v>3</v>
      </c>
      <c r="H204" s="20">
        <f t="shared" ca="1" si="21"/>
        <v>8.52</v>
      </c>
      <c r="I204" s="22">
        <f t="shared" ca="1" si="21"/>
        <v>25.56</v>
      </c>
      <c r="J204" s="14" t="str">
        <f t="shared" ca="1" si="21"/>
        <v xml:space="preserve"> </v>
      </c>
      <c r="K204" s="16" t="str">
        <f t="shared" ca="1" si="21"/>
        <v xml:space="preserve"> </v>
      </c>
      <c r="L204" s="27" t="str">
        <f t="shared" ca="1" si="21"/>
        <v xml:space="preserve"> </v>
      </c>
      <c r="M204" s="29" t="str">
        <f t="shared" ca="1" si="21"/>
        <v>nero</v>
      </c>
      <c r="N204" s="2" t="str">
        <f t="shared" ca="1" si="19"/>
        <v>8APASPA*aaaaae+</v>
      </c>
    </row>
    <row r="205" spans="1:14" ht="31.5" x14ac:dyDescent="0.45">
      <c r="A205" s="3" t="str">
        <f t="shared" ca="1" si="21"/>
        <v>'198</v>
      </c>
      <c r="B205" s="3">
        <f t="shared" ca="1" si="21"/>
        <v>36</v>
      </c>
      <c r="C205" s="5">
        <f t="shared" ca="1" si="21"/>
        <v>8050850000000</v>
      </c>
      <c r="D205" s="8" t="str">
        <f t="shared" ca="1" si="21"/>
        <v>OCLKD001-MESF2-055</v>
      </c>
      <c r="E205" s="12" t="str">
        <f t="shared" ca="1" si="21"/>
        <v>O CLOCK MECANISME ACTIVE</v>
      </c>
      <c r="F205" s="18" t="str">
        <f t="shared" ca="1" si="21"/>
        <v>UNICA</v>
      </c>
      <c r="G205" s="10">
        <f t="shared" ca="1" si="21"/>
        <v>3</v>
      </c>
      <c r="H205" s="20">
        <f t="shared" ca="1" si="21"/>
        <v>11.85</v>
      </c>
      <c r="I205" s="22">
        <f t="shared" ca="1" si="21"/>
        <v>35.549999999999997</v>
      </c>
      <c r="J205" s="14" t="str">
        <f t="shared" ca="1" si="21"/>
        <v xml:space="preserve"> </v>
      </c>
      <c r="K205" s="16" t="str">
        <f t="shared" ca="1" si="21"/>
        <v xml:space="preserve"> </v>
      </c>
      <c r="L205" s="27" t="str">
        <f t="shared" ca="1" si="21"/>
        <v xml:space="preserve"> </v>
      </c>
      <c r="M205" s="29" t="str">
        <f t="shared" ca="1" si="21"/>
        <v>nero</v>
      </c>
      <c r="N205" s="2" t="str">
        <f t="shared" ca="1" si="19"/>
        <v>8APASPA*aaaaae+</v>
      </c>
    </row>
    <row r="206" spans="1:14" ht="31.5" x14ac:dyDescent="0.45">
      <c r="A206" s="3" t="str">
        <f t="shared" ca="1" si="21"/>
        <v>'199</v>
      </c>
      <c r="B206" s="3">
        <f t="shared" ca="1" si="21"/>
        <v>23</v>
      </c>
      <c r="C206" s="5">
        <f t="shared" ca="1" si="21"/>
        <v>8050850000000</v>
      </c>
      <c r="D206" s="8" t="str">
        <f t="shared" ref="A206:M225" ca="1" si="22">INDEX(INDIRECT($O$10),ROW(D206),COLUMN(D206))</f>
        <v>OCLKD001-MESF2-137</v>
      </c>
      <c r="E206" s="12" t="str">
        <f t="shared" ca="1" si="22"/>
        <v>O CLOCK MECANISME ACTIVE</v>
      </c>
      <c r="F206" s="18" t="str">
        <f t="shared" ca="1" si="22"/>
        <v>UNICA</v>
      </c>
      <c r="G206" s="10">
        <f t="shared" ca="1" si="22"/>
        <v>3</v>
      </c>
      <c r="H206" s="20">
        <f t="shared" ca="1" si="22"/>
        <v>11.85</v>
      </c>
      <c r="I206" s="22">
        <f t="shared" ca="1" si="22"/>
        <v>35.549999999999997</v>
      </c>
      <c r="J206" s="14" t="str">
        <f t="shared" ca="1" si="22"/>
        <v xml:space="preserve"> </v>
      </c>
      <c r="K206" s="16" t="str">
        <f t="shared" ca="1" si="22"/>
        <v xml:space="preserve"> </v>
      </c>
      <c r="L206" s="27" t="str">
        <f t="shared" ca="1" si="22"/>
        <v xml:space="preserve"> </v>
      </c>
      <c r="M206" s="29" t="str">
        <f t="shared" ca="1" si="22"/>
        <v>bluette</v>
      </c>
      <c r="N206" s="2" t="str">
        <f t="shared" ca="1" si="19"/>
        <v>8APASPA*aaaaae+</v>
      </c>
    </row>
    <row r="207" spans="1:14" ht="31.5" x14ac:dyDescent="0.45">
      <c r="A207" s="3" t="str">
        <f t="shared" ca="1" si="22"/>
        <v>'200</v>
      </c>
      <c r="B207" s="3">
        <f t="shared" ca="1" si="22"/>
        <v>158</v>
      </c>
      <c r="C207" s="5" t="str">
        <f t="shared" ca="1" si="22"/>
        <v>CodeBarre</v>
      </c>
      <c r="D207" s="8" t="str">
        <f t="shared" ca="1" si="22"/>
        <v>OCLKD001-MESF2-615</v>
      </c>
      <c r="E207" s="12" t="str">
        <f t="shared" ca="1" si="22"/>
        <v>O CLOCK MECANISME ACTIVE</v>
      </c>
      <c r="F207" s="18" t="str">
        <f t="shared" ca="1" si="22"/>
        <v>UNICA</v>
      </c>
      <c r="G207" s="10">
        <f t="shared" ca="1" si="22"/>
        <v>3</v>
      </c>
      <c r="H207" s="20">
        <f t="shared" ca="1" si="22"/>
        <v>11.85</v>
      </c>
      <c r="I207" s="22">
        <f t="shared" ca="1" si="22"/>
        <v>35.549999999999997</v>
      </c>
      <c r="J207" s="14" t="str">
        <f t="shared" ca="1" si="22"/>
        <v>CodeBarre</v>
      </c>
      <c r="K207" s="16" t="str">
        <f t="shared" ca="1" si="22"/>
        <v>CodeBarre</v>
      </c>
      <c r="L207" s="27" t="str">
        <f t="shared" ca="1" si="22"/>
        <v>CodeBarre</v>
      </c>
      <c r="M207" s="29" t="str">
        <f t="shared" ca="1" si="22"/>
        <v>CodeBarre</v>
      </c>
      <c r="N207" s="2" t="str">
        <f t="shared" ca="1" si="19"/>
        <v/>
      </c>
    </row>
    <row r="208" spans="1:14" ht="31.5" x14ac:dyDescent="0.45">
      <c r="A208" s="3" t="str">
        <f t="shared" ca="1" si="22"/>
        <v>'201</v>
      </c>
      <c r="B208" s="3">
        <f t="shared" ca="1" si="22"/>
        <v>96</v>
      </c>
      <c r="C208" s="5">
        <f t="shared" ca="1" si="22"/>
        <v>8050850000000</v>
      </c>
      <c r="D208" s="8" t="str">
        <f t="shared" ca="1" si="22"/>
        <v>OCLKD101-MESE4-004</v>
      </c>
      <c r="E208" s="12" t="str">
        <f t="shared" ca="1" si="22"/>
        <v>O CLOCK MECANISME GREAT CIRCLE MOTHER OF PEARL</v>
      </c>
      <c r="F208" s="18" t="str">
        <f t="shared" ca="1" si="22"/>
        <v>UNICA</v>
      </c>
      <c r="G208" s="10">
        <f t="shared" ca="1" si="22"/>
        <v>3</v>
      </c>
      <c r="H208" s="20">
        <f t="shared" ca="1" si="22"/>
        <v>9.6300000000000008</v>
      </c>
      <c r="I208" s="22">
        <f t="shared" ca="1" si="22"/>
        <v>28.89</v>
      </c>
      <c r="J208" s="14" t="str">
        <f t="shared" ca="1" si="22"/>
        <v xml:space="preserve"> </v>
      </c>
      <c r="K208" s="16" t="str">
        <f t="shared" ca="1" si="22"/>
        <v xml:space="preserve"> </v>
      </c>
      <c r="L208" s="27" t="str">
        <f t="shared" ca="1" si="22"/>
        <v xml:space="preserve"> </v>
      </c>
      <c r="M208" s="29" t="str">
        <f t="shared" ca="1" si="22"/>
        <v>argento</v>
      </c>
      <c r="N208" s="2" t="str">
        <f t="shared" ca="1" si="19"/>
        <v>8APASPA*aaaaae+</v>
      </c>
    </row>
    <row r="209" spans="1:14" ht="31.5" x14ac:dyDescent="0.45">
      <c r="A209" s="3" t="str">
        <f t="shared" ca="1" si="22"/>
        <v>'202</v>
      </c>
      <c r="B209" s="3">
        <f t="shared" ca="1" si="22"/>
        <v>187</v>
      </c>
      <c r="C209" s="5">
        <f t="shared" ca="1" si="22"/>
        <v>8050850000000</v>
      </c>
      <c r="D209" s="8" t="str">
        <f t="shared" ca="1" si="22"/>
        <v>SHOUB801-ECSC4-055</v>
      </c>
      <c r="E209" s="12" t="str">
        <f t="shared" ca="1" si="22"/>
        <v>BANDOULIÃˆRE COURTE AVEC BOUCLE + CLIP EN FAUX CUIR EFFET GRIFFE + CLOUS</v>
      </c>
      <c r="F209" s="18" t="str">
        <f t="shared" ca="1" si="22"/>
        <v>UNICA</v>
      </c>
      <c r="G209" s="10">
        <f t="shared" ca="1" si="22"/>
        <v>4</v>
      </c>
      <c r="H209" s="20">
        <f t="shared" ca="1" si="22"/>
        <v>16.670000000000002</v>
      </c>
      <c r="I209" s="22">
        <f t="shared" ca="1" si="22"/>
        <v>66.680000000000007</v>
      </c>
      <c r="J209" s="14" t="str">
        <f t="shared" ca="1" si="22"/>
        <v xml:space="preserve"> </v>
      </c>
      <c r="K209" s="16" t="str">
        <f t="shared" ca="1" si="22"/>
        <v xml:space="preserve"> </v>
      </c>
      <c r="L209" s="27" t="str">
        <f t="shared" ca="1" si="22"/>
        <v xml:space="preserve"> </v>
      </c>
      <c r="M209" s="29" t="str">
        <f t="shared" ca="1" si="22"/>
        <v>nero</v>
      </c>
      <c r="N209" s="2" t="str">
        <f t="shared" ca="1" si="19"/>
        <v>8APASPA*aaaaae+</v>
      </c>
    </row>
    <row r="210" spans="1:14" ht="31.5" x14ac:dyDescent="0.45">
      <c r="A210" s="3" t="str">
        <f t="shared" ca="1" si="22"/>
        <v>'203</v>
      </c>
      <c r="B210" s="3">
        <f t="shared" ca="1" si="22"/>
        <v>92</v>
      </c>
      <c r="C210" s="5">
        <f t="shared" ca="1" si="22"/>
        <v>8050850000000</v>
      </c>
      <c r="D210" s="8" t="str">
        <f t="shared" ca="1" si="22"/>
        <v>SHOUB801-ECSC4-371</v>
      </c>
      <c r="E210" s="12" t="str">
        <f t="shared" ca="1" si="22"/>
        <v>BANDOULIÃˆRE COURTE AVEC BOUCLE + CLIP EN FAUX CUIR EFFET GRIFFE + CLOUS</v>
      </c>
      <c r="F210" s="18" t="str">
        <f t="shared" ca="1" si="22"/>
        <v>UNICA</v>
      </c>
      <c r="G210" s="10">
        <f t="shared" ca="1" si="22"/>
        <v>4</v>
      </c>
      <c r="H210" s="20">
        <f t="shared" ca="1" si="22"/>
        <v>16.670000000000002</v>
      </c>
      <c r="I210" s="22">
        <f t="shared" ca="1" si="22"/>
        <v>66.680000000000007</v>
      </c>
      <c r="J210" s="14" t="str">
        <f t="shared" ca="1" si="22"/>
        <v xml:space="preserve"> </v>
      </c>
      <c r="K210" s="16" t="str">
        <f t="shared" ca="1" si="22"/>
        <v xml:space="preserve"> </v>
      </c>
      <c r="L210" s="27" t="str">
        <f t="shared" ca="1" si="22"/>
        <v xml:space="preserve"> </v>
      </c>
      <c r="M210" s="29" t="str">
        <f t="shared" ca="1" si="22"/>
        <v>latte</v>
      </c>
      <c r="N210" s="2" t="str">
        <f t="shared" ca="1" si="19"/>
        <v>8APASPA*aaaaae+</v>
      </c>
    </row>
    <row r="211" spans="1:14" ht="31.5" x14ac:dyDescent="0.45">
      <c r="A211" s="3" t="str">
        <f t="shared" ca="1" si="22"/>
        <v>'204</v>
      </c>
      <c r="B211" s="3">
        <f t="shared" ca="1" si="22"/>
        <v>196</v>
      </c>
      <c r="C211" s="5">
        <f t="shared" ca="1" si="22"/>
        <v>8050850000000</v>
      </c>
      <c r="D211" s="8" t="str">
        <f t="shared" ca="1" si="22"/>
        <v>SHOUBG00-ECS00-055</v>
      </c>
      <c r="E211" s="12" t="str">
        <f t="shared" ca="1" si="22"/>
        <v>BANDOULIÃˆRE/BRETELLE SLIM 140 EN FAUX CUIR</v>
      </c>
      <c r="F211" s="18" t="str">
        <f t="shared" ca="1" si="22"/>
        <v>UNICA</v>
      </c>
      <c r="G211" s="10">
        <f t="shared" ca="1" si="22"/>
        <v>2</v>
      </c>
      <c r="H211" s="20">
        <f t="shared" ca="1" si="22"/>
        <v>7.8</v>
      </c>
      <c r="I211" s="22">
        <f t="shared" ca="1" si="22"/>
        <v>15.6</v>
      </c>
      <c r="J211" s="14" t="str">
        <f t="shared" ca="1" si="22"/>
        <v xml:space="preserve">BANDOULIERE     </v>
      </c>
      <c r="K211" s="16" t="str">
        <f t="shared" ca="1" si="22"/>
        <v>BLACK</v>
      </c>
      <c r="L211" s="27">
        <f t="shared" ca="1" si="22"/>
        <v>0</v>
      </c>
      <c r="M211" s="29" t="str">
        <f t="shared" ca="1" si="22"/>
        <v>nero</v>
      </c>
      <c r="N211" s="2" t="str">
        <f t="shared" ca="1" si="19"/>
        <v>8APASPA*aaaaae+</v>
      </c>
    </row>
    <row r="212" spans="1:14" ht="31.5" x14ac:dyDescent="0.45">
      <c r="A212" s="3" t="str">
        <f t="shared" ca="1" si="22"/>
        <v>'205</v>
      </c>
      <c r="B212" s="3">
        <f t="shared" ca="1" si="22"/>
        <v>192</v>
      </c>
      <c r="C212" s="5">
        <f t="shared" ca="1" si="22"/>
        <v>8050850000000</v>
      </c>
      <c r="D212" s="8" t="str">
        <f t="shared" ca="1" si="22"/>
        <v>SHOUG801-ECSC4-055</v>
      </c>
      <c r="E212" s="12" t="str">
        <f t="shared" ca="1" si="22"/>
        <v>BANDOULIÃˆRE 80 + CLIP EN FAUX CUIR EFFET GRIFFE + CLOUS</v>
      </c>
      <c r="F212" s="18" t="str">
        <f t="shared" ca="1" si="22"/>
        <v>UNICA</v>
      </c>
      <c r="G212" s="10">
        <f t="shared" ca="1" si="22"/>
        <v>4</v>
      </c>
      <c r="H212" s="20">
        <f t="shared" ca="1" si="22"/>
        <v>20</v>
      </c>
      <c r="I212" s="22">
        <f t="shared" ca="1" si="22"/>
        <v>80</v>
      </c>
      <c r="J212" s="14" t="str">
        <f t="shared" ca="1" si="22"/>
        <v xml:space="preserve"> </v>
      </c>
      <c r="K212" s="16" t="str">
        <f t="shared" ca="1" si="22"/>
        <v xml:space="preserve"> </v>
      </c>
      <c r="L212" s="27" t="str">
        <f t="shared" ca="1" si="22"/>
        <v xml:space="preserve"> </v>
      </c>
      <c r="M212" s="29" t="str">
        <f t="shared" ca="1" si="22"/>
        <v>nero</v>
      </c>
      <c r="N212" s="2" t="str">
        <f t="shared" ca="1" si="19"/>
        <v>8APASPA*aaaaae+</v>
      </c>
    </row>
    <row r="213" spans="1:14" ht="31.5" x14ac:dyDescent="0.45">
      <c r="A213" s="3" t="str">
        <f t="shared" ca="1" si="22"/>
        <v>'206</v>
      </c>
      <c r="B213" s="3">
        <f t="shared" ca="1" si="22"/>
        <v>24</v>
      </c>
      <c r="C213" s="5">
        <f t="shared" ca="1" si="22"/>
        <v>8050850000000</v>
      </c>
      <c r="D213" s="8" t="str">
        <f t="shared" ca="1" si="22"/>
        <v>SHOUGC01-ECSD7-227</v>
      </c>
      <c r="E213" s="12" t="str">
        <f t="shared" ca="1" si="22"/>
        <v>BANDOULIÃˆRE AJOUREE COURTE + CLIP EN FAUX CUIR BICOLORE</v>
      </c>
      <c r="F213" s="18" t="str">
        <f t="shared" ca="1" si="22"/>
        <v>UNICA</v>
      </c>
      <c r="G213" s="10">
        <f t="shared" ca="1" si="22"/>
        <v>2</v>
      </c>
      <c r="H213" s="20">
        <f t="shared" ca="1" si="22"/>
        <v>12.59</v>
      </c>
      <c r="I213" s="22">
        <f t="shared" ca="1" si="22"/>
        <v>25.18</v>
      </c>
      <c r="J213" s="14" t="str">
        <f t="shared" ca="1" si="22"/>
        <v xml:space="preserve"> </v>
      </c>
      <c r="K213" s="16" t="str">
        <f t="shared" ca="1" si="22"/>
        <v xml:space="preserve"> </v>
      </c>
      <c r="L213" s="27" t="str">
        <f t="shared" ca="1" si="22"/>
        <v xml:space="preserve"> </v>
      </c>
      <c r="M213" s="29" t="str">
        <f t="shared" ca="1" si="22"/>
        <v>bianco/nero</v>
      </c>
      <c r="N213" s="2" t="str">
        <f t="shared" ca="1" si="19"/>
        <v>8APASPA*aaaaae+</v>
      </c>
    </row>
    <row r="214" spans="1:14" ht="31.5" x14ac:dyDescent="0.45">
      <c r="A214" s="3" t="str">
        <f t="shared" ca="1" si="22"/>
        <v>'207</v>
      </c>
      <c r="B214" s="3">
        <f t="shared" ca="1" si="22"/>
        <v>131</v>
      </c>
      <c r="C214" s="5">
        <f t="shared" ca="1" si="22"/>
        <v>8050850000000</v>
      </c>
      <c r="D214" s="8" t="str">
        <f t="shared" ca="1" si="22"/>
        <v>SHOUGC01-ECSD7-622</v>
      </c>
      <c r="E214" s="12" t="str">
        <f t="shared" ca="1" si="22"/>
        <v>BANDOULIÃˆRE AJOUREE COURTE + CLIP EN FAUX CUIR BICOLORE</v>
      </c>
      <c r="F214" s="18" t="str">
        <f t="shared" ca="1" si="22"/>
        <v>UNICA</v>
      </c>
      <c r="G214" s="10">
        <f t="shared" ca="1" si="22"/>
        <v>2</v>
      </c>
      <c r="H214" s="20">
        <f t="shared" ca="1" si="22"/>
        <v>12.59</v>
      </c>
      <c r="I214" s="22">
        <f t="shared" ca="1" si="22"/>
        <v>25.18</v>
      </c>
      <c r="J214" s="14" t="str">
        <f t="shared" ca="1" si="22"/>
        <v xml:space="preserve"> </v>
      </c>
      <c r="K214" s="16" t="str">
        <f t="shared" ca="1" si="22"/>
        <v xml:space="preserve"> </v>
      </c>
      <c r="L214" s="27" t="str">
        <f t="shared" ca="1" si="22"/>
        <v xml:space="preserve"> </v>
      </c>
      <c r="M214" s="29" t="str">
        <f t="shared" ca="1" si="22"/>
        <v>military/phard</v>
      </c>
      <c r="N214" s="2" t="str">
        <f t="shared" ca="1" si="19"/>
        <v>8APASPA*aaaaae+</v>
      </c>
    </row>
    <row r="215" spans="1:14" ht="31.5" x14ac:dyDescent="0.45">
      <c r="A215" s="3" t="str">
        <f t="shared" ca="1" si="22"/>
        <v>'208</v>
      </c>
      <c r="B215" s="3">
        <f t="shared" ca="1" si="22"/>
        <v>29</v>
      </c>
      <c r="C215" s="5">
        <f t="shared" ca="1" si="22"/>
        <v>8050850000000</v>
      </c>
      <c r="D215" s="8" t="str">
        <f t="shared" ca="1" si="22"/>
        <v>SHOUGC01-ECSD7-623</v>
      </c>
      <c r="E215" s="12" t="str">
        <f t="shared" ca="1" si="22"/>
        <v>BANDOULIÃˆRE AJOUREE COURTE + CLIP EN FAUX CUIR BICOLORE</v>
      </c>
      <c r="F215" s="18" t="str">
        <f t="shared" ca="1" si="22"/>
        <v>UNICA</v>
      </c>
      <c r="G215" s="10">
        <f t="shared" ca="1" si="22"/>
        <v>2</v>
      </c>
      <c r="H215" s="20">
        <f t="shared" ca="1" si="22"/>
        <v>12.59</v>
      </c>
      <c r="I215" s="22">
        <f t="shared" ca="1" si="22"/>
        <v>25.18</v>
      </c>
      <c r="J215" s="14" t="str">
        <f t="shared" ca="1" si="22"/>
        <v xml:space="preserve"> </v>
      </c>
      <c r="K215" s="16" t="str">
        <f t="shared" ca="1" si="22"/>
        <v xml:space="preserve"> </v>
      </c>
      <c r="L215" s="27" t="str">
        <f t="shared" ca="1" si="22"/>
        <v xml:space="preserve"> </v>
      </c>
      <c r="M215" s="29" t="str">
        <f t="shared" ca="1" si="22"/>
        <v>blu navy/ice</v>
      </c>
      <c r="N215" s="2" t="str">
        <f t="shared" ca="1" si="19"/>
        <v>8APASPA*aaaaae+</v>
      </c>
    </row>
    <row r="216" spans="1:14" ht="31.5" x14ac:dyDescent="0.45">
      <c r="A216" s="3" t="str">
        <f t="shared" ca="1" si="22"/>
        <v>'209</v>
      </c>
      <c r="B216" s="3">
        <f t="shared" ca="1" si="22"/>
        <v>162</v>
      </c>
      <c r="C216" s="5">
        <f t="shared" ca="1" si="22"/>
        <v>8050850000000</v>
      </c>
      <c r="D216" s="8" t="str">
        <f t="shared" ca="1" si="22"/>
        <v>SHOUGC01-ECSD7-624</v>
      </c>
      <c r="E216" s="12" t="str">
        <f t="shared" ca="1" si="22"/>
        <v>BANDOULIÃˆRE AJOUREE COURTE + CLIP EN FAUX CUIR BICOLORE</v>
      </c>
      <c r="F216" s="18" t="str">
        <f t="shared" ca="1" si="22"/>
        <v>UNICA</v>
      </c>
      <c r="G216" s="10">
        <f t="shared" ca="1" si="22"/>
        <v>2</v>
      </c>
      <c r="H216" s="20">
        <f t="shared" ca="1" si="22"/>
        <v>12.59</v>
      </c>
      <c r="I216" s="22">
        <f t="shared" ca="1" si="22"/>
        <v>25.18</v>
      </c>
      <c r="J216" s="14" t="str">
        <f t="shared" ca="1" si="22"/>
        <v xml:space="preserve"> </v>
      </c>
      <c r="K216" s="16" t="str">
        <f t="shared" ca="1" si="22"/>
        <v xml:space="preserve"> </v>
      </c>
      <c r="L216" s="27" t="str">
        <f t="shared" ca="1" si="22"/>
        <v xml:space="preserve"> </v>
      </c>
      <c r="M216" s="29" t="str">
        <f t="shared" ca="1" si="22"/>
        <v>biscotto/sabbia</v>
      </c>
      <c r="N216" s="2" t="str">
        <f t="shared" ref="N216:N256" ca="1" si="23">IF(ISNUMBER($C216),codeEAN13(INT(C216/10)),"")</f>
        <v>8APASPA*aaaaae+</v>
      </c>
    </row>
    <row r="217" spans="1:14" ht="31.5" x14ac:dyDescent="0.45">
      <c r="A217" s="3" t="str">
        <f t="shared" ca="1" si="22"/>
        <v>'210</v>
      </c>
      <c r="B217" s="3">
        <f t="shared" ca="1" si="22"/>
        <v>178</v>
      </c>
      <c r="C217" s="5">
        <f t="shared" ca="1" si="22"/>
        <v>8050850000000</v>
      </c>
      <c r="D217" s="8" t="str">
        <f t="shared" ca="1" si="22"/>
        <v>SHOUGG00-ECSC9-055</v>
      </c>
      <c r="E217" s="12" t="str">
        <f t="shared" ca="1" si="22"/>
        <v>BANDOULIÃˆRE 80/120 + CLIP EN FAUX CUIR IMPRIME ATHLEISURE</v>
      </c>
      <c r="F217" s="18" t="str">
        <f t="shared" ca="1" si="22"/>
        <v>UNICA</v>
      </c>
      <c r="G217" s="10">
        <f t="shared" ca="1" si="22"/>
        <v>4</v>
      </c>
      <c r="H217" s="20">
        <f t="shared" ca="1" si="22"/>
        <v>15.56</v>
      </c>
      <c r="I217" s="22">
        <f t="shared" ca="1" si="22"/>
        <v>62.24</v>
      </c>
      <c r="J217" s="14" t="str">
        <f t="shared" ca="1" si="22"/>
        <v xml:space="preserve"> </v>
      </c>
      <c r="K217" s="16" t="str">
        <f t="shared" ca="1" si="22"/>
        <v xml:space="preserve"> </v>
      </c>
      <c r="L217" s="27" t="str">
        <f t="shared" ca="1" si="22"/>
        <v xml:space="preserve"> </v>
      </c>
      <c r="M217" s="29" t="str">
        <f t="shared" ca="1" si="22"/>
        <v>nero</v>
      </c>
      <c r="N217" s="2" t="str">
        <f t="shared" ca="1" si="23"/>
        <v>8APASPA*aaaaae+</v>
      </c>
    </row>
    <row r="218" spans="1:14" ht="31.5" x14ac:dyDescent="0.45">
      <c r="A218" s="3" t="str">
        <f t="shared" ca="1" si="22"/>
        <v>'211</v>
      </c>
      <c r="B218" s="3">
        <f t="shared" ca="1" si="22"/>
        <v>93</v>
      </c>
      <c r="C218" s="5">
        <f t="shared" ca="1" si="22"/>
        <v>8050850000000</v>
      </c>
      <c r="D218" s="8" t="str">
        <f t="shared" ca="1" si="22"/>
        <v>SHOUGG00-ECSC9-137</v>
      </c>
      <c r="E218" s="12" t="str">
        <f t="shared" ca="1" si="22"/>
        <v>BANDOULIÃˆRE 80/120 + CLIP EN FAUX CUIR IMPRIME ATHLEISURE</v>
      </c>
      <c r="F218" s="18" t="str">
        <f t="shared" ca="1" si="22"/>
        <v>UNICA</v>
      </c>
      <c r="G218" s="10">
        <f t="shared" ca="1" si="22"/>
        <v>2</v>
      </c>
      <c r="H218" s="20">
        <f t="shared" ca="1" si="22"/>
        <v>15.56</v>
      </c>
      <c r="I218" s="22">
        <f t="shared" ca="1" si="22"/>
        <v>31.12</v>
      </c>
      <c r="J218" s="14" t="str">
        <f t="shared" ca="1" si="22"/>
        <v xml:space="preserve"> </v>
      </c>
      <c r="K218" s="16" t="str">
        <f t="shared" ca="1" si="22"/>
        <v xml:space="preserve"> </v>
      </c>
      <c r="L218" s="27" t="str">
        <f t="shared" ca="1" si="22"/>
        <v xml:space="preserve"> </v>
      </c>
      <c r="M218" s="29" t="str">
        <f t="shared" ca="1" si="22"/>
        <v>bluette</v>
      </c>
      <c r="N218" s="2" t="str">
        <f t="shared" ca="1" si="23"/>
        <v>8APASPA*aaaaae+</v>
      </c>
    </row>
    <row r="219" spans="1:14" ht="31.5" x14ac:dyDescent="0.45">
      <c r="A219" s="3" t="str">
        <f t="shared" ca="1" si="22"/>
        <v>'212</v>
      </c>
      <c r="B219" s="3">
        <f t="shared" ca="1" si="22"/>
        <v>136</v>
      </c>
      <c r="C219" s="5">
        <f t="shared" ca="1" si="22"/>
        <v>8050850000000</v>
      </c>
      <c r="D219" s="8" t="str">
        <f t="shared" ca="1" si="22"/>
        <v>SHOUGG00-ECSD6-615</v>
      </c>
      <c r="E219" s="12" t="str">
        <f t="shared" ca="1" si="22"/>
        <v>BANDOULIÃˆRE 80/120 + CLIP EN FAUX CUIR IMPRIME DIANTHUS</v>
      </c>
      <c r="F219" s="18" t="str">
        <f t="shared" ca="1" si="22"/>
        <v>UNICA</v>
      </c>
      <c r="G219" s="10">
        <f t="shared" ca="1" si="22"/>
        <v>2</v>
      </c>
      <c r="H219" s="20">
        <f t="shared" ca="1" si="22"/>
        <v>13.33</v>
      </c>
      <c r="I219" s="22">
        <f t="shared" ca="1" si="22"/>
        <v>26.66</v>
      </c>
      <c r="J219" s="14" t="str">
        <f t="shared" ca="1" si="22"/>
        <v xml:space="preserve"> </v>
      </c>
      <c r="K219" s="16" t="str">
        <f t="shared" ca="1" si="22"/>
        <v xml:space="preserve"> </v>
      </c>
      <c r="L219" s="27" t="str">
        <f t="shared" ca="1" si="22"/>
        <v xml:space="preserve"> </v>
      </c>
      <c r="M219" s="29" t="str">
        <f t="shared" ca="1" si="22"/>
        <v>military</v>
      </c>
      <c r="N219" s="2" t="str">
        <f t="shared" ca="1" si="23"/>
        <v>8APASPA*aaaaae+</v>
      </c>
    </row>
    <row r="220" spans="1:14" ht="31.5" x14ac:dyDescent="0.45">
      <c r="A220" s="3" t="str">
        <f t="shared" ca="1" si="22"/>
        <v>'213</v>
      </c>
      <c r="B220" s="3">
        <f t="shared" ca="1" si="22"/>
        <v>74</v>
      </c>
      <c r="C220" s="5">
        <f t="shared" ca="1" si="22"/>
        <v>8050850000000</v>
      </c>
      <c r="D220" s="8" t="str">
        <f t="shared" ca="1" si="22"/>
        <v>SHOUGG00-TESBM-227</v>
      </c>
      <c r="E220" s="12" t="str">
        <f t="shared" ca="1" si="22"/>
        <v>BANDOULIÃˆRE 80/120 + CLIP EN TISSU IMPRIME GEOMETRIC LILY</v>
      </c>
      <c r="F220" s="18" t="str">
        <f t="shared" ca="1" si="22"/>
        <v>UNICA</v>
      </c>
      <c r="G220" s="10">
        <f t="shared" ca="1" si="22"/>
        <v>2</v>
      </c>
      <c r="H220" s="20">
        <f t="shared" ca="1" si="22"/>
        <v>15.56</v>
      </c>
      <c r="I220" s="22">
        <f t="shared" ca="1" si="22"/>
        <v>31.12</v>
      </c>
      <c r="J220" s="14" t="str">
        <f t="shared" ca="1" si="22"/>
        <v xml:space="preserve"> </v>
      </c>
      <c r="K220" s="16" t="str">
        <f t="shared" ca="1" si="22"/>
        <v xml:space="preserve"> </v>
      </c>
      <c r="L220" s="27" t="str">
        <f t="shared" ca="1" si="22"/>
        <v xml:space="preserve"> </v>
      </c>
      <c r="M220" s="29" t="str">
        <f t="shared" ca="1" si="22"/>
        <v>bianco/nero</v>
      </c>
      <c r="N220" s="2" t="str">
        <f t="shared" ca="1" si="23"/>
        <v>8APASPA*aaaaae+</v>
      </c>
    </row>
    <row r="221" spans="1:14" ht="31.5" x14ac:dyDescent="0.45">
      <c r="A221" s="3" t="str">
        <f t="shared" ca="1" si="22"/>
        <v>'214</v>
      </c>
      <c r="B221" s="3">
        <f t="shared" ca="1" si="22"/>
        <v>202</v>
      </c>
      <c r="C221" s="5">
        <f t="shared" ca="1" si="22"/>
        <v>8050850000000</v>
      </c>
      <c r="D221" s="8" t="str">
        <f t="shared" ca="1" si="22"/>
        <v>SHOUU000-TESBM-227</v>
      </c>
      <c r="E221" s="12" t="str">
        <f t="shared" ca="1" si="22"/>
        <v>BANDOULIÃˆRE FOULARD EN TISSU IMPRIME GEOMETRIC LILY</v>
      </c>
      <c r="F221" s="18" t="str">
        <f t="shared" ca="1" si="22"/>
        <v>UNICA</v>
      </c>
      <c r="G221" s="10">
        <f t="shared" ca="1" si="22"/>
        <v>4</v>
      </c>
      <c r="H221" s="20">
        <f t="shared" ca="1" si="22"/>
        <v>7.78</v>
      </c>
      <c r="I221" s="22">
        <f t="shared" ca="1" si="22"/>
        <v>31.12</v>
      </c>
      <c r="J221" s="14" t="str">
        <f t="shared" ca="1" si="22"/>
        <v xml:space="preserve"> </v>
      </c>
      <c r="K221" s="16" t="str">
        <f t="shared" ca="1" si="22"/>
        <v xml:space="preserve"> </v>
      </c>
      <c r="L221" s="27" t="str">
        <f t="shared" ca="1" si="22"/>
        <v xml:space="preserve"> </v>
      </c>
      <c r="M221" s="29" t="str">
        <f t="shared" ca="1" si="22"/>
        <v>bianco/nero</v>
      </c>
      <c r="N221" s="2" t="str">
        <f t="shared" ca="1" si="23"/>
        <v>8APASPA*aaaaae+</v>
      </c>
    </row>
    <row r="222" spans="1:14" ht="31.5" x14ac:dyDescent="0.45">
      <c r="A222" s="3" t="str">
        <f t="shared" ca="1" si="22"/>
        <v>'215</v>
      </c>
      <c r="B222" s="3">
        <f t="shared" ca="1" si="22"/>
        <v>220</v>
      </c>
      <c r="C222" s="5">
        <f t="shared" ca="1" si="22"/>
        <v>8050850000000</v>
      </c>
      <c r="D222" s="8" t="str">
        <f t="shared" ca="1" si="22"/>
        <v>SHOUX001-ECS03-615</v>
      </c>
      <c r="E222" s="12" t="str">
        <f t="shared" ca="1" si="22"/>
        <v>BANDOULIÃˆRE EXTRASLIM 110 + CLIP EN FAUX CUIR SUÃˆDE</v>
      </c>
      <c r="F222" s="18" t="str">
        <f t="shared" ca="1" si="22"/>
        <v>UNICA</v>
      </c>
      <c r="G222" s="10">
        <f t="shared" ca="1" si="22"/>
        <v>2</v>
      </c>
      <c r="H222" s="20">
        <f t="shared" ca="1" si="22"/>
        <v>10</v>
      </c>
      <c r="I222" s="22">
        <f t="shared" ca="1" si="22"/>
        <v>20</v>
      </c>
      <c r="J222" s="14" t="str">
        <f t="shared" ca="1" si="22"/>
        <v xml:space="preserve"> </v>
      </c>
      <c r="K222" s="16" t="str">
        <f t="shared" ca="1" si="22"/>
        <v xml:space="preserve"> </v>
      </c>
      <c r="L222" s="27" t="str">
        <f t="shared" ca="1" si="22"/>
        <v xml:space="preserve"> </v>
      </c>
      <c r="M222" s="29" t="str">
        <f t="shared" ca="1" si="22"/>
        <v>military</v>
      </c>
      <c r="N222" s="2" t="str">
        <f t="shared" ca="1" si="23"/>
        <v>8APASPA*aaaaae+</v>
      </c>
    </row>
    <row r="223" spans="1:14" ht="31.5" x14ac:dyDescent="0.45">
      <c r="A223" s="3" t="str">
        <f t="shared" ca="1" si="22"/>
        <v>'216</v>
      </c>
      <c r="B223" s="3">
        <f t="shared" ca="1" si="22"/>
        <v>118</v>
      </c>
      <c r="C223" s="5">
        <f t="shared" ca="1" si="22"/>
        <v>8050850000000</v>
      </c>
      <c r="D223" s="8" t="str">
        <f t="shared" ca="1" si="22"/>
        <v>SHOUX001-ECS29-017</v>
      </c>
      <c r="E223" s="12" t="str">
        <f t="shared" ca="1" si="22"/>
        <v>BANDOULIÃˆRE EXTRASLIM 110 + CLIP EN FAUX CUIR IMPRIME COCO</v>
      </c>
      <c r="F223" s="18" t="str">
        <f t="shared" ca="1" si="22"/>
        <v>UNICA</v>
      </c>
      <c r="G223" s="10">
        <f t="shared" ca="1" si="22"/>
        <v>2</v>
      </c>
      <c r="H223" s="20">
        <f t="shared" ca="1" si="22"/>
        <v>10</v>
      </c>
      <c r="I223" s="22">
        <f t="shared" ca="1" si="22"/>
        <v>20</v>
      </c>
      <c r="J223" s="14" t="str">
        <f t="shared" ca="1" si="22"/>
        <v xml:space="preserve"> </v>
      </c>
      <c r="K223" s="16" t="str">
        <f t="shared" ca="1" si="22"/>
        <v xml:space="preserve"> </v>
      </c>
      <c r="L223" s="27" t="str">
        <f t="shared" ca="1" si="22"/>
        <v xml:space="preserve"> </v>
      </c>
      <c r="M223" s="29" t="str">
        <f t="shared" ca="1" si="22"/>
        <v>blu navy</v>
      </c>
      <c r="N223" s="2" t="str">
        <f t="shared" ca="1" si="23"/>
        <v>8APASPA*aaaaae+</v>
      </c>
    </row>
    <row r="224" spans="1:14" ht="31.5" x14ac:dyDescent="0.45">
      <c r="A224" s="3" t="str">
        <f t="shared" ca="1" si="22"/>
        <v>'217</v>
      </c>
      <c r="B224" s="3">
        <f t="shared" ca="1" si="22"/>
        <v>109</v>
      </c>
      <c r="C224" s="5">
        <f t="shared" ca="1" si="22"/>
        <v>8050850000000</v>
      </c>
      <c r="D224" s="8" t="str">
        <f t="shared" ca="1" si="22"/>
        <v>SHOUX001-ECS29-084</v>
      </c>
      <c r="E224" s="12" t="str">
        <f t="shared" ca="1" si="22"/>
        <v>BANDOULIÃˆRE EXTRASLIM 110 + CLIP EN FAUX CUIR IMPRIME COCO</v>
      </c>
      <c r="F224" s="18" t="str">
        <f t="shared" ca="1" si="22"/>
        <v>UNICA</v>
      </c>
      <c r="G224" s="10">
        <f t="shared" ca="1" si="22"/>
        <v>2</v>
      </c>
      <c r="H224" s="20">
        <f t="shared" ca="1" si="22"/>
        <v>10</v>
      </c>
      <c r="I224" s="22">
        <f t="shared" ca="1" si="22"/>
        <v>20</v>
      </c>
      <c r="J224" s="14" t="str">
        <f t="shared" ca="1" si="22"/>
        <v xml:space="preserve"> </v>
      </c>
      <c r="K224" s="16" t="str">
        <f t="shared" ca="1" si="22"/>
        <v xml:space="preserve"> </v>
      </c>
      <c r="L224" s="27" t="str">
        <f t="shared" ca="1" si="22"/>
        <v xml:space="preserve"> </v>
      </c>
      <c r="M224" s="29" t="str">
        <f t="shared" ca="1" si="22"/>
        <v>testa di moro</v>
      </c>
      <c r="N224" s="2" t="str">
        <f t="shared" ca="1" si="23"/>
        <v>8APASPA*aaaaae+</v>
      </c>
    </row>
    <row r="225" spans="1:14" ht="31.5" x14ac:dyDescent="0.45">
      <c r="A225" s="3" t="str">
        <f t="shared" ca="1" si="22"/>
        <v>'218</v>
      </c>
      <c r="B225" s="3">
        <f t="shared" ca="1" si="22"/>
        <v>85</v>
      </c>
      <c r="C225" s="5">
        <f t="shared" ca="1" si="22"/>
        <v>8050850000000</v>
      </c>
      <c r="D225" s="8" t="str">
        <f t="shared" ca="1" si="22"/>
        <v>SHOUX101-ECS00-017</v>
      </c>
      <c r="E225" s="12" t="str">
        <f t="shared" ca="1" si="22"/>
        <v>BANDOULIÃˆRE EXTRASLIM 110 + ANSES TUBULAIRES + CLIP FAUX CUIR</v>
      </c>
      <c r="F225" s="18" t="str">
        <f t="shared" ca="1" si="22"/>
        <v>UNICA</v>
      </c>
      <c r="G225" s="10">
        <f t="shared" ca="1" si="22"/>
        <v>2</v>
      </c>
      <c r="H225" s="20">
        <f t="shared" ca="1" si="22"/>
        <v>18.96</v>
      </c>
      <c r="I225" s="22">
        <f t="shared" ca="1" si="22"/>
        <v>37.92</v>
      </c>
      <c r="J225" s="14" t="str">
        <f t="shared" ca="1" si="22"/>
        <v>ANSESTUB/BANDOUL</v>
      </c>
      <c r="K225" s="16" t="str">
        <f t="shared" ca="1" si="22"/>
        <v xml:space="preserve">NAVY </v>
      </c>
      <c r="L225" s="27">
        <f t="shared" ref="A225:M245" ca="1" si="24">INDEX(INDIRECT($O$10),ROW(L225),COLUMN(L225))</f>
        <v>0</v>
      </c>
      <c r="M225" s="29" t="str">
        <f t="shared" ca="1" si="24"/>
        <v>blu navy</v>
      </c>
      <c r="N225" s="2" t="str">
        <f t="shared" ca="1" si="23"/>
        <v>8APASPA*aaaaae+</v>
      </c>
    </row>
    <row r="226" spans="1:14" ht="31.5" x14ac:dyDescent="0.45">
      <c r="A226" s="3" t="str">
        <f t="shared" ca="1" si="24"/>
        <v>'219</v>
      </c>
      <c r="B226" s="3">
        <f t="shared" ca="1" si="24"/>
        <v>102</v>
      </c>
      <c r="C226" s="5">
        <f t="shared" ca="1" si="24"/>
        <v>8050850000000</v>
      </c>
      <c r="D226" s="8" t="str">
        <f t="shared" ca="1" si="24"/>
        <v>SHOUX101-ECS00-055</v>
      </c>
      <c r="E226" s="12" t="str">
        <f t="shared" ca="1" si="24"/>
        <v>BANDOULIÃˆRE EXTRASLIM 110 + ANSES TUBULAIRES + CLIP FAUX CUIR</v>
      </c>
      <c r="F226" s="18" t="str">
        <f t="shared" ca="1" si="24"/>
        <v>UNICA</v>
      </c>
      <c r="G226" s="10">
        <f t="shared" ca="1" si="24"/>
        <v>3</v>
      </c>
      <c r="H226" s="20">
        <f t="shared" ca="1" si="24"/>
        <v>18.96</v>
      </c>
      <c r="I226" s="22">
        <f t="shared" ca="1" si="24"/>
        <v>56.88</v>
      </c>
      <c r="J226" s="14" t="str">
        <f t="shared" ca="1" si="24"/>
        <v>ANSESTUB/BANDOUL</v>
      </c>
      <c r="K226" s="16" t="str">
        <f t="shared" ca="1" si="24"/>
        <v>BLACK</v>
      </c>
      <c r="L226" s="27">
        <f t="shared" ca="1" si="24"/>
        <v>0</v>
      </c>
      <c r="M226" s="29" t="str">
        <f t="shared" ca="1" si="24"/>
        <v>nero</v>
      </c>
      <c r="N226" s="2" t="str">
        <f t="shared" ca="1" si="23"/>
        <v>8APASPA*aaaaae+</v>
      </c>
    </row>
    <row r="227" spans="1:14" ht="31.5" x14ac:dyDescent="0.45">
      <c r="A227" s="3" t="str">
        <f t="shared" ca="1" si="24"/>
        <v>'220</v>
      </c>
      <c r="B227" s="3">
        <f t="shared" ca="1" si="24"/>
        <v>14</v>
      </c>
      <c r="C227" s="5">
        <f t="shared" ca="1" si="24"/>
        <v>8050850000000</v>
      </c>
      <c r="D227" s="8" t="str">
        <f t="shared" ca="1" si="24"/>
        <v>SHOUX101-ECS00-634</v>
      </c>
      <c r="E227" s="12" t="str">
        <f t="shared" ca="1" si="24"/>
        <v>BANDOULIÃˆRE EXTRASLIM 110 + ANSES TUBULAIRES + CLIP FAUX CUIR</v>
      </c>
      <c r="F227" s="18" t="str">
        <f t="shared" ca="1" si="24"/>
        <v>UNICA</v>
      </c>
      <c r="G227" s="10">
        <f t="shared" ca="1" si="24"/>
        <v>2</v>
      </c>
      <c r="H227" s="20">
        <f t="shared" ca="1" si="24"/>
        <v>18.96</v>
      </c>
      <c r="I227" s="22">
        <f t="shared" ca="1" si="24"/>
        <v>37.92</v>
      </c>
      <c r="J227" s="14" t="str">
        <f t="shared" ca="1" si="24"/>
        <v>ANSESTUB/BANDOUL</v>
      </c>
      <c r="K227" s="16" t="str">
        <f t="shared" ca="1" si="24"/>
        <v xml:space="preserve">RED  </v>
      </c>
      <c r="L227" s="27">
        <f t="shared" ca="1" si="24"/>
        <v>0</v>
      </c>
      <c r="M227" s="29" t="str">
        <f t="shared" ca="1" si="24"/>
        <v>rosso + argento</v>
      </c>
      <c r="N227" s="2" t="str">
        <f t="shared" ca="1" si="23"/>
        <v>8APASPA*aaaaae+</v>
      </c>
    </row>
    <row r="228" spans="1:14" ht="31.5" x14ac:dyDescent="0.45">
      <c r="A228" s="3" t="str">
        <f t="shared" ca="1" si="24"/>
        <v>'221</v>
      </c>
      <c r="B228" s="3">
        <f t="shared" ca="1" si="24"/>
        <v>75</v>
      </c>
      <c r="C228" s="5">
        <f t="shared" ca="1" si="24"/>
        <v>8050850000000</v>
      </c>
      <c r="D228" s="8" t="str">
        <f t="shared" ca="1" si="24"/>
        <v>SHOUX101-ECS00-635</v>
      </c>
      <c r="E228" s="12" t="str">
        <f t="shared" ca="1" si="24"/>
        <v>BANDOULIÃˆRE EXTRASLIM 110 + ANSES TUBULAIRES + CLIP FAUX CUIR</v>
      </c>
      <c r="F228" s="18" t="str">
        <f t="shared" ca="1" si="24"/>
        <v>UNICA</v>
      </c>
      <c r="G228" s="10">
        <f t="shared" ca="1" si="24"/>
        <v>2</v>
      </c>
      <c r="H228" s="20">
        <f t="shared" ca="1" si="24"/>
        <v>18.96</v>
      </c>
      <c r="I228" s="22">
        <f t="shared" ca="1" si="24"/>
        <v>37.92</v>
      </c>
      <c r="J228" s="14" t="str">
        <f t="shared" ca="1" si="24"/>
        <v>ANSESTUB/BANDOUL</v>
      </c>
      <c r="K228" s="16" t="str">
        <f t="shared" ca="1" si="24"/>
        <v>BLUET</v>
      </c>
      <c r="L228" s="27">
        <f t="shared" ca="1" si="24"/>
        <v>0</v>
      </c>
      <c r="M228" s="29" t="str">
        <f t="shared" ca="1" si="24"/>
        <v>bluette + argento</v>
      </c>
      <c r="N228" s="2" t="str">
        <f t="shared" ca="1" si="23"/>
        <v>8APASPA*aaaaae+</v>
      </c>
    </row>
    <row r="229" spans="1:14" ht="31.5" x14ac:dyDescent="0.45">
      <c r="A229" s="3">
        <f t="shared" ca="1" si="24"/>
        <v>0</v>
      </c>
      <c r="B229" s="3">
        <f t="shared" ca="1" si="24"/>
        <v>0</v>
      </c>
      <c r="C229" s="5">
        <f t="shared" ca="1" si="24"/>
        <v>0</v>
      </c>
      <c r="D229" s="8">
        <f t="shared" ca="1" si="24"/>
        <v>0</v>
      </c>
      <c r="E229" s="12">
        <f t="shared" ca="1" si="24"/>
        <v>0</v>
      </c>
      <c r="F229" s="18">
        <f t="shared" ca="1" si="24"/>
        <v>0</v>
      </c>
      <c r="G229" s="10">
        <f t="shared" ca="1" si="24"/>
        <v>0</v>
      </c>
      <c r="H229" s="20">
        <f t="shared" ca="1" si="24"/>
        <v>0</v>
      </c>
      <c r="I229" s="22">
        <f t="shared" ca="1" si="24"/>
        <v>0</v>
      </c>
      <c r="J229" s="14">
        <f t="shared" ca="1" si="24"/>
        <v>0</v>
      </c>
      <c r="K229" s="16">
        <f t="shared" ca="1" si="24"/>
        <v>0</v>
      </c>
      <c r="L229" s="27">
        <f t="shared" ca="1" si="24"/>
        <v>0</v>
      </c>
      <c r="M229" s="29">
        <f t="shared" ca="1" si="24"/>
        <v>0</v>
      </c>
      <c r="N229" s="2" t="str">
        <f t="shared" ca="1" si="23"/>
        <v/>
      </c>
    </row>
    <row r="230" spans="1:14" ht="31.5" x14ac:dyDescent="0.45">
      <c r="A230" s="3">
        <f t="shared" ca="1" si="24"/>
        <v>0</v>
      </c>
      <c r="B230" s="3">
        <f t="shared" ca="1" si="24"/>
        <v>0</v>
      </c>
      <c r="C230" s="5">
        <f t="shared" ca="1" si="24"/>
        <v>0</v>
      </c>
      <c r="D230" s="8">
        <f t="shared" ca="1" si="24"/>
        <v>0</v>
      </c>
      <c r="E230" s="12">
        <f t="shared" ca="1" si="24"/>
        <v>0</v>
      </c>
      <c r="F230" s="18">
        <f t="shared" ca="1" si="24"/>
        <v>0</v>
      </c>
      <c r="G230" s="10">
        <f t="shared" ca="1" si="24"/>
        <v>0</v>
      </c>
      <c r="H230" s="20">
        <f t="shared" ca="1" si="24"/>
        <v>0</v>
      </c>
      <c r="I230" s="22">
        <f t="shared" ca="1" si="24"/>
        <v>0</v>
      </c>
      <c r="J230" s="14">
        <f t="shared" ca="1" si="24"/>
        <v>0</v>
      </c>
      <c r="K230" s="16">
        <f t="shared" ca="1" si="24"/>
        <v>0</v>
      </c>
      <c r="L230" s="27">
        <f t="shared" ca="1" si="24"/>
        <v>0</v>
      </c>
      <c r="M230" s="29">
        <f t="shared" ca="1" si="24"/>
        <v>0</v>
      </c>
      <c r="N230" s="2" t="str">
        <f t="shared" ca="1" si="23"/>
        <v/>
      </c>
    </row>
    <row r="231" spans="1:14" ht="31.5" x14ac:dyDescent="0.45">
      <c r="A231" s="3">
        <f t="shared" ca="1" si="24"/>
        <v>0</v>
      </c>
      <c r="B231" s="3">
        <f t="shared" ca="1" si="24"/>
        <v>0</v>
      </c>
      <c r="C231" s="5">
        <f t="shared" ca="1" si="24"/>
        <v>0</v>
      </c>
      <c r="D231" s="8">
        <f t="shared" ca="1" si="24"/>
        <v>0</v>
      </c>
      <c r="E231" s="12">
        <f t="shared" ca="1" si="24"/>
        <v>0</v>
      </c>
      <c r="F231" s="18">
        <f t="shared" ca="1" si="24"/>
        <v>0</v>
      </c>
      <c r="G231" s="10">
        <f t="shared" ca="1" si="24"/>
        <v>0</v>
      </c>
      <c r="H231" s="20">
        <f t="shared" ca="1" si="24"/>
        <v>0</v>
      </c>
      <c r="I231" s="22">
        <f t="shared" ca="1" si="24"/>
        <v>0</v>
      </c>
      <c r="J231" s="14">
        <f t="shared" ca="1" si="24"/>
        <v>0</v>
      </c>
      <c r="K231" s="16">
        <f t="shared" ca="1" si="24"/>
        <v>0</v>
      </c>
      <c r="L231" s="27">
        <f t="shared" ca="1" si="24"/>
        <v>0</v>
      </c>
      <c r="M231" s="29">
        <f t="shared" ca="1" si="24"/>
        <v>0</v>
      </c>
      <c r="N231" s="2" t="str">
        <f t="shared" ca="1" si="23"/>
        <v/>
      </c>
    </row>
    <row r="232" spans="1:14" ht="31.5" x14ac:dyDescent="0.45">
      <c r="A232" s="3">
        <f t="shared" ca="1" si="24"/>
        <v>0</v>
      </c>
      <c r="B232" s="3">
        <f t="shared" ca="1" si="24"/>
        <v>0</v>
      </c>
      <c r="C232" s="5">
        <f t="shared" ca="1" si="24"/>
        <v>0</v>
      </c>
      <c r="D232" s="8">
        <f t="shared" ca="1" si="24"/>
        <v>0</v>
      </c>
      <c r="E232" s="12">
        <f t="shared" ca="1" si="24"/>
        <v>0</v>
      </c>
      <c r="F232" s="18">
        <f t="shared" ca="1" si="24"/>
        <v>0</v>
      </c>
      <c r="G232" s="10">
        <f t="shared" ca="1" si="24"/>
        <v>0</v>
      </c>
      <c r="H232" s="20">
        <f t="shared" ca="1" si="24"/>
        <v>0</v>
      </c>
      <c r="I232" s="22">
        <f t="shared" ca="1" si="24"/>
        <v>0</v>
      </c>
      <c r="J232" s="14">
        <f t="shared" ca="1" si="24"/>
        <v>0</v>
      </c>
      <c r="K232" s="16">
        <f t="shared" ca="1" si="24"/>
        <v>0</v>
      </c>
      <c r="L232" s="27">
        <f t="shared" ca="1" si="24"/>
        <v>0</v>
      </c>
      <c r="M232" s="29">
        <f t="shared" ca="1" si="24"/>
        <v>0</v>
      </c>
      <c r="N232" s="2" t="str">
        <f t="shared" ca="1" si="23"/>
        <v/>
      </c>
    </row>
    <row r="233" spans="1:14" ht="31.5" x14ac:dyDescent="0.45">
      <c r="A233" s="3">
        <f t="shared" ca="1" si="24"/>
        <v>0</v>
      </c>
      <c r="B233" s="3">
        <f t="shared" ca="1" si="24"/>
        <v>0</v>
      </c>
      <c r="C233" s="5">
        <f t="shared" ca="1" si="24"/>
        <v>0</v>
      </c>
      <c r="D233" s="8">
        <f t="shared" ca="1" si="24"/>
        <v>0</v>
      </c>
      <c r="E233" s="12">
        <f t="shared" ca="1" si="24"/>
        <v>0</v>
      </c>
      <c r="F233" s="18">
        <f t="shared" ca="1" si="24"/>
        <v>0</v>
      </c>
      <c r="G233" s="10">
        <f t="shared" ca="1" si="24"/>
        <v>0</v>
      </c>
      <c r="H233" s="20">
        <f t="shared" ca="1" si="24"/>
        <v>0</v>
      </c>
      <c r="I233" s="22">
        <f t="shared" ca="1" si="24"/>
        <v>0</v>
      </c>
      <c r="J233" s="14">
        <f t="shared" ca="1" si="24"/>
        <v>0</v>
      </c>
      <c r="K233" s="16">
        <f t="shared" ca="1" si="24"/>
        <v>0</v>
      </c>
      <c r="L233" s="27">
        <f t="shared" ca="1" si="24"/>
        <v>0</v>
      </c>
      <c r="M233" s="29">
        <f t="shared" ca="1" si="24"/>
        <v>0</v>
      </c>
      <c r="N233" s="2" t="str">
        <f t="shared" ca="1" si="23"/>
        <v/>
      </c>
    </row>
    <row r="234" spans="1:14" ht="31.5" x14ac:dyDescent="0.45">
      <c r="A234" s="3">
        <f t="shared" ca="1" si="24"/>
        <v>0</v>
      </c>
      <c r="B234" s="3">
        <f t="shared" ca="1" si="24"/>
        <v>0</v>
      </c>
      <c r="C234" s="5">
        <f t="shared" ca="1" si="24"/>
        <v>0</v>
      </c>
      <c r="D234" s="8">
        <f t="shared" ca="1" si="24"/>
        <v>0</v>
      </c>
      <c r="E234" s="12">
        <f t="shared" ca="1" si="24"/>
        <v>0</v>
      </c>
      <c r="F234" s="18">
        <f t="shared" ca="1" si="24"/>
        <v>0</v>
      </c>
      <c r="G234" s="10">
        <f t="shared" ca="1" si="24"/>
        <v>0</v>
      </c>
      <c r="H234" s="20">
        <f t="shared" ca="1" si="24"/>
        <v>0</v>
      </c>
      <c r="I234" s="22">
        <f t="shared" ca="1" si="24"/>
        <v>0</v>
      </c>
      <c r="J234" s="14">
        <f t="shared" ca="1" si="24"/>
        <v>0</v>
      </c>
      <c r="K234" s="16">
        <f t="shared" ca="1" si="24"/>
        <v>0</v>
      </c>
      <c r="L234" s="27">
        <f t="shared" ca="1" si="24"/>
        <v>0</v>
      </c>
      <c r="M234" s="29">
        <f t="shared" ca="1" si="24"/>
        <v>0</v>
      </c>
      <c r="N234" s="2" t="str">
        <f t="shared" ca="1" si="23"/>
        <v/>
      </c>
    </row>
    <row r="235" spans="1:14" ht="31.5" x14ac:dyDescent="0.45">
      <c r="A235" s="3">
        <f t="shared" ca="1" si="24"/>
        <v>0</v>
      </c>
      <c r="B235" s="3">
        <f t="shared" ca="1" si="24"/>
        <v>0</v>
      </c>
      <c r="C235" s="5">
        <f t="shared" ca="1" si="24"/>
        <v>0</v>
      </c>
      <c r="D235" s="8">
        <f t="shared" ca="1" si="24"/>
        <v>0</v>
      </c>
      <c r="E235" s="12">
        <f t="shared" ca="1" si="24"/>
        <v>0</v>
      </c>
      <c r="F235" s="18">
        <f t="shared" ca="1" si="24"/>
        <v>0</v>
      </c>
      <c r="G235" s="10">
        <f t="shared" ca="1" si="24"/>
        <v>0</v>
      </c>
      <c r="H235" s="20">
        <f t="shared" ca="1" si="24"/>
        <v>0</v>
      </c>
      <c r="I235" s="22">
        <f t="shared" ca="1" si="24"/>
        <v>0</v>
      </c>
      <c r="J235" s="14">
        <f t="shared" ca="1" si="24"/>
        <v>0</v>
      </c>
      <c r="K235" s="16">
        <f t="shared" ca="1" si="24"/>
        <v>0</v>
      </c>
      <c r="L235" s="27">
        <f t="shared" ca="1" si="24"/>
        <v>0</v>
      </c>
      <c r="M235" s="29">
        <f t="shared" ca="1" si="24"/>
        <v>0</v>
      </c>
      <c r="N235" s="2" t="str">
        <f t="shared" ca="1" si="23"/>
        <v/>
      </c>
    </row>
    <row r="236" spans="1:14" ht="31.5" x14ac:dyDescent="0.45">
      <c r="A236" s="3">
        <f t="shared" ca="1" si="24"/>
        <v>0</v>
      </c>
      <c r="B236" s="3">
        <f t="shared" ca="1" si="24"/>
        <v>0</v>
      </c>
      <c r="C236" s="5">
        <f t="shared" ca="1" si="24"/>
        <v>0</v>
      </c>
      <c r="D236" s="8">
        <f t="shared" ca="1" si="24"/>
        <v>0</v>
      </c>
      <c r="E236" s="12">
        <f t="shared" ca="1" si="24"/>
        <v>0</v>
      </c>
      <c r="F236" s="18">
        <f t="shared" ca="1" si="24"/>
        <v>0</v>
      </c>
      <c r="G236" s="10">
        <f t="shared" ca="1" si="24"/>
        <v>0</v>
      </c>
      <c r="H236" s="20">
        <f t="shared" ca="1" si="24"/>
        <v>0</v>
      </c>
      <c r="I236" s="22">
        <f t="shared" ca="1" si="24"/>
        <v>0</v>
      </c>
      <c r="J236" s="14">
        <f t="shared" ca="1" si="24"/>
        <v>0</v>
      </c>
      <c r="K236" s="16">
        <f t="shared" ca="1" si="24"/>
        <v>0</v>
      </c>
      <c r="L236" s="27">
        <f t="shared" ca="1" si="24"/>
        <v>0</v>
      </c>
      <c r="M236" s="29">
        <f t="shared" ca="1" si="24"/>
        <v>0</v>
      </c>
      <c r="N236" s="2" t="str">
        <f t="shared" ca="1" si="23"/>
        <v/>
      </c>
    </row>
    <row r="237" spans="1:14" ht="31.5" x14ac:dyDescent="0.45">
      <c r="A237" s="3">
        <f t="shared" ca="1" si="24"/>
        <v>0</v>
      </c>
      <c r="B237" s="3">
        <f t="shared" ca="1" si="24"/>
        <v>0</v>
      </c>
      <c r="C237" s="5">
        <f t="shared" ca="1" si="24"/>
        <v>0</v>
      </c>
      <c r="D237" s="8">
        <f t="shared" ca="1" si="24"/>
        <v>0</v>
      </c>
      <c r="E237" s="12">
        <f t="shared" ca="1" si="24"/>
        <v>0</v>
      </c>
      <c r="F237" s="18">
        <f t="shared" ca="1" si="24"/>
        <v>0</v>
      </c>
      <c r="G237" s="10">
        <f t="shared" ca="1" si="24"/>
        <v>0</v>
      </c>
      <c r="H237" s="20">
        <f t="shared" ca="1" si="24"/>
        <v>0</v>
      </c>
      <c r="I237" s="22">
        <f t="shared" ca="1" si="24"/>
        <v>0</v>
      </c>
      <c r="J237" s="14">
        <f t="shared" ca="1" si="24"/>
        <v>0</v>
      </c>
      <c r="K237" s="16">
        <f t="shared" ca="1" si="24"/>
        <v>0</v>
      </c>
      <c r="L237" s="27">
        <f t="shared" ca="1" si="24"/>
        <v>0</v>
      </c>
      <c r="M237" s="29">
        <f t="shared" ca="1" si="24"/>
        <v>0</v>
      </c>
      <c r="N237" s="2" t="str">
        <f t="shared" ca="1" si="23"/>
        <v/>
      </c>
    </row>
    <row r="238" spans="1:14" ht="31.5" x14ac:dyDescent="0.45">
      <c r="A238" s="3">
        <f t="shared" ca="1" si="24"/>
        <v>0</v>
      </c>
      <c r="B238" s="3">
        <f t="shared" ca="1" si="24"/>
        <v>0</v>
      </c>
      <c r="C238" s="5">
        <f t="shared" ca="1" si="24"/>
        <v>0</v>
      </c>
      <c r="D238" s="8">
        <f t="shared" ca="1" si="24"/>
        <v>0</v>
      </c>
      <c r="E238" s="12">
        <f t="shared" ca="1" si="24"/>
        <v>0</v>
      </c>
      <c r="F238" s="18">
        <f t="shared" ca="1" si="24"/>
        <v>0</v>
      </c>
      <c r="G238" s="10">
        <f t="shared" ca="1" si="24"/>
        <v>0</v>
      </c>
      <c r="H238" s="20">
        <f t="shared" ca="1" si="24"/>
        <v>0</v>
      </c>
      <c r="I238" s="22">
        <f t="shared" ca="1" si="24"/>
        <v>0</v>
      </c>
      <c r="J238" s="14">
        <f t="shared" ca="1" si="24"/>
        <v>0</v>
      </c>
      <c r="K238" s="16">
        <f t="shared" ca="1" si="24"/>
        <v>0</v>
      </c>
      <c r="L238" s="27">
        <f t="shared" ca="1" si="24"/>
        <v>0</v>
      </c>
      <c r="M238" s="29">
        <f t="shared" ca="1" si="24"/>
        <v>0</v>
      </c>
      <c r="N238" s="2" t="str">
        <f t="shared" ca="1" si="23"/>
        <v/>
      </c>
    </row>
    <row r="239" spans="1:14" ht="31.5" x14ac:dyDescent="0.45">
      <c r="A239" s="3">
        <f t="shared" ca="1" si="24"/>
        <v>0</v>
      </c>
      <c r="B239" s="3">
        <f t="shared" ca="1" si="24"/>
        <v>0</v>
      </c>
      <c r="C239" s="5">
        <f t="shared" ca="1" si="24"/>
        <v>0</v>
      </c>
      <c r="D239" s="8">
        <f t="shared" ca="1" si="24"/>
        <v>0</v>
      </c>
      <c r="E239" s="12">
        <f t="shared" ca="1" si="24"/>
        <v>0</v>
      </c>
      <c r="F239" s="18">
        <f t="shared" ca="1" si="24"/>
        <v>0</v>
      </c>
      <c r="G239" s="10">
        <f t="shared" ca="1" si="24"/>
        <v>0</v>
      </c>
      <c r="H239" s="20">
        <f t="shared" ca="1" si="24"/>
        <v>0</v>
      </c>
      <c r="I239" s="22">
        <f t="shared" ca="1" si="24"/>
        <v>0</v>
      </c>
      <c r="J239" s="14">
        <f t="shared" ca="1" si="24"/>
        <v>0</v>
      </c>
      <c r="K239" s="16">
        <f t="shared" ca="1" si="24"/>
        <v>0</v>
      </c>
      <c r="L239" s="27">
        <f t="shared" ca="1" si="24"/>
        <v>0</v>
      </c>
      <c r="M239" s="29">
        <f t="shared" ca="1" si="24"/>
        <v>0</v>
      </c>
      <c r="N239" s="2" t="str">
        <f t="shared" ca="1" si="23"/>
        <v/>
      </c>
    </row>
    <row r="240" spans="1:14" ht="31.5" x14ac:dyDescent="0.45">
      <c r="A240" s="3">
        <f t="shared" ca="1" si="24"/>
        <v>0</v>
      </c>
      <c r="B240" s="3">
        <f t="shared" ca="1" si="24"/>
        <v>0</v>
      </c>
      <c r="C240" s="5">
        <f t="shared" ca="1" si="24"/>
        <v>0</v>
      </c>
      <c r="D240" s="8">
        <f t="shared" ca="1" si="24"/>
        <v>0</v>
      </c>
      <c r="E240" s="12">
        <f t="shared" ca="1" si="24"/>
        <v>0</v>
      </c>
      <c r="F240" s="18">
        <f t="shared" ca="1" si="24"/>
        <v>0</v>
      </c>
      <c r="G240" s="10">
        <f t="shared" ca="1" si="24"/>
        <v>0</v>
      </c>
      <c r="H240" s="20">
        <f t="shared" ca="1" si="24"/>
        <v>0</v>
      </c>
      <c r="I240" s="22">
        <f t="shared" ca="1" si="24"/>
        <v>0</v>
      </c>
      <c r="J240" s="14">
        <f t="shared" ca="1" si="24"/>
        <v>0</v>
      </c>
      <c r="K240" s="16">
        <f t="shared" ca="1" si="24"/>
        <v>0</v>
      </c>
      <c r="L240" s="27">
        <f t="shared" ca="1" si="24"/>
        <v>0</v>
      </c>
      <c r="M240" s="29">
        <f t="shared" ca="1" si="24"/>
        <v>0</v>
      </c>
      <c r="N240" s="2" t="str">
        <f t="shared" ca="1" si="23"/>
        <v/>
      </c>
    </row>
    <row r="241" spans="1:14" ht="31.5" x14ac:dyDescent="0.45">
      <c r="A241" s="3">
        <f t="shared" ca="1" si="24"/>
        <v>0</v>
      </c>
      <c r="B241" s="3">
        <f t="shared" ca="1" si="24"/>
        <v>0</v>
      </c>
      <c r="C241" s="5">
        <f t="shared" ca="1" si="24"/>
        <v>0</v>
      </c>
      <c r="D241" s="8">
        <f t="shared" ca="1" si="24"/>
        <v>0</v>
      </c>
      <c r="E241" s="12">
        <f t="shared" ca="1" si="24"/>
        <v>0</v>
      </c>
      <c r="F241" s="18">
        <f t="shared" ca="1" si="24"/>
        <v>0</v>
      </c>
      <c r="G241" s="10">
        <f t="shared" ca="1" si="24"/>
        <v>0</v>
      </c>
      <c r="H241" s="20">
        <f t="shared" ca="1" si="24"/>
        <v>0</v>
      </c>
      <c r="I241" s="22">
        <f t="shared" ca="1" si="24"/>
        <v>0</v>
      </c>
      <c r="J241" s="14">
        <f t="shared" ca="1" si="24"/>
        <v>0</v>
      </c>
      <c r="K241" s="16">
        <f t="shared" ca="1" si="24"/>
        <v>0</v>
      </c>
      <c r="L241" s="27">
        <f t="shared" ca="1" si="24"/>
        <v>0</v>
      </c>
      <c r="M241" s="29">
        <f t="shared" ca="1" si="24"/>
        <v>0</v>
      </c>
      <c r="N241" s="2" t="str">
        <f t="shared" ca="1" si="23"/>
        <v/>
      </c>
    </row>
    <row r="242" spans="1:14" ht="31.5" x14ac:dyDescent="0.45">
      <c r="A242" s="3">
        <f t="shared" ca="1" si="24"/>
        <v>0</v>
      </c>
      <c r="B242" s="3">
        <f t="shared" ca="1" si="24"/>
        <v>0</v>
      </c>
      <c r="C242" s="5">
        <f t="shared" ca="1" si="24"/>
        <v>0</v>
      </c>
      <c r="D242" s="8">
        <f t="shared" ca="1" si="24"/>
        <v>0</v>
      </c>
      <c r="E242" s="12">
        <f t="shared" ca="1" si="24"/>
        <v>0</v>
      </c>
      <c r="F242" s="18">
        <f t="shared" ca="1" si="24"/>
        <v>0</v>
      </c>
      <c r="G242" s="10">
        <f t="shared" ca="1" si="24"/>
        <v>0</v>
      </c>
      <c r="H242" s="20">
        <f t="shared" ca="1" si="24"/>
        <v>0</v>
      </c>
      <c r="I242" s="22">
        <f t="shared" ca="1" si="24"/>
        <v>0</v>
      </c>
      <c r="J242" s="14">
        <f t="shared" ca="1" si="24"/>
        <v>0</v>
      </c>
      <c r="K242" s="16">
        <f t="shared" ca="1" si="24"/>
        <v>0</v>
      </c>
      <c r="L242" s="27">
        <f t="shared" ca="1" si="24"/>
        <v>0</v>
      </c>
      <c r="M242" s="29">
        <f t="shared" ca="1" si="24"/>
        <v>0</v>
      </c>
      <c r="N242" s="2" t="str">
        <f t="shared" ca="1" si="23"/>
        <v/>
      </c>
    </row>
    <row r="243" spans="1:14" ht="31.5" x14ac:dyDescent="0.45">
      <c r="A243" s="3">
        <f t="shared" ca="1" si="24"/>
        <v>0</v>
      </c>
      <c r="B243" s="3">
        <f t="shared" ca="1" si="24"/>
        <v>0</v>
      </c>
      <c r="C243" s="5">
        <f t="shared" ca="1" si="24"/>
        <v>0</v>
      </c>
      <c r="D243" s="8">
        <f t="shared" ca="1" si="24"/>
        <v>0</v>
      </c>
      <c r="E243" s="12">
        <f t="shared" ca="1" si="24"/>
        <v>0</v>
      </c>
      <c r="F243" s="18">
        <f t="shared" ca="1" si="24"/>
        <v>0</v>
      </c>
      <c r="G243" s="10">
        <f t="shared" ca="1" si="24"/>
        <v>0</v>
      </c>
      <c r="H243" s="20">
        <f t="shared" ca="1" si="24"/>
        <v>0</v>
      </c>
      <c r="I243" s="22">
        <f t="shared" ca="1" si="24"/>
        <v>0</v>
      </c>
      <c r="J243" s="14">
        <f t="shared" ca="1" si="24"/>
        <v>0</v>
      </c>
      <c r="K243" s="16">
        <f t="shared" ca="1" si="24"/>
        <v>0</v>
      </c>
      <c r="L243" s="27">
        <f t="shared" ca="1" si="24"/>
        <v>0</v>
      </c>
      <c r="M243" s="29">
        <f t="shared" ca="1" si="24"/>
        <v>0</v>
      </c>
      <c r="N243" s="2" t="str">
        <f t="shared" ca="1" si="23"/>
        <v/>
      </c>
    </row>
    <row r="244" spans="1:14" ht="31.5" x14ac:dyDescent="0.45">
      <c r="A244" s="3">
        <f t="shared" ca="1" si="24"/>
        <v>0</v>
      </c>
      <c r="B244" s="3">
        <f t="shared" ca="1" si="24"/>
        <v>0</v>
      </c>
      <c r="C244" s="5">
        <f t="shared" ca="1" si="24"/>
        <v>0</v>
      </c>
      <c r="D244" s="8">
        <f t="shared" ca="1" si="24"/>
        <v>0</v>
      </c>
      <c r="E244" s="12">
        <f t="shared" ca="1" si="24"/>
        <v>0</v>
      </c>
      <c r="F244" s="18">
        <f t="shared" ca="1" si="24"/>
        <v>0</v>
      </c>
      <c r="G244" s="10">
        <f t="shared" ca="1" si="24"/>
        <v>0</v>
      </c>
      <c r="H244" s="20">
        <f t="shared" ca="1" si="24"/>
        <v>0</v>
      </c>
      <c r="I244" s="22">
        <f t="shared" ca="1" si="24"/>
        <v>0</v>
      </c>
      <c r="J244" s="14">
        <f t="shared" ca="1" si="24"/>
        <v>0</v>
      </c>
      <c r="K244" s="16">
        <f t="shared" ca="1" si="24"/>
        <v>0</v>
      </c>
      <c r="L244" s="27">
        <f t="shared" ca="1" si="24"/>
        <v>0</v>
      </c>
      <c r="M244" s="29">
        <f t="shared" ca="1" si="24"/>
        <v>0</v>
      </c>
      <c r="N244" s="2" t="str">
        <f t="shared" ca="1" si="23"/>
        <v/>
      </c>
    </row>
    <row r="245" spans="1:14" ht="31.5" x14ac:dyDescent="0.45">
      <c r="A245" s="3">
        <f t="shared" ca="1" si="24"/>
        <v>0</v>
      </c>
      <c r="B245" s="3">
        <f t="shared" ca="1" si="24"/>
        <v>0</v>
      </c>
      <c r="C245" s="5">
        <f t="shared" ca="1" si="24"/>
        <v>0</v>
      </c>
      <c r="D245" s="8">
        <f t="shared" ca="1" si="24"/>
        <v>0</v>
      </c>
      <c r="E245" s="12">
        <f t="shared" ca="1" si="24"/>
        <v>0</v>
      </c>
      <c r="F245" s="18">
        <f t="shared" ca="1" si="24"/>
        <v>0</v>
      </c>
      <c r="G245" s="10">
        <f t="shared" ref="A245:M256" ca="1" si="25">INDEX(INDIRECT($O$10),ROW(G245),COLUMN(G245))</f>
        <v>0</v>
      </c>
      <c r="H245" s="20">
        <f t="shared" ca="1" si="25"/>
        <v>0</v>
      </c>
      <c r="I245" s="22">
        <f t="shared" ca="1" si="25"/>
        <v>0</v>
      </c>
      <c r="J245" s="14">
        <f t="shared" ca="1" si="25"/>
        <v>0</v>
      </c>
      <c r="K245" s="16">
        <f t="shared" ca="1" si="25"/>
        <v>0</v>
      </c>
      <c r="L245" s="27">
        <f t="shared" ca="1" si="25"/>
        <v>0</v>
      </c>
      <c r="M245" s="29">
        <f t="shared" ca="1" si="25"/>
        <v>0</v>
      </c>
      <c r="N245" s="2" t="str">
        <f t="shared" ca="1" si="23"/>
        <v/>
      </c>
    </row>
    <row r="246" spans="1:14" ht="31.5" x14ac:dyDescent="0.45">
      <c r="A246" s="3">
        <f t="shared" ca="1" si="25"/>
        <v>0</v>
      </c>
      <c r="B246" s="3">
        <f t="shared" ca="1" si="25"/>
        <v>0</v>
      </c>
      <c r="C246" s="5">
        <f t="shared" ca="1" si="25"/>
        <v>0</v>
      </c>
      <c r="D246" s="8">
        <f t="shared" ca="1" si="25"/>
        <v>0</v>
      </c>
      <c r="E246" s="12">
        <f t="shared" ca="1" si="25"/>
        <v>0</v>
      </c>
      <c r="F246" s="18">
        <f t="shared" ca="1" si="25"/>
        <v>0</v>
      </c>
      <c r="G246" s="10">
        <f t="shared" ca="1" si="25"/>
        <v>0</v>
      </c>
      <c r="H246" s="20">
        <f t="shared" ca="1" si="25"/>
        <v>0</v>
      </c>
      <c r="I246" s="22">
        <f t="shared" ca="1" si="25"/>
        <v>0</v>
      </c>
      <c r="J246" s="14">
        <f t="shared" ca="1" si="25"/>
        <v>0</v>
      </c>
      <c r="K246" s="16">
        <f t="shared" ca="1" si="25"/>
        <v>0</v>
      </c>
      <c r="L246" s="27">
        <f t="shared" ca="1" si="25"/>
        <v>0</v>
      </c>
      <c r="M246" s="29">
        <f t="shared" ca="1" si="25"/>
        <v>0</v>
      </c>
      <c r="N246" s="2" t="str">
        <f t="shared" ca="1" si="23"/>
        <v/>
      </c>
    </row>
    <row r="247" spans="1:14" ht="31.5" x14ac:dyDescent="0.45">
      <c r="A247" s="3">
        <f t="shared" ca="1" si="25"/>
        <v>0</v>
      </c>
      <c r="B247" s="3">
        <f t="shared" ca="1" si="25"/>
        <v>0</v>
      </c>
      <c r="C247" s="5">
        <f t="shared" ca="1" si="25"/>
        <v>0</v>
      </c>
      <c r="D247" s="8">
        <f t="shared" ca="1" si="25"/>
        <v>0</v>
      </c>
      <c r="E247" s="12">
        <f t="shared" ca="1" si="25"/>
        <v>0</v>
      </c>
      <c r="F247" s="18">
        <f t="shared" ca="1" si="25"/>
        <v>0</v>
      </c>
      <c r="G247" s="10">
        <f t="shared" ca="1" si="25"/>
        <v>0</v>
      </c>
      <c r="H247" s="20">
        <f t="shared" ca="1" si="25"/>
        <v>0</v>
      </c>
      <c r="I247" s="22">
        <f t="shared" ca="1" si="25"/>
        <v>0</v>
      </c>
      <c r="J247" s="14">
        <f t="shared" ca="1" si="25"/>
        <v>0</v>
      </c>
      <c r="K247" s="16">
        <f t="shared" ca="1" si="25"/>
        <v>0</v>
      </c>
      <c r="L247" s="27">
        <f t="shared" ca="1" si="25"/>
        <v>0</v>
      </c>
      <c r="M247" s="29">
        <f t="shared" ca="1" si="25"/>
        <v>0</v>
      </c>
      <c r="N247" s="2" t="str">
        <f t="shared" ca="1" si="23"/>
        <v/>
      </c>
    </row>
    <row r="248" spans="1:14" ht="31.5" x14ac:dyDescent="0.45">
      <c r="A248" s="3">
        <f t="shared" ca="1" si="25"/>
        <v>0</v>
      </c>
      <c r="B248" s="3">
        <f t="shared" ca="1" si="25"/>
        <v>0</v>
      </c>
      <c r="C248" s="5">
        <f t="shared" ca="1" si="25"/>
        <v>0</v>
      </c>
      <c r="D248" s="8">
        <f t="shared" ca="1" si="25"/>
        <v>0</v>
      </c>
      <c r="E248" s="12">
        <f t="shared" ca="1" si="25"/>
        <v>0</v>
      </c>
      <c r="F248" s="18">
        <f t="shared" ca="1" si="25"/>
        <v>0</v>
      </c>
      <c r="G248" s="10">
        <f t="shared" ca="1" si="25"/>
        <v>0</v>
      </c>
      <c r="H248" s="20">
        <f t="shared" ca="1" si="25"/>
        <v>0</v>
      </c>
      <c r="I248" s="22">
        <f t="shared" ca="1" si="25"/>
        <v>0</v>
      </c>
      <c r="J248" s="14">
        <f t="shared" ca="1" si="25"/>
        <v>0</v>
      </c>
      <c r="K248" s="16">
        <f t="shared" ca="1" si="25"/>
        <v>0</v>
      </c>
      <c r="L248" s="27">
        <f t="shared" ca="1" si="25"/>
        <v>0</v>
      </c>
      <c r="M248" s="29">
        <f t="shared" ca="1" si="25"/>
        <v>0</v>
      </c>
      <c r="N248" s="2" t="str">
        <f t="shared" ca="1" si="23"/>
        <v/>
      </c>
    </row>
    <row r="249" spans="1:14" ht="31.5" x14ac:dyDescent="0.45">
      <c r="A249" s="3">
        <f t="shared" ca="1" si="25"/>
        <v>0</v>
      </c>
      <c r="B249" s="3">
        <f t="shared" ca="1" si="25"/>
        <v>0</v>
      </c>
      <c r="C249" s="5">
        <f t="shared" ca="1" si="25"/>
        <v>0</v>
      </c>
      <c r="D249" s="8">
        <f t="shared" ca="1" si="25"/>
        <v>0</v>
      </c>
      <c r="E249" s="12">
        <f t="shared" ca="1" si="25"/>
        <v>0</v>
      </c>
      <c r="F249" s="18">
        <f t="shared" ca="1" si="25"/>
        <v>0</v>
      </c>
      <c r="G249" s="10">
        <f t="shared" ca="1" si="25"/>
        <v>0</v>
      </c>
      <c r="H249" s="20">
        <f t="shared" ca="1" si="25"/>
        <v>0</v>
      </c>
      <c r="I249" s="22">
        <f t="shared" ca="1" si="25"/>
        <v>0</v>
      </c>
      <c r="J249" s="14">
        <f t="shared" ca="1" si="25"/>
        <v>0</v>
      </c>
      <c r="K249" s="16">
        <f t="shared" ca="1" si="25"/>
        <v>0</v>
      </c>
      <c r="L249" s="27">
        <f t="shared" ca="1" si="25"/>
        <v>0</v>
      </c>
      <c r="M249" s="29">
        <f t="shared" ca="1" si="25"/>
        <v>0</v>
      </c>
      <c r="N249" s="2" t="str">
        <f t="shared" ca="1" si="23"/>
        <v/>
      </c>
    </row>
    <row r="250" spans="1:14" ht="31.5" x14ac:dyDescent="0.45">
      <c r="A250" s="3">
        <f t="shared" ca="1" si="25"/>
        <v>0</v>
      </c>
      <c r="B250" s="3">
        <f t="shared" ca="1" si="25"/>
        <v>0</v>
      </c>
      <c r="C250" s="5">
        <f t="shared" ca="1" si="25"/>
        <v>0</v>
      </c>
      <c r="D250" s="8">
        <f t="shared" ca="1" si="25"/>
        <v>0</v>
      </c>
      <c r="E250" s="12">
        <f t="shared" ca="1" si="25"/>
        <v>0</v>
      </c>
      <c r="F250" s="18">
        <f t="shared" ca="1" si="25"/>
        <v>0</v>
      </c>
      <c r="G250" s="10">
        <f t="shared" ca="1" si="25"/>
        <v>0</v>
      </c>
      <c r="H250" s="20">
        <f t="shared" ca="1" si="25"/>
        <v>0</v>
      </c>
      <c r="I250" s="22">
        <f t="shared" ca="1" si="25"/>
        <v>0</v>
      </c>
      <c r="J250" s="14">
        <f t="shared" ca="1" si="25"/>
        <v>0</v>
      </c>
      <c r="K250" s="16">
        <f t="shared" ca="1" si="25"/>
        <v>0</v>
      </c>
      <c r="L250" s="27">
        <f t="shared" ca="1" si="25"/>
        <v>0</v>
      </c>
      <c r="M250" s="29">
        <f t="shared" ca="1" si="25"/>
        <v>0</v>
      </c>
      <c r="N250" s="2" t="str">
        <f t="shared" ca="1" si="23"/>
        <v/>
      </c>
    </row>
    <row r="251" spans="1:14" ht="31.5" x14ac:dyDescent="0.45">
      <c r="A251" s="3">
        <f t="shared" ca="1" si="25"/>
        <v>0</v>
      </c>
      <c r="B251" s="3">
        <f t="shared" ca="1" si="25"/>
        <v>0</v>
      </c>
      <c r="C251" s="5">
        <f t="shared" ca="1" si="25"/>
        <v>0</v>
      </c>
      <c r="D251" s="8">
        <f t="shared" ca="1" si="25"/>
        <v>0</v>
      </c>
      <c r="E251" s="12">
        <f t="shared" ca="1" si="25"/>
        <v>0</v>
      </c>
      <c r="F251" s="18">
        <f t="shared" ca="1" si="25"/>
        <v>0</v>
      </c>
      <c r="G251" s="10">
        <f t="shared" ca="1" si="25"/>
        <v>0</v>
      </c>
      <c r="H251" s="20">
        <f t="shared" ca="1" si="25"/>
        <v>0</v>
      </c>
      <c r="I251" s="22">
        <f t="shared" ca="1" si="25"/>
        <v>0</v>
      </c>
      <c r="J251" s="14">
        <f t="shared" ca="1" si="25"/>
        <v>0</v>
      </c>
      <c r="K251" s="16">
        <f t="shared" ca="1" si="25"/>
        <v>0</v>
      </c>
      <c r="L251" s="27">
        <f t="shared" ca="1" si="25"/>
        <v>0</v>
      </c>
      <c r="M251" s="29">
        <f t="shared" ca="1" si="25"/>
        <v>0</v>
      </c>
      <c r="N251" s="2" t="str">
        <f t="shared" ca="1" si="23"/>
        <v/>
      </c>
    </row>
    <row r="252" spans="1:14" ht="31.5" x14ac:dyDescent="0.45">
      <c r="A252" s="3">
        <f t="shared" ca="1" si="25"/>
        <v>0</v>
      </c>
      <c r="B252" s="3">
        <f t="shared" ca="1" si="25"/>
        <v>0</v>
      </c>
      <c r="C252" s="5">
        <f t="shared" ca="1" si="25"/>
        <v>0</v>
      </c>
      <c r="D252" s="8">
        <f t="shared" ca="1" si="25"/>
        <v>0</v>
      </c>
      <c r="E252" s="12">
        <f t="shared" ca="1" si="25"/>
        <v>0</v>
      </c>
      <c r="F252" s="18">
        <f t="shared" ca="1" si="25"/>
        <v>0</v>
      </c>
      <c r="G252" s="10">
        <f t="shared" ca="1" si="25"/>
        <v>0</v>
      </c>
      <c r="H252" s="20">
        <f t="shared" ca="1" si="25"/>
        <v>0</v>
      </c>
      <c r="I252" s="22">
        <f t="shared" ca="1" si="25"/>
        <v>0</v>
      </c>
      <c r="J252" s="14">
        <f t="shared" ca="1" si="25"/>
        <v>0</v>
      </c>
      <c r="K252" s="16">
        <f t="shared" ca="1" si="25"/>
        <v>0</v>
      </c>
      <c r="L252" s="27">
        <f t="shared" ca="1" si="25"/>
        <v>0</v>
      </c>
      <c r="M252" s="29">
        <f t="shared" ca="1" si="25"/>
        <v>0</v>
      </c>
      <c r="N252" s="2" t="str">
        <f t="shared" ca="1" si="23"/>
        <v/>
      </c>
    </row>
    <row r="253" spans="1:14" ht="31.5" x14ac:dyDescent="0.45">
      <c r="A253" s="3">
        <f t="shared" ca="1" si="25"/>
        <v>0</v>
      </c>
      <c r="B253" s="3">
        <f t="shared" ca="1" si="25"/>
        <v>0</v>
      </c>
      <c r="C253" s="5">
        <f t="shared" ca="1" si="25"/>
        <v>0</v>
      </c>
      <c r="D253" s="8">
        <f t="shared" ca="1" si="25"/>
        <v>0</v>
      </c>
      <c r="E253" s="12">
        <f t="shared" ca="1" si="25"/>
        <v>0</v>
      </c>
      <c r="F253" s="18">
        <f t="shared" ca="1" si="25"/>
        <v>0</v>
      </c>
      <c r="G253" s="10">
        <f t="shared" ca="1" si="25"/>
        <v>0</v>
      </c>
      <c r="H253" s="20">
        <f t="shared" ca="1" si="25"/>
        <v>0</v>
      </c>
      <c r="I253" s="22">
        <f t="shared" ca="1" si="25"/>
        <v>0</v>
      </c>
      <c r="J253" s="14">
        <f t="shared" ca="1" si="25"/>
        <v>0</v>
      </c>
      <c r="K253" s="16">
        <f t="shared" ca="1" si="25"/>
        <v>0</v>
      </c>
      <c r="L253" s="27">
        <f t="shared" ca="1" si="25"/>
        <v>0</v>
      </c>
      <c r="M253" s="29">
        <f t="shared" ca="1" si="25"/>
        <v>0</v>
      </c>
      <c r="N253" s="2" t="str">
        <f t="shared" ca="1" si="23"/>
        <v/>
      </c>
    </row>
    <row r="254" spans="1:14" ht="31.5" x14ac:dyDescent="0.45">
      <c r="A254" s="3">
        <f t="shared" ca="1" si="25"/>
        <v>0</v>
      </c>
      <c r="B254" s="3">
        <f t="shared" ca="1" si="25"/>
        <v>0</v>
      </c>
      <c r="C254" s="5">
        <f t="shared" ca="1" si="25"/>
        <v>0</v>
      </c>
      <c r="D254" s="8">
        <f t="shared" ca="1" si="25"/>
        <v>0</v>
      </c>
      <c r="E254" s="12">
        <f t="shared" ca="1" si="25"/>
        <v>0</v>
      </c>
      <c r="F254" s="18">
        <f t="shared" ca="1" si="25"/>
        <v>0</v>
      </c>
      <c r="G254" s="10">
        <f t="shared" ca="1" si="25"/>
        <v>0</v>
      </c>
      <c r="H254" s="20">
        <f t="shared" ca="1" si="25"/>
        <v>0</v>
      </c>
      <c r="I254" s="22">
        <f t="shared" ca="1" si="25"/>
        <v>0</v>
      </c>
      <c r="J254" s="14">
        <f t="shared" ca="1" si="25"/>
        <v>0</v>
      </c>
      <c r="K254" s="16">
        <f t="shared" ca="1" si="25"/>
        <v>0</v>
      </c>
      <c r="L254" s="27">
        <f t="shared" ca="1" si="25"/>
        <v>0</v>
      </c>
      <c r="M254" s="29">
        <f t="shared" ca="1" si="25"/>
        <v>0</v>
      </c>
      <c r="N254" s="2" t="str">
        <f t="shared" ca="1" si="23"/>
        <v/>
      </c>
    </row>
    <row r="255" spans="1:14" ht="31.5" x14ac:dyDescent="0.45">
      <c r="A255" s="3">
        <f t="shared" ca="1" si="25"/>
        <v>0</v>
      </c>
      <c r="B255" s="3">
        <f t="shared" ca="1" si="25"/>
        <v>0</v>
      </c>
      <c r="C255" s="5">
        <f t="shared" ca="1" si="25"/>
        <v>0</v>
      </c>
      <c r="D255" s="8">
        <f t="shared" ca="1" si="25"/>
        <v>0</v>
      </c>
      <c r="E255" s="12">
        <f t="shared" ca="1" si="25"/>
        <v>0</v>
      </c>
      <c r="F255" s="18">
        <f t="shared" ca="1" si="25"/>
        <v>0</v>
      </c>
      <c r="G255" s="10">
        <f t="shared" ca="1" si="25"/>
        <v>0</v>
      </c>
      <c r="H255" s="20">
        <f t="shared" ca="1" si="25"/>
        <v>0</v>
      </c>
      <c r="I255" s="22">
        <f t="shared" ca="1" si="25"/>
        <v>0</v>
      </c>
      <c r="J255" s="14">
        <f t="shared" ca="1" si="25"/>
        <v>0</v>
      </c>
      <c r="K255" s="16">
        <f t="shared" ca="1" si="25"/>
        <v>0</v>
      </c>
      <c r="L255" s="27">
        <f t="shared" ca="1" si="25"/>
        <v>0</v>
      </c>
      <c r="M255" s="29">
        <f t="shared" ca="1" si="25"/>
        <v>0</v>
      </c>
      <c r="N255" s="2" t="str">
        <f t="shared" ca="1" si="23"/>
        <v/>
      </c>
    </row>
    <row r="256" spans="1:14" ht="31.5" x14ac:dyDescent="0.45">
      <c r="A256" s="3">
        <f t="shared" ca="1" si="25"/>
        <v>0</v>
      </c>
      <c r="B256" s="3">
        <f t="shared" ca="1" si="25"/>
        <v>0</v>
      </c>
      <c r="C256" s="5">
        <f t="shared" ca="1" si="25"/>
        <v>0</v>
      </c>
      <c r="D256" s="8">
        <f t="shared" ca="1" si="25"/>
        <v>0</v>
      </c>
      <c r="E256" s="12">
        <f t="shared" ca="1" si="25"/>
        <v>0</v>
      </c>
      <c r="F256" s="18">
        <f t="shared" ca="1" si="25"/>
        <v>0</v>
      </c>
      <c r="G256" s="10">
        <f t="shared" ca="1" si="25"/>
        <v>0</v>
      </c>
      <c r="H256" s="20">
        <f t="shared" ca="1" si="25"/>
        <v>0</v>
      </c>
      <c r="I256" s="22">
        <f t="shared" ca="1" si="25"/>
        <v>0</v>
      </c>
      <c r="J256" s="14">
        <f t="shared" ca="1" si="25"/>
        <v>0</v>
      </c>
      <c r="K256" s="16">
        <f t="shared" ca="1" si="25"/>
        <v>0</v>
      </c>
      <c r="L256" s="27">
        <f t="shared" ca="1" si="25"/>
        <v>0</v>
      </c>
      <c r="M256" s="29">
        <f t="shared" ca="1" si="25"/>
        <v>0</v>
      </c>
      <c r="N256" s="2" t="str">
        <f t="shared" ca="1" si="23"/>
        <v/>
      </c>
    </row>
  </sheetData>
  <conditionalFormatting sqref="A2:E150">
    <cfRule type="expression" dxfId="4" priority="4">
      <formula>$A2=$A3</formula>
    </cfRule>
  </conditionalFormatting>
  <conditionalFormatting sqref="A1">
    <cfRule type="expression" dxfId="3" priority="3">
      <formula>$A1=$A2</formula>
    </cfRule>
  </conditionalFormatting>
  <conditionalFormatting sqref="N1">
    <cfRule type="expression" dxfId="2" priority="2">
      <formula>$A1=$A2</formula>
    </cfRule>
  </conditionalFormatting>
  <conditionalFormatting sqref="N2:N3">
    <cfRule type="expression" dxfId="1" priority="1">
      <formula>$A2=$A3</formula>
    </cfRule>
  </conditionalFormatting>
  <conditionalFormatting sqref="A151:E256">
    <cfRule type="expression" dxfId="0" priority="6">
      <formula>$A151=#REF!</formula>
    </cfRule>
  </conditionalFormatting>
  <dataValidations disablePrompts="1" count="1">
    <dataValidation type="list" allowBlank="1" showInputMessage="1" showErrorMessage="1" sqref="O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69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sqref="A1:A2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NH RC) - AF</cp:lastModifiedBy>
  <cp:lastPrinted>2019-07-31T16:09:53Z</cp:lastPrinted>
  <dcterms:created xsi:type="dcterms:W3CDTF">2019-01-26T14:59:38Z</dcterms:created>
  <dcterms:modified xsi:type="dcterms:W3CDTF">2019-10-04T16:49:13Z</dcterms:modified>
</cp:coreProperties>
</file>