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 activeTab="1"/>
  </bookViews>
  <sheets>
    <sheet name="Requêteur" sheetId="1" r:id="rId1"/>
    <sheet name="Synthèse Proforma" sheetId="2" r:id="rId2"/>
  </sheets>
  <functionGroups builtInGroupCount="18"/>
  <definedNames>
    <definedName name="baseFichierEAN13">Requêteur!$D$2</definedName>
    <definedName name="baseFichierTraite">Requêteur!$B$2</definedName>
    <definedName name="listeFichierPDF">Requêteur!$A:$A</definedName>
    <definedName name="nomFichierBaseCatalogue">'Synthèse Proforma'!$J$6</definedName>
    <definedName name="nomFichierEAN13Valmag">'Synthèse Proforma'!$J$4</definedName>
    <definedName name="nomFichierFiltreCatalogue">'Synthèse Proforma'!$J$8</definedName>
    <definedName name="nomFichierTraite">'Synthèse Proforma'!$J$2</definedName>
    <definedName name="offsetInitialFichierTraite">'Synthèse Proforma'!$K$2</definedName>
    <definedName name="_xlnm.Print_Area" localSheetId="1">'Synthèse Proforma'!$A:$H</definedName>
    <definedName name="zoneFichierBaseCatalogue">'Synthèse Proforma'!$L$6</definedName>
    <definedName name="zoneFichierEAN13Valmag">'Synthèse Proforma'!$L$4</definedName>
    <definedName name="zoneFichierFiltreCatalogue">'Synthèse Proforma'!$L$8</definedName>
    <definedName name="zoneFichierTraite">'Synthèse Proforma'!$L$2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2" l="1"/>
  <c r="J15" i="2" s="1"/>
  <c r="J17" i="2" s="1"/>
  <c r="J11" i="2"/>
  <c r="J19" i="2" l="1"/>
  <c r="L2" i="2"/>
  <c r="J8" i="2"/>
  <c r="L8" i="2" s="1"/>
  <c r="M13" i="2"/>
  <c r="D13" i="2"/>
  <c r="N13" i="2"/>
  <c r="O13" i="2"/>
  <c r="L17" i="2"/>
  <c r="A18" i="2"/>
  <c r="F17" i="2"/>
  <c r="F15" i="2"/>
  <c r="A13" i="2"/>
  <c r="C15" i="2"/>
  <c r="D15" i="2"/>
  <c r="N17" i="2"/>
  <c r="B17" i="2"/>
  <c r="L15" i="2"/>
  <c r="B13" i="2"/>
  <c r="M15" i="2"/>
  <c r="N15" i="2"/>
  <c r="B15" i="2"/>
  <c r="C13" i="2"/>
  <c r="H13" i="2"/>
  <c r="E15" i="2"/>
  <c r="A14" i="2"/>
  <c r="E17" i="2"/>
  <c r="D17" i="2"/>
  <c r="M17" i="2"/>
  <c r="E13" i="2"/>
  <c r="A16" i="2"/>
  <c r="L13" i="2"/>
  <c r="F13" i="2"/>
  <c r="A17" i="2"/>
  <c r="C17" i="2"/>
  <c r="A15" i="2"/>
  <c r="F11" i="2"/>
  <c r="B11" i="2"/>
  <c r="A12" i="2"/>
  <c r="L11" i="2"/>
  <c r="A11" i="2"/>
  <c r="E11" i="2"/>
  <c r="D11" i="2"/>
  <c r="N11" i="2"/>
  <c r="C11" i="2"/>
  <c r="S11" i="2"/>
  <c r="M11" i="2"/>
  <c r="Q11" i="2"/>
  <c r="G13" i="2" l="1"/>
  <c r="G15" i="2"/>
  <c r="G17" i="2"/>
  <c r="J21" i="2"/>
  <c r="G11" i="2"/>
  <c r="L6" i="2"/>
  <c r="L4" i="2"/>
  <c r="O15" i="2"/>
  <c r="Q17" i="2"/>
  <c r="N19" i="2"/>
  <c r="F19" i="2"/>
  <c r="A19" i="2"/>
  <c r="S15" i="2"/>
  <c r="H17" i="2"/>
  <c r="H15" i="2"/>
  <c r="L19" i="2"/>
  <c r="Q15" i="2"/>
  <c r="Q13" i="2"/>
  <c r="O17" i="2"/>
  <c r="D14" i="2"/>
  <c r="M19" i="2"/>
  <c r="B19" i="2"/>
  <c r="D19" i="2"/>
  <c r="S13" i="2"/>
  <c r="C14" i="2"/>
  <c r="A20" i="2"/>
  <c r="C19" i="2"/>
  <c r="S17" i="2"/>
  <c r="E19" i="2"/>
  <c r="R11" i="2"/>
  <c r="H12" i="2"/>
  <c r="O11" i="2"/>
  <c r="E12" i="2"/>
  <c r="H11" i="2"/>
  <c r="C6" i="2"/>
  <c r="C1" i="2"/>
  <c r="C2" i="2"/>
  <c r="E7" i="1"/>
  <c r="B7" i="1"/>
  <c r="A1" i="2"/>
  <c r="A2" i="2"/>
  <c r="C7" i="1"/>
  <c r="P7" i="1"/>
  <c r="A4" i="2"/>
  <c r="C3" i="2"/>
  <c r="A3" i="2"/>
  <c r="A6" i="2"/>
  <c r="M7" i="1"/>
  <c r="C4" i="2"/>
  <c r="A7" i="1"/>
  <c r="L7" i="1"/>
  <c r="N7" i="1"/>
  <c r="E8" i="1"/>
  <c r="P8" i="1"/>
  <c r="B8" i="1"/>
  <c r="A8" i="1"/>
  <c r="P9" i="1"/>
  <c r="M8" i="1"/>
  <c r="N8" i="1"/>
  <c r="L8" i="1"/>
  <c r="L9" i="1"/>
  <c r="N9" i="1"/>
  <c r="P10" i="1"/>
  <c r="P11" i="1"/>
  <c r="P12" i="1"/>
  <c r="L10" i="1"/>
  <c r="M9" i="1"/>
  <c r="N12" i="1"/>
  <c r="M12" i="1"/>
  <c r="M10" i="1"/>
  <c r="N10" i="1"/>
  <c r="L11" i="1"/>
  <c r="N11" i="1"/>
  <c r="M11" i="1"/>
  <c r="L12" i="1"/>
  <c r="P13" i="1"/>
  <c r="N13" i="1"/>
  <c r="L13" i="1"/>
  <c r="P14" i="1"/>
  <c r="M13" i="1"/>
  <c r="J7" i="1" s="1"/>
  <c r="N14" i="1"/>
  <c r="P15" i="1"/>
  <c r="L32" i="1"/>
  <c r="L26" i="1"/>
  <c r="N31" i="1"/>
  <c r="P19" i="1"/>
  <c r="M36" i="1"/>
  <c r="L20" i="1"/>
  <c r="M21" i="1"/>
  <c r="M14" i="1"/>
  <c r="P32" i="1"/>
  <c r="M28" i="1"/>
  <c r="L24" i="1"/>
  <c r="L14" i="1"/>
  <c r="L29" i="1"/>
  <c r="N37" i="1"/>
  <c r="L34" i="1"/>
  <c r="L25" i="1"/>
  <c r="L19" i="1"/>
  <c r="L16" i="1"/>
  <c r="N19" i="1"/>
  <c r="L23" i="1"/>
  <c r="L27" i="1"/>
  <c r="N34" i="1"/>
  <c r="M30" i="1"/>
  <c r="P30" i="1"/>
  <c r="N29" i="1"/>
  <c r="L37" i="1"/>
  <c r="L17" i="1"/>
  <c r="P35" i="1"/>
  <c r="N36" i="1"/>
  <c r="L28" i="1"/>
  <c r="N16" i="1"/>
  <c r="P24" i="1"/>
  <c r="M31" i="1"/>
  <c r="P17" i="1"/>
  <c r="N15" i="1"/>
  <c r="M23" i="1"/>
  <c r="M27" i="1"/>
  <c r="N23" i="1"/>
  <c r="P39" i="1"/>
  <c r="L36" i="1"/>
  <c r="M16" i="1"/>
  <c r="P23" i="1"/>
  <c r="P36" i="1"/>
  <c r="L39" i="1"/>
  <c r="N28" i="1"/>
  <c r="L22" i="1"/>
  <c r="L18" i="1"/>
  <c r="L33" i="1"/>
  <c r="M37" i="1"/>
  <c r="P34" i="1"/>
  <c r="L38" i="1"/>
  <c r="N30" i="1"/>
  <c r="P29" i="1"/>
  <c r="N24" i="1"/>
  <c r="N20" i="1"/>
  <c r="P18" i="1"/>
  <c r="M24" i="1"/>
  <c r="M20" i="1"/>
  <c r="M18" i="1"/>
  <c r="P27" i="1"/>
  <c r="L31" i="1"/>
  <c r="M15" i="1"/>
  <c r="M22" i="1"/>
  <c r="N21" i="1"/>
  <c r="P21" i="1"/>
  <c r="M19" i="1"/>
  <c r="N22" i="1"/>
  <c r="M29" i="1"/>
  <c r="M39" i="1"/>
  <c r="N18" i="1"/>
  <c r="M26" i="1"/>
  <c r="P28" i="1"/>
  <c r="N26" i="1"/>
  <c r="N38" i="1"/>
  <c r="L30" i="1"/>
  <c r="N33" i="1"/>
  <c r="P16" i="1"/>
  <c r="M32" i="1"/>
  <c r="M35" i="1"/>
  <c r="N35" i="1"/>
  <c r="N27" i="1"/>
  <c r="P37" i="1"/>
  <c r="P31" i="1"/>
  <c r="N25" i="1"/>
  <c r="N32" i="1"/>
  <c r="M17" i="1"/>
  <c r="P25" i="1"/>
  <c r="N39" i="1"/>
  <c r="L35" i="1"/>
  <c r="P22" i="1"/>
  <c r="M34" i="1"/>
  <c r="L15" i="1"/>
  <c r="P26" i="1"/>
  <c r="M25" i="1"/>
  <c r="P20" i="1"/>
  <c r="N17" i="1"/>
  <c r="M33" i="1"/>
  <c r="P38" i="1"/>
  <c r="M38" i="1"/>
  <c r="P33" i="1"/>
  <c r="L21" i="1"/>
  <c r="G19" i="2" l="1"/>
  <c r="J23" i="2"/>
  <c r="G7" i="1"/>
  <c r="H7" i="1"/>
  <c r="H18" i="2"/>
  <c r="Q19" i="2"/>
  <c r="R13" i="2"/>
  <c r="C16" i="2"/>
  <c r="C21" i="2"/>
  <c r="B21" i="2"/>
  <c r="H14" i="2"/>
  <c r="D18" i="2"/>
  <c r="H16" i="2"/>
  <c r="E21" i="2"/>
  <c r="L21" i="2"/>
  <c r="E14" i="2"/>
  <c r="C18" i="2"/>
  <c r="E16" i="2"/>
  <c r="A21" i="2"/>
  <c r="F21" i="2"/>
  <c r="E18" i="2"/>
  <c r="S19" i="2"/>
  <c r="R15" i="2"/>
  <c r="H19" i="2"/>
  <c r="D16" i="2"/>
  <c r="N21" i="2"/>
  <c r="A22" i="2"/>
  <c r="O19" i="2"/>
  <c r="D21" i="2"/>
  <c r="R17" i="2"/>
  <c r="M21" i="2"/>
  <c r="P11" i="2"/>
  <c r="D12" i="2"/>
  <c r="C12" i="2"/>
  <c r="C8" i="1"/>
  <c r="E9" i="1"/>
  <c r="J8" i="1"/>
  <c r="B9" i="1"/>
  <c r="A9" i="1"/>
  <c r="J9" i="1"/>
  <c r="J10" i="1"/>
  <c r="J11" i="1"/>
  <c r="J12" i="1"/>
  <c r="J13" i="1"/>
  <c r="J15" i="1"/>
  <c r="J19" i="1"/>
  <c r="J18" i="1"/>
  <c r="J17" i="1"/>
  <c r="J16" i="1"/>
  <c r="J14" i="1"/>
  <c r="G21" i="2" l="1"/>
  <c r="J25" i="2"/>
  <c r="G18" i="1"/>
  <c r="G19" i="1"/>
  <c r="H12" i="1"/>
  <c r="H11" i="1"/>
  <c r="G15" i="1"/>
  <c r="H9" i="1"/>
  <c r="H18" i="1"/>
  <c r="H19" i="1"/>
  <c r="H16" i="1"/>
  <c r="G9" i="1"/>
  <c r="G12" i="1"/>
  <c r="H10" i="1"/>
  <c r="H15" i="1"/>
  <c r="H8" i="1"/>
  <c r="G14" i="1"/>
  <c r="H17" i="1"/>
  <c r="H14" i="1"/>
  <c r="H13" i="1"/>
  <c r="G8" i="1"/>
  <c r="G10" i="1"/>
  <c r="G11" i="1"/>
  <c r="G13" i="1"/>
  <c r="G16" i="1"/>
  <c r="G17" i="1"/>
  <c r="P17" i="2"/>
  <c r="H21" i="2"/>
  <c r="R19" i="2"/>
  <c r="B23" i="2"/>
  <c r="N23" i="2"/>
  <c r="C20" i="2"/>
  <c r="P15" i="2"/>
  <c r="S21" i="2"/>
  <c r="A24" i="2"/>
  <c r="E23" i="2"/>
  <c r="D23" i="2"/>
  <c r="F23" i="2"/>
  <c r="M23" i="2"/>
  <c r="D20" i="2"/>
  <c r="H20" i="2"/>
  <c r="Q21" i="2"/>
  <c r="L23" i="2"/>
  <c r="A23" i="2"/>
  <c r="C23" i="2"/>
  <c r="O21" i="2"/>
  <c r="E20" i="2"/>
  <c r="P13" i="2"/>
  <c r="B12" i="2"/>
  <c r="C9" i="1"/>
  <c r="E10" i="1"/>
  <c r="C10" i="1"/>
  <c r="B10" i="1"/>
  <c r="A10" i="1"/>
  <c r="E11" i="1"/>
  <c r="B18" i="1"/>
  <c r="C14" i="1"/>
  <c r="C13" i="1"/>
  <c r="B13" i="1"/>
  <c r="B19" i="1"/>
  <c r="A12" i="1"/>
  <c r="A11" i="1"/>
  <c r="C12" i="1"/>
  <c r="C19" i="1"/>
  <c r="C18" i="1"/>
  <c r="A16" i="1"/>
  <c r="B12" i="1"/>
  <c r="A15" i="1"/>
  <c r="B11" i="1"/>
  <c r="B14" i="1"/>
  <c r="C17" i="1"/>
  <c r="B16" i="1"/>
  <c r="C11" i="1"/>
  <c r="A17" i="1"/>
  <c r="B17" i="1"/>
  <c r="A18" i="1"/>
  <c r="A14" i="1"/>
  <c r="C16" i="1"/>
  <c r="C15" i="1"/>
  <c r="B15" i="1"/>
  <c r="A19" i="1"/>
  <c r="A13" i="1"/>
  <c r="E19" i="1"/>
  <c r="E13" i="1"/>
  <c r="E15" i="1"/>
  <c r="E17" i="1"/>
  <c r="E16" i="1"/>
  <c r="E18" i="1"/>
  <c r="E14" i="1"/>
  <c r="E12" i="1"/>
  <c r="G23" i="2" l="1"/>
  <c r="J27" i="2"/>
  <c r="B14" i="2"/>
  <c r="O23" i="2"/>
  <c r="P19" i="2"/>
  <c r="A26" i="2"/>
  <c r="E25" i="2"/>
  <c r="D25" i="2"/>
  <c r="C22" i="2"/>
  <c r="E22" i="2"/>
  <c r="S23" i="2"/>
  <c r="B16" i="2"/>
  <c r="C25" i="2"/>
  <c r="B25" i="2"/>
  <c r="N25" i="2"/>
  <c r="D22" i="2"/>
  <c r="H22" i="2"/>
  <c r="H23" i="2"/>
  <c r="B18" i="2"/>
  <c r="L25" i="2"/>
  <c r="A25" i="2"/>
  <c r="M25" i="2"/>
  <c r="F25" i="2"/>
  <c r="R21" i="2"/>
  <c r="Q23" i="2"/>
  <c r="G25" i="2" l="1"/>
  <c r="J29" i="2"/>
  <c r="R23" i="2"/>
  <c r="O25" i="2"/>
  <c r="E24" i="2"/>
  <c r="C24" i="2"/>
  <c r="M27" i="2"/>
  <c r="F27" i="2"/>
  <c r="P21" i="2"/>
  <c r="H25" i="2"/>
  <c r="H24" i="2"/>
  <c r="C27" i="2"/>
  <c r="B27" i="2"/>
  <c r="Q25" i="2"/>
  <c r="B20" i="2"/>
  <c r="N27" i="2"/>
  <c r="A28" i="2"/>
  <c r="E27" i="2"/>
  <c r="S25" i="2"/>
  <c r="D24" i="2"/>
  <c r="D27" i="2"/>
  <c r="L27" i="2"/>
  <c r="A27" i="2"/>
  <c r="G27" i="2" l="1"/>
  <c r="J31" i="2"/>
  <c r="H26" i="2"/>
  <c r="R25" i="2"/>
  <c r="C26" i="2"/>
  <c r="C29" i="2"/>
  <c r="L29" i="2"/>
  <c r="A30" i="2"/>
  <c r="S27" i="2"/>
  <c r="E26" i="2"/>
  <c r="Q27" i="2"/>
  <c r="P23" i="2"/>
  <c r="N29" i="2"/>
  <c r="H27" i="2"/>
  <c r="E29" i="2"/>
  <c r="D29" i="2"/>
  <c r="B29" i="2"/>
  <c r="O27" i="2"/>
  <c r="B22" i="2"/>
  <c r="D26" i="2"/>
  <c r="A29" i="2"/>
  <c r="M29" i="2"/>
  <c r="F29" i="2"/>
  <c r="G29" i="2" l="1"/>
  <c r="J33" i="2"/>
  <c r="S29" i="2"/>
  <c r="B24" i="2"/>
  <c r="E28" i="2"/>
  <c r="F31" i="2"/>
  <c r="C31" i="2"/>
  <c r="P25" i="2"/>
  <c r="N31" i="2"/>
  <c r="C28" i="2"/>
  <c r="Q29" i="2"/>
  <c r="R27" i="2"/>
  <c r="B31" i="2"/>
  <c r="O29" i="2"/>
  <c r="A32" i="2"/>
  <c r="E31" i="2"/>
  <c r="D31" i="2"/>
  <c r="D28" i="2"/>
  <c r="H29" i="2"/>
  <c r="M31" i="2"/>
  <c r="H28" i="2"/>
  <c r="L31" i="2"/>
  <c r="A31" i="2"/>
  <c r="G31" i="2" l="1"/>
  <c r="J35" i="2"/>
  <c r="Q31" i="2"/>
  <c r="H31" i="2"/>
  <c r="H30" i="2"/>
  <c r="A34" i="2"/>
  <c r="E33" i="2"/>
  <c r="N33" i="2"/>
  <c r="D30" i="2"/>
  <c r="P27" i="2"/>
  <c r="B26" i="2"/>
  <c r="E30" i="2"/>
  <c r="L33" i="2"/>
  <c r="A33" i="2"/>
  <c r="C30" i="2"/>
  <c r="R29" i="2"/>
  <c r="M33" i="2"/>
  <c r="F33" i="2"/>
  <c r="D33" i="2"/>
  <c r="S31" i="2"/>
  <c r="O31" i="2"/>
  <c r="C33" i="2"/>
  <c r="B33" i="2"/>
  <c r="G33" i="2" l="1"/>
  <c r="J37" i="2"/>
  <c r="Q33" i="2"/>
  <c r="E32" i="2"/>
  <c r="P29" i="2"/>
  <c r="H33" i="2"/>
  <c r="D35" i="2"/>
  <c r="L35" i="2"/>
  <c r="E35" i="2"/>
  <c r="R31" i="2"/>
  <c r="M35" i="2"/>
  <c r="F35" i="2"/>
  <c r="O33" i="2"/>
  <c r="N35" i="2"/>
  <c r="A36" i="2"/>
  <c r="A35" i="2"/>
  <c r="S33" i="2"/>
  <c r="H32" i="2"/>
  <c r="D32" i="2"/>
  <c r="B28" i="2"/>
  <c r="C35" i="2"/>
  <c r="B35" i="2"/>
  <c r="C32" i="2"/>
  <c r="G35" i="2" l="1"/>
  <c r="J39" i="2"/>
  <c r="Q35" i="2"/>
  <c r="H35" i="2"/>
  <c r="R33" i="2"/>
  <c r="F37" i="2"/>
  <c r="S35" i="2"/>
  <c r="O35" i="2"/>
  <c r="P31" i="2"/>
  <c r="E37" i="2"/>
  <c r="D37" i="2"/>
  <c r="A38" i="2"/>
  <c r="B30" i="2"/>
  <c r="M37" i="2"/>
  <c r="E34" i="2"/>
  <c r="H34" i="2"/>
  <c r="D34" i="2"/>
  <c r="A37" i="2"/>
  <c r="B37" i="2"/>
  <c r="C34" i="2"/>
  <c r="C37" i="2"/>
  <c r="L37" i="2"/>
  <c r="N37" i="2"/>
  <c r="G37" i="2" l="1"/>
  <c r="J41" i="2"/>
  <c r="O37" i="2"/>
  <c r="B32" i="2"/>
  <c r="E36" i="2"/>
  <c r="B39" i="2"/>
  <c r="D39" i="2"/>
  <c r="E39" i="2"/>
  <c r="L39" i="2"/>
  <c r="Q37" i="2"/>
  <c r="H37" i="2"/>
  <c r="C36" i="2"/>
  <c r="A40" i="2"/>
  <c r="M39" i="2"/>
  <c r="A39" i="2"/>
  <c r="H36" i="2"/>
  <c r="R35" i="2"/>
  <c r="N39" i="2"/>
  <c r="S37" i="2"/>
  <c r="D36" i="2"/>
  <c r="P33" i="2"/>
  <c r="C39" i="2"/>
  <c r="F39" i="2"/>
  <c r="G39" i="2" l="1"/>
  <c r="J43" i="2"/>
  <c r="O39" i="2"/>
  <c r="S39" i="2"/>
  <c r="A42" i="2"/>
  <c r="A41" i="2"/>
  <c r="C41" i="2"/>
  <c r="B34" i="2"/>
  <c r="H39" i="2"/>
  <c r="Q39" i="2"/>
  <c r="N41" i="2"/>
  <c r="F41" i="2"/>
  <c r="L41" i="2"/>
  <c r="R37" i="2"/>
  <c r="H38" i="2"/>
  <c r="P35" i="2"/>
  <c r="D38" i="2"/>
  <c r="M41" i="2"/>
  <c r="B41" i="2"/>
  <c r="D41" i="2"/>
  <c r="E38" i="2"/>
  <c r="C38" i="2"/>
  <c r="E41" i="2"/>
  <c r="G41" i="2" l="1"/>
  <c r="J45" i="2"/>
  <c r="S41" i="2"/>
  <c r="E40" i="2"/>
  <c r="A44" i="2"/>
  <c r="E43" i="2"/>
  <c r="D43" i="2"/>
  <c r="O41" i="2"/>
  <c r="L43" i="2"/>
  <c r="M43" i="2"/>
  <c r="B36" i="2"/>
  <c r="D40" i="2"/>
  <c r="F43" i="2"/>
  <c r="C43" i="2"/>
  <c r="P37" i="2"/>
  <c r="B43" i="2"/>
  <c r="Q41" i="2"/>
  <c r="H40" i="2"/>
  <c r="A43" i="2"/>
  <c r="H41" i="2"/>
  <c r="R39" i="2"/>
  <c r="C40" i="2"/>
  <c r="N43" i="2"/>
  <c r="G43" i="2" l="1"/>
  <c r="J47" i="2"/>
  <c r="O43" i="2"/>
  <c r="S43" i="2"/>
  <c r="D42" i="2"/>
  <c r="M45" i="2"/>
  <c r="F45" i="2"/>
  <c r="D45" i="2"/>
  <c r="Q43" i="2"/>
  <c r="C42" i="2"/>
  <c r="C45" i="2"/>
  <c r="B45" i="2"/>
  <c r="P39" i="2"/>
  <c r="B38" i="2"/>
  <c r="A46" i="2"/>
  <c r="E45" i="2"/>
  <c r="N45" i="2"/>
  <c r="R41" i="2"/>
  <c r="H43" i="2"/>
  <c r="H42" i="2"/>
  <c r="E42" i="2"/>
  <c r="L45" i="2"/>
  <c r="A45" i="2"/>
  <c r="G45" i="2" l="1"/>
  <c r="J49" i="2"/>
  <c r="P41" i="2"/>
  <c r="Q45" i="2"/>
  <c r="E44" i="2"/>
  <c r="C47" i="2"/>
  <c r="B47" i="2"/>
  <c r="N47" i="2"/>
  <c r="A48" i="2"/>
  <c r="H45" i="2"/>
  <c r="E47" i="2"/>
  <c r="C44" i="2"/>
  <c r="M47" i="2"/>
  <c r="F47" i="2"/>
  <c r="O45" i="2"/>
  <c r="S45" i="2"/>
  <c r="H44" i="2"/>
  <c r="A47" i="2"/>
  <c r="R43" i="2"/>
  <c r="D44" i="2"/>
  <c r="D47" i="2"/>
  <c r="L47" i="2"/>
  <c r="B40" i="2"/>
  <c r="G47" i="2" l="1"/>
  <c r="J51" i="2"/>
  <c r="P43" i="2"/>
  <c r="C46" i="2"/>
  <c r="Q47" i="2"/>
  <c r="E49" i="2"/>
  <c r="D49" i="2"/>
  <c r="F49" i="2"/>
  <c r="E46" i="2"/>
  <c r="R45" i="2"/>
  <c r="C49" i="2"/>
  <c r="B49" i="2"/>
  <c r="D46" i="2"/>
  <c r="B42" i="2"/>
  <c r="N49" i="2"/>
  <c r="H46" i="2"/>
  <c r="S47" i="2"/>
  <c r="A49" i="2"/>
  <c r="M49" i="2"/>
  <c r="A50" i="2"/>
  <c r="H47" i="2"/>
  <c r="O47" i="2"/>
  <c r="L49" i="2"/>
  <c r="G49" i="2" l="1"/>
  <c r="J53" i="2"/>
  <c r="C48" i="2"/>
  <c r="O49" i="2"/>
  <c r="P45" i="2"/>
  <c r="A52" i="2"/>
  <c r="E51" i="2"/>
  <c r="D51" i="2"/>
  <c r="R47" i="2"/>
  <c r="F51" i="2"/>
  <c r="M51" i="2"/>
  <c r="E48" i="2"/>
  <c r="B44" i="2"/>
  <c r="B51" i="2"/>
  <c r="N51" i="2"/>
  <c r="D48" i="2"/>
  <c r="H49" i="2"/>
  <c r="L51" i="2"/>
  <c r="A51" i="2"/>
  <c r="C51" i="2"/>
  <c r="H48" i="2"/>
  <c r="S49" i="2"/>
  <c r="Q49" i="2"/>
  <c r="G51" i="2" l="1"/>
  <c r="J55" i="2"/>
  <c r="R49" i="2"/>
  <c r="H51" i="2"/>
  <c r="P47" i="2"/>
  <c r="M53" i="2"/>
  <c r="F53" i="2"/>
  <c r="N53" i="2"/>
  <c r="A54" i="2"/>
  <c r="E53" i="2"/>
  <c r="O51" i="2"/>
  <c r="C50" i="2"/>
  <c r="A53" i="2"/>
  <c r="H50" i="2"/>
  <c r="S51" i="2"/>
  <c r="B46" i="2"/>
  <c r="C53" i="2"/>
  <c r="B53" i="2"/>
  <c r="D53" i="2"/>
  <c r="D50" i="2"/>
  <c r="L53" i="2"/>
  <c r="E50" i="2"/>
  <c r="Q51" i="2"/>
  <c r="G53" i="2" l="1"/>
  <c r="J57" i="2"/>
  <c r="R51" i="2"/>
  <c r="H52" i="2"/>
  <c r="H53" i="2"/>
  <c r="C55" i="2"/>
  <c r="B55" i="2"/>
  <c r="N55" i="2"/>
  <c r="E55" i="2"/>
  <c r="P49" i="2"/>
  <c r="Q53" i="2"/>
  <c r="D52" i="2"/>
  <c r="A56" i="2"/>
  <c r="F55" i="2"/>
  <c r="S53" i="2"/>
  <c r="C52" i="2"/>
  <c r="B48" i="2"/>
  <c r="D55" i="2"/>
  <c r="L55" i="2"/>
  <c r="A55" i="2"/>
  <c r="E52" i="2"/>
  <c r="O53" i="2"/>
  <c r="M55" i="2"/>
  <c r="G55" i="2" l="1"/>
  <c r="J59" i="2"/>
  <c r="D54" i="2"/>
  <c r="O55" i="2"/>
  <c r="E57" i="2"/>
  <c r="D57" i="2"/>
  <c r="F57" i="2"/>
  <c r="S55" i="2"/>
  <c r="B57" i="2"/>
  <c r="P51" i="2"/>
  <c r="L57" i="2"/>
  <c r="C54" i="2"/>
  <c r="R53" i="2"/>
  <c r="Q55" i="2"/>
  <c r="A57" i="2"/>
  <c r="M57" i="2"/>
  <c r="A58" i="2"/>
  <c r="B50" i="2"/>
  <c r="C57" i="2"/>
  <c r="H55" i="2"/>
  <c r="H54" i="2"/>
  <c r="E54" i="2"/>
  <c r="N57" i="2"/>
  <c r="G57" i="2" l="1"/>
  <c r="J61" i="2"/>
  <c r="O57" i="2"/>
  <c r="B52" i="2"/>
  <c r="E56" i="2"/>
  <c r="A60" i="2"/>
  <c r="E59" i="2"/>
  <c r="D59" i="2"/>
  <c r="S57" i="2"/>
  <c r="C59" i="2"/>
  <c r="R55" i="2"/>
  <c r="C56" i="2"/>
  <c r="F59" i="2"/>
  <c r="M59" i="2"/>
  <c r="P53" i="2"/>
  <c r="D56" i="2"/>
  <c r="B59" i="2"/>
  <c r="H57" i="2"/>
  <c r="L59" i="2"/>
  <c r="A59" i="2"/>
  <c r="Q57" i="2"/>
  <c r="H56" i="2"/>
  <c r="N59" i="2"/>
  <c r="G59" i="2" l="1"/>
  <c r="J63" i="2"/>
  <c r="O59" i="2"/>
  <c r="Q59" i="2"/>
  <c r="H58" i="2"/>
  <c r="M61" i="2"/>
  <c r="F61" i="2"/>
  <c r="N61" i="2"/>
  <c r="E61" i="2"/>
  <c r="P55" i="2"/>
  <c r="A61" i="2"/>
  <c r="H59" i="2"/>
  <c r="B54" i="2"/>
  <c r="E58" i="2"/>
  <c r="C61" i="2"/>
  <c r="B61" i="2"/>
  <c r="A62" i="2"/>
  <c r="S59" i="2"/>
  <c r="R57" i="2"/>
  <c r="D58" i="2"/>
  <c r="D61" i="2"/>
  <c r="C58" i="2"/>
  <c r="L61" i="2"/>
  <c r="G61" i="2" l="1"/>
  <c r="J65" i="2"/>
  <c r="P57" i="2"/>
  <c r="S61" i="2"/>
  <c r="C63" i="2"/>
  <c r="B63" i="2"/>
  <c r="C60" i="2"/>
  <c r="M63" i="2"/>
  <c r="F63" i="2"/>
  <c r="E60" i="2"/>
  <c r="B56" i="2"/>
  <c r="R59" i="2"/>
  <c r="N63" i="2"/>
  <c r="A64" i="2"/>
  <c r="E63" i="2"/>
  <c r="L63" i="2"/>
  <c r="A63" i="2"/>
  <c r="H61" i="2"/>
  <c r="H60" i="2"/>
  <c r="O61" i="2"/>
  <c r="D60" i="2"/>
  <c r="D63" i="2"/>
  <c r="Q61" i="2"/>
  <c r="G63" i="2" l="1"/>
  <c r="J67" i="2"/>
  <c r="J69" i="2" s="1"/>
  <c r="C69" i="2"/>
  <c r="A70" i="2"/>
  <c r="L69" i="2"/>
  <c r="F69" i="2"/>
  <c r="B69" i="2"/>
  <c r="E69" i="2"/>
  <c r="A69" i="2"/>
  <c r="N69" i="2"/>
  <c r="M69" i="2"/>
  <c r="D69" i="2"/>
  <c r="R61" i="2"/>
  <c r="O63" i="2"/>
  <c r="S63" i="2"/>
  <c r="E65" i="2"/>
  <c r="D65" i="2"/>
  <c r="B65" i="2"/>
  <c r="B58" i="2"/>
  <c r="N65" i="2"/>
  <c r="A66" i="2"/>
  <c r="D62" i="2"/>
  <c r="P59" i="2"/>
  <c r="H62" i="2"/>
  <c r="A65" i="2"/>
  <c r="M65" i="2"/>
  <c r="L65" i="2"/>
  <c r="E62" i="2"/>
  <c r="C65" i="2"/>
  <c r="F65" i="2"/>
  <c r="Q63" i="2"/>
  <c r="C62" i="2"/>
  <c r="H63" i="2"/>
  <c r="S69" i="2"/>
  <c r="Q69" i="2"/>
  <c r="R69" i="2" s="1"/>
  <c r="P69" i="2" s="1"/>
  <c r="B70" i="2" s="1"/>
  <c r="H69" i="2"/>
  <c r="O69" i="2"/>
  <c r="E70" i="2"/>
  <c r="H70" i="2"/>
  <c r="C70" i="2"/>
  <c r="D70" i="2"/>
  <c r="G69" i="2" l="1"/>
  <c r="J71" i="2"/>
  <c r="G65" i="2"/>
  <c r="A72" i="2"/>
  <c r="N71" i="2"/>
  <c r="L71" i="2"/>
  <c r="A71" i="2"/>
  <c r="C71" i="2"/>
  <c r="E71" i="2"/>
  <c r="D71" i="2"/>
  <c r="B71" i="2"/>
  <c r="F71" i="2"/>
  <c r="M71" i="2"/>
  <c r="R63" i="2"/>
  <c r="H65" i="2"/>
  <c r="E64" i="2"/>
  <c r="A68" i="2"/>
  <c r="E67" i="2"/>
  <c r="D67" i="2"/>
  <c r="C64" i="2"/>
  <c r="A67" i="2"/>
  <c r="B60" i="2"/>
  <c r="D64" i="2"/>
  <c r="F67" i="2"/>
  <c r="O65" i="2"/>
  <c r="B67" i="2"/>
  <c r="S65" i="2"/>
  <c r="L67" i="2"/>
  <c r="M67" i="2"/>
  <c r="Q65" i="2"/>
  <c r="C67" i="2"/>
  <c r="H64" i="2"/>
  <c r="P61" i="2"/>
  <c r="N67" i="2"/>
  <c r="O71" i="2"/>
  <c r="H71" i="2"/>
  <c r="Q71" i="2"/>
  <c r="R71" i="2" s="1"/>
  <c r="P71" i="2" s="1"/>
  <c r="B72" i="2" s="1"/>
  <c r="S71" i="2"/>
  <c r="C72" i="2"/>
  <c r="D72" i="2"/>
  <c r="H72" i="2"/>
  <c r="E72" i="2"/>
  <c r="G71" i="2" l="1"/>
  <c r="J73" i="2"/>
  <c r="G67" i="2"/>
  <c r="B73" i="2"/>
  <c r="N73" i="2"/>
  <c r="F73" i="2"/>
  <c r="C73" i="2"/>
  <c r="A74" i="2"/>
  <c r="M73" i="2"/>
  <c r="A73" i="2"/>
  <c r="L73" i="2"/>
  <c r="D73" i="2"/>
  <c r="E73" i="2"/>
  <c r="O67" i="2"/>
  <c r="H66" i="2"/>
  <c r="D66" i="2"/>
  <c r="R65" i="2"/>
  <c r="Q67" i="2"/>
  <c r="H67" i="2"/>
  <c r="E66" i="2"/>
  <c r="C66" i="2"/>
  <c r="P63" i="2"/>
  <c r="B62" i="2"/>
  <c r="S67" i="2"/>
  <c r="Q73" i="2"/>
  <c r="R73" i="2" s="1"/>
  <c r="P73" i="2" s="1"/>
  <c r="B74" i="2" s="1"/>
  <c r="S73" i="2"/>
  <c r="H73" i="2"/>
  <c r="O73" i="2"/>
  <c r="H74" i="2"/>
  <c r="E74" i="2"/>
  <c r="C74" i="2"/>
  <c r="D74" i="2"/>
  <c r="G73" i="2" l="1"/>
  <c r="J75" i="2"/>
  <c r="F75" i="2"/>
  <c r="C75" i="2"/>
  <c r="L75" i="2"/>
  <c r="D75" i="2"/>
  <c r="E75" i="2"/>
  <c r="A76" i="2"/>
  <c r="M75" i="2"/>
  <c r="A75" i="2"/>
  <c r="N75" i="2"/>
  <c r="B75" i="2"/>
  <c r="E68" i="2"/>
  <c r="P65" i="2"/>
  <c r="C68" i="2"/>
  <c r="D68" i="2"/>
  <c r="H68" i="2"/>
  <c r="B64" i="2"/>
  <c r="R67" i="2"/>
  <c r="B66" i="2"/>
  <c r="P67" i="2"/>
  <c r="H75" i="2"/>
  <c r="O75" i="2"/>
  <c r="S75" i="2"/>
  <c r="Q75" i="2"/>
  <c r="R75" i="2" s="1"/>
  <c r="P75" i="2" s="1"/>
  <c r="B76" i="2" s="1"/>
  <c r="D76" i="2"/>
  <c r="C76" i="2"/>
  <c r="E76" i="2"/>
  <c r="H76" i="2"/>
  <c r="G75" i="2" l="1"/>
  <c r="J77" i="2"/>
  <c r="L77" i="2"/>
  <c r="N77" i="2"/>
  <c r="E77" i="2"/>
  <c r="A78" i="2"/>
  <c r="A77" i="2"/>
  <c r="D77" i="2"/>
  <c r="B77" i="2"/>
  <c r="C77" i="2"/>
  <c r="F77" i="2"/>
  <c r="M77" i="2"/>
  <c r="B68" i="2"/>
  <c r="H77" i="2"/>
  <c r="O77" i="2"/>
  <c r="S77" i="2"/>
  <c r="Q77" i="2"/>
  <c r="R77" i="2" s="1"/>
  <c r="P77" i="2" s="1"/>
  <c r="B78" i="2" s="1"/>
  <c r="D78" i="2"/>
  <c r="C78" i="2"/>
  <c r="E78" i="2"/>
  <c r="H78" i="2"/>
  <c r="G77" i="2" l="1"/>
  <c r="J79" i="2"/>
  <c r="A79" i="2"/>
  <c r="L79" i="2"/>
  <c r="D79" i="2"/>
  <c r="F79" i="2"/>
  <c r="A80" i="2"/>
  <c r="M79" i="2"/>
  <c r="E79" i="2"/>
  <c r="N79" i="2"/>
  <c r="B79" i="2"/>
  <c r="C79" i="2"/>
  <c r="O79" i="2"/>
  <c r="H79" i="2"/>
  <c r="S79" i="2"/>
  <c r="Q79" i="2"/>
  <c r="R79" i="2" s="1"/>
  <c r="P79" i="2" s="1"/>
  <c r="B80" i="2" s="1"/>
  <c r="D80" i="2"/>
  <c r="C80" i="2"/>
  <c r="E80" i="2"/>
  <c r="H80" i="2"/>
  <c r="G79" i="2" l="1"/>
  <c r="J81" i="2"/>
  <c r="F81" i="2"/>
  <c r="C81" i="2"/>
  <c r="L81" i="2"/>
  <c r="M81" i="2"/>
  <c r="A81" i="2"/>
  <c r="A82" i="2"/>
  <c r="N81" i="2"/>
  <c r="B81" i="2"/>
  <c r="D81" i="2"/>
  <c r="E81" i="2"/>
  <c r="H81" i="2"/>
  <c r="O81" i="2"/>
  <c r="Q81" i="2"/>
  <c r="R81" i="2" s="1"/>
  <c r="P81" i="2" s="1"/>
  <c r="B82" i="2" s="1"/>
  <c r="S81" i="2"/>
  <c r="C82" i="2"/>
  <c r="D82" i="2"/>
  <c r="E82" i="2"/>
  <c r="H82" i="2"/>
  <c r="G81" i="2" l="1"/>
  <c r="J83" i="2"/>
  <c r="N83" i="2"/>
  <c r="B83" i="2"/>
  <c r="C83" i="2"/>
  <c r="F83" i="2"/>
  <c r="M83" i="2"/>
  <c r="A83" i="2"/>
  <c r="L83" i="2"/>
  <c r="D83" i="2"/>
  <c r="E83" i="2"/>
  <c r="A84" i="2"/>
  <c r="H83" i="2"/>
  <c r="O83" i="2"/>
  <c r="S83" i="2"/>
  <c r="Q83" i="2"/>
  <c r="R83" i="2" s="1"/>
  <c r="P83" i="2" s="1"/>
  <c r="B84" i="2" s="1"/>
  <c r="D84" i="2"/>
  <c r="C84" i="2"/>
  <c r="H84" i="2"/>
  <c r="E84" i="2"/>
  <c r="G83" i="2" l="1"/>
  <c r="J85" i="2"/>
  <c r="A85" i="2"/>
  <c r="A86" i="2"/>
  <c r="L85" i="2"/>
  <c r="E85" i="2"/>
  <c r="B85" i="2"/>
  <c r="C85" i="2"/>
  <c r="N85" i="2"/>
  <c r="D85" i="2"/>
  <c r="F85" i="2"/>
  <c r="M85" i="2"/>
  <c r="S85" i="2"/>
  <c r="Q85" i="2"/>
  <c r="R85" i="2" s="1"/>
  <c r="P85" i="2" s="1"/>
  <c r="B86" i="2" s="1"/>
  <c r="O85" i="2"/>
  <c r="H85" i="2"/>
  <c r="E86" i="2"/>
  <c r="H86" i="2"/>
  <c r="D86" i="2"/>
  <c r="C86" i="2"/>
  <c r="G85" i="2" l="1"/>
  <c r="J87" i="2"/>
  <c r="F87" i="2"/>
  <c r="M87" i="2"/>
  <c r="L87" i="2"/>
  <c r="A87" i="2"/>
  <c r="A88" i="2"/>
  <c r="N87" i="2"/>
  <c r="E87" i="2"/>
  <c r="D87" i="2"/>
  <c r="B87" i="2"/>
  <c r="C87" i="2"/>
  <c r="H87" i="2"/>
  <c r="O87" i="2"/>
  <c r="S87" i="2"/>
  <c r="Q87" i="2"/>
  <c r="R87" i="2" s="1"/>
  <c r="P87" i="2" s="1"/>
  <c r="B88" i="2" s="1"/>
  <c r="D88" i="2"/>
  <c r="C88" i="2"/>
  <c r="E88" i="2"/>
  <c r="H88" i="2"/>
  <c r="G87" i="2" l="1"/>
  <c r="J89" i="2"/>
  <c r="N89" i="2"/>
  <c r="C89" i="2"/>
  <c r="M89" i="2"/>
  <c r="F89" i="2"/>
  <c r="L89" i="2"/>
  <c r="B89" i="2"/>
  <c r="A89" i="2"/>
  <c r="A90" i="2"/>
  <c r="D89" i="2"/>
  <c r="E89" i="2"/>
  <c r="H89" i="2"/>
  <c r="O89" i="2"/>
  <c r="Q89" i="2"/>
  <c r="R89" i="2" s="1"/>
  <c r="P89" i="2" s="1"/>
  <c r="B90" i="2" s="1"/>
  <c r="S89" i="2"/>
  <c r="C90" i="2"/>
  <c r="D90" i="2"/>
  <c r="E90" i="2"/>
  <c r="H90" i="2"/>
  <c r="G89" i="2" l="1"/>
  <c r="J91" i="2"/>
  <c r="N91" i="2"/>
  <c r="B91" i="2"/>
  <c r="A91" i="2"/>
  <c r="L91" i="2"/>
  <c r="M91" i="2"/>
  <c r="F91" i="2"/>
  <c r="C91" i="2"/>
  <c r="D91" i="2"/>
  <c r="E91" i="2"/>
  <c r="A92" i="2"/>
  <c r="H91" i="2"/>
  <c r="O91" i="2"/>
  <c r="Q91" i="2"/>
  <c r="R91" i="2" s="1"/>
  <c r="P91" i="2" s="1"/>
  <c r="B92" i="2" s="1"/>
  <c r="S91" i="2"/>
  <c r="C92" i="2"/>
  <c r="D92" i="2"/>
  <c r="E92" i="2"/>
  <c r="H92" i="2"/>
  <c r="G91" i="2" l="1"/>
  <c r="J93" i="2"/>
  <c r="E93" i="2"/>
  <c r="B93" i="2"/>
  <c r="C93" i="2"/>
  <c r="A93" i="2"/>
  <c r="L93" i="2"/>
  <c r="N93" i="2"/>
  <c r="A94" i="2"/>
  <c r="D93" i="2"/>
  <c r="F93" i="2"/>
  <c r="M93" i="2"/>
  <c r="S93" i="2"/>
  <c r="Q93" i="2"/>
  <c r="R93" i="2" s="1"/>
  <c r="P93" i="2" s="1"/>
  <c r="B94" i="2" s="1"/>
  <c r="H93" i="2"/>
  <c r="O93" i="2"/>
  <c r="H94" i="2"/>
  <c r="E94" i="2"/>
  <c r="C94" i="2"/>
  <c r="D94" i="2"/>
  <c r="G93" i="2" l="1"/>
  <c r="J95" i="2"/>
  <c r="A95" i="2"/>
  <c r="A96" i="2"/>
  <c r="N95" i="2"/>
  <c r="B95" i="2"/>
  <c r="C95" i="2"/>
  <c r="F95" i="2"/>
  <c r="M95" i="2"/>
  <c r="E95" i="2"/>
  <c r="L95" i="2"/>
  <c r="D95" i="2"/>
  <c r="O95" i="2"/>
  <c r="H95" i="2"/>
  <c r="S95" i="2"/>
  <c r="Q95" i="2"/>
  <c r="R95" i="2" s="1"/>
  <c r="P95" i="2" s="1"/>
  <c r="B96" i="2" s="1"/>
  <c r="D96" i="2"/>
  <c r="C96" i="2"/>
  <c r="E96" i="2"/>
  <c r="H96" i="2"/>
  <c r="G95" i="2" l="1"/>
  <c r="J97" i="2"/>
  <c r="A98" i="2"/>
  <c r="M97" i="2"/>
  <c r="A97" i="2"/>
  <c r="F97" i="2"/>
  <c r="D97" i="2"/>
  <c r="E97" i="2"/>
  <c r="L97" i="2"/>
  <c r="N97" i="2"/>
  <c r="B97" i="2"/>
  <c r="C97" i="2"/>
  <c r="H97" i="2"/>
  <c r="O97" i="2"/>
  <c r="Q97" i="2"/>
  <c r="R97" i="2" s="1"/>
  <c r="P97" i="2" s="1"/>
  <c r="B98" i="2" s="1"/>
  <c r="S97" i="2"/>
  <c r="C98" i="2"/>
  <c r="D98" i="2"/>
  <c r="E98" i="2"/>
  <c r="H98" i="2"/>
  <c r="G97" i="2" l="1"/>
  <c r="J99" i="2"/>
  <c r="N99" i="2"/>
  <c r="B99" i="2"/>
  <c r="M99" i="2"/>
  <c r="F99" i="2"/>
  <c r="C99" i="2"/>
  <c r="A99" i="2"/>
  <c r="L99" i="2"/>
  <c r="D99" i="2"/>
  <c r="E99" i="2"/>
  <c r="A100" i="2"/>
  <c r="H99" i="2"/>
  <c r="O99" i="2"/>
  <c r="Q99" i="2"/>
  <c r="R99" i="2" s="1"/>
  <c r="P99" i="2" s="1"/>
  <c r="B100" i="2" s="1"/>
  <c r="S99" i="2"/>
  <c r="C100" i="2"/>
  <c r="D100" i="2"/>
  <c r="H100" i="2"/>
  <c r="E100" i="2"/>
  <c r="G99" i="2" l="1"/>
  <c r="J101" i="2"/>
  <c r="A101" i="2"/>
  <c r="L101" i="2"/>
  <c r="D101" i="2"/>
  <c r="E101" i="2"/>
  <c r="A102" i="2"/>
  <c r="B101" i="2"/>
  <c r="C101" i="2"/>
  <c r="N101" i="2"/>
  <c r="F101" i="2"/>
  <c r="M101" i="2"/>
  <c r="S101" i="2"/>
  <c r="Q101" i="2"/>
  <c r="R101" i="2" s="1"/>
  <c r="P101" i="2" s="1"/>
  <c r="B102" i="2" s="1"/>
  <c r="H101" i="2"/>
  <c r="O101" i="2"/>
  <c r="E102" i="2"/>
  <c r="H102" i="2"/>
  <c r="D102" i="2"/>
  <c r="C102" i="2"/>
  <c r="G101" i="2" l="1"/>
  <c r="J103" i="2"/>
  <c r="F103" i="2"/>
  <c r="M103" i="2"/>
  <c r="L103" i="2"/>
  <c r="E103" i="2"/>
  <c r="A104" i="2"/>
  <c r="N103" i="2"/>
  <c r="A103" i="2"/>
  <c r="D103" i="2"/>
  <c r="B103" i="2"/>
  <c r="C103" i="2"/>
  <c r="H103" i="2"/>
  <c r="O103" i="2"/>
  <c r="S103" i="2"/>
  <c r="Q103" i="2"/>
  <c r="R103" i="2" s="1"/>
  <c r="P103" i="2" s="1"/>
  <c r="B104" i="2" s="1"/>
  <c r="D104" i="2"/>
  <c r="C104" i="2"/>
  <c r="E104" i="2"/>
  <c r="H104" i="2"/>
  <c r="G103" i="2" l="1"/>
  <c r="J105" i="2"/>
  <c r="B105" i="2"/>
  <c r="N105" i="2"/>
  <c r="F105" i="2"/>
  <c r="A106" i="2"/>
  <c r="A105" i="2"/>
  <c r="C105" i="2"/>
  <c r="M105" i="2"/>
  <c r="L105" i="2"/>
  <c r="D105" i="2"/>
  <c r="E105" i="2"/>
  <c r="Q105" i="2"/>
  <c r="R105" i="2" s="1"/>
  <c r="P105" i="2" s="1"/>
  <c r="B106" i="2" s="1"/>
  <c r="S105" i="2"/>
  <c r="H105" i="2"/>
  <c r="O105" i="2"/>
  <c r="H106" i="2"/>
  <c r="E106" i="2"/>
  <c r="C106" i="2"/>
  <c r="D106" i="2"/>
  <c r="G105" i="2" l="1"/>
  <c r="J107" i="2"/>
  <c r="N107" i="2"/>
  <c r="B107" i="2"/>
  <c r="M107" i="2"/>
  <c r="F107" i="2"/>
  <c r="C107" i="2"/>
  <c r="A107" i="2"/>
  <c r="L107" i="2"/>
  <c r="D107" i="2"/>
  <c r="E107" i="2"/>
  <c r="A108" i="2"/>
  <c r="H107" i="2"/>
  <c r="O107" i="2"/>
  <c r="Q107" i="2"/>
  <c r="R107" i="2" s="1"/>
  <c r="P107" i="2" s="1"/>
  <c r="B108" i="2" s="1"/>
  <c r="S107" i="2"/>
  <c r="C108" i="2"/>
  <c r="D108" i="2"/>
  <c r="E108" i="2"/>
  <c r="H108" i="2"/>
  <c r="G107" i="2" l="1"/>
  <c r="J109" i="2"/>
  <c r="N109" i="2"/>
  <c r="E109" i="2"/>
  <c r="A110" i="2"/>
  <c r="A109" i="2"/>
  <c r="L109" i="2"/>
  <c r="D109" i="2"/>
  <c r="B109" i="2"/>
  <c r="C109" i="2"/>
  <c r="F109" i="2"/>
  <c r="M109" i="2"/>
  <c r="H109" i="2"/>
  <c r="O109" i="2"/>
  <c r="S109" i="2"/>
  <c r="Q109" i="2"/>
  <c r="R109" i="2" s="1"/>
  <c r="P109" i="2" s="1"/>
  <c r="B110" i="2" s="1"/>
  <c r="D110" i="2"/>
  <c r="C110" i="2"/>
  <c r="E110" i="2"/>
  <c r="H110" i="2"/>
  <c r="G109" i="2" l="1"/>
  <c r="J111" i="2"/>
  <c r="E111" i="2"/>
  <c r="A112" i="2"/>
  <c r="N111" i="2"/>
  <c r="F111" i="2"/>
  <c r="M111" i="2"/>
  <c r="A111" i="2"/>
  <c r="L111" i="2"/>
  <c r="D111" i="2"/>
  <c r="B111" i="2"/>
  <c r="C111" i="2"/>
  <c r="O111" i="2"/>
  <c r="H111" i="2"/>
  <c r="S111" i="2"/>
  <c r="Q111" i="2"/>
  <c r="R111" i="2" s="1"/>
  <c r="P111" i="2" s="1"/>
  <c r="B112" i="2" s="1"/>
  <c r="C112" i="2"/>
  <c r="D112" i="2"/>
  <c r="E112" i="2"/>
  <c r="H112" i="2"/>
  <c r="G111" i="2" l="1"/>
  <c r="J113" i="2"/>
  <c r="A114" i="2"/>
  <c r="N113" i="2"/>
  <c r="F113" i="2"/>
  <c r="C113" i="2"/>
  <c r="L113" i="2"/>
  <c r="M113" i="2"/>
  <c r="A113" i="2"/>
  <c r="B113" i="2"/>
  <c r="D113" i="2"/>
  <c r="E113" i="2"/>
  <c r="H113" i="2"/>
  <c r="O113" i="2"/>
  <c r="Q113" i="2"/>
  <c r="R113" i="2" s="1"/>
  <c r="P113" i="2" s="1"/>
  <c r="B114" i="2" s="1"/>
  <c r="S113" i="2"/>
  <c r="D114" i="2"/>
  <c r="C114" i="2"/>
  <c r="E114" i="2"/>
  <c r="H114" i="2"/>
  <c r="G113" i="2" l="1"/>
  <c r="J115" i="2"/>
  <c r="F115" i="2"/>
  <c r="M115" i="2"/>
  <c r="L115" i="2"/>
  <c r="N115" i="2"/>
  <c r="B115" i="2"/>
  <c r="C115" i="2"/>
  <c r="A115" i="2"/>
  <c r="D115" i="2"/>
  <c r="E115" i="2"/>
  <c r="A116" i="2"/>
  <c r="H115" i="2"/>
  <c r="O115" i="2"/>
  <c r="Q115" i="2"/>
  <c r="R115" i="2" s="1"/>
  <c r="P115" i="2" s="1"/>
  <c r="B116" i="2" s="1"/>
  <c r="S115" i="2"/>
  <c r="D116" i="2"/>
  <c r="C116" i="2"/>
  <c r="E116" i="2"/>
  <c r="H116" i="2"/>
  <c r="G115" i="2" l="1"/>
  <c r="J117" i="2"/>
  <c r="N117" i="2"/>
  <c r="E117" i="2"/>
  <c r="A118" i="2"/>
  <c r="L117" i="2"/>
  <c r="C117" i="2"/>
  <c r="A117" i="2"/>
  <c r="B117" i="2"/>
  <c r="D117" i="2"/>
  <c r="F117" i="2"/>
  <c r="M117" i="2"/>
  <c r="O117" i="2"/>
  <c r="H117" i="2"/>
  <c r="Q117" i="2"/>
  <c r="R117" i="2" s="1"/>
  <c r="P117" i="2" s="1"/>
  <c r="B118" i="2" s="1"/>
  <c r="S117" i="2"/>
  <c r="C118" i="2"/>
  <c r="D118" i="2"/>
  <c r="E118" i="2"/>
  <c r="H118" i="2"/>
  <c r="G117" i="2" l="1"/>
  <c r="J119" i="2"/>
  <c r="F119" i="2"/>
  <c r="E119" i="2"/>
  <c r="D119" i="2"/>
  <c r="M119" i="2"/>
  <c r="L119" i="2"/>
  <c r="A119" i="2"/>
  <c r="A120" i="2"/>
  <c r="N119" i="2"/>
  <c r="B119" i="2"/>
  <c r="C119" i="2"/>
  <c r="O119" i="2"/>
  <c r="H119" i="2"/>
  <c r="S119" i="2"/>
  <c r="Q119" i="2"/>
  <c r="R119" i="2" s="1"/>
  <c r="P119" i="2" s="1"/>
  <c r="B120" i="2" s="1"/>
  <c r="C120" i="2"/>
  <c r="D120" i="2"/>
  <c r="E120" i="2"/>
  <c r="H120" i="2"/>
  <c r="G119" i="2" l="1"/>
  <c r="J121" i="2"/>
  <c r="M121" i="2"/>
  <c r="N121" i="2"/>
  <c r="F121" i="2"/>
  <c r="B121" i="2"/>
  <c r="A122" i="2"/>
  <c r="L121" i="2"/>
  <c r="A121" i="2"/>
  <c r="C121" i="2"/>
  <c r="D121" i="2"/>
  <c r="E121" i="2"/>
  <c r="H121" i="2"/>
  <c r="O121" i="2"/>
  <c r="Q121" i="2"/>
  <c r="R121" i="2" s="1"/>
  <c r="P121" i="2" s="1"/>
  <c r="B122" i="2" s="1"/>
  <c r="S121" i="2"/>
  <c r="D122" i="2"/>
  <c r="C122" i="2"/>
  <c r="E122" i="2"/>
  <c r="H122" i="2"/>
  <c r="G121" i="2" l="1"/>
  <c r="J123" i="2"/>
  <c r="N123" i="2"/>
  <c r="F123" i="2"/>
  <c r="B123" i="2"/>
  <c r="M123" i="2"/>
  <c r="A123" i="2"/>
  <c r="L123" i="2"/>
  <c r="C123" i="2"/>
  <c r="D123" i="2"/>
  <c r="E123" i="2"/>
  <c r="A124" i="2"/>
  <c r="H123" i="2"/>
  <c r="O123" i="2"/>
  <c r="Q123" i="2"/>
  <c r="R123" i="2" s="1"/>
  <c r="P123" i="2" s="1"/>
  <c r="B124" i="2" s="1"/>
  <c r="S123" i="2"/>
  <c r="D124" i="2"/>
  <c r="C124" i="2"/>
  <c r="H124" i="2"/>
  <c r="E124" i="2"/>
  <c r="G123" i="2" l="1"/>
  <c r="J125" i="2"/>
  <c r="L125" i="2"/>
  <c r="A126" i="2"/>
  <c r="N125" i="2"/>
  <c r="D125" i="2"/>
  <c r="A125" i="2"/>
  <c r="B125" i="2"/>
  <c r="C125" i="2"/>
  <c r="E125" i="2"/>
  <c r="F125" i="2"/>
  <c r="M125" i="2"/>
  <c r="O125" i="2"/>
  <c r="H125" i="2"/>
  <c r="Q125" i="2"/>
  <c r="R125" i="2" s="1"/>
  <c r="P125" i="2" s="1"/>
  <c r="B126" i="2" s="1"/>
  <c r="S125" i="2"/>
  <c r="C126" i="2"/>
  <c r="D126" i="2"/>
  <c r="H126" i="2"/>
  <c r="E126" i="2"/>
  <c r="G125" i="2" l="1"/>
  <c r="J127" i="2"/>
  <c r="B127" i="2"/>
  <c r="A127" i="2"/>
  <c r="D127" i="2"/>
  <c r="F127" i="2"/>
  <c r="E127" i="2"/>
  <c r="N127" i="2"/>
  <c r="L127" i="2"/>
  <c r="C127" i="2"/>
  <c r="A128" i="2"/>
  <c r="M127" i="2"/>
  <c r="S127" i="2"/>
  <c r="Q127" i="2"/>
  <c r="R127" i="2" s="1"/>
  <c r="P127" i="2" s="1"/>
  <c r="B128" i="2" s="1"/>
  <c r="H127" i="2"/>
  <c r="O127" i="2"/>
  <c r="H128" i="2"/>
  <c r="E128" i="2"/>
  <c r="C128" i="2"/>
  <c r="D128" i="2"/>
  <c r="G127" i="2" l="1"/>
  <c r="J129" i="2"/>
  <c r="C129" i="2"/>
  <c r="A130" i="2"/>
  <c r="A129" i="2"/>
  <c r="M129" i="2"/>
  <c r="D129" i="2"/>
  <c r="E129" i="2"/>
  <c r="B129" i="2"/>
  <c r="N129" i="2"/>
  <c r="L129" i="2"/>
  <c r="F129" i="2"/>
  <c r="Q129" i="2"/>
  <c r="R129" i="2" s="1"/>
  <c r="P129" i="2" s="1"/>
  <c r="B130" i="2" s="1"/>
  <c r="S129" i="2"/>
  <c r="O129" i="2"/>
  <c r="H129" i="2"/>
  <c r="H130" i="2"/>
  <c r="E130" i="2"/>
  <c r="C130" i="2"/>
  <c r="D130" i="2"/>
  <c r="G129" i="2" l="1"/>
  <c r="J131" i="2"/>
  <c r="N131" i="2"/>
  <c r="A131" i="2"/>
  <c r="L131" i="2"/>
  <c r="E131" i="2"/>
  <c r="A132" i="2"/>
  <c r="C131" i="2"/>
  <c r="B131" i="2"/>
  <c r="D131" i="2"/>
  <c r="M131" i="2"/>
  <c r="F131" i="2"/>
  <c r="H131" i="2"/>
  <c r="O131" i="2"/>
  <c r="Q131" i="2"/>
  <c r="R131" i="2" s="1"/>
  <c r="P131" i="2" s="1"/>
  <c r="B132" i="2" s="1"/>
  <c r="S131" i="2"/>
  <c r="C132" i="2"/>
  <c r="D132" i="2"/>
  <c r="E132" i="2"/>
  <c r="H132" i="2"/>
  <c r="G131" i="2" l="1"/>
  <c r="J133" i="2"/>
  <c r="N133" i="2"/>
  <c r="A133" i="2"/>
  <c r="E133" i="2"/>
  <c r="B133" i="2"/>
  <c r="C133" i="2"/>
  <c r="D133" i="2"/>
  <c r="F133" i="2"/>
  <c r="M133" i="2"/>
  <c r="L133" i="2"/>
  <c r="A134" i="2"/>
  <c r="O133" i="2"/>
  <c r="H133" i="2"/>
  <c r="Q133" i="2"/>
  <c r="R133" i="2" s="1"/>
  <c r="P133" i="2" s="1"/>
  <c r="B134" i="2" s="1"/>
  <c r="S133" i="2"/>
  <c r="C134" i="2"/>
  <c r="D134" i="2"/>
  <c r="H134" i="2"/>
  <c r="E134" i="2"/>
  <c r="G133" i="2" l="1"/>
  <c r="J135" i="2"/>
  <c r="F135" i="2"/>
  <c r="E135" i="2"/>
  <c r="N135" i="2"/>
  <c r="L135" i="2"/>
  <c r="C135" i="2"/>
  <c r="A136" i="2"/>
  <c r="M135" i="2"/>
  <c r="B135" i="2"/>
  <c r="A135" i="2"/>
  <c r="D135" i="2"/>
  <c r="O135" i="2"/>
  <c r="H135" i="2"/>
  <c r="S135" i="2"/>
  <c r="Q135" i="2"/>
  <c r="R135" i="2" s="1"/>
  <c r="P135" i="2" s="1"/>
  <c r="B136" i="2" s="1"/>
  <c r="D136" i="2"/>
  <c r="C136" i="2"/>
  <c r="E136" i="2"/>
  <c r="H136" i="2"/>
  <c r="G135" i="2" l="1"/>
  <c r="J137" i="2"/>
  <c r="M137" i="2"/>
  <c r="A138" i="2"/>
  <c r="A137" i="2"/>
  <c r="B137" i="2"/>
  <c r="D137" i="2"/>
  <c r="E137" i="2"/>
  <c r="F137" i="2"/>
  <c r="N137" i="2"/>
  <c r="C137" i="2"/>
  <c r="L137" i="2"/>
  <c r="Q137" i="2"/>
  <c r="R137" i="2" s="1"/>
  <c r="P137" i="2" s="1"/>
  <c r="B138" i="2" s="1"/>
  <c r="S137" i="2"/>
  <c r="H137" i="2"/>
  <c r="O137" i="2"/>
  <c r="H138" i="2"/>
  <c r="E138" i="2"/>
  <c r="C138" i="2"/>
  <c r="D138" i="2"/>
  <c r="G137" i="2" l="1"/>
  <c r="J139" i="2"/>
  <c r="M139" i="2"/>
  <c r="E139" i="2"/>
  <c r="A140" i="2"/>
  <c r="C139" i="2"/>
  <c r="B139" i="2"/>
  <c r="D139" i="2"/>
  <c r="F139" i="2"/>
  <c r="N139" i="2"/>
  <c r="A139" i="2"/>
  <c r="L139" i="2"/>
  <c r="Q139" i="2"/>
  <c r="R139" i="2" s="1"/>
  <c r="P139" i="2" s="1"/>
  <c r="B140" i="2" s="1"/>
  <c r="S139" i="2"/>
  <c r="O139" i="2"/>
  <c r="H139" i="2"/>
  <c r="H140" i="2"/>
  <c r="E140" i="2"/>
  <c r="C140" i="2"/>
  <c r="D140" i="2"/>
  <c r="G139" i="2" l="1"/>
  <c r="J141" i="2"/>
  <c r="N141" i="2"/>
  <c r="L141" i="2"/>
  <c r="A142" i="2"/>
  <c r="A141" i="2"/>
  <c r="E141" i="2"/>
  <c r="B141" i="2"/>
  <c r="C141" i="2"/>
  <c r="D141" i="2"/>
  <c r="F141" i="2"/>
  <c r="M141" i="2"/>
  <c r="H141" i="2"/>
  <c r="O141" i="2"/>
  <c r="S141" i="2"/>
  <c r="Q141" i="2"/>
  <c r="R141" i="2" s="1"/>
  <c r="P141" i="2" s="1"/>
  <c r="B142" i="2" s="1"/>
  <c r="D142" i="2"/>
  <c r="C142" i="2"/>
  <c r="E142" i="2"/>
  <c r="H142" i="2"/>
  <c r="G141" i="2" l="1"/>
  <c r="J143" i="2"/>
  <c r="L143" i="2"/>
  <c r="C143" i="2"/>
  <c r="A144" i="2"/>
  <c r="M143" i="2"/>
  <c r="B143" i="2"/>
  <c r="A143" i="2"/>
  <c r="D143" i="2"/>
  <c r="F143" i="2"/>
  <c r="E143" i="2"/>
  <c r="N143" i="2"/>
  <c r="Q143" i="2"/>
  <c r="R143" i="2" s="1"/>
  <c r="P143" i="2" s="1"/>
  <c r="B144" i="2" s="1"/>
  <c r="S143" i="2"/>
  <c r="H143" i="2"/>
  <c r="O143" i="2"/>
  <c r="H144" i="2"/>
  <c r="E144" i="2"/>
  <c r="D144" i="2"/>
  <c r="C144" i="2"/>
  <c r="G143" i="2" l="1"/>
  <c r="J145" i="2"/>
  <c r="F145" i="2"/>
  <c r="M145" i="2"/>
  <c r="A145" i="2"/>
  <c r="N145" i="2"/>
  <c r="C145" i="2"/>
  <c r="L145" i="2"/>
  <c r="A146" i="2"/>
  <c r="B145" i="2"/>
  <c r="D145" i="2"/>
  <c r="E145" i="2"/>
  <c r="O145" i="2"/>
  <c r="H145" i="2"/>
  <c r="Q145" i="2"/>
  <c r="R145" i="2" s="1"/>
  <c r="P145" i="2" s="1"/>
  <c r="B146" i="2" s="1"/>
  <c r="S145" i="2"/>
  <c r="C146" i="2"/>
  <c r="D146" i="2"/>
  <c r="H146" i="2"/>
  <c r="E146" i="2"/>
  <c r="G145" i="2" l="1"/>
  <c r="J147" i="2"/>
  <c r="M147" i="2"/>
  <c r="N147" i="2"/>
  <c r="A147" i="2"/>
  <c r="L147" i="2"/>
  <c r="C147" i="2"/>
  <c r="B147" i="2"/>
  <c r="D147" i="2"/>
  <c r="F147" i="2"/>
  <c r="E147" i="2"/>
  <c r="A148" i="2"/>
  <c r="H147" i="2"/>
  <c r="O147" i="2"/>
  <c r="S147" i="2"/>
  <c r="Q147" i="2"/>
  <c r="R147" i="2" s="1"/>
  <c r="P147" i="2" s="1"/>
  <c r="B148" i="2" s="1"/>
  <c r="C148" i="2"/>
  <c r="D148" i="2"/>
  <c r="H148" i="2"/>
  <c r="E148" i="2"/>
  <c r="G147" i="2" l="1"/>
  <c r="J149" i="2"/>
  <c r="A149" i="2"/>
  <c r="A150" i="2"/>
  <c r="B149" i="2"/>
  <c r="C149" i="2"/>
  <c r="N149" i="2"/>
  <c r="L149" i="2"/>
  <c r="E149" i="2"/>
  <c r="D149" i="2"/>
  <c r="F149" i="2"/>
  <c r="M149" i="2"/>
  <c r="Q149" i="2"/>
  <c r="R149" i="2" s="1"/>
  <c r="P149" i="2" s="1"/>
  <c r="B150" i="2" s="1"/>
  <c r="S149" i="2"/>
  <c r="O149" i="2"/>
  <c r="H149" i="2"/>
  <c r="H150" i="2"/>
  <c r="E150" i="2"/>
  <c r="C150" i="2"/>
  <c r="D150" i="2"/>
  <c r="G149" i="2" l="1"/>
  <c r="J151" i="2"/>
  <c r="B151" i="2"/>
  <c r="A151" i="2"/>
  <c r="D151" i="2"/>
  <c r="A152" i="2"/>
  <c r="M151" i="2"/>
  <c r="F151" i="2"/>
  <c r="E151" i="2"/>
  <c r="N151" i="2"/>
  <c r="L151" i="2"/>
  <c r="C151" i="2"/>
  <c r="S151" i="2"/>
  <c r="Q151" i="2"/>
  <c r="R151" i="2" s="1"/>
  <c r="P151" i="2" s="1"/>
  <c r="B152" i="2" s="1"/>
  <c r="H151" i="2"/>
  <c r="O151" i="2"/>
  <c r="E152" i="2"/>
  <c r="H152" i="2"/>
  <c r="D152" i="2"/>
  <c r="C152" i="2"/>
  <c r="G151" i="2" l="1"/>
  <c r="J153" i="2"/>
  <c r="A154" i="2"/>
  <c r="N153" i="2"/>
  <c r="F153" i="2"/>
  <c r="B153" i="2"/>
  <c r="C153" i="2"/>
  <c r="M153" i="2"/>
  <c r="A153" i="2"/>
  <c r="L153" i="2"/>
  <c r="D153" i="2"/>
  <c r="E153" i="2"/>
  <c r="H153" i="2"/>
  <c r="O153" i="2"/>
  <c r="S153" i="2"/>
  <c r="Q153" i="2"/>
  <c r="R153" i="2" s="1"/>
  <c r="P153" i="2" s="1"/>
  <c r="B154" i="2" s="1"/>
  <c r="D154" i="2"/>
  <c r="C154" i="2"/>
  <c r="E154" i="2"/>
  <c r="H154" i="2"/>
  <c r="G153" i="2" l="1"/>
  <c r="J155" i="2"/>
  <c r="N155" i="2"/>
  <c r="B155" i="2"/>
  <c r="C155" i="2"/>
  <c r="F155" i="2"/>
  <c r="M155" i="2"/>
  <c r="L155" i="2"/>
  <c r="A155" i="2"/>
  <c r="D155" i="2"/>
  <c r="E155" i="2"/>
  <c r="A156" i="2"/>
  <c r="H155" i="2"/>
  <c r="O155" i="2"/>
  <c r="Q155" i="2"/>
  <c r="R155" i="2" s="1"/>
  <c r="P155" i="2" s="1"/>
  <c r="B156" i="2" s="1"/>
  <c r="S155" i="2"/>
  <c r="C156" i="2"/>
  <c r="D156" i="2"/>
  <c r="H156" i="2"/>
  <c r="E156" i="2"/>
  <c r="G155" i="2" l="1"/>
  <c r="J157" i="2"/>
  <c r="D157" i="2"/>
  <c r="A158" i="2"/>
  <c r="C157" i="2"/>
  <c r="E157" i="2"/>
  <c r="L157" i="2"/>
  <c r="N157" i="2"/>
  <c r="B157" i="2"/>
  <c r="M157" i="2"/>
  <c r="A157" i="2"/>
  <c r="F157" i="2"/>
  <c r="O157" i="2"/>
  <c r="H157" i="2"/>
  <c r="S157" i="2"/>
  <c r="Q157" i="2"/>
  <c r="R157" i="2" s="1"/>
  <c r="P157" i="2" s="1"/>
  <c r="B158" i="2" s="1"/>
  <c r="D158" i="2"/>
  <c r="C158" i="2"/>
  <c r="E158" i="2"/>
  <c r="H158" i="2"/>
  <c r="G157" i="2" l="1"/>
  <c r="J159" i="2"/>
  <c r="M159" i="2"/>
  <c r="C159" i="2"/>
  <c r="A160" i="2"/>
  <c r="F159" i="2"/>
  <c r="A159" i="2"/>
  <c r="B159" i="2"/>
  <c r="D159" i="2"/>
  <c r="E159" i="2"/>
  <c r="N159" i="2"/>
  <c r="L159" i="2"/>
  <c r="Q159" i="2"/>
  <c r="R159" i="2" s="1"/>
  <c r="P159" i="2" s="1"/>
  <c r="B160" i="2" s="1"/>
  <c r="S159" i="2"/>
  <c r="H159" i="2"/>
  <c r="O159" i="2"/>
  <c r="E160" i="2"/>
  <c r="H160" i="2"/>
  <c r="D160" i="2"/>
  <c r="C160" i="2"/>
  <c r="G159" i="2" l="1"/>
  <c r="J161" i="2"/>
  <c r="D161" i="2"/>
  <c r="C161" i="2"/>
  <c r="F161" i="2"/>
  <c r="A161" i="2"/>
  <c r="L161" i="2"/>
  <c r="B161" i="2"/>
  <c r="M161" i="2"/>
  <c r="N161" i="2"/>
  <c r="E161" i="2"/>
  <c r="A162" i="2"/>
  <c r="S161" i="2"/>
  <c r="Q161" i="2"/>
  <c r="R161" i="2" s="1"/>
  <c r="P161" i="2" s="1"/>
  <c r="B162" i="2" s="1"/>
  <c r="O161" i="2"/>
  <c r="H161" i="2"/>
  <c r="E162" i="2"/>
  <c r="H162" i="2"/>
  <c r="C162" i="2"/>
  <c r="D162" i="2"/>
  <c r="G161" i="2" l="1"/>
  <c r="J163" i="2"/>
  <c r="F163" i="2"/>
  <c r="M163" i="2"/>
  <c r="A163" i="2"/>
  <c r="L163" i="2"/>
  <c r="D163" i="2"/>
  <c r="E163" i="2"/>
  <c r="A164" i="2"/>
  <c r="N163" i="2"/>
  <c r="B163" i="2"/>
  <c r="C163" i="2"/>
  <c r="O163" i="2"/>
  <c r="H163" i="2"/>
  <c r="S163" i="2"/>
  <c r="Q163" i="2"/>
  <c r="R163" i="2" s="1"/>
  <c r="P163" i="2" s="1"/>
  <c r="B164" i="2" s="1"/>
  <c r="D164" i="2"/>
  <c r="C164" i="2"/>
  <c r="H164" i="2"/>
  <c r="E164" i="2"/>
  <c r="G163" i="2" l="1"/>
  <c r="J165" i="2"/>
  <c r="A166" i="2"/>
  <c r="N165" i="2"/>
  <c r="C165" i="2"/>
  <c r="L165" i="2"/>
  <c r="M165" i="2"/>
  <c r="A165" i="2"/>
  <c r="F165" i="2"/>
  <c r="B165" i="2"/>
  <c r="D165" i="2"/>
  <c r="E165" i="2"/>
  <c r="H165" i="2"/>
  <c r="O165" i="2"/>
  <c r="Q165" i="2"/>
  <c r="R165" i="2" s="1"/>
  <c r="P165" i="2" s="1"/>
  <c r="B166" i="2" s="1"/>
  <c r="S165" i="2"/>
  <c r="C166" i="2"/>
  <c r="D166" i="2"/>
  <c r="H166" i="2"/>
  <c r="E166" i="2"/>
  <c r="G165" i="2" l="1"/>
  <c r="J167" i="2"/>
  <c r="N167" i="2"/>
  <c r="B167" i="2"/>
  <c r="C167" i="2"/>
  <c r="F167" i="2"/>
  <c r="M167" i="2"/>
  <c r="L167" i="2"/>
  <c r="A167" i="2"/>
  <c r="D167" i="2"/>
  <c r="E167" i="2"/>
  <c r="A168" i="2"/>
  <c r="H167" i="2"/>
  <c r="O167" i="2"/>
  <c r="Q167" i="2"/>
  <c r="R167" i="2" s="1"/>
  <c r="P167" i="2" s="1"/>
  <c r="B168" i="2" s="1"/>
  <c r="S167" i="2"/>
  <c r="D168" i="2"/>
  <c r="C168" i="2"/>
  <c r="E168" i="2"/>
  <c r="H168" i="2"/>
  <c r="G167" i="2" l="1"/>
  <c r="J169" i="2"/>
  <c r="A169" i="2"/>
  <c r="N169" i="2"/>
  <c r="E169" i="2"/>
  <c r="A170" i="2"/>
  <c r="L169" i="2"/>
  <c r="B169" i="2"/>
  <c r="C169" i="2"/>
  <c r="D169" i="2"/>
  <c r="F169" i="2"/>
  <c r="M169" i="2"/>
  <c r="H169" i="2"/>
  <c r="O169" i="2"/>
  <c r="S169" i="2"/>
  <c r="Q169" i="2"/>
  <c r="R169" i="2" s="1"/>
  <c r="P169" i="2" s="1"/>
  <c r="B170" i="2" s="1"/>
  <c r="D170" i="2"/>
  <c r="C170" i="2"/>
  <c r="E170" i="2"/>
  <c r="H170" i="2"/>
  <c r="G169" i="2" l="1"/>
  <c r="J171" i="2"/>
  <c r="F171" i="2"/>
  <c r="L171" i="2"/>
  <c r="D171" i="2"/>
  <c r="E171" i="2"/>
  <c r="A172" i="2"/>
  <c r="N171" i="2"/>
  <c r="M171" i="2"/>
  <c r="A171" i="2"/>
  <c r="B171" i="2"/>
  <c r="C171" i="2"/>
  <c r="H171" i="2"/>
  <c r="O171" i="2"/>
  <c r="S171" i="2"/>
  <c r="Q171" i="2"/>
  <c r="R171" i="2" s="1"/>
  <c r="P171" i="2" s="1"/>
  <c r="B172" i="2" s="1"/>
  <c r="D172" i="2"/>
  <c r="C172" i="2"/>
  <c r="E172" i="2"/>
  <c r="H172" i="2"/>
  <c r="G171" i="2" l="1"/>
  <c r="J173" i="2"/>
  <c r="L173" i="2"/>
  <c r="C173" i="2"/>
  <c r="F173" i="2"/>
  <c r="N173" i="2"/>
  <c r="B173" i="2"/>
  <c r="M173" i="2"/>
  <c r="A173" i="2"/>
  <c r="A174" i="2"/>
  <c r="D173" i="2"/>
  <c r="E173" i="2"/>
  <c r="H173" i="2"/>
  <c r="O173" i="2"/>
  <c r="S173" i="2"/>
  <c r="Q173" i="2"/>
  <c r="R173" i="2" s="1"/>
  <c r="P173" i="2" s="1"/>
  <c r="B174" i="2" s="1"/>
  <c r="D174" i="2"/>
  <c r="C174" i="2"/>
  <c r="E174" i="2"/>
  <c r="H174" i="2"/>
  <c r="G173" i="2" l="1"/>
  <c r="J175" i="2"/>
  <c r="N175" i="2"/>
  <c r="B175" i="2"/>
  <c r="C175" i="2"/>
  <c r="F175" i="2"/>
  <c r="M175" i="2"/>
  <c r="A175" i="2"/>
  <c r="L175" i="2"/>
  <c r="D175" i="2"/>
  <c r="E175" i="2"/>
  <c r="A176" i="2"/>
  <c r="H175" i="2"/>
  <c r="O175" i="2"/>
  <c r="Q175" i="2"/>
  <c r="R175" i="2" s="1"/>
  <c r="P175" i="2" s="1"/>
  <c r="B176" i="2" s="1"/>
  <c r="S175" i="2"/>
  <c r="C176" i="2"/>
  <c r="D176" i="2"/>
  <c r="H176" i="2"/>
  <c r="E176" i="2"/>
  <c r="G175" i="2" l="1"/>
  <c r="J177" i="2"/>
  <c r="N177" i="2"/>
  <c r="E177" i="2"/>
  <c r="A178" i="2"/>
  <c r="A177" i="2"/>
  <c r="L177" i="2"/>
  <c r="B177" i="2"/>
  <c r="C177" i="2"/>
  <c r="D177" i="2"/>
  <c r="F177" i="2"/>
  <c r="M177" i="2"/>
  <c r="H177" i="2"/>
  <c r="O177" i="2"/>
  <c r="S177" i="2"/>
  <c r="Q177" i="2"/>
  <c r="R177" i="2" s="1"/>
  <c r="P177" i="2" s="1"/>
  <c r="B178" i="2" s="1"/>
  <c r="C178" i="2"/>
  <c r="D178" i="2"/>
  <c r="H178" i="2"/>
  <c r="E178" i="2"/>
  <c r="G177" i="2" l="1"/>
  <c r="J179" i="2"/>
  <c r="F179" i="2"/>
  <c r="M179" i="2"/>
  <c r="E179" i="2"/>
  <c r="L179" i="2"/>
  <c r="D179" i="2"/>
  <c r="A179" i="2"/>
  <c r="A180" i="2"/>
  <c r="N179" i="2"/>
  <c r="B179" i="2"/>
  <c r="C179" i="2"/>
  <c r="O179" i="2"/>
  <c r="H179" i="2"/>
  <c r="S179" i="2"/>
  <c r="Q179" i="2"/>
  <c r="R179" i="2" s="1"/>
  <c r="P179" i="2" s="1"/>
  <c r="B180" i="2" s="1"/>
  <c r="D180" i="2"/>
  <c r="C180" i="2"/>
  <c r="E180" i="2"/>
  <c r="H180" i="2"/>
  <c r="G179" i="2" l="1"/>
  <c r="J181" i="2"/>
  <c r="L181" i="2"/>
  <c r="B181" i="2"/>
  <c r="C181" i="2"/>
  <c r="A182" i="2"/>
  <c r="N181" i="2"/>
  <c r="M181" i="2"/>
  <c r="A181" i="2"/>
  <c r="F181" i="2"/>
  <c r="D181" i="2"/>
  <c r="E181" i="2"/>
  <c r="S181" i="2"/>
  <c r="Q181" i="2"/>
  <c r="R181" i="2" s="1"/>
  <c r="P181" i="2" s="1"/>
  <c r="B182" i="2" s="1"/>
  <c r="H181" i="2"/>
  <c r="O181" i="2"/>
  <c r="E182" i="2"/>
  <c r="H182" i="2"/>
  <c r="C182" i="2"/>
  <c r="D182" i="2"/>
  <c r="G181" i="2" l="1"/>
  <c r="J183" i="2"/>
  <c r="N183" i="2"/>
  <c r="A183" i="2"/>
  <c r="B183" i="2"/>
  <c r="M183" i="2"/>
  <c r="F183" i="2"/>
  <c r="C183" i="2"/>
  <c r="L183" i="2"/>
  <c r="D183" i="2"/>
  <c r="E183" i="2"/>
  <c r="A184" i="2"/>
  <c r="H183" i="2"/>
  <c r="O183" i="2"/>
  <c r="Q183" i="2"/>
  <c r="R183" i="2" s="1"/>
  <c r="P183" i="2" s="1"/>
  <c r="B184" i="2" s="1"/>
  <c r="S183" i="2"/>
  <c r="D184" i="2"/>
  <c r="C184" i="2"/>
  <c r="H184" i="2"/>
  <c r="E184" i="2"/>
  <c r="G183" i="2" l="1"/>
  <c r="J185" i="2"/>
  <c r="A185" i="2"/>
  <c r="L185" i="2"/>
  <c r="E185" i="2"/>
  <c r="A186" i="2"/>
  <c r="D185" i="2"/>
  <c r="B185" i="2"/>
  <c r="C185" i="2"/>
  <c r="N185" i="2"/>
  <c r="F185" i="2"/>
  <c r="M185" i="2"/>
  <c r="S185" i="2"/>
  <c r="Q185" i="2"/>
  <c r="R185" i="2" s="1"/>
  <c r="P185" i="2" s="1"/>
  <c r="B186" i="2" s="1"/>
  <c r="H185" i="2"/>
  <c r="O185" i="2"/>
  <c r="E186" i="2"/>
  <c r="H186" i="2"/>
  <c r="D186" i="2"/>
  <c r="C186" i="2"/>
  <c r="G185" i="2" l="1"/>
  <c r="J187" i="2"/>
  <c r="F187" i="2"/>
  <c r="A187" i="2"/>
  <c r="M187" i="2"/>
  <c r="L187" i="2"/>
  <c r="E187" i="2"/>
  <c r="A188" i="2"/>
  <c r="N187" i="2"/>
  <c r="D187" i="2"/>
  <c r="B187" i="2"/>
  <c r="C187" i="2"/>
  <c r="O187" i="2"/>
  <c r="H187" i="2"/>
  <c r="S187" i="2"/>
  <c r="Q187" i="2"/>
  <c r="R187" i="2" s="1"/>
  <c r="P187" i="2" s="1"/>
  <c r="B188" i="2" s="1"/>
  <c r="D188" i="2"/>
  <c r="C188" i="2"/>
  <c r="E188" i="2"/>
  <c r="H188" i="2"/>
  <c r="G187" i="2" l="1"/>
  <c r="J189" i="2"/>
  <c r="L189" i="2"/>
  <c r="N189" i="2"/>
  <c r="B189" i="2"/>
  <c r="M189" i="2"/>
  <c r="A189" i="2"/>
  <c r="C189" i="2"/>
  <c r="A190" i="2"/>
  <c r="F189" i="2"/>
  <c r="D189" i="2"/>
  <c r="E189" i="2"/>
  <c r="H189" i="2"/>
  <c r="O189" i="2"/>
  <c r="S189" i="2"/>
  <c r="Q189" i="2"/>
  <c r="R189" i="2" s="1"/>
  <c r="P189" i="2" s="1"/>
  <c r="B190" i="2" s="1"/>
  <c r="C190" i="2"/>
  <c r="D190" i="2"/>
  <c r="E190" i="2"/>
  <c r="H190" i="2"/>
  <c r="G189" i="2" l="1"/>
  <c r="J191" i="2"/>
  <c r="M191" i="2"/>
  <c r="F191" i="2"/>
  <c r="B191" i="2"/>
  <c r="C191" i="2"/>
  <c r="N191" i="2"/>
  <c r="A191" i="2"/>
  <c r="L191" i="2"/>
  <c r="D191" i="2"/>
  <c r="E191" i="2"/>
  <c r="A192" i="2"/>
  <c r="Q191" i="2"/>
  <c r="R191" i="2" s="1"/>
  <c r="P191" i="2" s="1"/>
  <c r="B192" i="2" s="1"/>
  <c r="S191" i="2"/>
  <c r="H191" i="2"/>
  <c r="O191" i="2"/>
  <c r="H192" i="2"/>
  <c r="E192" i="2"/>
  <c r="C192" i="2"/>
  <c r="D192" i="2"/>
  <c r="G191" i="2" l="1"/>
  <c r="J193" i="2"/>
  <c r="D193" i="2"/>
  <c r="A194" i="2"/>
  <c r="B193" i="2"/>
  <c r="A193" i="2"/>
  <c r="L193" i="2"/>
  <c r="E193" i="2"/>
  <c r="N193" i="2"/>
  <c r="C193" i="2"/>
  <c r="F193" i="2"/>
  <c r="M193" i="2"/>
  <c r="S193" i="2"/>
  <c r="Q193" i="2"/>
  <c r="R193" i="2" s="1"/>
  <c r="P193" i="2" s="1"/>
  <c r="B194" i="2" s="1"/>
  <c r="H193" i="2"/>
  <c r="O193" i="2"/>
  <c r="E194" i="2"/>
  <c r="H194" i="2"/>
  <c r="D194" i="2"/>
  <c r="C194" i="2"/>
  <c r="G193" i="2" l="1"/>
  <c r="J195" i="2"/>
  <c r="F195" i="2"/>
  <c r="M195" i="2"/>
  <c r="A195" i="2"/>
  <c r="L195" i="2"/>
  <c r="D195" i="2"/>
  <c r="E195" i="2"/>
  <c r="A196" i="2"/>
  <c r="N195" i="2"/>
  <c r="B195" i="2"/>
  <c r="C195" i="2"/>
  <c r="O195" i="2"/>
  <c r="H195" i="2"/>
  <c r="S195" i="2"/>
  <c r="Q195" i="2"/>
  <c r="R195" i="2" s="1"/>
  <c r="P195" i="2" s="1"/>
  <c r="B196" i="2" s="1"/>
  <c r="C196" i="2"/>
  <c r="D196" i="2"/>
  <c r="E196" i="2"/>
  <c r="H196" i="2"/>
  <c r="G195" i="2" l="1"/>
  <c r="J197" i="2"/>
  <c r="A198" i="2"/>
  <c r="N197" i="2"/>
  <c r="F197" i="2"/>
  <c r="C197" i="2"/>
  <c r="L197" i="2"/>
  <c r="M197" i="2"/>
  <c r="A197" i="2"/>
  <c r="B197" i="2"/>
  <c r="D197" i="2"/>
  <c r="E197" i="2"/>
  <c r="H197" i="2"/>
  <c r="O197" i="2"/>
  <c r="Q197" i="2"/>
  <c r="R197" i="2" s="1"/>
  <c r="P197" i="2" s="1"/>
  <c r="B198" i="2" s="1"/>
  <c r="S197" i="2"/>
  <c r="C198" i="2"/>
  <c r="D198" i="2"/>
  <c r="E198" i="2"/>
  <c r="H198" i="2"/>
  <c r="G197" i="2" l="1"/>
  <c r="J199" i="2"/>
  <c r="N199" i="2"/>
  <c r="B199" i="2"/>
  <c r="F199" i="2"/>
  <c r="C199" i="2"/>
  <c r="M199" i="2"/>
  <c r="A199" i="2"/>
  <c r="L199" i="2"/>
  <c r="D199" i="2"/>
  <c r="E199" i="2"/>
  <c r="A200" i="2"/>
  <c r="H199" i="2"/>
  <c r="O199" i="2"/>
  <c r="Q199" i="2"/>
  <c r="R199" i="2" s="1"/>
  <c r="P199" i="2" s="1"/>
  <c r="B200" i="2" s="1"/>
  <c r="S199" i="2"/>
  <c r="D200" i="2"/>
  <c r="C200" i="2"/>
  <c r="E200" i="2"/>
  <c r="H200" i="2"/>
  <c r="G199" i="2" l="1"/>
  <c r="J201" i="2"/>
  <c r="A201" i="2"/>
  <c r="L201" i="2"/>
  <c r="N201" i="2"/>
  <c r="E201" i="2"/>
  <c r="A202" i="2"/>
  <c r="B201" i="2"/>
  <c r="C201" i="2"/>
  <c r="D201" i="2"/>
  <c r="F201" i="2"/>
  <c r="M201" i="2"/>
  <c r="H201" i="2"/>
  <c r="O201" i="2"/>
  <c r="S201" i="2"/>
  <c r="Q201" i="2"/>
  <c r="R201" i="2" s="1"/>
  <c r="P201" i="2" s="1"/>
  <c r="B202" i="2" s="1"/>
  <c r="C202" i="2"/>
  <c r="D202" i="2"/>
  <c r="E202" i="2"/>
  <c r="H202" i="2"/>
  <c r="G201" i="2" l="1"/>
  <c r="J203" i="2"/>
  <c r="M203" i="2"/>
  <c r="L203" i="2"/>
  <c r="D203" i="2"/>
  <c r="E203" i="2"/>
  <c r="A204" i="2"/>
  <c r="N203" i="2"/>
  <c r="F203" i="2"/>
  <c r="A203" i="2"/>
  <c r="B203" i="2"/>
  <c r="C203" i="2"/>
  <c r="O203" i="2"/>
  <c r="H203" i="2"/>
  <c r="S203" i="2"/>
  <c r="Q203" i="2"/>
  <c r="R203" i="2" s="1"/>
  <c r="P203" i="2" s="1"/>
  <c r="B204" i="2" s="1"/>
  <c r="D204" i="2"/>
  <c r="C204" i="2"/>
  <c r="H204" i="2"/>
  <c r="E204" i="2"/>
  <c r="G203" i="2" l="1"/>
  <c r="J205" i="2"/>
  <c r="C205" i="2"/>
  <c r="M205" i="2"/>
  <c r="A205" i="2"/>
  <c r="F205" i="2"/>
  <c r="N205" i="2"/>
  <c r="L205" i="2"/>
  <c r="B205" i="2"/>
  <c r="A206" i="2"/>
  <c r="D205" i="2"/>
  <c r="E205" i="2"/>
  <c r="H205" i="2"/>
  <c r="O205" i="2"/>
  <c r="Q205" i="2"/>
  <c r="R205" i="2" s="1"/>
  <c r="P205" i="2" s="1"/>
  <c r="B206" i="2" s="1"/>
  <c r="S205" i="2"/>
  <c r="C206" i="2"/>
  <c r="D206" i="2"/>
  <c r="E206" i="2"/>
  <c r="H206" i="2"/>
  <c r="G205" i="2" l="1"/>
  <c r="J207" i="2"/>
  <c r="C207" i="2"/>
  <c r="F207" i="2"/>
  <c r="N207" i="2"/>
  <c r="B207" i="2"/>
  <c r="M207" i="2"/>
  <c r="A207" i="2"/>
  <c r="L207" i="2"/>
  <c r="D207" i="2"/>
  <c r="E207" i="2"/>
  <c r="A208" i="2"/>
  <c r="H207" i="2"/>
  <c r="O207" i="2"/>
  <c r="Q207" i="2"/>
  <c r="R207" i="2" s="1"/>
  <c r="P207" i="2" s="1"/>
  <c r="B208" i="2" s="1"/>
  <c r="S207" i="2"/>
  <c r="C208" i="2"/>
  <c r="D208" i="2"/>
  <c r="E208" i="2"/>
  <c r="H208" i="2"/>
  <c r="G207" i="2" l="1"/>
  <c r="J209" i="2"/>
  <c r="A209" i="2"/>
  <c r="L209" i="2"/>
  <c r="N209" i="2"/>
  <c r="E209" i="2"/>
  <c r="A210" i="2"/>
  <c r="B209" i="2"/>
  <c r="C209" i="2"/>
  <c r="D209" i="2"/>
  <c r="F209" i="2"/>
  <c r="M209" i="2"/>
  <c r="O209" i="2"/>
  <c r="H209" i="2"/>
  <c r="S209" i="2"/>
  <c r="Q209" i="2"/>
  <c r="R209" i="2" s="1"/>
  <c r="P209" i="2" s="1"/>
  <c r="B210" i="2" s="1"/>
  <c r="D210" i="2"/>
  <c r="C210" i="2"/>
  <c r="E210" i="2"/>
  <c r="H210" i="2"/>
  <c r="G209" i="2" l="1"/>
  <c r="J211" i="2"/>
  <c r="F211" i="2"/>
  <c r="M211" i="2"/>
  <c r="L211" i="2"/>
  <c r="D211" i="2"/>
  <c r="A211" i="2"/>
  <c r="N211" i="2"/>
  <c r="E211" i="2"/>
  <c r="A212" i="2"/>
  <c r="B211" i="2"/>
  <c r="C211" i="2"/>
  <c r="H211" i="2"/>
  <c r="O211" i="2"/>
  <c r="S211" i="2"/>
  <c r="Q211" i="2"/>
  <c r="R211" i="2" s="1"/>
  <c r="P211" i="2" s="1"/>
  <c r="B212" i="2" s="1"/>
  <c r="D212" i="2"/>
  <c r="C212" i="2"/>
  <c r="E212" i="2"/>
  <c r="H212" i="2"/>
  <c r="G211" i="2" l="1"/>
  <c r="J213" i="2"/>
  <c r="B213" i="2"/>
  <c r="C213" i="2"/>
  <c r="A214" i="2"/>
  <c r="M213" i="2"/>
  <c r="A213" i="2"/>
  <c r="L213" i="2"/>
  <c r="N213" i="2"/>
  <c r="F213" i="2"/>
  <c r="D213" i="2"/>
  <c r="E213" i="2"/>
  <c r="Q213" i="2"/>
  <c r="R213" i="2" s="1"/>
  <c r="P213" i="2" s="1"/>
  <c r="B214" i="2" s="1"/>
  <c r="S213" i="2"/>
  <c r="O213" i="2"/>
  <c r="H213" i="2"/>
  <c r="E214" i="2"/>
  <c r="H214" i="2"/>
  <c r="C214" i="2"/>
  <c r="D214" i="2"/>
  <c r="G213" i="2" l="1"/>
  <c r="J215" i="2"/>
  <c r="N215" i="2"/>
  <c r="B215" i="2"/>
  <c r="M215" i="2"/>
  <c r="F215" i="2"/>
  <c r="C215" i="2"/>
  <c r="A215" i="2"/>
  <c r="L215" i="2"/>
  <c r="D215" i="2"/>
  <c r="E215" i="2"/>
  <c r="A216" i="2"/>
  <c r="H215" i="2"/>
  <c r="O215" i="2"/>
  <c r="Q215" i="2"/>
  <c r="R215" i="2" s="1"/>
  <c r="P215" i="2" s="1"/>
  <c r="B216" i="2" s="1"/>
  <c r="S215" i="2"/>
  <c r="D216" i="2"/>
  <c r="C216" i="2"/>
  <c r="H216" i="2"/>
  <c r="E216" i="2"/>
  <c r="G215" i="2" l="1"/>
  <c r="J217" i="2"/>
  <c r="D217" i="2"/>
  <c r="B217" i="2"/>
  <c r="C217" i="2"/>
  <c r="N217" i="2"/>
  <c r="F217" i="2"/>
  <c r="M217" i="2"/>
  <c r="A217" i="2"/>
  <c r="L217" i="2"/>
  <c r="E217" i="2"/>
  <c r="A218" i="2"/>
  <c r="S217" i="2"/>
  <c r="Q217" i="2"/>
  <c r="R217" i="2" s="1"/>
  <c r="P217" i="2" s="1"/>
  <c r="B218" i="2" s="1"/>
  <c r="O217" i="2"/>
  <c r="H217" i="2"/>
  <c r="E218" i="2"/>
  <c r="H218" i="2"/>
  <c r="C218" i="2"/>
  <c r="D218" i="2"/>
  <c r="G217" i="2" l="1"/>
  <c r="J219" i="2"/>
  <c r="F219" i="2"/>
  <c r="A219" i="2"/>
  <c r="E219" i="2"/>
  <c r="A220" i="2"/>
  <c r="N219" i="2"/>
  <c r="M219" i="2"/>
  <c r="L219" i="2"/>
  <c r="D219" i="2"/>
  <c r="B219" i="2"/>
  <c r="C219" i="2"/>
  <c r="O219" i="2"/>
  <c r="H219" i="2"/>
  <c r="S219" i="2"/>
  <c r="Q219" i="2"/>
  <c r="R219" i="2" s="1"/>
  <c r="P219" i="2" s="1"/>
  <c r="B220" i="2" s="1"/>
  <c r="C220" i="2"/>
  <c r="D220" i="2"/>
  <c r="E220" i="2"/>
  <c r="H220" i="2"/>
  <c r="G219" i="2" l="1"/>
  <c r="J221" i="2"/>
  <c r="L221" i="2"/>
  <c r="N221" i="2"/>
  <c r="B221" i="2"/>
  <c r="C221" i="2"/>
  <c r="A222" i="2"/>
  <c r="M221" i="2"/>
  <c r="A221" i="2"/>
  <c r="F221" i="2"/>
  <c r="D221" i="2"/>
  <c r="E221" i="2"/>
  <c r="O221" i="2"/>
  <c r="H221" i="2"/>
  <c r="S221" i="2"/>
  <c r="Q221" i="2"/>
  <c r="R221" i="2" s="1"/>
  <c r="P221" i="2" s="1"/>
  <c r="B222" i="2" s="1"/>
  <c r="D222" i="2"/>
  <c r="C222" i="2"/>
  <c r="E222" i="2"/>
  <c r="H222" i="2"/>
  <c r="G221" i="2" l="1"/>
  <c r="J223" i="2"/>
  <c r="M223" i="2"/>
  <c r="F223" i="2"/>
  <c r="D223" i="2"/>
  <c r="E223" i="2"/>
  <c r="A224" i="2"/>
  <c r="N223" i="2"/>
  <c r="B223" i="2"/>
  <c r="C223" i="2"/>
  <c r="A223" i="2"/>
  <c r="L223" i="2"/>
  <c r="H223" i="2"/>
  <c r="O223" i="2"/>
  <c r="S223" i="2"/>
  <c r="Q223" i="2"/>
  <c r="R223" i="2" s="1"/>
  <c r="P223" i="2" s="1"/>
  <c r="B224" i="2" s="1"/>
  <c r="C224" i="2"/>
  <c r="D224" i="2"/>
  <c r="H224" i="2"/>
  <c r="E224" i="2"/>
  <c r="G223" i="2" l="1"/>
  <c r="J225" i="2"/>
  <c r="F225" i="2"/>
  <c r="M225" i="2"/>
  <c r="A225" i="2"/>
  <c r="L225" i="2"/>
  <c r="D225" i="2"/>
  <c r="E225" i="2"/>
  <c r="A226" i="2"/>
  <c r="N225" i="2"/>
  <c r="B225" i="2"/>
  <c r="C225" i="2"/>
  <c r="H225" i="2"/>
  <c r="O225" i="2"/>
  <c r="S225" i="2"/>
  <c r="Q225" i="2"/>
  <c r="R225" i="2" s="1"/>
  <c r="P225" i="2" s="1"/>
  <c r="B226" i="2" s="1"/>
  <c r="C226" i="2"/>
  <c r="D226" i="2"/>
  <c r="E226" i="2"/>
  <c r="H226" i="2"/>
  <c r="G225" i="2" l="1"/>
  <c r="J227" i="2"/>
  <c r="M227" i="2"/>
  <c r="A227" i="2"/>
  <c r="L227" i="2"/>
  <c r="D227" i="2"/>
  <c r="E227" i="2"/>
  <c r="N227" i="2"/>
  <c r="F227" i="2"/>
  <c r="A228" i="2"/>
  <c r="B227" i="2"/>
  <c r="C227" i="2"/>
  <c r="O227" i="2"/>
  <c r="H227" i="2"/>
  <c r="S227" i="2"/>
  <c r="Q227" i="2"/>
  <c r="R227" i="2" s="1"/>
  <c r="P227" i="2" s="1"/>
  <c r="B228" i="2" s="1"/>
  <c r="D228" i="2"/>
  <c r="C228" i="2"/>
  <c r="E228" i="2"/>
  <c r="H228" i="2"/>
  <c r="G227" i="2" l="1"/>
  <c r="J229" i="2"/>
  <c r="F229" i="2"/>
  <c r="C229" i="2"/>
  <c r="A230" i="2"/>
  <c r="M229" i="2"/>
  <c r="N229" i="2"/>
  <c r="L229" i="2"/>
  <c r="A229" i="2"/>
  <c r="B229" i="2"/>
  <c r="D229" i="2"/>
  <c r="E229" i="2"/>
  <c r="H229" i="2"/>
  <c r="O229" i="2"/>
  <c r="Q229" i="2"/>
  <c r="R229" i="2" s="1"/>
  <c r="P229" i="2" s="1"/>
  <c r="B230" i="2" s="1"/>
  <c r="S229" i="2"/>
  <c r="C230" i="2"/>
  <c r="D230" i="2"/>
  <c r="H230" i="2"/>
  <c r="E230" i="2"/>
  <c r="G229" i="2" l="1"/>
  <c r="J231" i="2"/>
  <c r="B231" i="2"/>
  <c r="C231" i="2"/>
  <c r="F231" i="2"/>
  <c r="M231" i="2"/>
  <c r="A231" i="2"/>
  <c r="L231" i="2"/>
  <c r="N231" i="2"/>
  <c r="D231" i="2"/>
  <c r="E231" i="2"/>
  <c r="A232" i="2"/>
  <c r="Q231" i="2"/>
  <c r="R231" i="2" s="1"/>
  <c r="P231" i="2" s="1"/>
  <c r="B232" i="2" s="1"/>
  <c r="S231" i="2"/>
  <c r="H231" i="2"/>
  <c r="O231" i="2"/>
  <c r="H232" i="2"/>
  <c r="E232" i="2"/>
  <c r="C232" i="2"/>
  <c r="D232" i="2"/>
  <c r="G231" i="2" l="1"/>
  <c r="J233" i="2"/>
  <c r="A233" i="2"/>
  <c r="L233" i="2"/>
  <c r="N233" i="2"/>
  <c r="E233" i="2"/>
  <c r="A234" i="2"/>
  <c r="B233" i="2"/>
  <c r="C233" i="2"/>
  <c r="D233" i="2"/>
  <c r="F233" i="2"/>
  <c r="M233" i="2"/>
  <c r="H233" i="2"/>
  <c r="O233" i="2"/>
  <c r="S233" i="2"/>
  <c r="Q233" i="2"/>
  <c r="R233" i="2" s="1"/>
  <c r="P233" i="2" s="1"/>
  <c r="B234" i="2" s="1"/>
  <c r="D234" i="2"/>
  <c r="C234" i="2"/>
  <c r="E234" i="2"/>
  <c r="H234" i="2"/>
  <c r="G233" i="2" l="1"/>
  <c r="J235" i="2"/>
  <c r="M235" i="2"/>
  <c r="A235" i="2"/>
  <c r="L235" i="2"/>
  <c r="D235" i="2"/>
  <c r="E235" i="2"/>
  <c r="N235" i="2"/>
  <c r="F235" i="2"/>
  <c r="A236" i="2"/>
  <c r="B235" i="2"/>
  <c r="C235" i="2"/>
  <c r="H235" i="2"/>
  <c r="O235" i="2"/>
  <c r="S235" i="2"/>
  <c r="Q235" i="2"/>
  <c r="R235" i="2" s="1"/>
  <c r="P235" i="2" s="1"/>
  <c r="B236" i="2" s="1"/>
  <c r="C236" i="2"/>
  <c r="D236" i="2"/>
  <c r="E236" i="2"/>
  <c r="H236" i="2"/>
  <c r="G235" i="2" l="1"/>
  <c r="J237" i="2"/>
  <c r="L237" i="2"/>
  <c r="C237" i="2"/>
  <c r="F237" i="2"/>
  <c r="B237" i="2"/>
  <c r="A237" i="2"/>
  <c r="N237" i="2"/>
  <c r="M237" i="2"/>
  <c r="A238" i="2"/>
  <c r="D237" i="2"/>
  <c r="E237" i="2"/>
  <c r="S237" i="2"/>
  <c r="Q237" i="2"/>
  <c r="R237" i="2" s="1"/>
  <c r="P237" i="2" s="1"/>
  <c r="B238" i="2" s="1"/>
  <c r="O237" i="2"/>
  <c r="H237" i="2"/>
  <c r="E238" i="2"/>
  <c r="H238" i="2"/>
  <c r="C238" i="2"/>
  <c r="D238" i="2"/>
  <c r="G237" i="2" l="1"/>
  <c r="J239" i="2"/>
  <c r="N239" i="2"/>
  <c r="B239" i="2"/>
  <c r="C239" i="2"/>
  <c r="F239" i="2"/>
  <c r="M239" i="2"/>
  <c r="A239" i="2"/>
  <c r="L239" i="2"/>
  <c r="D239" i="2"/>
  <c r="E239" i="2"/>
  <c r="A240" i="2"/>
  <c r="H239" i="2"/>
  <c r="O239" i="2"/>
  <c r="Q239" i="2"/>
  <c r="R239" i="2" s="1"/>
  <c r="P239" i="2" s="1"/>
  <c r="B240" i="2" s="1"/>
  <c r="S239" i="2"/>
  <c r="C240" i="2"/>
  <c r="D240" i="2"/>
  <c r="H240" i="2"/>
  <c r="E240" i="2"/>
  <c r="G239" i="2" l="1"/>
  <c r="J241" i="2"/>
  <c r="A241" i="2"/>
  <c r="L241" i="2"/>
  <c r="N241" i="2"/>
  <c r="E241" i="2"/>
  <c r="A242" i="2"/>
  <c r="B241" i="2"/>
  <c r="C241" i="2"/>
  <c r="D241" i="2"/>
  <c r="F241" i="2"/>
  <c r="M241" i="2"/>
  <c r="H241" i="2"/>
  <c r="O241" i="2"/>
  <c r="S241" i="2"/>
  <c r="Q241" i="2"/>
  <c r="R241" i="2" s="1"/>
  <c r="P241" i="2" s="1"/>
  <c r="B242" i="2" s="1"/>
  <c r="C242" i="2"/>
  <c r="D242" i="2"/>
  <c r="H242" i="2"/>
  <c r="E242" i="2"/>
  <c r="G241" i="2" l="1"/>
  <c r="J243" i="2"/>
  <c r="F243" i="2"/>
  <c r="M243" i="2"/>
  <c r="E243" i="2"/>
  <c r="L243" i="2"/>
  <c r="D243" i="2"/>
  <c r="A243" i="2"/>
  <c r="A244" i="2"/>
  <c r="N243" i="2"/>
  <c r="B243" i="2"/>
  <c r="C243" i="2"/>
  <c r="O243" i="2"/>
  <c r="H243" i="2"/>
  <c r="S243" i="2"/>
  <c r="Q243" i="2"/>
  <c r="R243" i="2" s="1"/>
  <c r="P243" i="2" s="1"/>
  <c r="B244" i="2" s="1"/>
  <c r="D244" i="2"/>
  <c r="C244" i="2"/>
  <c r="E244" i="2"/>
  <c r="H244" i="2"/>
  <c r="G243" i="2" l="1"/>
  <c r="J245" i="2"/>
  <c r="A246" i="2"/>
  <c r="M245" i="2"/>
  <c r="A245" i="2"/>
  <c r="F245" i="2"/>
  <c r="E245" i="2"/>
  <c r="L245" i="2"/>
  <c r="D245" i="2"/>
  <c r="B245" i="2"/>
  <c r="C245" i="2"/>
  <c r="N245" i="2"/>
  <c r="S245" i="2"/>
  <c r="Q245" i="2"/>
  <c r="R245" i="2" s="1"/>
  <c r="P245" i="2" s="1"/>
  <c r="B246" i="2" s="1"/>
  <c r="H245" i="2"/>
  <c r="O245" i="2"/>
  <c r="H246" i="2"/>
  <c r="E246" i="2"/>
  <c r="C246" i="2"/>
  <c r="D246" i="2"/>
  <c r="G245" i="2" l="1"/>
  <c r="J247" i="2"/>
  <c r="F247" i="2"/>
  <c r="A248" i="2"/>
  <c r="B247" i="2"/>
  <c r="C247" i="2"/>
  <c r="E247" i="2"/>
  <c r="M247" i="2"/>
  <c r="A247" i="2"/>
  <c r="L247" i="2"/>
  <c r="N247" i="2"/>
  <c r="D247" i="2"/>
  <c r="S247" i="2"/>
  <c r="Q247" i="2"/>
  <c r="R247" i="2" s="1"/>
  <c r="P247" i="2" s="1"/>
  <c r="B248" i="2" s="1"/>
  <c r="H247" i="2"/>
  <c r="O247" i="2"/>
  <c r="H248" i="2"/>
  <c r="E248" i="2"/>
  <c r="D248" i="2"/>
  <c r="C248" i="2"/>
  <c r="G247" i="2" l="1"/>
  <c r="J249" i="2"/>
  <c r="N249" i="2"/>
  <c r="C249" i="2"/>
  <c r="L249" i="2"/>
  <c r="B249" i="2"/>
  <c r="A250" i="2"/>
  <c r="M249" i="2"/>
  <c r="A249" i="2"/>
  <c r="F249" i="2"/>
  <c r="D249" i="2"/>
  <c r="E249" i="2"/>
  <c r="H249" i="2"/>
  <c r="O249" i="2"/>
  <c r="S249" i="2"/>
  <c r="Q249" i="2"/>
  <c r="R249" i="2" s="1"/>
  <c r="P249" i="2" s="1"/>
  <c r="B250" i="2" s="1"/>
  <c r="C250" i="2"/>
  <c r="D250" i="2"/>
  <c r="H250" i="2"/>
  <c r="E250" i="2"/>
  <c r="G249" i="2" l="1"/>
  <c r="J251" i="2"/>
  <c r="N251" i="2"/>
  <c r="M251" i="2"/>
  <c r="L251" i="2"/>
  <c r="B251" i="2"/>
  <c r="F251" i="2"/>
  <c r="C251" i="2"/>
  <c r="A251" i="2"/>
  <c r="D251" i="2"/>
  <c r="E251" i="2"/>
  <c r="A252" i="2"/>
  <c r="O251" i="2"/>
  <c r="Q251" i="2"/>
  <c r="R251" i="2" s="1"/>
  <c r="P251" i="2" s="1"/>
  <c r="B252" i="2" s="1"/>
  <c r="S251" i="2"/>
  <c r="D252" i="2"/>
  <c r="C252" i="2"/>
  <c r="E252" i="2"/>
  <c r="H252" i="2"/>
  <c r="G251" i="2" l="1"/>
  <c r="H251" i="2"/>
  <c r="J253" i="2"/>
  <c r="A253" i="2"/>
  <c r="L253" i="2"/>
  <c r="E253" i="2"/>
  <c r="A254" i="2"/>
  <c r="D253" i="2"/>
  <c r="B253" i="2"/>
  <c r="C253" i="2"/>
  <c r="N253" i="2"/>
  <c r="F253" i="2"/>
  <c r="M253" i="2"/>
  <c r="S253" i="2"/>
  <c r="Q253" i="2"/>
  <c r="R253" i="2" s="1"/>
  <c r="P253" i="2" s="1"/>
  <c r="B254" i="2" s="1"/>
  <c r="H253" i="2"/>
  <c r="O253" i="2"/>
  <c r="E254" i="2"/>
  <c r="H254" i="2"/>
  <c r="C254" i="2"/>
  <c r="D254" i="2"/>
  <c r="G253" i="2" l="1"/>
  <c r="J255" i="2"/>
  <c r="L255" i="2"/>
  <c r="D255" i="2"/>
  <c r="B255" i="2"/>
  <c r="C255" i="2"/>
  <c r="F255" i="2"/>
  <c r="M255" i="2"/>
  <c r="A255" i="2"/>
  <c r="E255" i="2"/>
  <c r="A256" i="2"/>
  <c r="N255" i="2"/>
  <c r="S255" i="2"/>
  <c r="Q255" i="2"/>
  <c r="R255" i="2" s="1"/>
  <c r="P255" i="2" s="1"/>
  <c r="B256" i="2" s="1"/>
  <c r="H255" i="2"/>
  <c r="O255" i="2"/>
  <c r="H256" i="2"/>
  <c r="E256" i="2"/>
  <c r="D256" i="2"/>
  <c r="C256" i="2"/>
  <c r="G255" i="2" l="1"/>
  <c r="J257" i="2"/>
  <c r="L257" i="2"/>
  <c r="C257" i="2"/>
  <c r="F257" i="2"/>
  <c r="N257" i="2"/>
  <c r="B257" i="2"/>
  <c r="A258" i="2"/>
  <c r="M257" i="2"/>
  <c r="A257" i="2"/>
  <c r="D257" i="2"/>
  <c r="E257" i="2"/>
  <c r="O257" i="2"/>
  <c r="H257" i="2"/>
  <c r="S257" i="2"/>
  <c r="Q257" i="2"/>
  <c r="R257" i="2" s="1"/>
  <c r="P257" i="2" s="1"/>
  <c r="B258" i="2" s="1"/>
  <c r="C258" i="2"/>
  <c r="D258" i="2"/>
  <c r="E258" i="2"/>
  <c r="H258" i="2"/>
  <c r="G257" i="2" l="1"/>
  <c r="J259" i="2"/>
  <c r="M259" i="2"/>
  <c r="F259" i="2"/>
  <c r="C259" i="2"/>
  <c r="A259" i="2"/>
  <c r="L259" i="2"/>
  <c r="N259" i="2"/>
  <c r="B259" i="2"/>
  <c r="D259" i="2"/>
  <c r="E259" i="2"/>
  <c r="A260" i="2"/>
  <c r="O259" i="2"/>
  <c r="H259" i="2"/>
  <c r="Q259" i="2"/>
  <c r="R259" i="2" s="1"/>
  <c r="P259" i="2" s="1"/>
  <c r="B260" i="2" s="1"/>
  <c r="S259" i="2"/>
  <c r="C260" i="2"/>
  <c r="D260" i="2"/>
  <c r="H260" i="2"/>
  <c r="E260" i="2"/>
  <c r="G259" i="2" l="1"/>
  <c r="J261" i="2"/>
  <c r="D261" i="2"/>
  <c r="E261" i="2"/>
  <c r="A262" i="2"/>
  <c r="A261" i="2"/>
  <c r="L261" i="2"/>
  <c r="N261" i="2"/>
  <c r="B261" i="2"/>
  <c r="C261" i="2"/>
  <c r="F261" i="2"/>
  <c r="M261" i="2"/>
  <c r="H261" i="2"/>
  <c r="O261" i="2"/>
  <c r="S261" i="2"/>
  <c r="Q261" i="2"/>
  <c r="R261" i="2" s="1"/>
  <c r="P261" i="2" s="1"/>
  <c r="B262" i="2" s="1"/>
  <c r="C262" i="2"/>
  <c r="D262" i="2"/>
  <c r="H262" i="2"/>
  <c r="E262" i="2"/>
  <c r="G261" i="2" l="1"/>
  <c r="J263" i="2"/>
  <c r="B263" i="2"/>
  <c r="C263" i="2"/>
  <c r="F263" i="2"/>
  <c r="M263" i="2"/>
  <c r="A263" i="2"/>
  <c r="L263" i="2"/>
  <c r="D263" i="2"/>
  <c r="E263" i="2"/>
  <c r="A264" i="2"/>
  <c r="N263" i="2"/>
  <c r="S263" i="2"/>
  <c r="Q263" i="2"/>
  <c r="R263" i="2" s="1"/>
  <c r="P263" i="2" s="1"/>
  <c r="B264" i="2" s="1"/>
  <c r="O263" i="2"/>
  <c r="H263" i="2"/>
  <c r="H264" i="2"/>
  <c r="E264" i="2"/>
  <c r="D264" i="2"/>
  <c r="C264" i="2"/>
  <c r="G263" i="2" l="1"/>
  <c r="J265" i="2"/>
  <c r="A266" i="2"/>
  <c r="N265" i="2"/>
  <c r="F265" i="2"/>
  <c r="C265" i="2"/>
  <c r="L265" i="2"/>
  <c r="M265" i="2"/>
  <c r="A265" i="2"/>
  <c r="B265" i="2"/>
  <c r="D265" i="2"/>
  <c r="E265" i="2"/>
  <c r="H265" i="2"/>
  <c r="O265" i="2"/>
  <c r="Q265" i="2"/>
  <c r="R265" i="2" s="1"/>
  <c r="P265" i="2" s="1"/>
  <c r="B266" i="2" s="1"/>
  <c r="S265" i="2"/>
  <c r="C266" i="2"/>
  <c r="D266" i="2"/>
  <c r="E266" i="2"/>
  <c r="H266" i="2"/>
  <c r="G265" i="2" l="1"/>
  <c r="J267" i="2"/>
  <c r="N267" i="2"/>
  <c r="F267" i="2"/>
  <c r="M267" i="2"/>
  <c r="L267" i="2"/>
  <c r="B267" i="2"/>
  <c r="C267" i="2"/>
  <c r="A267" i="2"/>
  <c r="D267" i="2"/>
  <c r="E267" i="2"/>
  <c r="A268" i="2"/>
  <c r="H267" i="2"/>
  <c r="O267" i="2"/>
  <c r="S267" i="2"/>
  <c r="Q267" i="2"/>
  <c r="R267" i="2" s="1"/>
  <c r="P267" i="2" s="1"/>
  <c r="B268" i="2" s="1"/>
  <c r="D268" i="2"/>
  <c r="C268" i="2"/>
  <c r="H268" i="2"/>
  <c r="E268" i="2"/>
  <c r="G267" i="2" l="1"/>
  <c r="J269" i="2"/>
  <c r="A269" i="2"/>
  <c r="L269" i="2"/>
  <c r="N269" i="2"/>
  <c r="E269" i="2"/>
  <c r="A270" i="2"/>
  <c r="B269" i="2"/>
  <c r="C269" i="2"/>
  <c r="D269" i="2"/>
  <c r="F269" i="2"/>
  <c r="M269" i="2"/>
  <c r="O269" i="2"/>
  <c r="H269" i="2"/>
  <c r="S269" i="2"/>
  <c r="Q269" i="2"/>
  <c r="R269" i="2" s="1"/>
  <c r="P269" i="2" s="1"/>
  <c r="B270" i="2" s="1"/>
  <c r="D270" i="2"/>
  <c r="C270" i="2"/>
  <c r="E270" i="2"/>
  <c r="H270" i="2"/>
  <c r="G269" i="2" l="1"/>
  <c r="J271" i="2"/>
  <c r="F271" i="2"/>
  <c r="D271" i="2"/>
  <c r="M271" i="2"/>
  <c r="A271" i="2"/>
  <c r="L271" i="2"/>
  <c r="E271" i="2"/>
  <c r="A272" i="2"/>
  <c r="N271" i="2"/>
  <c r="B271" i="2"/>
  <c r="C271" i="2"/>
  <c r="O271" i="2"/>
  <c r="H271" i="2"/>
  <c r="S271" i="2"/>
  <c r="Q271" i="2"/>
  <c r="R271" i="2" s="1"/>
  <c r="P271" i="2" s="1"/>
  <c r="B272" i="2" s="1"/>
  <c r="C272" i="2"/>
  <c r="D272" i="2"/>
  <c r="E272" i="2"/>
  <c r="H272" i="2"/>
  <c r="G271" i="2" l="1"/>
  <c r="J273" i="2"/>
  <c r="L273" i="2"/>
  <c r="C273" i="2"/>
  <c r="F273" i="2"/>
  <c r="A273" i="2"/>
  <c r="N273" i="2"/>
  <c r="B273" i="2"/>
  <c r="M273" i="2"/>
  <c r="A274" i="2"/>
  <c r="D273" i="2"/>
  <c r="E273" i="2"/>
  <c r="O273" i="2"/>
  <c r="H273" i="2"/>
  <c r="Q273" i="2"/>
  <c r="R273" i="2" s="1"/>
  <c r="P273" i="2" s="1"/>
  <c r="B274" i="2" s="1"/>
  <c r="S273" i="2"/>
  <c r="C274" i="2"/>
  <c r="D274" i="2"/>
  <c r="H274" i="2"/>
  <c r="E274" i="2"/>
  <c r="G273" i="2" l="1"/>
  <c r="J275" i="2"/>
  <c r="N275" i="2"/>
  <c r="C275" i="2"/>
  <c r="F275" i="2"/>
  <c r="B275" i="2"/>
  <c r="M275" i="2"/>
  <c r="A275" i="2"/>
  <c r="L275" i="2"/>
  <c r="D275" i="2"/>
  <c r="E275" i="2"/>
  <c r="A276" i="2"/>
  <c r="H275" i="2"/>
  <c r="O275" i="2"/>
  <c r="S275" i="2"/>
  <c r="Q275" i="2"/>
  <c r="R275" i="2" s="1"/>
  <c r="P275" i="2" s="1"/>
  <c r="B276" i="2" s="1"/>
  <c r="C276" i="2"/>
  <c r="D276" i="2"/>
  <c r="E276" i="2"/>
  <c r="H276" i="2"/>
  <c r="G275" i="2" l="1"/>
  <c r="J277" i="2"/>
  <c r="A277" i="2"/>
  <c r="N277" i="2"/>
  <c r="E277" i="2"/>
  <c r="A278" i="2"/>
  <c r="C277" i="2"/>
  <c r="L277" i="2"/>
  <c r="B277" i="2"/>
  <c r="D277" i="2"/>
  <c r="F277" i="2"/>
  <c r="M277" i="2"/>
  <c r="H277" i="2"/>
  <c r="O277" i="2"/>
  <c r="S277" i="2"/>
  <c r="Q277" i="2"/>
  <c r="R277" i="2" s="1"/>
  <c r="P277" i="2" s="1"/>
  <c r="B278" i="2" s="1"/>
  <c r="D278" i="2"/>
  <c r="C278" i="2"/>
  <c r="E278" i="2"/>
  <c r="H278" i="2"/>
  <c r="G277" i="2" l="1"/>
  <c r="J279" i="2"/>
  <c r="D279" i="2"/>
  <c r="F279" i="2"/>
  <c r="M279" i="2"/>
  <c r="L279" i="2"/>
  <c r="A279" i="2"/>
  <c r="N279" i="2"/>
  <c r="E279" i="2"/>
  <c r="A280" i="2"/>
  <c r="B279" i="2"/>
  <c r="C279" i="2"/>
  <c r="H279" i="2"/>
  <c r="O279" i="2"/>
  <c r="S279" i="2"/>
  <c r="Q279" i="2"/>
  <c r="R279" i="2" s="1"/>
  <c r="P279" i="2" s="1"/>
  <c r="B280" i="2" s="1"/>
  <c r="D280" i="2"/>
  <c r="C280" i="2"/>
  <c r="E280" i="2"/>
  <c r="H280" i="2"/>
  <c r="G279" i="2" l="1"/>
  <c r="J281" i="2"/>
  <c r="C281" i="2"/>
  <c r="B281" i="2"/>
  <c r="A282" i="2"/>
  <c r="M281" i="2"/>
  <c r="A281" i="2"/>
  <c r="L281" i="2"/>
  <c r="N281" i="2"/>
  <c r="F281" i="2"/>
  <c r="D281" i="2"/>
  <c r="E281" i="2"/>
  <c r="S281" i="2"/>
  <c r="Q281" i="2"/>
  <c r="R281" i="2" s="1"/>
  <c r="P281" i="2" s="1"/>
  <c r="B282" i="2" s="1"/>
  <c r="H281" i="2"/>
  <c r="O281" i="2"/>
  <c r="H282" i="2"/>
  <c r="E282" i="2"/>
  <c r="D282" i="2"/>
  <c r="C282" i="2"/>
  <c r="G281" i="2" l="1"/>
  <c r="J283" i="2"/>
  <c r="B283" i="2"/>
  <c r="M283" i="2"/>
  <c r="F283" i="2"/>
  <c r="C283" i="2"/>
  <c r="A283" i="2"/>
  <c r="L283" i="2"/>
  <c r="N283" i="2"/>
  <c r="D283" i="2"/>
  <c r="E283" i="2"/>
  <c r="A284" i="2"/>
  <c r="Q283" i="2"/>
  <c r="R283" i="2" s="1"/>
  <c r="P283" i="2" s="1"/>
  <c r="B284" i="2" s="1"/>
  <c r="S283" i="2"/>
  <c r="H283" i="2"/>
  <c r="O283" i="2"/>
  <c r="H284" i="2"/>
  <c r="E284" i="2"/>
  <c r="D284" i="2"/>
  <c r="C284" i="2"/>
  <c r="G283" i="2" l="1"/>
  <c r="J285" i="2"/>
  <c r="A285" i="2"/>
  <c r="L285" i="2"/>
  <c r="E285" i="2"/>
  <c r="A286" i="2"/>
  <c r="D285" i="2"/>
  <c r="B285" i="2"/>
  <c r="C285" i="2"/>
  <c r="N285" i="2"/>
  <c r="F285" i="2"/>
  <c r="M285" i="2"/>
  <c r="S285" i="2"/>
  <c r="Q285" i="2"/>
  <c r="R285" i="2" s="1"/>
  <c r="P285" i="2" s="1"/>
  <c r="B286" i="2" s="1"/>
  <c r="O285" i="2"/>
  <c r="H285" i="2"/>
  <c r="E286" i="2"/>
  <c r="H286" i="2"/>
  <c r="C286" i="2"/>
  <c r="D286" i="2"/>
  <c r="G285" i="2" l="1"/>
  <c r="J287" i="2"/>
  <c r="F287" i="2"/>
  <c r="M287" i="2"/>
  <c r="A287" i="2"/>
  <c r="L287" i="2"/>
  <c r="D287" i="2"/>
  <c r="E287" i="2"/>
  <c r="A288" i="2"/>
  <c r="N287" i="2"/>
  <c r="B287" i="2"/>
  <c r="C287" i="2"/>
  <c r="O287" i="2"/>
  <c r="H287" i="2"/>
  <c r="S287" i="2"/>
  <c r="Q287" i="2"/>
  <c r="R287" i="2" s="1"/>
  <c r="P287" i="2" s="1"/>
  <c r="B288" i="2" s="1"/>
  <c r="D288" i="2"/>
  <c r="C288" i="2"/>
  <c r="E288" i="2"/>
  <c r="H288" i="2"/>
  <c r="G287" i="2" l="1"/>
  <c r="J289" i="2"/>
  <c r="L289" i="2"/>
  <c r="N289" i="2"/>
  <c r="B289" i="2"/>
  <c r="C289" i="2"/>
  <c r="A290" i="2"/>
  <c r="M289" i="2"/>
  <c r="A289" i="2"/>
  <c r="F289" i="2"/>
  <c r="D289" i="2"/>
  <c r="E289" i="2"/>
  <c r="H289" i="2"/>
  <c r="O289" i="2"/>
  <c r="S289" i="2"/>
  <c r="Q289" i="2"/>
  <c r="R289" i="2" s="1"/>
  <c r="P289" i="2" s="1"/>
  <c r="B290" i="2" s="1"/>
  <c r="C290" i="2"/>
  <c r="D290" i="2"/>
  <c r="E290" i="2"/>
  <c r="H290" i="2"/>
  <c r="G289" i="2" l="1"/>
  <c r="J291" i="2"/>
  <c r="M291" i="2"/>
  <c r="F291" i="2"/>
  <c r="A291" i="2"/>
  <c r="N291" i="2"/>
  <c r="B291" i="2"/>
  <c r="C291" i="2"/>
  <c r="L291" i="2"/>
  <c r="D291" i="2"/>
  <c r="E291" i="2"/>
  <c r="A292" i="2"/>
  <c r="O291" i="2"/>
  <c r="H291" i="2"/>
  <c r="S291" i="2"/>
  <c r="Q291" i="2"/>
  <c r="R291" i="2" s="1"/>
  <c r="P291" i="2" s="1"/>
  <c r="B292" i="2" s="1"/>
  <c r="D292" i="2"/>
  <c r="C292" i="2"/>
  <c r="E292" i="2"/>
  <c r="H292" i="2"/>
  <c r="G291" i="2" l="1"/>
  <c r="J293" i="2"/>
  <c r="A293" i="2"/>
  <c r="L293" i="2"/>
  <c r="E293" i="2"/>
  <c r="N293" i="2"/>
  <c r="B293" i="2"/>
  <c r="C293" i="2"/>
  <c r="D293" i="2"/>
  <c r="A294" i="2"/>
  <c r="F293" i="2"/>
  <c r="M293" i="2"/>
  <c r="H293" i="2"/>
  <c r="O293" i="2"/>
  <c r="Q293" i="2"/>
  <c r="R293" i="2" s="1"/>
  <c r="P293" i="2" s="1"/>
  <c r="B294" i="2" s="1"/>
  <c r="S293" i="2"/>
  <c r="D294" i="2"/>
  <c r="C294" i="2"/>
  <c r="E294" i="2"/>
  <c r="H294" i="2"/>
  <c r="G293" i="2" l="1"/>
  <c r="J295" i="2"/>
  <c r="F295" i="2"/>
  <c r="A295" i="2"/>
  <c r="D295" i="2"/>
  <c r="M295" i="2"/>
  <c r="L295" i="2"/>
  <c r="E295" i="2"/>
  <c r="A296" i="2"/>
  <c r="N295" i="2"/>
  <c r="B295" i="2"/>
  <c r="C295" i="2"/>
  <c r="H295" i="2"/>
  <c r="O295" i="2"/>
  <c r="Q295" i="2"/>
  <c r="R295" i="2" s="1"/>
  <c r="P295" i="2" s="1"/>
  <c r="B296" i="2" s="1"/>
  <c r="S295" i="2"/>
  <c r="D296" i="2"/>
  <c r="C296" i="2"/>
  <c r="E296" i="2"/>
  <c r="H296" i="2"/>
  <c r="G295" i="2" l="1"/>
  <c r="J297" i="2"/>
  <c r="F297" i="2"/>
  <c r="C297" i="2"/>
  <c r="A298" i="2"/>
  <c r="N297" i="2"/>
  <c r="L297" i="2"/>
  <c r="M297" i="2"/>
  <c r="A297" i="2"/>
  <c r="B297" i="2"/>
  <c r="D297" i="2"/>
  <c r="E297" i="2"/>
  <c r="H297" i="2"/>
  <c r="O297" i="2"/>
  <c r="Q297" i="2"/>
  <c r="R297" i="2" s="1"/>
  <c r="P297" i="2" s="1"/>
  <c r="B298" i="2" s="1"/>
  <c r="S297" i="2"/>
  <c r="C298" i="2"/>
  <c r="D298" i="2"/>
  <c r="E298" i="2"/>
  <c r="H298" i="2"/>
  <c r="G297" i="2" l="1"/>
  <c r="J299" i="2"/>
  <c r="N299" i="2"/>
  <c r="C299" i="2"/>
  <c r="M299" i="2"/>
  <c r="B299" i="2"/>
  <c r="F299" i="2"/>
  <c r="A299" i="2"/>
  <c r="L299" i="2"/>
  <c r="D299" i="2"/>
  <c r="E299" i="2"/>
  <c r="A300" i="2"/>
  <c r="H299" i="2"/>
  <c r="O299" i="2"/>
  <c r="Q299" i="2"/>
  <c r="R299" i="2" s="1"/>
  <c r="P299" i="2" s="1"/>
  <c r="B300" i="2" s="1"/>
  <c r="S299" i="2"/>
  <c r="D300" i="2"/>
  <c r="C300" i="2"/>
  <c r="E300" i="2"/>
  <c r="H300" i="2"/>
  <c r="G299" i="2" l="1"/>
  <c r="J301" i="2"/>
  <c r="E301" i="2"/>
  <c r="L301" i="2"/>
  <c r="N301" i="2"/>
  <c r="A302" i="2"/>
  <c r="B301" i="2"/>
  <c r="C301" i="2"/>
  <c r="A301" i="2"/>
  <c r="D301" i="2"/>
  <c r="F301" i="2"/>
  <c r="M301" i="2"/>
  <c r="H301" i="2"/>
  <c r="O301" i="2"/>
  <c r="Q301" i="2"/>
  <c r="R301" i="2" s="1"/>
  <c r="P301" i="2" s="1"/>
  <c r="B302" i="2" s="1"/>
  <c r="S301" i="2"/>
  <c r="C302" i="2"/>
  <c r="D302" i="2"/>
  <c r="E302" i="2"/>
  <c r="H302" i="2"/>
  <c r="G301" i="2" l="1"/>
  <c r="J303" i="2"/>
  <c r="L303" i="2"/>
  <c r="D303" i="2"/>
  <c r="M303" i="2"/>
  <c r="A303" i="2"/>
  <c r="E303" i="2"/>
  <c r="A304" i="2"/>
  <c r="N303" i="2"/>
  <c r="F303" i="2"/>
  <c r="B303" i="2"/>
  <c r="C303" i="2"/>
  <c r="H303" i="2"/>
  <c r="O303" i="2"/>
  <c r="S303" i="2"/>
  <c r="Q303" i="2"/>
  <c r="R303" i="2" s="1"/>
  <c r="P303" i="2" s="1"/>
  <c r="B304" i="2" s="1"/>
  <c r="D304" i="2"/>
  <c r="C304" i="2"/>
  <c r="E304" i="2"/>
  <c r="H304" i="2"/>
  <c r="G303" i="2" l="1"/>
  <c r="J305" i="2"/>
  <c r="C305" i="2"/>
  <c r="B305" i="2"/>
  <c r="D305" i="2"/>
  <c r="E305" i="2"/>
  <c r="L305" i="2"/>
  <c r="M305" i="2"/>
  <c r="A305" i="2"/>
  <c r="F305" i="2"/>
  <c r="N305" i="2"/>
  <c r="A306" i="2"/>
  <c r="Q305" i="2"/>
  <c r="R305" i="2" s="1"/>
  <c r="P305" i="2" s="1"/>
  <c r="B306" i="2" s="1"/>
  <c r="S305" i="2"/>
  <c r="H305" i="2"/>
  <c r="O305" i="2"/>
  <c r="E306" i="2"/>
  <c r="H306" i="2"/>
  <c r="C306" i="2"/>
  <c r="D306" i="2"/>
  <c r="G305" i="2" l="1"/>
  <c r="J307" i="2"/>
  <c r="B307" i="2"/>
  <c r="M307" i="2"/>
  <c r="E307" i="2"/>
  <c r="L307" i="2"/>
  <c r="D307" i="2"/>
  <c r="F307" i="2"/>
  <c r="A308" i="2"/>
  <c r="N307" i="2"/>
  <c r="A307" i="2"/>
  <c r="C307" i="2"/>
  <c r="S307" i="2"/>
  <c r="Q307" i="2"/>
  <c r="R307" i="2" s="1"/>
  <c r="P307" i="2" s="1"/>
  <c r="B308" i="2" s="1"/>
  <c r="O307" i="2"/>
  <c r="H307" i="2"/>
  <c r="H308" i="2"/>
  <c r="E308" i="2"/>
  <c r="C308" i="2"/>
  <c r="D308" i="2"/>
  <c r="G307" i="2" l="1"/>
  <c r="J309" i="2"/>
  <c r="A310" i="2"/>
  <c r="N309" i="2"/>
  <c r="B309" i="2"/>
  <c r="M309" i="2"/>
  <c r="A309" i="2"/>
  <c r="F309" i="2"/>
  <c r="C309" i="2"/>
  <c r="L309" i="2"/>
  <c r="D309" i="2"/>
  <c r="E309" i="2"/>
  <c r="H309" i="2"/>
  <c r="O309" i="2"/>
  <c r="Q309" i="2"/>
  <c r="R309" i="2" s="1"/>
  <c r="P309" i="2" s="1"/>
  <c r="B310" i="2" s="1"/>
  <c r="S309" i="2"/>
  <c r="D310" i="2"/>
  <c r="C310" i="2"/>
  <c r="H310" i="2"/>
  <c r="E310" i="2"/>
  <c r="G309" i="2" l="1"/>
  <c r="J311" i="2"/>
  <c r="D311" i="2"/>
  <c r="B311" i="2"/>
  <c r="N311" i="2"/>
  <c r="F311" i="2"/>
  <c r="C311" i="2"/>
  <c r="L311" i="2"/>
  <c r="A311" i="2"/>
  <c r="M311" i="2"/>
  <c r="E311" i="2"/>
  <c r="A312" i="2"/>
  <c r="Q311" i="2"/>
  <c r="R311" i="2" s="1"/>
  <c r="P311" i="2" s="1"/>
  <c r="B312" i="2" s="1"/>
  <c r="S311" i="2"/>
  <c r="H311" i="2"/>
  <c r="O311" i="2"/>
  <c r="E312" i="2"/>
  <c r="H312" i="2"/>
  <c r="C312" i="2"/>
  <c r="D312" i="2"/>
  <c r="G311" i="2" l="1"/>
  <c r="J313" i="2"/>
  <c r="E313" i="2"/>
  <c r="A314" i="2"/>
  <c r="N313" i="2"/>
  <c r="A313" i="2"/>
  <c r="B313" i="2"/>
  <c r="C313" i="2"/>
  <c r="L313" i="2"/>
  <c r="D313" i="2"/>
  <c r="F313" i="2"/>
  <c r="M313" i="2"/>
  <c r="O313" i="2"/>
  <c r="H313" i="2"/>
  <c r="S313" i="2"/>
  <c r="Q313" i="2"/>
  <c r="R313" i="2" s="1"/>
  <c r="P313" i="2" s="1"/>
  <c r="B314" i="2" s="1"/>
  <c r="D314" i="2"/>
  <c r="C314" i="2"/>
  <c r="H314" i="2"/>
  <c r="E314" i="2"/>
  <c r="G313" i="2" l="1"/>
  <c r="J315" i="2"/>
  <c r="A316" i="2"/>
  <c r="M315" i="2"/>
  <c r="A315" i="2"/>
  <c r="D315" i="2"/>
  <c r="E315" i="2"/>
  <c r="B315" i="2"/>
  <c r="F315" i="2"/>
  <c r="N315" i="2"/>
  <c r="L315" i="2"/>
  <c r="C315" i="2"/>
  <c r="S315" i="2"/>
  <c r="Q315" i="2"/>
  <c r="R315" i="2" s="1"/>
  <c r="P315" i="2" s="1"/>
  <c r="B316" i="2" s="1"/>
  <c r="H315" i="2"/>
  <c r="O315" i="2"/>
  <c r="H316" i="2"/>
  <c r="E316" i="2"/>
  <c r="D316" i="2"/>
  <c r="C316" i="2"/>
  <c r="G315" i="2" l="1"/>
  <c r="J317" i="2"/>
  <c r="B317" i="2"/>
  <c r="L317" i="2"/>
  <c r="F317" i="2"/>
  <c r="A317" i="2"/>
  <c r="C317" i="2"/>
  <c r="N317" i="2"/>
  <c r="M317" i="2"/>
  <c r="A318" i="2"/>
  <c r="D317" i="2"/>
  <c r="E317" i="2"/>
  <c r="Q317" i="2"/>
  <c r="R317" i="2" s="1"/>
  <c r="P317" i="2" s="1"/>
  <c r="B318" i="2" s="1"/>
  <c r="S317" i="2"/>
  <c r="H317" i="2"/>
  <c r="O317" i="2"/>
  <c r="E318" i="2"/>
  <c r="H318" i="2"/>
  <c r="D318" i="2"/>
  <c r="C318" i="2"/>
  <c r="G317" i="2" l="1"/>
  <c r="J319" i="2"/>
  <c r="N319" i="2"/>
  <c r="B319" i="2"/>
  <c r="C319" i="2"/>
  <c r="F319" i="2"/>
  <c r="M319" i="2"/>
  <c r="A319" i="2"/>
  <c r="L319" i="2"/>
  <c r="D319" i="2"/>
  <c r="E319" i="2"/>
  <c r="A320" i="2"/>
  <c r="H319" i="2"/>
  <c r="O319" i="2"/>
  <c r="S319" i="2"/>
  <c r="Q319" i="2"/>
  <c r="R319" i="2" s="1"/>
  <c r="P319" i="2" s="1"/>
  <c r="B320" i="2" s="1"/>
  <c r="C320" i="2"/>
  <c r="D320" i="2"/>
  <c r="E320" i="2"/>
  <c r="H320" i="2"/>
  <c r="G319" i="2" l="1"/>
  <c r="J321" i="2"/>
  <c r="N321" i="2"/>
  <c r="A322" i="2"/>
  <c r="B321" i="2"/>
  <c r="L321" i="2"/>
  <c r="A321" i="2"/>
  <c r="D321" i="2"/>
  <c r="C321" i="2"/>
  <c r="E321" i="2"/>
  <c r="F321" i="2"/>
  <c r="M321" i="2"/>
  <c r="O321" i="2"/>
  <c r="H321" i="2"/>
  <c r="S321" i="2"/>
  <c r="Q321" i="2"/>
  <c r="R321" i="2" s="1"/>
  <c r="P321" i="2" s="1"/>
  <c r="B322" i="2" s="1"/>
  <c r="C322" i="2"/>
  <c r="D322" i="2"/>
  <c r="H322" i="2"/>
  <c r="E322" i="2"/>
  <c r="G321" i="2" l="1"/>
  <c r="J323" i="2"/>
  <c r="F323" i="2"/>
  <c r="B323" i="2"/>
  <c r="M323" i="2"/>
  <c r="E323" i="2"/>
  <c r="L323" i="2"/>
  <c r="D323" i="2"/>
  <c r="A324" i="2"/>
  <c r="N323" i="2"/>
  <c r="A323" i="2"/>
  <c r="C323" i="2"/>
  <c r="S323" i="2"/>
  <c r="Q323" i="2"/>
  <c r="R323" i="2" s="1"/>
  <c r="P323" i="2" s="1"/>
  <c r="B324" i="2" s="1"/>
  <c r="H323" i="2"/>
  <c r="O323" i="2"/>
  <c r="E324" i="2"/>
  <c r="H324" i="2"/>
  <c r="D324" i="2"/>
  <c r="C324" i="2"/>
  <c r="G323" i="2" l="1"/>
  <c r="J325" i="2"/>
  <c r="N325" i="2"/>
  <c r="F325" i="2"/>
  <c r="C325" i="2"/>
  <c r="B325" i="2"/>
  <c r="M325" i="2"/>
  <c r="A325" i="2"/>
  <c r="A326" i="2"/>
  <c r="L325" i="2"/>
  <c r="D325" i="2"/>
  <c r="E325" i="2"/>
  <c r="H325" i="2"/>
  <c r="O325" i="2"/>
  <c r="S325" i="2"/>
  <c r="Q325" i="2"/>
  <c r="R325" i="2" s="1"/>
  <c r="P325" i="2" s="1"/>
  <c r="B326" i="2" s="1"/>
  <c r="C326" i="2"/>
  <c r="D326" i="2"/>
  <c r="H326" i="2"/>
  <c r="E326" i="2"/>
  <c r="G325" i="2" l="1"/>
  <c r="J327" i="2"/>
  <c r="D327" i="2"/>
  <c r="B327" i="2"/>
  <c r="N327" i="2"/>
  <c r="F327" i="2"/>
  <c r="C327" i="2"/>
  <c r="A327" i="2"/>
  <c r="L327" i="2"/>
  <c r="M327" i="2"/>
  <c r="E327" i="2"/>
  <c r="A328" i="2"/>
  <c r="Q327" i="2"/>
  <c r="R327" i="2" s="1"/>
  <c r="P327" i="2" s="1"/>
  <c r="B328" i="2" s="1"/>
  <c r="S327" i="2"/>
  <c r="H327" i="2"/>
  <c r="O327" i="2"/>
  <c r="E328" i="2"/>
  <c r="H328" i="2"/>
  <c r="C328" i="2"/>
  <c r="D328" i="2"/>
  <c r="G327" i="2" l="1"/>
  <c r="J329" i="2"/>
  <c r="L329" i="2"/>
  <c r="A329" i="2"/>
  <c r="B329" i="2"/>
  <c r="C329" i="2"/>
  <c r="N329" i="2"/>
  <c r="E329" i="2"/>
  <c r="A330" i="2"/>
  <c r="D329" i="2"/>
  <c r="F329" i="2"/>
  <c r="M329" i="2"/>
  <c r="S329" i="2"/>
  <c r="Q329" i="2"/>
  <c r="R329" i="2" s="1"/>
  <c r="P329" i="2" s="1"/>
  <c r="B330" i="2" s="1"/>
  <c r="H329" i="2"/>
  <c r="O329" i="2"/>
  <c r="E330" i="2"/>
  <c r="H330" i="2"/>
  <c r="C330" i="2"/>
  <c r="D330" i="2"/>
  <c r="G329" i="2" l="1"/>
  <c r="J331" i="2"/>
  <c r="A331" i="2"/>
  <c r="E331" i="2"/>
  <c r="D331" i="2"/>
  <c r="A332" i="2"/>
  <c r="M331" i="2"/>
  <c r="B331" i="2"/>
  <c r="F331" i="2"/>
  <c r="N331" i="2"/>
  <c r="L331" i="2"/>
  <c r="C331" i="2"/>
  <c r="S331" i="2"/>
  <c r="Q331" i="2"/>
  <c r="R331" i="2" s="1"/>
  <c r="P331" i="2" s="1"/>
  <c r="B332" i="2" s="1"/>
  <c r="O331" i="2"/>
  <c r="H331" i="2"/>
  <c r="E332" i="2"/>
  <c r="H332" i="2"/>
  <c r="C332" i="2"/>
  <c r="D332" i="2"/>
  <c r="G331" i="2" l="1"/>
  <c r="J333" i="2"/>
  <c r="C333" i="2"/>
  <c r="N333" i="2"/>
  <c r="B333" i="2"/>
  <c r="M333" i="2"/>
  <c r="L333" i="2"/>
  <c r="F333" i="2"/>
  <c r="A333" i="2"/>
  <c r="A334" i="2"/>
  <c r="D333" i="2"/>
  <c r="E333" i="2"/>
  <c r="H333" i="2"/>
  <c r="O333" i="2"/>
  <c r="Q333" i="2"/>
  <c r="R333" i="2" s="1"/>
  <c r="P333" i="2" s="1"/>
  <c r="B334" i="2" s="1"/>
  <c r="S333" i="2"/>
  <c r="C334" i="2"/>
  <c r="D334" i="2"/>
  <c r="H334" i="2"/>
  <c r="E334" i="2"/>
  <c r="G333" i="2" l="1"/>
  <c r="J335" i="2"/>
  <c r="N335" i="2"/>
  <c r="B335" i="2"/>
  <c r="F335" i="2"/>
  <c r="C335" i="2"/>
  <c r="L335" i="2"/>
  <c r="M335" i="2"/>
  <c r="A335" i="2"/>
  <c r="D335" i="2"/>
  <c r="E335" i="2"/>
  <c r="A336" i="2"/>
  <c r="H335" i="2"/>
  <c r="O335" i="2"/>
  <c r="S335" i="2"/>
  <c r="Q335" i="2"/>
  <c r="R335" i="2" s="1"/>
  <c r="P335" i="2" s="1"/>
  <c r="B336" i="2" s="1"/>
  <c r="D336" i="2"/>
  <c r="C336" i="2"/>
  <c r="H336" i="2"/>
  <c r="E336" i="2"/>
  <c r="G335" i="2" l="1"/>
  <c r="J337" i="2"/>
  <c r="D337" i="2"/>
  <c r="A338" i="2"/>
  <c r="L337" i="2"/>
  <c r="A337" i="2"/>
  <c r="N337" i="2"/>
  <c r="C337" i="2"/>
  <c r="B337" i="2"/>
  <c r="E337" i="2"/>
  <c r="F337" i="2"/>
  <c r="M337" i="2"/>
  <c r="H337" i="2"/>
  <c r="O337" i="2"/>
  <c r="Q337" i="2"/>
  <c r="R337" i="2" s="1"/>
  <c r="P337" i="2" s="1"/>
  <c r="B338" i="2" s="1"/>
  <c r="S337" i="2"/>
  <c r="D338" i="2"/>
  <c r="C338" i="2"/>
  <c r="E338" i="2"/>
  <c r="H338" i="2"/>
  <c r="G337" i="2" l="1"/>
  <c r="J339" i="2"/>
  <c r="M339" i="2"/>
  <c r="E339" i="2"/>
  <c r="D339" i="2"/>
  <c r="B339" i="2"/>
  <c r="A340" i="2"/>
  <c r="N339" i="2"/>
  <c r="L339" i="2"/>
  <c r="F339" i="2"/>
  <c r="A339" i="2"/>
  <c r="C339" i="2"/>
  <c r="S339" i="2"/>
  <c r="Q339" i="2"/>
  <c r="R339" i="2" s="1"/>
  <c r="P339" i="2" s="1"/>
  <c r="B340" i="2" s="1"/>
  <c r="O339" i="2"/>
  <c r="H339" i="2"/>
  <c r="E340" i="2"/>
  <c r="H340" i="2"/>
  <c r="D340" i="2"/>
  <c r="C340" i="2"/>
  <c r="G339" i="2" l="1"/>
  <c r="J341" i="2"/>
  <c r="C341" i="2"/>
  <c r="B341" i="2"/>
  <c r="M341" i="2"/>
  <c r="A341" i="2"/>
  <c r="A342" i="2"/>
  <c r="N341" i="2"/>
  <c r="F341" i="2"/>
  <c r="L341" i="2"/>
  <c r="D341" i="2"/>
  <c r="E341" i="2"/>
  <c r="S341" i="2"/>
  <c r="Q341" i="2"/>
  <c r="R341" i="2" s="1"/>
  <c r="P341" i="2" s="1"/>
  <c r="B342" i="2" s="1"/>
  <c r="H341" i="2"/>
  <c r="O341" i="2"/>
  <c r="H342" i="2"/>
  <c r="E342" i="2"/>
  <c r="C342" i="2"/>
  <c r="D342" i="2"/>
  <c r="G341" i="2" l="1"/>
  <c r="J343" i="2"/>
  <c r="C343" i="2"/>
  <c r="L343" i="2"/>
  <c r="D343" i="2"/>
  <c r="B343" i="2"/>
  <c r="N343" i="2"/>
  <c r="F343" i="2"/>
  <c r="A343" i="2"/>
  <c r="M343" i="2"/>
  <c r="E343" i="2"/>
  <c r="A344" i="2"/>
  <c r="Q343" i="2"/>
  <c r="R343" i="2" s="1"/>
  <c r="P343" i="2" s="1"/>
  <c r="B344" i="2" s="1"/>
  <c r="S343" i="2"/>
  <c r="H343" i="2"/>
  <c r="O343" i="2"/>
  <c r="H344" i="2"/>
  <c r="E344" i="2"/>
  <c r="C344" i="2"/>
  <c r="D344" i="2"/>
  <c r="G343" i="2" l="1"/>
  <c r="J345" i="2"/>
  <c r="N345" i="2"/>
  <c r="L345" i="2"/>
  <c r="B345" i="2"/>
  <c r="E345" i="2"/>
  <c r="A346" i="2"/>
  <c r="A345" i="2"/>
  <c r="C345" i="2"/>
  <c r="D345" i="2"/>
  <c r="F345" i="2"/>
  <c r="M345" i="2"/>
  <c r="H345" i="2"/>
  <c r="O345" i="2"/>
  <c r="S345" i="2"/>
  <c r="Q345" i="2"/>
  <c r="R345" i="2" s="1"/>
  <c r="P345" i="2" s="1"/>
  <c r="B346" i="2" s="1"/>
  <c r="C346" i="2"/>
  <c r="D346" i="2"/>
  <c r="H346" i="2"/>
  <c r="E346" i="2"/>
  <c r="G345" i="2" l="1"/>
  <c r="J347" i="2"/>
  <c r="A348" i="2"/>
  <c r="M347" i="2"/>
  <c r="A347" i="2"/>
  <c r="E347" i="2"/>
  <c r="D347" i="2"/>
  <c r="B347" i="2"/>
  <c r="F347" i="2"/>
  <c r="N347" i="2"/>
  <c r="L347" i="2"/>
  <c r="C347" i="2"/>
  <c r="S347" i="2"/>
  <c r="Q347" i="2"/>
  <c r="R347" i="2" s="1"/>
  <c r="P347" i="2" s="1"/>
  <c r="B348" i="2" s="1"/>
  <c r="H347" i="2"/>
  <c r="O347" i="2"/>
  <c r="E348" i="2"/>
  <c r="H348" i="2"/>
  <c r="D348" i="2"/>
  <c r="C348" i="2"/>
  <c r="G347" i="2" l="1"/>
  <c r="J349" i="2"/>
  <c r="B349" i="2"/>
  <c r="N349" i="2"/>
  <c r="L349" i="2"/>
  <c r="M349" i="2"/>
  <c r="D349" i="2"/>
  <c r="E349" i="2"/>
  <c r="C349" i="2"/>
  <c r="A350" i="2"/>
  <c r="F349" i="2"/>
  <c r="A349" i="2"/>
  <c r="Q349" i="2"/>
  <c r="R349" i="2" s="1"/>
  <c r="P349" i="2" s="1"/>
  <c r="B350" i="2" s="1"/>
  <c r="S349" i="2"/>
  <c r="O349" i="2"/>
  <c r="H349" i="2"/>
  <c r="H350" i="2"/>
  <c r="E350" i="2"/>
  <c r="C350" i="2"/>
  <c r="D350" i="2"/>
  <c r="G349" i="2" l="1"/>
  <c r="J351" i="2"/>
  <c r="N351" i="2"/>
  <c r="B351" i="2"/>
  <c r="C351" i="2"/>
  <c r="F351" i="2"/>
  <c r="M351" i="2"/>
  <c r="A351" i="2"/>
  <c r="L351" i="2"/>
  <c r="D351" i="2"/>
  <c r="E351" i="2"/>
  <c r="A352" i="2"/>
  <c r="H351" i="2"/>
  <c r="O351" i="2"/>
  <c r="Q351" i="2"/>
  <c r="R351" i="2" s="1"/>
  <c r="P351" i="2" s="1"/>
  <c r="B352" i="2" s="1"/>
  <c r="S351" i="2"/>
  <c r="D352" i="2"/>
  <c r="C352" i="2"/>
  <c r="H352" i="2"/>
  <c r="E352" i="2"/>
  <c r="G351" i="2" l="1"/>
  <c r="J353" i="2"/>
  <c r="L353" i="2"/>
  <c r="A353" i="2"/>
  <c r="A354" i="2"/>
  <c r="D353" i="2"/>
  <c r="N353" i="2"/>
  <c r="B353" i="2"/>
  <c r="C353" i="2"/>
  <c r="E353" i="2"/>
  <c r="F353" i="2"/>
  <c r="M353" i="2"/>
  <c r="H353" i="2"/>
  <c r="O353" i="2"/>
  <c r="S353" i="2"/>
  <c r="Q353" i="2"/>
  <c r="R353" i="2" s="1"/>
  <c r="P353" i="2" s="1"/>
  <c r="B354" i="2" s="1"/>
  <c r="C354" i="2"/>
  <c r="D354" i="2"/>
  <c r="E354" i="2"/>
  <c r="H354" i="2"/>
  <c r="G353" i="2" l="1"/>
  <c r="J355" i="2"/>
  <c r="M355" i="2"/>
  <c r="E355" i="2"/>
  <c r="D355" i="2"/>
  <c r="F355" i="2"/>
  <c r="A356" i="2"/>
  <c r="N355" i="2"/>
  <c r="B355" i="2"/>
  <c r="L355" i="2"/>
  <c r="A355" i="2"/>
  <c r="C355" i="2"/>
  <c r="H355" i="2"/>
  <c r="O355" i="2"/>
  <c r="S355" i="2"/>
  <c r="Q355" i="2"/>
  <c r="R355" i="2" s="1"/>
  <c r="P355" i="2" s="1"/>
  <c r="B356" i="2" s="1"/>
  <c r="C356" i="2"/>
  <c r="D356" i="2"/>
  <c r="E356" i="2"/>
  <c r="H356" i="2"/>
  <c r="G355" i="2" l="1"/>
  <c r="J357" i="2"/>
  <c r="A358" i="2"/>
  <c r="N357" i="2"/>
  <c r="F357" i="2"/>
  <c r="C357" i="2"/>
  <c r="B357" i="2"/>
  <c r="M357" i="2"/>
  <c r="A357" i="2"/>
  <c r="L357" i="2"/>
  <c r="D357" i="2"/>
  <c r="E357" i="2"/>
  <c r="H357" i="2"/>
  <c r="O357" i="2"/>
  <c r="S357" i="2"/>
  <c r="Q357" i="2"/>
  <c r="R357" i="2" s="1"/>
  <c r="P357" i="2" s="1"/>
  <c r="B358" i="2" s="1"/>
  <c r="C358" i="2"/>
  <c r="D358" i="2"/>
  <c r="E358" i="2"/>
  <c r="H358" i="2"/>
  <c r="G357" i="2" l="1"/>
  <c r="J359" i="2"/>
  <c r="D359" i="2"/>
  <c r="N359" i="2"/>
  <c r="B359" i="2"/>
  <c r="F359" i="2"/>
  <c r="C359" i="2"/>
  <c r="A359" i="2"/>
  <c r="L359" i="2"/>
  <c r="M359" i="2"/>
  <c r="E359" i="2"/>
  <c r="A360" i="2"/>
  <c r="O359" i="2"/>
  <c r="H359" i="2"/>
  <c r="Q359" i="2"/>
  <c r="R359" i="2" s="1"/>
  <c r="P359" i="2" s="1"/>
  <c r="B360" i="2" s="1"/>
  <c r="S359" i="2"/>
  <c r="C360" i="2"/>
  <c r="D360" i="2"/>
  <c r="H360" i="2"/>
  <c r="E360" i="2"/>
  <c r="G359" i="2" l="1"/>
  <c r="J361" i="2"/>
  <c r="N361" i="2"/>
  <c r="A362" i="2"/>
  <c r="E361" i="2"/>
  <c r="A361" i="2"/>
  <c r="B361" i="2"/>
  <c r="C361" i="2"/>
  <c r="L361" i="2"/>
  <c r="D361" i="2"/>
  <c r="F361" i="2"/>
  <c r="M361" i="2"/>
  <c r="H361" i="2"/>
  <c r="O361" i="2"/>
  <c r="S361" i="2"/>
  <c r="Q361" i="2"/>
  <c r="R361" i="2" s="1"/>
  <c r="P361" i="2" s="1"/>
  <c r="B362" i="2" s="1"/>
  <c r="D362" i="2"/>
  <c r="C362" i="2"/>
  <c r="E362" i="2"/>
  <c r="H362" i="2"/>
  <c r="G361" i="2" l="1"/>
  <c r="J363" i="2"/>
  <c r="M363" i="2"/>
  <c r="E363" i="2"/>
  <c r="D363" i="2"/>
  <c r="B363" i="2"/>
  <c r="N363" i="2"/>
  <c r="A364" i="2"/>
  <c r="A363" i="2"/>
  <c r="F363" i="2"/>
  <c r="L363" i="2"/>
  <c r="C363" i="2"/>
  <c r="S363" i="2"/>
  <c r="Q363" i="2"/>
  <c r="R363" i="2" s="1"/>
  <c r="P363" i="2" s="1"/>
  <c r="B364" i="2" s="1"/>
  <c r="H363" i="2"/>
  <c r="O363" i="2"/>
  <c r="H364" i="2"/>
  <c r="E364" i="2"/>
  <c r="D364" i="2"/>
  <c r="C364" i="2"/>
  <c r="G363" i="2" l="1"/>
  <c r="J365" i="2"/>
  <c r="M365" i="2"/>
  <c r="C365" i="2"/>
  <c r="N365" i="2"/>
  <c r="A366" i="2"/>
  <c r="B365" i="2"/>
  <c r="F365" i="2"/>
  <c r="A365" i="2"/>
  <c r="L365" i="2"/>
  <c r="D365" i="2"/>
  <c r="E365" i="2"/>
  <c r="H365" i="2"/>
  <c r="O365" i="2"/>
  <c r="S365" i="2"/>
  <c r="Q365" i="2"/>
  <c r="R365" i="2" s="1"/>
  <c r="P365" i="2" s="1"/>
  <c r="B366" i="2" s="1"/>
  <c r="C366" i="2"/>
  <c r="D366" i="2"/>
  <c r="E366" i="2"/>
  <c r="H366" i="2"/>
  <c r="G365" i="2" l="1"/>
  <c r="J367" i="2"/>
  <c r="N367" i="2"/>
  <c r="B367" i="2"/>
  <c r="C367" i="2"/>
  <c r="F367" i="2"/>
  <c r="M367" i="2"/>
  <c r="A367" i="2"/>
  <c r="L367" i="2"/>
  <c r="D367" i="2"/>
  <c r="E367" i="2"/>
  <c r="A368" i="2"/>
  <c r="H367" i="2"/>
  <c r="O367" i="2"/>
  <c r="S367" i="2"/>
  <c r="Q367" i="2"/>
  <c r="R367" i="2" s="1"/>
  <c r="P367" i="2" s="1"/>
  <c r="B368" i="2" s="1"/>
  <c r="C368" i="2"/>
  <c r="D368" i="2"/>
  <c r="H368" i="2"/>
  <c r="E368" i="2"/>
  <c r="G367" i="2" l="1"/>
  <c r="J369" i="2"/>
  <c r="L369" i="2"/>
  <c r="D369" i="2"/>
  <c r="A369" i="2"/>
  <c r="A370" i="2"/>
  <c r="B369" i="2"/>
  <c r="N369" i="2"/>
  <c r="C369" i="2"/>
  <c r="E369" i="2"/>
  <c r="F369" i="2"/>
  <c r="M369" i="2"/>
  <c r="Q369" i="2"/>
  <c r="R369" i="2" s="1"/>
  <c r="P369" i="2" s="1"/>
  <c r="B370" i="2" s="1"/>
  <c r="S369" i="2"/>
  <c r="H369" i="2"/>
  <c r="O369" i="2"/>
  <c r="E370" i="2"/>
  <c r="H370" i="2"/>
  <c r="D370" i="2"/>
  <c r="C370" i="2"/>
  <c r="G369" i="2" l="1"/>
  <c r="J371" i="2"/>
  <c r="B371" i="2"/>
  <c r="E371" i="2"/>
  <c r="D371" i="2"/>
  <c r="F371" i="2"/>
  <c r="A372" i="2"/>
  <c r="N371" i="2"/>
  <c r="M371" i="2"/>
  <c r="L371" i="2"/>
  <c r="A371" i="2"/>
  <c r="C371" i="2"/>
  <c r="S371" i="2"/>
  <c r="Q371" i="2"/>
  <c r="R371" i="2" s="1"/>
  <c r="P371" i="2" s="1"/>
  <c r="B372" i="2" s="1"/>
  <c r="O371" i="2"/>
  <c r="H371" i="2"/>
  <c r="E372" i="2"/>
  <c r="H372" i="2"/>
  <c r="D372" i="2"/>
  <c r="C372" i="2"/>
  <c r="G371" i="2" l="1"/>
  <c r="J373" i="2"/>
  <c r="A374" i="2"/>
  <c r="N373" i="2"/>
  <c r="F373" i="2"/>
  <c r="C373" i="2"/>
  <c r="B373" i="2"/>
  <c r="M373" i="2"/>
  <c r="A373" i="2"/>
  <c r="L373" i="2"/>
  <c r="D373" i="2"/>
  <c r="E373" i="2"/>
  <c r="H373" i="2"/>
  <c r="O373" i="2"/>
  <c r="S373" i="2"/>
  <c r="Q373" i="2"/>
  <c r="R373" i="2" s="1"/>
  <c r="P373" i="2" s="1"/>
  <c r="B374" i="2" s="1"/>
  <c r="C374" i="2"/>
  <c r="D374" i="2"/>
  <c r="H374" i="2"/>
  <c r="E374" i="2"/>
  <c r="G373" i="2" l="1"/>
  <c r="J375" i="2"/>
  <c r="D375" i="2"/>
  <c r="B375" i="2"/>
  <c r="L375" i="2"/>
  <c r="N375" i="2"/>
  <c r="F375" i="2"/>
  <c r="C375" i="2"/>
  <c r="A375" i="2"/>
  <c r="M375" i="2"/>
  <c r="E375" i="2"/>
  <c r="A376" i="2"/>
  <c r="Q375" i="2"/>
  <c r="R375" i="2" s="1"/>
  <c r="P375" i="2" s="1"/>
  <c r="B376" i="2" s="1"/>
  <c r="S375" i="2"/>
  <c r="O375" i="2"/>
  <c r="H375" i="2"/>
  <c r="E376" i="2"/>
  <c r="H376" i="2"/>
  <c r="C376" i="2"/>
  <c r="D376" i="2"/>
  <c r="G375" i="2" l="1"/>
  <c r="J377" i="2"/>
  <c r="L377" i="2"/>
  <c r="E377" i="2"/>
  <c r="A378" i="2"/>
  <c r="N377" i="2"/>
  <c r="A377" i="2"/>
  <c r="B377" i="2"/>
  <c r="C377" i="2"/>
  <c r="D377" i="2"/>
  <c r="F377" i="2"/>
  <c r="M377" i="2"/>
  <c r="H377" i="2"/>
  <c r="O377" i="2"/>
  <c r="S377" i="2"/>
  <c r="Q377" i="2"/>
  <c r="R377" i="2" s="1"/>
  <c r="P377" i="2" s="1"/>
  <c r="B378" i="2" s="1"/>
  <c r="C378" i="2"/>
  <c r="D378" i="2"/>
  <c r="E378" i="2"/>
  <c r="H378" i="2"/>
  <c r="G377" i="2" l="1"/>
  <c r="J379" i="2"/>
  <c r="E379" i="2"/>
  <c r="D379" i="2"/>
  <c r="A380" i="2"/>
  <c r="B379" i="2"/>
  <c r="F379" i="2"/>
  <c r="N379" i="2"/>
  <c r="M379" i="2"/>
  <c r="A379" i="2"/>
  <c r="L379" i="2"/>
  <c r="C379" i="2"/>
  <c r="S379" i="2"/>
  <c r="Q379" i="2"/>
  <c r="R379" i="2" s="1"/>
  <c r="P379" i="2" s="1"/>
  <c r="B380" i="2" s="1"/>
  <c r="H379" i="2"/>
  <c r="O379" i="2"/>
  <c r="E380" i="2"/>
  <c r="H380" i="2"/>
  <c r="D380" i="2"/>
  <c r="C380" i="2"/>
  <c r="G379" i="2" l="1"/>
  <c r="J381" i="2"/>
  <c r="C381" i="2"/>
  <c r="N381" i="2"/>
  <c r="L381" i="2"/>
  <c r="F381" i="2"/>
  <c r="A381" i="2"/>
  <c r="B381" i="2"/>
  <c r="M381" i="2"/>
  <c r="A382" i="2"/>
  <c r="D381" i="2"/>
  <c r="E381" i="2"/>
  <c r="H381" i="2"/>
  <c r="O381" i="2"/>
  <c r="S381" i="2"/>
  <c r="Q381" i="2"/>
  <c r="R381" i="2" s="1"/>
  <c r="P381" i="2" s="1"/>
  <c r="B382" i="2" s="1"/>
  <c r="C382" i="2"/>
  <c r="D382" i="2"/>
  <c r="E382" i="2"/>
  <c r="H382" i="2"/>
  <c r="G381" i="2" l="1"/>
  <c r="J383" i="2"/>
  <c r="B383" i="2"/>
  <c r="C383" i="2"/>
  <c r="F383" i="2"/>
  <c r="M383" i="2"/>
  <c r="A383" i="2"/>
  <c r="L383" i="2"/>
  <c r="N383" i="2"/>
  <c r="D383" i="2"/>
  <c r="E383" i="2"/>
  <c r="A384" i="2"/>
  <c r="Q383" i="2"/>
  <c r="R383" i="2" s="1"/>
  <c r="P383" i="2" s="1"/>
  <c r="B384" i="2" s="1"/>
  <c r="S383" i="2"/>
  <c r="O383" i="2"/>
  <c r="H383" i="2"/>
  <c r="H384" i="2"/>
  <c r="E384" i="2"/>
  <c r="C384" i="2"/>
  <c r="D384" i="2"/>
  <c r="G383" i="2" l="1"/>
  <c r="J385" i="2"/>
  <c r="A386" i="2"/>
  <c r="L385" i="2"/>
  <c r="N385" i="2"/>
  <c r="A385" i="2"/>
  <c r="D385" i="2"/>
  <c r="B385" i="2"/>
  <c r="C385" i="2"/>
  <c r="E385" i="2"/>
  <c r="F385" i="2"/>
  <c r="M385" i="2"/>
  <c r="H385" i="2"/>
  <c r="O385" i="2"/>
  <c r="Q385" i="2"/>
  <c r="R385" i="2" s="1"/>
  <c r="P385" i="2" s="1"/>
  <c r="B386" i="2" s="1"/>
  <c r="S385" i="2"/>
  <c r="C386" i="2"/>
  <c r="D386" i="2"/>
  <c r="E386" i="2"/>
  <c r="H386" i="2"/>
  <c r="G385" i="2" l="1"/>
  <c r="J387" i="2"/>
  <c r="D387" i="2"/>
  <c r="B387" i="2"/>
  <c r="M387" i="2"/>
  <c r="E387" i="2"/>
  <c r="L387" i="2"/>
  <c r="F387" i="2"/>
  <c r="A388" i="2"/>
  <c r="N387" i="2"/>
  <c r="A387" i="2"/>
  <c r="C387" i="2"/>
  <c r="S387" i="2"/>
  <c r="Q387" i="2"/>
  <c r="R387" i="2" s="1"/>
  <c r="P387" i="2" s="1"/>
  <c r="B388" i="2" s="1"/>
  <c r="H387" i="2"/>
  <c r="O387" i="2"/>
  <c r="E388" i="2"/>
  <c r="H388" i="2"/>
  <c r="D388" i="2"/>
  <c r="C388" i="2"/>
  <c r="G387" i="2" l="1"/>
  <c r="J389" i="2"/>
  <c r="A390" i="2"/>
  <c r="N389" i="2"/>
  <c r="F389" i="2"/>
  <c r="C389" i="2"/>
  <c r="B389" i="2"/>
  <c r="M389" i="2"/>
  <c r="A389" i="2"/>
  <c r="L389" i="2"/>
  <c r="D389" i="2"/>
  <c r="E389" i="2"/>
  <c r="H389" i="2"/>
  <c r="O389" i="2"/>
  <c r="Q389" i="2"/>
  <c r="R389" i="2" s="1"/>
  <c r="P389" i="2" s="1"/>
  <c r="B390" i="2" s="1"/>
  <c r="S389" i="2"/>
  <c r="C390" i="2"/>
  <c r="D390" i="2"/>
  <c r="E390" i="2"/>
  <c r="H390" i="2"/>
  <c r="G389" i="2" l="1"/>
  <c r="J391" i="2"/>
  <c r="D391" i="2"/>
  <c r="B391" i="2"/>
  <c r="N391" i="2"/>
  <c r="F391" i="2"/>
  <c r="C391" i="2"/>
  <c r="A391" i="2"/>
  <c r="L391" i="2"/>
  <c r="M391" i="2"/>
  <c r="E391" i="2"/>
  <c r="A392" i="2"/>
  <c r="Q391" i="2"/>
  <c r="R391" i="2" s="1"/>
  <c r="P391" i="2" s="1"/>
  <c r="B392" i="2" s="1"/>
  <c r="S391" i="2"/>
  <c r="O391" i="2"/>
  <c r="H391" i="2"/>
  <c r="H392" i="2"/>
  <c r="E392" i="2"/>
  <c r="C392" i="2"/>
  <c r="D392" i="2"/>
  <c r="G391" i="2" l="1"/>
  <c r="J393" i="2"/>
  <c r="E393" i="2"/>
  <c r="A393" i="2"/>
  <c r="C393" i="2"/>
  <c r="N393" i="2"/>
  <c r="L393" i="2"/>
  <c r="A394" i="2"/>
  <c r="B393" i="2"/>
  <c r="D393" i="2"/>
  <c r="F393" i="2"/>
  <c r="M393" i="2"/>
  <c r="H393" i="2"/>
  <c r="O393" i="2"/>
  <c r="Q393" i="2"/>
  <c r="R393" i="2" s="1"/>
  <c r="P393" i="2" s="1"/>
  <c r="B394" i="2" s="1"/>
  <c r="S393" i="2"/>
  <c r="C394" i="2"/>
  <c r="D394" i="2"/>
  <c r="E394" i="2"/>
  <c r="H394" i="2"/>
  <c r="G393" i="2" l="1"/>
  <c r="J395" i="2"/>
  <c r="A396" i="2"/>
  <c r="M395" i="2"/>
  <c r="E395" i="2"/>
  <c r="D395" i="2"/>
  <c r="B395" i="2"/>
  <c r="F395" i="2"/>
  <c r="N395" i="2"/>
  <c r="A395" i="2"/>
  <c r="L395" i="2"/>
  <c r="C395" i="2"/>
  <c r="S395" i="2"/>
  <c r="Q395" i="2"/>
  <c r="R395" i="2" s="1"/>
  <c r="P395" i="2" s="1"/>
  <c r="B396" i="2" s="1"/>
  <c r="O395" i="2"/>
  <c r="H395" i="2"/>
  <c r="H396" i="2"/>
  <c r="E396" i="2"/>
  <c r="C396" i="2"/>
  <c r="D396" i="2"/>
  <c r="G395" i="2" l="1"/>
  <c r="J397" i="2"/>
  <c r="C397" i="2"/>
  <c r="N397" i="2"/>
  <c r="B397" i="2"/>
  <c r="M397" i="2"/>
  <c r="L397" i="2"/>
  <c r="F397" i="2"/>
  <c r="A397" i="2"/>
  <c r="A398" i="2"/>
  <c r="D397" i="2"/>
  <c r="E397" i="2"/>
  <c r="H397" i="2"/>
  <c r="O397" i="2"/>
  <c r="Q397" i="2"/>
  <c r="R397" i="2" s="1"/>
  <c r="P397" i="2" s="1"/>
  <c r="B398" i="2" s="1"/>
  <c r="S397" i="2"/>
  <c r="C398" i="2"/>
  <c r="D398" i="2"/>
  <c r="E398" i="2"/>
  <c r="H398" i="2"/>
  <c r="G397" i="2" l="1"/>
  <c r="J399" i="2"/>
  <c r="N399" i="2"/>
  <c r="B399" i="2"/>
  <c r="M399" i="2"/>
  <c r="F399" i="2"/>
  <c r="C399" i="2"/>
  <c r="A399" i="2"/>
  <c r="L399" i="2"/>
  <c r="D399" i="2"/>
  <c r="E399" i="2"/>
  <c r="A400" i="2"/>
  <c r="H399" i="2"/>
  <c r="O399" i="2"/>
  <c r="Q399" i="2"/>
  <c r="R399" i="2" s="1"/>
  <c r="P399" i="2" s="1"/>
  <c r="B400" i="2" s="1"/>
  <c r="S399" i="2"/>
  <c r="C400" i="2"/>
  <c r="D400" i="2"/>
  <c r="H400" i="2"/>
  <c r="E400" i="2"/>
  <c r="G399" i="2" l="1"/>
  <c r="J401" i="2"/>
  <c r="B401" i="2"/>
  <c r="C401" i="2"/>
  <c r="L401" i="2"/>
  <c r="N401" i="2"/>
  <c r="E401" i="2"/>
  <c r="D401" i="2"/>
  <c r="A401" i="2"/>
  <c r="A402" i="2"/>
  <c r="F401" i="2"/>
  <c r="M401" i="2"/>
  <c r="S401" i="2"/>
  <c r="Q401" i="2"/>
  <c r="R401" i="2" s="1"/>
  <c r="P401" i="2" s="1"/>
  <c r="B402" i="2" s="1"/>
  <c r="O401" i="2"/>
  <c r="H401" i="2"/>
  <c r="E402" i="2"/>
  <c r="H402" i="2"/>
  <c r="C402" i="2"/>
  <c r="D402" i="2"/>
  <c r="G401" i="2" l="1"/>
  <c r="J403" i="2"/>
  <c r="A403" i="2"/>
  <c r="C403" i="2"/>
  <c r="E403" i="2"/>
  <c r="B403" i="2"/>
  <c r="M403" i="2"/>
  <c r="L403" i="2"/>
  <c r="D403" i="2"/>
  <c r="F403" i="2"/>
  <c r="A404" i="2"/>
  <c r="N403" i="2"/>
  <c r="Q403" i="2"/>
  <c r="R403" i="2" s="1"/>
  <c r="P403" i="2" s="1"/>
  <c r="B404" i="2" s="1"/>
  <c r="S403" i="2"/>
  <c r="O403" i="2"/>
  <c r="H403" i="2"/>
  <c r="H404" i="2"/>
  <c r="E404" i="2"/>
  <c r="D404" i="2"/>
  <c r="C404" i="2"/>
  <c r="G403" i="2" l="1"/>
  <c r="J405" i="2"/>
  <c r="L405" i="2"/>
  <c r="A406" i="2"/>
  <c r="D405" i="2"/>
  <c r="B405" i="2"/>
  <c r="A405" i="2"/>
  <c r="N405" i="2"/>
  <c r="E405" i="2"/>
  <c r="M405" i="2"/>
  <c r="C405" i="2"/>
  <c r="F405" i="2"/>
  <c r="Q405" i="2"/>
  <c r="R405" i="2" s="1"/>
  <c r="P405" i="2" s="1"/>
  <c r="B406" i="2" s="1"/>
  <c r="S405" i="2"/>
  <c r="H405" i="2"/>
  <c r="O405" i="2"/>
  <c r="H406" i="2"/>
  <c r="E406" i="2"/>
  <c r="D406" i="2"/>
  <c r="C406" i="2"/>
  <c r="G405" i="2" l="1"/>
  <c r="J407" i="2"/>
  <c r="M407" i="2"/>
  <c r="N407" i="2"/>
  <c r="L407" i="2"/>
  <c r="E407" i="2"/>
  <c r="B407" i="2"/>
  <c r="D407" i="2"/>
  <c r="F407" i="2"/>
  <c r="C407" i="2"/>
  <c r="A407" i="2"/>
  <c r="A408" i="2"/>
  <c r="H407" i="2"/>
  <c r="O407" i="2"/>
  <c r="Q407" i="2"/>
  <c r="R407" i="2" s="1"/>
  <c r="P407" i="2" s="1"/>
  <c r="B408" i="2" s="1"/>
  <c r="S407" i="2"/>
  <c r="C408" i="2"/>
  <c r="D408" i="2"/>
  <c r="H408" i="2"/>
  <c r="E408" i="2"/>
  <c r="G407" i="2" l="1"/>
  <c r="J409" i="2"/>
  <c r="N409" i="2"/>
  <c r="L409" i="2"/>
  <c r="E409" i="2"/>
  <c r="A410" i="2"/>
  <c r="A409" i="2"/>
  <c r="B409" i="2"/>
  <c r="C409" i="2"/>
  <c r="D409" i="2"/>
  <c r="F409" i="2"/>
  <c r="M409" i="2"/>
  <c r="O409" i="2"/>
  <c r="Q409" i="2"/>
  <c r="R409" i="2" s="1"/>
  <c r="P409" i="2" s="1"/>
  <c r="B410" i="2" s="1"/>
  <c r="S409" i="2"/>
  <c r="C410" i="2"/>
  <c r="D410" i="2"/>
  <c r="E410" i="2"/>
  <c r="H410" i="2"/>
  <c r="G409" i="2" l="1"/>
  <c r="H409" i="2"/>
  <c r="J411" i="2"/>
  <c r="A411" i="2"/>
  <c r="A412" i="2"/>
  <c r="F411" i="2"/>
  <c r="M411" i="2"/>
  <c r="L411" i="2"/>
  <c r="E411" i="2"/>
  <c r="D411" i="2"/>
  <c r="N411" i="2"/>
  <c r="B411" i="2"/>
  <c r="C411" i="2"/>
  <c r="O411" i="2"/>
  <c r="H411" i="2"/>
  <c r="S411" i="2"/>
  <c r="Q411" i="2"/>
  <c r="R411" i="2" s="1"/>
  <c r="P411" i="2" s="1"/>
  <c r="B412" i="2" s="1"/>
  <c r="C412" i="2"/>
  <c r="D412" i="2"/>
  <c r="E412" i="2"/>
  <c r="H412" i="2"/>
  <c r="G411" i="2" l="1"/>
  <c r="J413" i="2"/>
  <c r="B413" i="2"/>
  <c r="L413" i="2"/>
  <c r="E413" i="2"/>
  <c r="M413" i="2"/>
  <c r="N413" i="2"/>
  <c r="C413" i="2"/>
  <c r="A414" i="2"/>
  <c r="A413" i="2"/>
  <c r="F413" i="2"/>
  <c r="D413" i="2"/>
  <c r="Q413" i="2"/>
  <c r="R413" i="2" s="1"/>
  <c r="P413" i="2" s="1"/>
  <c r="B414" i="2" s="1"/>
  <c r="S413" i="2"/>
  <c r="H413" i="2"/>
  <c r="O413" i="2"/>
  <c r="E414" i="2"/>
  <c r="H414" i="2"/>
  <c r="C414" i="2"/>
  <c r="D414" i="2"/>
  <c r="G413" i="2" l="1"/>
  <c r="J415" i="2"/>
  <c r="C415" i="2"/>
  <c r="F415" i="2"/>
  <c r="N415" i="2"/>
  <c r="B415" i="2"/>
  <c r="M415" i="2"/>
  <c r="A415" i="2"/>
  <c r="L415" i="2"/>
  <c r="D415" i="2"/>
  <c r="E415" i="2"/>
  <c r="A416" i="2"/>
  <c r="H415" i="2"/>
  <c r="O415" i="2"/>
  <c r="Q415" i="2"/>
  <c r="R415" i="2" s="1"/>
  <c r="P415" i="2" s="1"/>
  <c r="B416" i="2" s="1"/>
  <c r="S415" i="2"/>
  <c r="C416" i="2"/>
  <c r="D416" i="2"/>
  <c r="E416" i="2"/>
  <c r="H416" i="2"/>
  <c r="G415" i="2" l="1"/>
  <c r="J417" i="2"/>
  <c r="A417" i="2"/>
  <c r="L417" i="2"/>
  <c r="N417" i="2"/>
  <c r="E417" i="2"/>
  <c r="A418" i="2"/>
  <c r="B417" i="2"/>
  <c r="C417" i="2"/>
  <c r="D417" i="2"/>
  <c r="F417" i="2"/>
  <c r="M417" i="2"/>
  <c r="H417" i="2"/>
  <c r="O417" i="2"/>
  <c r="S417" i="2"/>
  <c r="Q417" i="2"/>
  <c r="R417" i="2" s="1"/>
  <c r="P417" i="2" s="1"/>
  <c r="B418" i="2" s="1"/>
  <c r="C418" i="2"/>
  <c r="D418" i="2"/>
  <c r="E418" i="2"/>
  <c r="H418" i="2"/>
  <c r="G417" i="2" l="1"/>
  <c r="J419" i="2"/>
  <c r="M419" i="2"/>
  <c r="A419" i="2"/>
  <c r="F419" i="2"/>
  <c r="L419" i="2"/>
  <c r="D419" i="2"/>
  <c r="E419" i="2"/>
  <c r="A420" i="2"/>
  <c r="N419" i="2"/>
  <c r="B419" i="2"/>
  <c r="C419" i="2"/>
  <c r="H419" i="2"/>
  <c r="O419" i="2"/>
  <c r="S419" i="2"/>
  <c r="Q419" i="2"/>
  <c r="R419" i="2" s="1"/>
  <c r="P419" i="2" s="1"/>
  <c r="B420" i="2" s="1"/>
  <c r="C420" i="2"/>
  <c r="D420" i="2"/>
  <c r="E420" i="2"/>
  <c r="H420" i="2"/>
  <c r="G419" i="2" l="1"/>
  <c r="J421" i="2"/>
  <c r="F421" i="2"/>
  <c r="N421" i="2"/>
  <c r="L421" i="2"/>
  <c r="C421" i="2"/>
  <c r="B421" i="2"/>
  <c r="M421" i="2"/>
  <c r="A421" i="2"/>
  <c r="A422" i="2"/>
  <c r="D421" i="2"/>
  <c r="E421" i="2"/>
  <c r="H421" i="2"/>
  <c r="O421" i="2"/>
  <c r="S421" i="2"/>
  <c r="Q421" i="2"/>
  <c r="R421" i="2" s="1"/>
  <c r="P421" i="2" s="1"/>
  <c r="B422" i="2" s="1"/>
  <c r="C422" i="2"/>
  <c r="D422" i="2"/>
  <c r="E422" i="2"/>
  <c r="H422" i="2"/>
  <c r="G421" i="2" l="1"/>
  <c r="J423" i="2"/>
  <c r="B423" i="2"/>
  <c r="C423" i="2"/>
  <c r="F423" i="2"/>
  <c r="M423" i="2"/>
  <c r="A423" i="2"/>
  <c r="L423" i="2"/>
  <c r="N423" i="2"/>
  <c r="D423" i="2"/>
  <c r="E423" i="2"/>
  <c r="A424" i="2"/>
  <c r="Q423" i="2"/>
  <c r="R423" i="2" s="1"/>
  <c r="P423" i="2" s="1"/>
  <c r="B424" i="2" s="1"/>
  <c r="S423" i="2"/>
  <c r="H423" i="2"/>
  <c r="O423" i="2"/>
  <c r="H424" i="2"/>
  <c r="E424" i="2"/>
  <c r="C424" i="2"/>
  <c r="D424" i="2"/>
  <c r="G423" i="2" l="1"/>
  <c r="J425" i="2"/>
  <c r="A425" i="2"/>
  <c r="L425" i="2"/>
  <c r="N425" i="2"/>
  <c r="E425" i="2"/>
  <c r="A426" i="2"/>
  <c r="B425" i="2"/>
  <c r="C425" i="2"/>
  <c r="D425" i="2"/>
  <c r="F425" i="2"/>
  <c r="M425" i="2"/>
  <c r="H425" i="2"/>
  <c r="O425" i="2"/>
  <c r="Q425" i="2"/>
  <c r="R425" i="2" s="1"/>
  <c r="P425" i="2" s="1"/>
  <c r="B426" i="2" s="1"/>
  <c r="S425" i="2"/>
  <c r="C426" i="2"/>
  <c r="D426" i="2"/>
  <c r="E426" i="2"/>
  <c r="H426" i="2"/>
  <c r="G425" i="2" l="1"/>
  <c r="J427" i="2"/>
  <c r="M427" i="2"/>
  <c r="L427" i="2"/>
  <c r="D427" i="2"/>
  <c r="A427" i="2"/>
  <c r="A428" i="2"/>
  <c r="N427" i="2"/>
  <c r="F427" i="2"/>
  <c r="E427" i="2"/>
  <c r="B427" i="2"/>
  <c r="C427" i="2"/>
  <c r="O427" i="2"/>
  <c r="H427" i="2"/>
  <c r="S427" i="2"/>
  <c r="Q427" i="2"/>
  <c r="R427" i="2" s="1"/>
  <c r="P427" i="2" s="1"/>
  <c r="B428" i="2" s="1"/>
  <c r="C428" i="2"/>
  <c r="D428" i="2"/>
  <c r="E428" i="2"/>
  <c r="H428" i="2"/>
  <c r="G427" i="2" l="1"/>
  <c r="J429" i="2"/>
  <c r="B429" i="2"/>
  <c r="C429" i="2"/>
  <c r="A430" i="2"/>
  <c r="L429" i="2"/>
  <c r="N429" i="2"/>
  <c r="M429" i="2"/>
  <c r="A429" i="2"/>
  <c r="F429" i="2"/>
  <c r="D429" i="2"/>
  <c r="E429" i="2"/>
  <c r="Q429" i="2"/>
  <c r="R429" i="2" s="1"/>
  <c r="P429" i="2" s="1"/>
  <c r="B430" i="2" s="1"/>
  <c r="S429" i="2"/>
  <c r="O429" i="2"/>
  <c r="H429" i="2"/>
  <c r="E430" i="2"/>
  <c r="H430" i="2"/>
  <c r="C430" i="2"/>
  <c r="D430" i="2"/>
  <c r="G429" i="2" l="1"/>
  <c r="J431" i="2"/>
  <c r="A432" i="2"/>
  <c r="N431" i="2"/>
  <c r="B431" i="2"/>
  <c r="M431" i="2"/>
  <c r="F431" i="2"/>
  <c r="C431" i="2"/>
  <c r="A431" i="2"/>
  <c r="L431" i="2"/>
  <c r="D431" i="2"/>
  <c r="E431" i="2"/>
  <c r="H431" i="2"/>
  <c r="O431" i="2"/>
  <c r="S431" i="2"/>
  <c r="Q431" i="2"/>
  <c r="R431" i="2" s="1"/>
  <c r="P431" i="2" s="1"/>
  <c r="B432" i="2" s="1"/>
  <c r="C432" i="2"/>
  <c r="D432" i="2"/>
  <c r="H432" i="2"/>
  <c r="E432" i="2"/>
  <c r="G431" i="2" l="1"/>
  <c r="J433" i="2"/>
  <c r="A433" i="2"/>
  <c r="L433" i="2"/>
  <c r="E433" i="2"/>
  <c r="A434" i="2"/>
  <c r="C433" i="2"/>
  <c r="D433" i="2"/>
  <c r="B433" i="2"/>
  <c r="N433" i="2"/>
  <c r="F433" i="2"/>
  <c r="M433" i="2"/>
  <c r="Q433" i="2"/>
  <c r="R433" i="2" s="1"/>
  <c r="P433" i="2" s="1"/>
  <c r="B434" i="2" s="1"/>
  <c r="S433" i="2"/>
  <c r="H433" i="2"/>
  <c r="O433" i="2"/>
  <c r="E434" i="2"/>
  <c r="H434" i="2"/>
  <c r="C434" i="2"/>
  <c r="D434" i="2"/>
  <c r="G433" i="2" l="1"/>
  <c r="J435" i="2"/>
  <c r="F435" i="2"/>
  <c r="M435" i="2"/>
  <c r="A435" i="2"/>
  <c r="L435" i="2"/>
  <c r="D435" i="2"/>
  <c r="A436" i="2"/>
  <c r="N435" i="2"/>
  <c r="E435" i="2"/>
  <c r="B435" i="2"/>
  <c r="C435" i="2"/>
  <c r="O435" i="2"/>
  <c r="H435" i="2"/>
  <c r="S435" i="2"/>
  <c r="Q435" i="2"/>
  <c r="R435" i="2" s="1"/>
  <c r="P435" i="2" s="1"/>
  <c r="B436" i="2" s="1"/>
  <c r="C436" i="2"/>
  <c r="D436" i="2"/>
  <c r="H436" i="2"/>
  <c r="E436" i="2"/>
  <c r="G435" i="2" l="1"/>
  <c r="J437" i="2"/>
  <c r="L437" i="2"/>
  <c r="N437" i="2"/>
  <c r="B437" i="2"/>
  <c r="C437" i="2"/>
  <c r="F437" i="2"/>
  <c r="M437" i="2"/>
  <c r="A437" i="2"/>
  <c r="A438" i="2"/>
  <c r="D437" i="2"/>
  <c r="E437" i="2"/>
  <c r="H437" i="2"/>
  <c r="O437" i="2"/>
  <c r="Q437" i="2"/>
  <c r="R437" i="2" s="1"/>
  <c r="P437" i="2" s="1"/>
  <c r="B438" i="2" s="1"/>
  <c r="S437" i="2"/>
  <c r="C438" i="2"/>
  <c r="D438" i="2"/>
  <c r="E438" i="2"/>
  <c r="H438" i="2"/>
  <c r="G437" i="2" l="1"/>
  <c r="J439" i="2"/>
  <c r="B439" i="2"/>
  <c r="M439" i="2"/>
  <c r="F439" i="2"/>
  <c r="N439" i="2"/>
  <c r="C439" i="2"/>
  <c r="A439" i="2"/>
  <c r="L439" i="2"/>
  <c r="D439" i="2"/>
  <c r="E439" i="2"/>
  <c r="A440" i="2"/>
  <c r="Q439" i="2"/>
  <c r="R439" i="2" s="1"/>
  <c r="P439" i="2" s="1"/>
  <c r="B440" i="2" s="1"/>
  <c r="S439" i="2"/>
  <c r="H439" i="2"/>
  <c r="O439" i="2"/>
  <c r="H440" i="2"/>
  <c r="E440" i="2"/>
  <c r="C440" i="2"/>
  <c r="D440" i="2"/>
  <c r="G439" i="2" l="1"/>
  <c r="J441" i="2"/>
  <c r="A441" i="2"/>
  <c r="L441" i="2"/>
  <c r="D441" i="2"/>
  <c r="E441" i="2"/>
  <c r="A442" i="2"/>
  <c r="N441" i="2"/>
  <c r="B441" i="2"/>
  <c r="C441" i="2"/>
  <c r="F441" i="2"/>
  <c r="M441" i="2"/>
  <c r="H441" i="2"/>
  <c r="O441" i="2"/>
  <c r="S441" i="2"/>
  <c r="Q441" i="2"/>
  <c r="R441" i="2" s="1"/>
  <c r="P441" i="2" s="1"/>
  <c r="B442" i="2" s="1"/>
  <c r="C442" i="2"/>
  <c r="D442" i="2"/>
  <c r="E442" i="2"/>
  <c r="H442" i="2"/>
  <c r="G441" i="2" l="1"/>
  <c r="J443" i="2"/>
  <c r="L443" i="2"/>
  <c r="D443" i="2"/>
  <c r="E443" i="2"/>
  <c r="A444" i="2"/>
  <c r="N443" i="2"/>
  <c r="F443" i="2"/>
  <c r="M443" i="2"/>
  <c r="A443" i="2"/>
  <c r="B443" i="2"/>
  <c r="C443" i="2"/>
  <c r="H443" i="2"/>
  <c r="O443" i="2"/>
  <c r="S443" i="2"/>
  <c r="Q443" i="2"/>
  <c r="R443" i="2" s="1"/>
  <c r="P443" i="2" s="1"/>
  <c r="B444" i="2" s="1"/>
  <c r="D444" i="2"/>
  <c r="C444" i="2"/>
  <c r="E444" i="2"/>
  <c r="H444" i="2"/>
  <c r="G443" i="2" l="1"/>
  <c r="J445" i="2"/>
  <c r="A446" i="2"/>
  <c r="N445" i="2"/>
  <c r="F445" i="2"/>
  <c r="C445" i="2"/>
  <c r="L445" i="2"/>
  <c r="M445" i="2"/>
  <c r="A445" i="2"/>
  <c r="B445" i="2"/>
  <c r="D445" i="2"/>
  <c r="E445" i="2"/>
  <c r="H445" i="2"/>
  <c r="O445" i="2"/>
  <c r="Q445" i="2"/>
  <c r="R445" i="2" s="1"/>
  <c r="P445" i="2" s="1"/>
  <c r="B446" i="2" s="1"/>
  <c r="S445" i="2"/>
  <c r="D446" i="2"/>
  <c r="C446" i="2"/>
  <c r="H446" i="2"/>
  <c r="E446" i="2"/>
  <c r="G445" i="2" l="1"/>
  <c r="J447" i="2"/>
  <c r="N447" i="2"/>
  <c r="B447" i="2"/>
  <c r="C447" i="2"/>
  <c r="F447" i="2"/>
  <c r="M447" i="2"/>
  <c r="A447" i="2"/>
  <c r="L447" i="2"/>
  <c r="D447" i="2"/>
  <c r="E447" i="2"/>
  <c r="A448" i="2"/>
  <c r="H447" i="2"/>
  <c r="O447" i="2"/>
  <c r="S447" i="2"/>
  <c r="Q447" i="2"/>
  <c r="R447" i="2" s="1"/>
  <c r="P447" i="2" s="1"/>
  <c r="B448" i="2" s="1"/>
  <c r="C448" i="2"/>
  <c r="D448" i="2"/>
  <c r="H448" i="2"/>
  <c r="E448" i="2"/>
  <c r="G447" i="2" l="1"/>
  <c r="J449" i="2"/>
  <c r="N449" i="2"/>
  <c r="A449" i="2"/>
  <c r="L449" i="2"/>
  <c r="B449" i="2"/>
  <c r="C449" i="2"/>
  <c r="E449" i="2"/>
  <c r="A450" i="2"/>
  <c r="D449" i="2"/>
  <c r="F449" i="2"/>
  <c r="M449" i="2"/>
  <c r="H449" i="2"/>
  <c r="O449" i="2"/>
  <c r="S449" i="2"/>
  <c r="Q449" i="2"/>
  <c r="R449" i="2" s="1"/>
  <c r="P449" i="2" s="1"/>
  <c r="B450" i="2" s="1"/>
  <c r="D450" i="2"/>
  <c r="C450" i="2"/>
  <c r="E450" i="2"/>
  <c r="H450" i="2"/>
  <c r="G449" i="2" l="1"/>
  <c r="J451" i="2"/>
  <c r="C451" i="2"/>
  <c r="F451" i="2"/>
  <c r="M451" i="2"/>
  <c r="A451" i="2"/>
  <c r="L451" i="2"/>
  <c r="D451" i="2"/>
  <c r="E451" i="2"/>
  <c r="A452" i="2"/>
  <c r="N451" i="2"/>
  <c r="B451" i="2"/>
  <c r="H451" i="2"/>
  <c r="O451" i="2"/>
  <c r="Q451" i="2"/>
  <c r="R451" i="2" s="1"/>
  <c r="P451" i="2" s="1"/>
  <c r="B452" i="2" s="1"/>
  <c r="S451" i="2"/>
  <c r="C452" i="2"/>
  <c r="D452" i="2"/>
  <c r="H452" i="2"/>
  <c r="E452" i="2"/>
  <c r="G451" i="2" l="1"/>
  <c r="J453" i="2"/>
  <c r="L453" i="2"/>
  <c r="N453" i="2"/>
  <c r="C453" i="2"/>
  <c r="B453" i="2"/>
  <c r="M453" i="2"/>
  <c r="A453" i="2"/>
  <c r="F453" i="2"/>
  <c r="A454" i="2"/>
  <c r="D453" i="2"/>
  <c r="E453" i="2"/>
  <c r="H453" i="2"/>
  <c r="O453" i="2"/>
  <c r="S453" i="2"/>
  <c r="Q453" i="2"/>
  <c r="R453" i="2" s="1"/>
  <c r="P453" i="2" s="1"/>
  <c r="B454" i="2" s="1"/>
  <c r="C454" i="2"/>
  <c r="D454" i="2"/>
  <c r="E454" i="2"/>
  <c r="H454" i="2"/>
  <c r="G453" i="2" l="1"/>
  <c r="J455" i="2"/>
  <c r="N455" i="2"/>
  <c r="C455" i="2"/>
  <c r="F455" i="2"/>
  <c r="B455" i="2"/>
  <c r="M455" i="2"/>
  <c r="A455" i="2"/>
  <c r="L455" i="2"/>
  <c r="D455" i="2"/>
  <c r="E455" i="2"/>
  <c r="A456" i="2"/>
  <c r="H455" i="2"/>
  <c r="O455" i="2"/>
  <c r="Q455" i="2"/>
  <c r="R455" i="2" s="1"/>
  <c r="P455" i="2" s="1"/>
  <c r="B456" i="2" s="1"/>
  <c r="S455" i="2"/>
  <c r="C456" i="2"/>
  <c r="D456" i="2"/>
  <c r="H456" i="2"/>
  <c r="E456" i="2"/>
  <c r="G455" i="2" l="1"/>
  <c r="J457" i="2"/>
  <c r="L457" i="2"/>
  <c r="B457" i="2"/>
  <c r="C457" i="2"/>
  <c r="A457" i="2"/>
  <c r="E457" i="2"/>
  <c r="A458" i="2"/>
  <c r="N457" i="2"/>
  <c r="D457" i="2"/>
  <c r="F457" i="2"/>
  <c r="M457" i="2"/>
  <c r="S457" i="2"/>
  <c r="Q457" i="2"/>
  <c r="R457" i="2" s="1"/>
  <c r="P457" i="2" s="1"/>
  <c r="B458" i="2" s="1"/>
  <c r="H457" i="2"/>
  <c r="O457" i="2"/>
  <c r="E458" i="2"/>
  <c r="H458" i="2"/>
  <c r="C458" i="2"/>
  <c r="D458" i="2"/>
  <c r="G457" i="2" l="1"/>
  <c r="J459" i="2"/>
  <c r="F459" i="2"/>
  <c r="M459" i="2"/>
  <c r="E459" i="2"/>
  <c r="L459" i="2"/>
  <c r="D459" i="2"/>
  <c r="A459" i="2"/>
  <c r="A460" i="2"/>
  <c r="N459" i="2"/>
  <c r="B459" i="2"/>
  <c r="C459" i="2"/>
  <c r="O459" i="2"/>
  <c r="H459" i="2"/>
  <c r="Q459" i="2"/>
  <c r="R459" i="2" s="1"/>
  <c r="P459" i="2" s="1"/>
  <c r="B460" i="2" s="1"/>
  <c r="S459" i="2"/>
  <c r="C460" i="2"/>
  <c r="D460" i="2"/>
  <c r="E460" i="2"/>
  <c r="H460" i="2"/>
  <c r="G459" i="2" l="1"/>
  <c r="J461" i="2"/>
  <c r="L461" i="2"/>
  <c r="N461" i="2"/>
  <c r="A462" i="2"/>
  <c r="C461" i="2"/>
  <c r="A461" i="2"/>
  <c r="B461" i="2"/>
  <c r="M461" i="2"/>
  <c r="E461" i="2"/>
  <c r="F461" i="2"/>
  <c r="D461" i="2"/>
  <c r="H461" i="2"/>
  <c r="O461" i="2"/>
  <c r="Q461" i="2"/>
  <c r="R461" i="2" s="1"/>
  <c r="P461" i="2" s="1"/>
  <c r="B462" i="2" s="1"/>
  <c r="S461" i="2"/>
  <c r="C462" i="2"/>
  <c r="D462" i="2"/>
  <c r="E462" i="2"/>
  <c r="H462" i="2"/>
  <c r="G461" i="2" l="1"/>
  <c r="J463" i="2"/>
  <c r="N463" i="2"/>
  <c r="B463" i="2"/>
  <c r="M463" i="2"/>
  <c r="F463" i="2"/>
  <c r="A463" i="2"/>
  <c r="C463" i="2"/>
  <c r="L463" i="2"/>
  <c r="A464" i="2"/>
  <c r="D463" i="2"/>
  <c r="E463" i="2"/>
  <c r="H463" i="2"/>
  <c r="O463" i="2"/>
  <c r="Q463" i="2"/>
  <c r="R463" i="2" s="1"/>
  <c r="P463" i="2" s="1"/>
  <c r="B464" i="2" s="1"/>
  <c r="S463" i="2"/>
  <c r="C464" i="2"/>
  <c r="D464" i="2"/>
  <c r="E464" i="2"/>
  <c r="H464" i="2"/>
  <c r="G463" i="2" l="1"/>
  <c r="J465" i="2"/>
  <c r="F465" i="2"/>
  <c r="M465" i="2"/>
  <c r="N465" i="2"/>
  <c r="B465" i="2"/>
  <c r="C465" i="2"/>
  <c r="A465" i="2"/>
  <c r="E465" i="2"/>
  <c r="L465" i="2"/>
  <c r="D465" i="2"/>
  <c r="A466" i="2"/>
  <c r="H465" i="2"/>
  <c r="O465" i="2"/>
  <c r="S465" i="2"/>
  <c r="Q465" i="2"/>
  <c r="R465" i="2" s="1"/>
  <c r="P465" i="2" s="1"/>
  <c r="B466" i="2" s="1"/>
  <c r="D466" i="2"/>
  <c r="C466" i="2"/>
  <c r="H466" i="2"/>
  <c r="E466" i="2"/>
  <c r="G465" i="2" l="1"/>
  <c r="J467" i="2"/>
  <c r="A468" i="2"/>
  <c r="L467" i="2"/>
  <c r="A467" i="2"/>
  <c r="F467" i="2"/>
  <c r="N467" i="2"/>
  <c r="D467" i="2"/>
  <c r="M467" i="2"/>
  <c r="C467" i="2"/>
  <c r="B467" i="2"/>
  <c r="E467" i="2"/>
  <c r="H467" i="2"/>
  <c r="O467" i="2"/>
  <c r="Q467" i="2"/>
  <c r="R467" i="2" s="1"/>
  <c r="P467" i="2" s="1"/>
  <c r="B468" i="2" s="1"/>
  <c r="S467" i="2"/>
  <c r="D468" i="2"/>
  <c r="C468" i="2"/>
  <c r="E468" i="2"/>
  <c r="H468" i="2"/>
  <c r="G467" i="2" l="1"/>
  <c r="J469" i="2"/>
  <c r="D469" i="2"/>
  <c r="B469" i="2"/>
  <c r="C469" i="2"/>
  <c r="E469" i="2"/>
  <c r="F469" i="2"/>
  <c r="A469" i="2"/>
  <c r="M469" i="2"/>
  <c r="L469" i="2"/>
  <c r="N469" i="2"/>
  <c r="A470" i="2"/>
  <c r="Q469" i="2"/>
  <c r="R469" i="2" s="1"/>
  <c r="P469" i="2" s="1"/>
  <c r="B470" i="2" s="1"/>
  <c r="S469" i="2"/>
  <c r="H469" i="2"/>
  <c r="O469" i="2"/>
  <c r="H470" i="2"/>
  <c r="E470" i="2"/>
  <c r="D470" i="2"/>
  <c r="C470" i="2"/>
  <c r="G469" i="2" l="1"/>
  <c r="J471" i="2"/>
  <c r="F471" i="2"/>
  <c r="N471" i="2"/>
  <c r="C471" i="2"/>
  <c r="A471" i="2"/>
  <c r="A472" i="2"/>
  <c r="E471" i="2"/>
  <c r="D471" i="2"/>
  <c r="L471" i="2"/>
  <c r="B471" i="2"/>
  <c r="M471" i="2"/>
  <c r="H471" i="2"/>
  <c r="O471" i="2"/>
  <c r="S471" i="2"/>
  <c r="Q471" i="2"/>
  <c r="R471" i="2" s="1"/>
  <c r="P471" i="2" s="1"/>
  <c r="B472" i="2" s="1"/>
  <c r="D472" i="2"/>
  <c r="C472" i="2"/>
  <c r="E472" i="2"/>
  <c r="H472" i="2"/>
  <c r="G471" i="2" l="1"/>
  <c r="J473" i="2"/>
  <c r="A473" i="2"/>
  <c r="C473" i="2"/>
  <c r="F473" i="2"/>
  <c r="D473" i="2"/>
  <c r="E473" i="2"/>
  <c r="N473" i="2"/>
  <c r="B473" i="2"/>
  <c r="M473" i="2"/>
  <c r="L473" i="2"/>
  <c r="A474" i="2"/>
  <c r="O473" i="2"/>
  <c r="H473" i="2"/>
  <c r="Q473" i="2"/>
  <c r="R473" i="2" s="1"/>
  <c r="P473" i="2" s="1"/>
  <c r="B474" i="2" s="1"/>
  <c r="S473" i="2"/>
  <c r="C474" i="2"/>
  <c r="D474" i="2"/>
  <c r="E474" i="2"/>
  <c r="H474" i="2"/>
  <c r="G473" i="2" l="1"/>
  <c r="J475" i="2"/>
  <c r="C475" i="2"/>
  <c r="N475" i="2"/>
  <c r="B475" i="2"/>
  <c r="M475" i="2"/>
  <c r="L475" i="2"/>
  <c r="F475" i="2"/>
  <c r="A475" i="2"/>
  <c r="A476" i="2"/>
  <c r="D475" i="2"/>
  <c r="E475" i="2"/>
  <c r="H475" i="2"/>
  <c r="O475" i="2"/>
  <c r="Q475" i="2"/>
  <c r="R475" i="2" s="1"/>
  <c r="P475" i="2" s="1"/>
  <c r="B476" i="2" s="1"/>
  <c r="S475" i="2"/>
  <c r="D476" i="2"/>
  <c r="C476" i="2"/>
  <c r="H476" i="2"/>
  <c r="E476" i="2"/>
  <c r="G475" i="2" l="1"/>
  <c r="J477" i="2"/>
  <c r="D477" i="2"/>
  <c r="C477" i="2"/>
  <c r="B477" i="2"/>
  <c r="N477" i="2"/>
  <c r="F477" i="2"/>
  <c r="A477" i="2"/>
  <c r="L477" i="2"/>
  <c r="M477" i="2"/>
  <c r="E477" i="2"/>
  <c r="A478" i="2"/>
  <c r="S477" i="2"/>
  <c r="Q477" i="2"/>
  <c r="R477" i="2" s="1"/>
  <c r="P477" i="2" s="1"/>
  <c r="B478" i="2" s="1"/>
  <c r="H477" i="2"/>
  <c r="O477" i="2"/>
  <c r="H478" i="2"/>
  <c r="E478" i="2"/>
  <c r="C478" i="2"/>
  <c r="D478" i="2"/>
  <c r="G477" i="2" l="1"/>
  <c r="J479" i="2"/>
  <c r="L479" i="2"/>
  <c r="A480" i="2"/>
  <c r="D479" i="2"/>
  <c r="E479" i="2"/>
  <c r="A479" i="2"/>
  <c r="B479" i="2"/>
  <c r="C479" i="2"/>
  <c r="N479" i="2"/>
  <c r="F479" i="2"/>
  <c r="M479" i="2"/>
  <c r="S479" i="2"/>
  <c r="Q479" i="2"/>
  <c r="R479" i="2" s="1"/>
  <c r="P479" i="2" s="1"/>
  <c r="B480" i="2" s="1"/>
  <c r="H479" i="2"/>
  <c r="O479" i="2"/>
  <c r="E480" i="2"/>
  <c r="H480" i="2"/>
  <c r="C480" i="2"/>
  <c r="D480" i="2"/>
  <c r="G479" i="2" l="1"/>
  <c r="J481" i="2"/>
  <c r="M481" i="2"/>
  <c r="E481" i="2"/>
  <c r="A482" i="2"/>
  <c r="F481" i="2"/>
  <c r="D481" i="2"/>
  <c r="B481" i="2"/>
  <c r="A481" i="2"/>
  <c r="N481" i="2"/>
  <c r="L481" i="2"/>
  <c r="C481" i="2"/>
  <c r="S481" i="2"/>
  <c r="Q481" i="2"/>
  <c r="R481" i="2" s="1"/>
  <c r="P481" i="2" s="1"/>
  <c r="B482" i="2" s="1"/>
  <c r="H481" i="2"/>
  <c r="O481" i="2"/>
  <c r="E482" i="2"/>
  <c r="H482" i="2"/>
  <c r="D482" i="2"/>
  <c r="C482" i="2"/>
  <c r="G481" i="2" l="1"/>
  <c r="J483" i="2"/>
  <c r="B483" i="2"/>
  <c r="N483" i="2"/>
  <c r="C483" i="2"/>
  <c r="L483" i="2"/>
  <c r="M483" i="2"/>
  <c r="A484" i="2"/>
  <c r="A483" i="2"/>
  <c r="F483" i="2"/>
  <c r="D483" i="2"/>
  <c r="E483" i="2"/>
  <c r="Q483" i="2"/>
  <c r="R483" i="2" s="1"/>
  <c r="P483" i="2" s="1"/>
  <c r="B484" i="2" s="1"/>
  <c r="S483" i="2"/>
  <c r="H483" i="2"/>
  <c r="O483" i="2"/>
  <c r="E484" i="2"/>
  <c r="H484" i="2"/>
  <c r="C484" i="2"/>
  <c r="D484" i="2"/>
  <c r="G483" i="2" l="1"/>
  <c r="J485" i="2"/>
  <c r="C485" i="2"/>
  <c r="B485" i="2"/>
  <c r="D485" i="2"/>
  <c r="M485" i="2"/>
  <c r="F485" i="2"/>
  <c r="N485" i="2"/>
  <c r="A485" i="2"/>
  <c r="L485" i="2"/>
  <c r="E485" i="2"/>
  <c r="A486" i="2"/>
  <c r="Q485" i="2"/>
  <c r="R485" i="2" s="1"/>
  <c r="P485" i="2" s="1"/>
  <c r="B486" i="2" s="1"/>
  <c r="S485" i="2"/>
  <c r="H485" i="2"/>
  <c r="O485" i="2"/>
  <c r="H486" i="2"/>
  <c r="E486" i="2"/>
  <c r="D486" i="2"/>
  <c r="C486" i="2"/>
  <c r="G485" i="2" l="1"/>
  <c r="J487" i="2"/>
  <c r="D487" i="2"/>
  <c r="L487" i="2"/>
  <c r="E487" i="2"/>
  <c r="N487" i="2"/>
  <c r="A488" i="2"/>
  <c r="B487" i="2"/>
  <c r="C487" i="2"/>
  <c r="A487" i="2"/>
  <c r="F487" i="2"/>
  <c r="M487" i="2"/>
  <c r="O487" i="2"/>
  <c r="H487" i="2"/>
  <c r="S487" i="2"/>
  <c r="Q487" i="2"/>
  <c r="R487" i="2" s="1"/>
  <c r="P487" i="2" s="1"/>
  <c r="B488" i="2" s="1"/>
  <c r="D488" i="2"/>
  <c r="C488" i="2"/>
  <c r="E488" i="2"/>
  <c r="H488" i="2"/>
  <c r="G487" i="2" l="1"/>
  <c r="J489" i="2"/>
  <c r="L489" i="2"/>
  <c r="M489" i="2"/>
  <c r="F489" i="2"/>
  <c r="A490" i="2"/>
  <c r="D489" i="2"/>
  <c r="A489" i="2"/>
  <c r="E489" i="2"/>
  <c r="N489" i="2"/>
  <c r="B489" i="2"/>
  <c r="C489" i="2"/>
  <c r="O489" i="2"/>
  <c r="H489" i="2"/>
  <c r="S489" i="2"/>
  <c r="Q489" i="2"/>
  <c r="R489" i="2" s="1"/>
  <c r="P489" i="2" s="1"/>
  <c r="B490" i="2" s="1"/>
  <c r="C490" i="2"/>
  <c r="D490" i="2"/>
  <c r="E490" i="2"/>
  <c r="H490" i="2"/>
  <c r="G489" i="2" l="1"/>
  <c r="J491" i="2"/>
  <c r="M491" i="2"/>
  <c r="C491" i="2"/>
  <c r="N491" i="2"/>
  <c r="B491" i="2"/>
  <c r="L491" i="2"/>
  <c r="F491" i="2"/>
  <c r="A491" i="2"/>
  <c r="A492" i="2"/>
  <c r="D491" i="2"/>
  <c r="E491" i="2"/>
  <c r="H491" i="2"/>
  <c r="O491" i="2"/>
  <c r="Q491" i="2"/>
  <c r="R491" i="2" s="1"/>
  <c r="P491" i="2" s="1"/>
  <c r="B492" i="2" s="1"/>
  <c r="S491" i="2"/>
  <c r="D492" i="2"/>
  <c r="C492" i="2"/>
  <c r="H492" i="2"/>
  <c r="E492" i="2"/>
  <c r="G491" i="2" l="1"/>
  <c r="J493" i="2"/>
  <c r="D493" i="2"/>
  <c r="B493" i="2"/>
  <c r="A493" i="2"/>
  <c r="N493" i="2"/>
  <c r="F493" i="2"/>
  <c r="C493" i="2"/>
  <c r="L493" i="2"/>
  <c r="M493" i="2"/>
  <c r="E493" i="2"/>
  <c r="A494" i="2"/>
  <c r="Q493" i="2"/>
  <c r="R493" i="2" s="1"/>
  <c r="P493" i="2" s="1"/>
  <c r="B494" i="2" s="1"/>
  <c r="S493" i="2"/>
  <c r="O493" i="2"/>
  <c r="H493" i="2"/>
  <c r="H494" i="2"/>
  <c r="E494" i="2"/>
  <c r="D494" i="2"/>
  <c r="C494" i="2"/>
  <c r="G493" i="2" l="1"/>
  <c r="J495" i="2"/>
  <c r="L495" i="2"/>
  <c r="A496" i="2"/>
  <c r="D495" i="2"/>
  <c r="B495" i="2"/>
  <c r="C495" i="2"/>
  <c r="E495" i="2"/>
  <c r="A495" i="2"/>
  <c r="N495" i="2"/>
  <c r="F495" i="2"/>
  <c r="M495" i="2"/>
  <c r="Q495" i="2"/>
  <c r="R495" i="2" s="1"/>
  <c r="P495" i="2" s="1"/>
  <c r="B496" i="2" s="1"/>
  <c r="S495" i="2"/>
  <c r="H495" i="2"/>
  <c r="O495" i="2"/>
  <c r="E496" i="2"/>
  <c r="H496" i="2"/>
  <c r="D496" i="2"/>
  <c r="C496" i="2"/>
  <c r="H5" i="2" l="1"/>
  <c r="H6" i="2"/>
  <c r="G495" i="2"/>
</calcChain>
</file>

<file path=xl/sharedStrings.xml><?xml version="1.0" encoding="utf-8"?>
<sst xmlns="http://schemas.openxmlformats.org/spreadsheetml/2006/main" count="31" uniqueCount="27">
  <si>
    <t>EAN13_traite.csv</t>
  </si>
  <si>
    <t>Requêteur de prix</t>
  </si>
  <si>
    <t>Code type : ex. EVS18</t>
  </si>
  <si>
    <t>Base fichier traité</t>
  </si>
  <si>
    <t>Fichier traité</t>
  </si>
  <si>
    <t>Base EAN13</t>
  </si>
  <si>
    <t>Catalogue</t>
  </si>
  <si>
    <t>Catalogue : ex. catalogo Spring 19</t>
  </si>
  <si>
    <t>base.EAN13.csv</t>
  </si>
  <si>
    <t>Code produit : ex. OBAGB, *PK06</t>
  </si>
  <si>
    <t>fall</t>
  </si>
  <si>
    <t>HLESCE01</t>
  </si>
  <si>
    <t>ecs00</t>
  </si>
  <si>
    <t>Offset initial</t>
  </si>
  <si>
    <t>Fichier Valmag EAN13</t>
  </si>
  <si>
    <t>EXPEAN13.csv</t>
  </si>
  <si>
    <t>Valmag EAN13</t>
  </si>
  <si>
    <t>Contrôle</t>
  </si>
  <si>
    <t>Fichier base catalogues</t>
  </si>
  <si>
    <t>Base catalogue</t>
  </si>
  <si>
    <t>Filtre catalogue :</t>
  </si>
  <si>
    <t>catalogo fall 19</t>
  </si>
  <si>
    <t>CodeBarre</t>
  </si>
  <si>
    <t>RefProduit</t>
  </si>
  <si>
    <t>Fichier filtre catalogue</t>
  </si>
  <si>
    <t>Filtre catalogue</t>
  </si>
  <si>
    <t>Premier produit du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</si>
</sst>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sz val="35"/>
      <color theme="1"/>
      <name val="Code EAN13"/>
      <charset val="2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0" fillId="2" borderId="0" xfId="0" applyFill="1"/>
    <xf numFmtId="0" fontId="0" fillId="3" borderId="1" xfId="0" applyFill="1" applyBorder="1"/>
    <xf numFmtId="44" fontId="0" fillId="4" borderId="0" xfId="1" applyFont="1" applyFill="1"/>
    <xf numFmtId="0" fontId="0" fillId="5" borderId="1" xfId="0" applyFill="1" applyBorder="1"/>
    <xf numFmtId="0" fontId="0" fillId="6" borderId="0" xfId="0" applyFill="1"/>
    <xf numFmtId="0" fontId="0" fillId="3" borderId="0" xfId="0" applyFill="1"/>
    <xf numFmtId="0" fontId="0" fillId="2" borderId="1" xfId="0" applyFill="1" applyBorder="1"/>
    <xf numFmtId="44" fontId="0" fillId="7" borderId="0" xfId="1" applyFont="1" applyFill="1"/>
    <xf numFmtId="0" fontId="0" fillId="3" borderId="1" xfId="0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3" borderId="0" xfId="0" applyFont="1" applyFill="1"/>
    <xf numFmtId="0" fontId="0" fillId="3" borderId="0" xfId="0" applyFill="1" applyProtection="1">
      <protection locked="0"/>
    </xf>
    <xf numFmtId="164" fontId="4" fillId="3" borderId="0" xfId="0" applyNumberFormat="1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" fontId="0" fillId="2" borderId="0" xfId="0" applyNumberFormat="1" applyFill="1"/>
    <xf numFmtId="0" fontId="0" fillId="2" borderId="2" xfId="0" applyFill="1" applyBorder="1"/>
    <xf numFmtId="0" fontId="2" fillId="2" borderId="0" xfId="0" applyFon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0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vertical="center"/>
    </xf>
    <xf numFmtId="0" fontId="8" fillId="3" borderId="0" xfId="0" applyFont="1" applyFill="1" applyAlignment="1">
      <alignment horizontal="right"/>
    </xf>
    <xf numFmtId="0" fontId="0" fillId="3" borderId="3" xfId="0" applyFill="1" applyBorder="1"/>
    <xf numFmtId="1" fontId="2" fillId="2" borderId="0" xfId="0" applyNumberFormat="1" applyFont="1" applyFill="1"/>
    <xf numFmtId="0" fontId="7" fillId="3" borderId="0" xfId="0" applyFont="1" applyFill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4" fillId="3" borderId="0" xfId="0" applyFont="1" applyFill="1"/>
    <xf numFmtId="0" fontId="5" fillId="3" borderId="0" xfId="0" applyFont="1" applyFill="1"/>
    <xf numFmtId="164" fontId="12" fillId="3" borderId="0" xfId="0" applyNumberFormat="1" applyFont="1" applyFill="1"/>
    <xf numFmtId="164" fontId="3" fillId="3" borderId="0" xfId="0" applyNumberFormat="1" applyFont="1" applyFill="1"/>
    <xf numFmtId="0" fontId="9" fillId="3" borderId="0" xfId="0" applyFont="1" applyFill="1" applyAlignment="1">
      <alignment horizontal="center"/>
    </xf>
    <xf numFmtId="164" fontId="5" fillId="3" borderId="0" xfId="0" applyNumberFormat="1" applyFont="1" applyFill="1"/>
    <xf numFmtId="0" fontId="6" fillId="3" borderId="0" xfId="0" applyFont="1" applyFill="1" applyAlignment="1">
      <alignment horizontal="right"/>
    </xf>
    <xf numFmtId="0" fontId="5" fillId="3" borderId="0" xfId="0" applyFont="1" applyFill="1" applyBorder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11" fillId="3" borderId="0" xfId="0" applyFont="1" applyFill="1"/>
    <xf numFmtId="0" fontId="2" fillId="3" borderId="3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164" fontId="14" fillId="3" borderId="0" xfId="0" applyNumberFormat="1" applyFont="1" applyFill="1" applyAlignment="1">
      <alignment horizontal="left"/>
    </xf>
    <xf numFmtId="164" fontId="14" fillId="3" borderId="0" xfId="0" applyNumberFormat="1" applyFont="1" applyFill="1"/>
  </cellXfs>
  <cellStyles count="2">
    <cellStyle name="Monétaire" xfId="1" builtinId="4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39"/>
  <sheetViews>
    <sheetView workbookViewId="0">
      <selection activeCell="H7" sqref="H7"/>
    </sheetView>
  </sheetViews>
  <sheetFormatPr baseColWidth="10" defaultRowHeight="15" x14ac:dyDescent="0.25"/>
  <cols>
    <col min="1" max="1" width="23" customWidth="1"/>
    <col min="3" max="3" width="54.85546875" bestFit="1" customWidth="1"/>
    <col min="7" max="7" width="40.28515625" bestFit="1" customWidth="1"/>
    <col min="12" max="12" width="21.7109375" bestFit="1" customWidth="1"/>
    <col min="13" max="13" width="45.42578125" bestFit="1" customWidth="1"/>
    <col min="14" max="14" width="21.7109375" customWidth="1"/>
  </cols>
  <sheetData>
    <row r="1" spans="1:18" x14ac:dyDescent="0.25">
      <c r="B1" s="1" t="s">
        <v>4</v>
      </c>
      <c r="D1" s="1" t="s">
        <v>5</v>
      </c>
    </row>
    <row r="2" spans="1:18" x14ac:dyDescent="0.25">
      <c r="A2" s="1" t="s">
        <v>3</v>
      </c>
      <c r="B2" s="6" t="s">
        <v>0</v>
      </c>
      <c r="D2" s="6" t="s">
        <v>8</v>
      </c>
    </row>
    <row r="4" spans="1:18" x14ac:dyDescent="0.25">
      <c r="A4" s="2" t="s">
        <v>1</v>
      </c>
      <c r="B4" s="2"/>
      <c r="C4" s="2"/>
      <c r="D4" s="2"/>
      <c r="E4" s="2"/>
      <c r="G4" s="2" t="s">
        <v>6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25">
      <c r="A5" s="13" t="s">
        <v>11</v>
      </c>
      <c r="B5" s="2" t="s">
        <v>9</v>
      </c>
      <c r="C5" s="2"/>
      <c r="D5" s="2"/>
      <c r="E5" s="2"/>
      <c r="G5" s="10" t="s">
        <v>10</v>
      </c>
      <c r="H5" s="2" t="s">
        <v>7</v>
      </c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25">
      <c r="A6" s="10" t="s">
        <v>12</v>
      </c>
      <c r="B6" s="2" t="s">
        <v>2</v>
      </c>
      <c r="C6" s="2"/>
      <c r="D6" s="2"/>
      <c r="E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x14ac:dyDescent="0.25">
      <c r="A7" s="9" t="str">
        <f ca="1">INDEX(INDIRECT(baseFichierTraite &amp; "!D:D"),SUM($E$6:$E7))</f>
        <v>HLESCE01-ECS00-017</v>
      </c>
      <c r="B7" s="4">
        <f ca="1">INDEX(INDIRECT(baseFichierTraite &amp; "!H:H"),SUM($E$6:$E7))</f>
        <v>12.66</v>
      </c>
      <c r="C7" s="9" t="str">
        <f ca="1">INDEX(INDIRECT(baseFichierTraite &amp; "!E:E"),SUM($E$6:$E7))</f>
        <v>ANSES DOUBLE CHAINE EN " T " EN FAUX CUIR</v>
      </c>
      <c r="D7" s="2"/>
      <c r="E7" s="5">
        <f ca="1">MATCH($A$5&amp;"*-*"&amp;$A$6&amp;"*",INDIRECT(baseFichierTraite &amp; "!D" &amp; (SUM(E$6:E6)+1) &amp; ":D" &amp;SUM(E$6:E6)+500),0)</f>
        <v>15</v>
      </c>
      <c r="G7" s="9" t="str">
        <f ca="1">INDEX(M:M,SUM($J$6:$J7))</f>
        <v>fall 2019 presentation_/catalogo fall 19.txt</v>
      </c>
      <c r="H7" s="4" t="str">
        <f ca="1">INDEX(N:N,SUM($J$6:$J7))</f>
        <v>p028-2-01</v>
      </c>
      <c r="I7" s="2"/>
      <c r="J7" s="5">
        <f ca="1">MATCH("*" &amp; $G$5 &amp; "*",INDIRECT("M" &amp; (SUM(J$6:J6)+1) &amp; ":M" &amp;SUM(J$6:J6)+500),0)</f>
        <v>7</v>
      </c>
      <c r="K7" s="2"/>
      <c r="L7" s="9" t="str">
        <f ca="1">INDEX(INDIRECT(baseFichierEAN13 &amp; "!B:B"),SUM($P$6:$P7))</f>
        <v>HLESCE01-ECS00-017</v>
      </c>
      <c r="M7" s="4" t="str">
        <f ca="1">INDEX(INDIRECT(baseFichierEAN13 &amp; "!F:F"),SUM($P$6:$P7))</f>
        <v>fall 2019 presentation_/catalogo fall 19.txt</v>
      </c>
      <c r="N7" s="9" t="str">
        <f ca="1">INDEX(INDIRECT(baseFichierEAN13 &amp; "!C:C"),SUM($P$6:$P7))</f>
        <v>p028-2-01</v>
      </c>
      <c r="O7" s="2"/>
      <c r="P7" s="5">
        <f ca="1">MATCH($A$5&amp;"*-*"&amp;$A$6&amp;"*",INDIRECT(baseFichierEAN13 &amp; "!B" &amp; (SUM(P$6:P6)+1) &amp; ":B" &amp;SUM(P$6:P6)+10000),0)</f>
        <v>96</v>
      </c>
      <c r="Q7" s="2"/>
      <c r="R7" s="2"/>
    </row>
    <row r="8" spans="1:18" x14ac:dyDescent="0.25">
      <c r="A8" s="9" t="str">
        <f ca="1">INDEX(INDIRECT(baseFichierTraite &amp; "!D:D"),SUM($E$6:$E8))</f>
        <v>HLESCE01-ECS00-055</v>
      </c>
      <c r="B8" s="4">
        <f ca="1">INDEX(INDIRECT(baseFichierTraite &amp; "!H:H"),SUM($E$6:$E8))</f>
        <v>12.66</v>
      </c>
      <c r="C8" s="9" t="str">
        <f ca="1">INDEX(INDIRECT(baseFichierTraite &amp; "!E:E"),SUM($E$6:$E8))</f>
        <v>ANSES DOUBLE CHAINE EN " T " EN FAUX CUIR</v>
      </c>
      <c r="D8" s="2"/>
      <c r="E8" s="5">
        <f ca="1">MATCH($A$5&amp;"*-*"&amp;$A$6&amp;"*",INDIRECT(baseFichierTraite &amp; "!D" &amp; (SUM(E$6:E7)+1) &amp; ":D" &amp;SUM(E$6:E7)+500),0)</f>
        <v>1</v>
      </c>
      <c r="G8" s="9" t="str">
        <f ca="1">INDEX(M:M,SUM($J$6:$J8))</f>
        <v>fall 2019 presentation_/catalogo fall 19.txt</v>
      </c>
      <c r="H8" s="4" t="str">
        <f ca="1">INDEX(N:N,SUM($J$6:$J8))</f>
        <v>p028-2-04</v>
      </c>
      <c r="I8" s="2"/>
      <c r="J8" s="5">
        <f ca="1">MATCH("*" &amp; $G$5 &amp; "*",INDIRECT("M" &amp; (SUM(J$6:J7)+1) &amp; ":M" &amp;SUM(J$6:J7)+500),0)</f>
        <v>3</v>
      </c>
      <c r="K8" s="2"/>
      <c r="L8" s="9" t="str">
        <f ca="1">INDEX(INDIRECT(baseFichierEAN13 &amp; "!B:B"),SUM($P$6:$P8))</f>
        <v>HLESCE01-ECS00-055</v>
      </c>
      <c r="M8" s="4" t="str">
        <f ca="1">INDEX(INDIRECT(baseFichierEAN13 &amp; "!F:F"),SUM($P$6:$P8))</f>
        <v>spring 2019 presentation/catalogo capsule San Valentino 19.txt</v>
      </c>
      <c r="N8" s="9" t="str">
        <f ca="1">INDEX(INDIRECT(baseFichierEAN13 &amp; "!C:C"),SUM($P$6:$P8))</f>
        <v>p011-1-01</v>
      </c>
      <c r="O8" s="2"/>
      <c r="P8" s="5">
        <f ca="1">MATCH($A$5&amp;"*-*"&amp;$A$6&amp;"*",INDIRECT(baseFichierEAN13 &amp; "!B" &amp; (SUM(P$6:P7)+1) &amp; ":B" &amp;SUM(P$6:P7)+10000),0)</f>
        <v>1</v>
      </c>
      <c r="Q8" s="2"/>
      <c r="R8" s="2"/>
    </row>
    <row r="9" spans="1:18" x14ac:dyDescent="0.25">
      <c r="A9" s="9" t="str">
        <f ca="1">INDEX(INDIRECT(baseFichierTraite &amp; "!D:D"),SUM($E$6:$E9))</f>
        <v>HLESCE01-ECS00-612</v>
      </c>
      <c r="B9" s="4">
        <f ca="1">INDEX(INDIRECT(baseFichierTraite &amp; "!H:H"),SUM($E$6:$E9))</f>
        <v>12.66</v>
      </c>
      <c r="C9" s="9" t="str">
        <f ca="1">INDEX(INDIRECT(baseFichierTraite &amp; "!E:E"),SUM($E$6:$E9))</f>
        <v>ANSES DOUBLE CHAINE EN " T " EN FAUX CUIR</v>
      </c>
      <c r="D9" s="2"/>
      <c r="E9" s="5">
        <f ca="1">MATCH($A$5&amp;"*-*"&amp;$A$6&amp;"*",INDIRECT(baseFichierTraite &amp; "!D" &amp; (SUM(E$6:E8)+1) &amp; ":D" &amp;SUM(E$6:E8)+500),0)</f>
        <v>1</v>
      </c>
      <c r="G9" s="9" t="str">
        <f ca="1">INDEX(M:M,SUM($J$6:$J9))</f>
        <v>fall 2019 presentation_/catalogo fall 19.txt</v>
      </c>
      <c r="H9" s="4" t="str">
        <f ca="1">INDEX(N:N,SUM($J$6:$J9))</f>
        <v>p028-2-02</v>
      </c>
      <c r="I9" s="2"/>
      <c r="J9" s="5">
        <f ca="1">MATCH("*" &amp; $G$5 &amp; "*",INDIRECT("M" &amp; (SUM(J$6:J8)+1) &amp; ":M" &amp;SUM(J$6:J8)+500),0)</f>
        <v>2</v>
      </c>
      <c r="K9" s="2"/>
      <c r="L9" s="9" t="str">
        <f ca="1">INDEX(INDIRECT(baseFichierEAN13 &amp; "!B:B"),SUM($P$6:$P9))</f>
        <v>HLESCE01-ECS00-055</v>
      </c>
      <c r="M9" s="4" t="str">
        <f ca="1">INDEX(INDIRECT(baseFichierEAN13 &amp; "!F:F"),SUM($P$6:$P9))</f>
        <v>catalogo Spring 19.txt</v>
      </c>
      <c r="N9" s="9" t="str">
        <f ca="1">INDEX(INDIRECT(baseFichierEAN13 &amp; "!C:C"),SUM($P$6:$P9))</f>
        <v>p022-1-01</v>
      </c>
      <c r="O9" s="2"/>
      <c r="P9" s="5">
        <f ca="1">MATCH($A$5&amp;"*-*"&amp;$A$6&amp;"*",INDIRECT(baseFichierEAN13 &amp; "!B" &amp; (SUM(P$6:P8)+1) &amp; ":B" &amp;SUM(P$6:P8)+10000),0)</f>
        <v>1</v>
      </c>
      <c r="Q9" s="2"/>
      <c r="R9" s="2"/>
    </row>
    <row r="10" spans="1:18" x14ac:dyDescent="0.25">
      <c r="A10" s="9" t="str">
        <f ca="1">INDEX(INDIRECT(baseFichierTraite &amp; "!D:D"),SUM($E$6:$E10))</f>
        <v>HLESCE01-ECS00-613</v>
      </c>
      <c r="B10" s="4">
        <f ca="1">INDEX(INDIRECT(baseFichierTraite &amp; "!H:H"),SUM($E$6:$E10))</f>
        <v>12.66</v>
      </c>
      <c r="C10" s="9" t="str">
        <f ca="1">INDEX(INDIRECT(baseFichierTraite &amp; "!E:E"),SUM($E$6:$E10))</f>
        <v>ANSES DOUBLE CHAINE EN " T " EN FAUX CUIR</v>
      </c>
      <c r="D10" s="2"/>
      <c r="E10" s="5">
        <f ca="1">MATCH($A$5&amp;"*-*"&amp;$A$6&amp;"*",INDIRECT(baseFichierTraite &amp; "!D" &amp; (SUM(E$6:E9)+1) &amp; ":D" &amp;SUM(E$6:E9)+500),0)</f>
        <v>1</v>
      </c>
      <c r="G10" s="9" t="str">
        <f ca="1">INDEX(M:M,SUM($J$6:$J10))</f>
        <v>fall 2019 presentation_/catalogo fall 19.txt</v>
      </c>
      <c r="H10" s="4" t="str">
        <f ca="1">INDEX(N:N,SUM($J$6:$J10))</f>
        <v>p028-2-03</v>
      </c>
      <c r="I10" s="2"/>
      <c r="J10" s="5">
        <f ca="1">MATCH("*" &amp; $G$5 &amp; "*",INDIRECT("M" &amp; (SUM(J$6:J9)+1) &amp; ":M" &amp;SUM(J$6:J9)+500),0)</f>
        <v>1</v>
      </c>
      <c r="K10" s="2"/>
      <c r="L10" s="9" t="str">
        <f ca="1">INDEX(INDIRECT(baseFichierEAN13 &amp; "!B:B"),SUM($P$6:$P10))</f>
        <v>HLESCE01-ECS00-055</v>
      </c>
      <c r="M10" s="4" t="str">
        <f ca="1">INDEX(INDIRECT(baseFichierEAN13 &amp; "!F:F"),SUM($P$6:$P10))</f>
        <v>fall 2019 presentation_/catalogo fall 19.txt</v>
      </c>
      <c r="N10" s="9" t="str">
        <f ca="1">INDEX(INDIRECT(baseFichierEAN13 &amp; "!C:C"),SUM($P$6:$P10))</f>
        <v>p028-2-04</v>
      </c>
      <c r="O10" s="2"/>
      <c r="P10" s="5">
        <f ca="1">MATCH($A$5&amp;"*-*"&amp;$A$6&amp;"*",INDIRECT(baseFichierEAN13 &amp; "!B" &amp; (SUM(P$6:P9)+1) &amp; ":B" &amp;SUM(P$6:P9)+10000),0)</f>
        <v>1</v>
      </c>
      <c r="Q10" s="2"/>
      <c r="R10" s="2"/>
    </row>
    <row r="11" spans="1:18" x14ac:dyDescent="0.25">
      <c r="A11" s="9" t="e">
        <f ca="1">INDEX(INDIRECT(baseFichierTraite &amp; "!D:D"),SUM($E$6:$E11))</f>
        <v>#N/A</v>
      </c>
      <c r="B11" s="4" t="e">
        <f ca="1">INDEX(INDIRECT(baseFichierTraite &amp; "!H:H"),SUM($E$6:$E11))</f>
        <v>#N/A</v>
      </c>
      <c r="C11" s="9" t="e">
        <f ca="1">INDEX(INDIRECT(baseFichierTraite &amp; "!E:E"),SUM($E$6:$E11))</f>
        <v>#N/A</v>
      </c>
      <c r="D11" s="2"/>
      <c r="E11" s="5" t="e">
        <f ca="1">MATCH($A$5&amp;"*-*"&amp;$A$6&amp;"*",INDIRECT(baseFichierTraite &amp; "!D" &amp; (SUM(E$6:E10)+1) &amp; ":D" &amp;SUM(E$6:E10)+500),0)</f>
        <v>#N/A</v>
      </c>
      <c r="G11" s="9" t="str">
        <f ca="1">INDEX(M:M,SUM($J$6:$J11))</f>
        <v>fall 2019 presentation_/catalogo fall 19.txt</v>
      </c>
      <c r="H11" s="4" t="str">
        <f ca="1">INDEX(N:N,SUM($J$6:$J11))</f>
        <v>p028-2-05</v>
      </c>
      <c r="I11" s="2"/>
      <c r="J11" s="5">
        <f ca="1">MATCH("*" &amp; $G$5 &amp; "*",INDIRECT("M" &amp; (SUM(J$6:J10)+1) &amp; ":M" &amp;SUM(J$6:J10)+500),0)</f>
        <v>1</v>
      </c>
      <c r="K11" s="2"/>
      <c r="L11" s="9" t="str">
        <f ca="1">INDEX(INDIRECT(baseFichierEAN13 &amp; "!B:B"),SUM($P$6:$P11))</f>
        <v>HLESCE01-ECS00-055</v>
      </c>
      <c r="M11" s="4" t="str">
        <f ca="1">INDEX(INDIRECT(baseFichierEAN13 &amp; "!F:F"),SUM($P$6:$P11))</f>
        <v>summer 2019 presentation/catalogo summer_beach 2019.txt</v>
      </c>
      <c r="N11" s="9" t="str">
        <f ca="1">INDEX(INDIRECT(baseFichierEAN13 &amp; "!C:C"),SUM($P$6:$P11))</f>
        <v>p034-2-01</v>
      </c>
      <c r="O11" s="2"/>
      <c r="P11" s="5">
        <f ca="1">MATCH($A$5&amp;"*-*"&amp;$A$6&amp;"*",INDIRECT(baseFichierEAN13 &amp; "!B" &amp; (SUM(P$6:P10)+1) &amp; ":B" &amp;SUM(P$6:P10)+10000),0)</f>
        <v>1</v>
      </c>
      <c r="Q11" s="2"/>
      <c r="R11" s="2"/>
    </row>
    <row r="12" spans="1:18" x14ac:dyDescent="0.25">
      <c r="A12" s="9" t="e">
        <f ca="1">INDEX(INDIRECT(baseFichierTraite &amp; "!D:D"),SUM($E$6:$E12))</f>
        <v>#N/A</v>
      </c>
      <c r="B12" s="4" t="e">
        <f ca="1">INDEX(INDIRECT(baseFichierTraite &amp; "!H:H"),SUM($E$6:$E12))</f>
        <v>#N/A</v>
      </c>
      <c r="C12" s="9" t="e">
        <f ca="1">INDEX(INDIRECT(baseFichierTraite &amp; "!E:E"),SUM($E$6:$E12))</f>
        <v>#N/A</v>
      </c>
      <c r="D12" s="2"/>
      <c r="E12" s="5" t="e">
        <f ca="1">MATCH($A$5&amp;"*-*"&amp;$A$6&amp;"*",INDIRECT(baseFichierTraite &amp; "!D" &amp; (SUM(E$6:E11)+1) &amp; ":D" &amp;SUM(E$6:E11)+500),0)</f>
        <v>#N/A</v>
      </c>
      <c r="G12" s="9" t="e">
        <f ca="1">INDEX(M:M,SUM($J$6:$J12))</f>
        <v>#N/A</v>
      </c>
      <c r="H12" s="4" t="e">
        <f ca="1">INDEX(N:N,SUM($J$6:$J12))</f>
        <v>#N/A</v>
      </c>
      <c r="I12" s="2"/>
      <c r="J12" s="5" t="e">
        <f ca="1">MATCH("*" &amp; $G$5 &amp; "*",INDIRECT("M" &amp; (SUM(J$6:J11)+1) &amp; ":M" &amp;SUM(J$6:J11)+500),0)</f>
        <v>#N/A</v>
      </c>
      <c r="K12" s="2"/>
      <c r="L12" s="9" t="str">
        <f ca="1">INDEX(INDIRECT(baseFichierEAN13 &amp; "!B:B"),SUM($P$6:$P12))</f>
        <v>HLESCE01-ECS00-084</v>
      </c>
      <c r="M12" s="4" t="str">
        <f ca="1">INDEX(INDIRECT(baseFichierEAN13 &amp; "!F:F"),SUM($P$6:$P12))</f>
        <v>fall 2019 presentation_/catalogo fall 19.txt</v>
      </c>
      <c r="N12" s="9" t="str">
        <f ca="1">INDEX(INDIRECT(baseFichierEAN13 &amp; "!C:C"),SUM($P$6:$P12))</f>
        <v>p028-2-02</v>
      </c>
      <c r="O12" s="2"/>
      <c r="P12" s="5">
        <f ca="1">MATCH($A$5&amp;"*-*"&amp;$A$6&amp;"*",INDIRECT(baseFichierEAN13 &amp; "!B" &amp; (SUM(P$6:P11)+1) &amp; ":B" &amp;SUM(P$6:P11)+10000),0)</f>
        <v>1</v>
      </c>
      <c r="Q12" s="2"/>
      <c r="R12" s="2"/>
    </row>
    <row r="13" spans="1:18" x14ac:dyDescent="0.25">
      <c r="A13" s="9" t="e">
        <f ca="1">INDEX(INDIRECT(baseFichierTraite &amp; "!D:D"),SUM($E$6:$E13))</f>
        <v>#N/A</v>
      </c>
      <c r="B13" s="4" t="e">
        <f ca="1">INDEX(INDIRECT(baseFichierTraite &amp; "!H:H"),SUM($E$6:$E13))</f>
        <v>#N/A</v>
      </c>
      <c r="C13" s="9" t="e">
        <f ca="1">INDEX(INDIRECT(baseFichierTraite &amp; "!E:E"),SUM($E$6:$E13))</f>
        <v>#N/A</v>
      </c>
      <c r="D13" s="2"/>
      <c r="E13" s="5" t="e">
        <f ca="1">MATCH($A$5&amp;"*-*"&amp;$A$6&amp;"*",INDIRECT(baseFichierTraite &amp; "!D" &amp; (SUM(E$6:E12)+1) &amp; ":D" &amp;SUM(E$6:E12)+500),0)</f>
        <v>#N/A</v>
      </c>
      <c r="G13" s="9" t="e">
        <f ca="1">INDEX(M:M,SUM($J$6:$J13))</f>
        <v>#N/A</v>
      </c>
      <c r="H13" s="4" t="e">
        <f ca="1">INDEX(N:N,SUM($J$6:$J13))</f>
        <v>#N/A</v>
      </c>
      <c r="I13" s="2"/>
      <c r="J13" s="5" t="e">
        <f ca="1">MATCH("*" &amp; $G$5 &amp; "*",INDIRECT("M" &amp; (SUM(J$6:J12)+1) &amp; ":M" &amp;SUM(J$6:J12)+500),0)</f>
        <v>#N/A</v>
      </c>
      <c r="K13" s="2"/>
      <c r="L13" s="9" t="str">
        <f ca="1">INDEX(INDIRECT(baseFichierEAN13 &amp; "!B:B"),SUM($P$6:$P13))</f>
        <v>HLESCE01-ECS00-612</v>
      </c>
      <c r="M13" s="4" t="str">
        <f ca="1">INDEX(INDIRECT(baseFichierEAN13 &amp; "!F:F"),SUM($P$6:$P13))</f>
        <v>fall 2019 presentation_/catalogo fall 19.txt</v>
      </c>
      <c r="N13" s="9" t="str">
        <f ca="1">INDEX(INDIRECT(baseFichierEAN13 &amp; "!C:C"),SUM($P$6:$P13))</f>
        <v>p028-2-03</v>
      </c>
      <c r="O13" s="2"/>
      <c r="P13" s="5">
        <f ca="1">MATCH($A$5&amp;"*-*"&amp;$A$6&amp;"*",INDIRECT(baseFichierEAN13 &amp; "!B" &amp; (SUM(P$6:P12)+1) &amp; ":B" &amp;SUM(P$6:P12)+10000),0)</f>
        <v>1</v>
      </c>
      <c r="Q13" s="2"/>
      <c r="R13" s="2"/>
    </row>
    <row r="14" spans="1:18" x14ac:dyDescent="0.25">
      <c r="A14" s="9" t="e">
        <f ca="1">INDEX(INDIRECT(baseFichierTraite &amp; "!D:D"),SUM($E$6:$E14))</f>
        <v>#N/A</v>
      </c>
      <c r="B14" s="4" t="e">
        <f ca="1">INDEX(INDIRECT(baseFichierTraite &amp; "!H:H"),SUM($E$6:$E14))</f>
        <v>#N/A</v>
      </c>
      <c r="C14" s="9" t="e">
        <f ca="1">INDEX(INDIRECT(baseFichierTraite &amp; "!E:E"),SUM($E$6:$E14))</f>
        <v>#N/A</v>
      </c>
      <c r="D14" s="2"/>
      <c r="E14" s="5" t="e">
        <f ca="1">MATCH($A$5&amp;"*-*"&amp;$A$6&amp;"*",INDIRECT(baseFichierTraite &amp; "!D" &amp; (SUM(E$6:E13)+1) &amp; ":D" &amp;SUM(E$6:E13)+500),0)</f>
        <v>#N/A</v>
      </c>
      <c r="G14" s="9" t="e">
        <f ca="1">INDEX(M:M,SUM($J$6:$J14))</f>
        <v>#N/A</v>
      </c>
      <c r="H14" s="4" t="e">
        <f ca="1">INDEX(N:N,SUM($J$6:$J14))</f>
        <v>#N/A</v>
      </c>
      <c r="I14" s="2"/>
      <c r="J14" s="5" t="e">
        <f ca="1">MATCH("*" &amp; $G$5 &amp; "*",INDIRECT("M" &amp; (SUM(J$6:J13)+1) &amp; ":M" &amp;SUM(J$6:J13)+500),0)</f>
        <v>#N/A</v>
      </c>
      <c r="K14" s="2"/>
      <c r="L14" s="9" t="str">
        <f ca="1">INDEX(INDIRECT(baseFichierEAN13 &amp; "!B:B"),SUM($P$6:$P14))</f>
        <v>HLESCE01-ECS00-613</v>
      </c>
      <c r="M14" s="4" t="str">
        <f ca="1">INDEX(INDIRECT(baseFichierEAN13 &amp; "!F:F"),SUM($P$6:$P14))</f>
        <v>fall 2019 presentation_/catalogo fall 19.txt</v>
      </c>
      <c r="N14" s="9" t="str">
        <f ca="1">INDEX(INDIRECT(baseFichierEAN13 &amp; "!C:C"),SUM($P$6:$P14))</f>
        <v>p028-2-05</v>
      </c>
      <c r="O14" s="2"/>
      <c r="P14" s="5">
        <f ca="1">MATCH($A$5&amp;"*-*"&amp;$A$6&amp;"*",INDIRECT(baseFichierEAN13 &amp; "!B" &amp; (SUM(P$6:P13)+1) &amp; ":B" &amp;SUM(P$6:P13)+10000),0)</f>
        <v>1</v>
      </c>
      <c r="Q14" s="2"/>
      <c r="R14" s="2"/>
    </row>
    <row r="15" spans="1:18" x14ac:dyDescent="0.25">
      <c r="A15" s="9" t="e">
        <f ca="1">INDEX(INDIRECT(baseFichierTraite &amp; "!D:D"),SUM($E$6:$E15))</f>
        <v>#N/A</v>
      </c>
      <c r="B15" s="4" t="e">
        <f ca="1">INDEX(INDIRECT(baseFichierTraite &amp; "!H:H"),SUM($E$6:$E15))</f>
        <v>#N/A</v>
      </c>
      <c r="C15" s="9" t="e">
        <f ca="1">INDEX(INDIRECT(baseFichierTraite &amp; "!E:E"),SUM($E$6:$E15))</f>
        <v>#N/A</v>
      </c>
      <c r="D15" s="2"/>
      <c r="E15" s="5" t="e">
        <f ca="1">MATCH($A$5&amp;"*-*"&amp;$A$6&amp;"*",INDIRECT(baseFichierTraite &amp; "!D" &amp; (SUM(E$6:E14)+1) &amp; ":D" &amp;SUM(E$6:E14)+500),0)</f>
        <v>#N/A</v>
      </c>
      <c r="G15" s="9" t="e">
        <f ca="1">INDEX(M:M,SUM($J$6:$J15))</f>
        <v>#N/A</v>
      </c>
      <c r="H15" s="4" t="e">
        <f ca="1">INDEX(N:N,SUM($J$6:$J15))</f>
        <v>#N/A</v>
      </c>
      <c r="I15" s="2"/>
      <c r="J15" s="5" t="e">
        <f ca="1">MATCH("*" &amp; $G$5 &amp; "*",INDIRECT("M" &amp; (SUM(J$6:J14)+1) &amp; ":M" &amp;SUM(J$6:J14)+500),0)</f>
        <v>#N/A</v>
      </c>
      <c r="K15" s="2"/>
      <c r="L15" s="9" t="e">
        <f ca="1">INDEX(INDIRECT(baseFichierEAN13 &amp; "!B:B"),SUM($P$6:$P15))</f>
        <v>#N/A</v>
      </c>
      <c r="M15" s="4" t="e">
        <f ca="1">INDEX(INDIRECT(baseFichierEAN13 &amp; "!F:F"),SUM($P$6:$P15))</f>
        <v>#N/A</v>
      </c>
      <c r="N15" s="9" t="e">
        <f ca="1">INDEX(INDIRECT(baseFichierEAN13 &amp; "!C:C"),SUM($P$6:$P15))</f>
        <v>#N/A</v>
      </c>
      <c r="O15" s="2"/>
      <c r="P15" s="5" t="e">
        <f ca="1">MATCH($A$5&amp;"*-*"&amp;$A$6&amp;"*",INDIRECT(baseFichierEAN13 &amp; "!B" &amp; (SUM(P$6:P14)+1) &amp; ":B" &amp;SUM(P$6:P14)+10000),0)</f>
        <v>#N/A</v>
      </c>
      <c r="Q15" s="2"/>
      <c r="R15" s="2"/>
    </row>
    <row r="16" spans="1:18" x14ac:dyDescent="0.25">
      <c r="A16" s="9" t="e">
        <f ca="1">INDEX(INDIRECT(baseFichierTraite &amp; "!D:D"),SUM($E$6:$E16))</f>
        <v>#N/A</v>
      </c>
      <c r="B16" s="4" t="e">
        <f ca="1">INDEX(INDIRECT(baseFichierTraite &amp; "!H:H"),SUM($E$6:$E16))</f>
        <v>#N/A</v>
      </c>
      <c r="C16" s="9" t="e">
        <f ca="1">INDEX(INDIRECT(baseFichierTraite &amp; "!E:E"),SUM($E$6:$E16))</f>
        <v>#N/A</v>
      </c>
      <c r="D16" s="2"/>
      <c r="E16" s="5" t="e">
        <f ca="1">MATCH($A$5&amp;"*-*"&amp;$A$6&amp;"*",INDIRECT(baseFichierTraite &amp; "!D" &amp; (SUM(E$6:E15)+1) &amp; ":D" &amp;SUM(E$6:E15)+500),0)</f>
        <v>#N/A</v>
      </c>
      <c r="G16" s="9" t="e">
        <f ca="1">INDEX(M:M,SUM($J$6:$J16))</f>
        <v>#N/A</v>
      </c>
      <c r="H16" s="4" t="e">
        <f ca="1">INDEX(N:N,SUM($J$6:$J16))</f>
        <v>#N/A</v>
      </c>
      <c r="I16" s="2"/>
      <c r="J16" s="5" t="e">
        <f ca="1">MATCH("*" &amp; $G$5 &amp; "*",INDIRECT("M" &amp; (SUM(J$6:J15)+1) &amp; ":M" &amp;SUM(J$6:J15)+500),0)</f>
        <v>#N/A</v>
      </c>
      <c r="K16" s="2"/>
      <c r="L16" s="9" t="e">
        <f ca="1">INDEX(INDIRECT(baseFichierEAN13 &amp; "!B:B"),SUM($P$6:$P16))</f>
        <v>#N/A</v>
      </c>
      <c r="M16" s="4" t="e">
        <f ca="1">INDEX(INDIRECT(baseFichierEAN13 &amp; "!F:F"),SUM($P$6:$P16))</f>
        <v>#N/A</v>
      </c>
      <c r="N16" s="9" t="e">
        <f ca="1">INDEX(INDIRECT(baseFichierEAN13 &amp; "!C:C"),SUM($P$6:$P16))</f>
        <v>#N/A</v>
      </c>
      <c r="O16" s="2"/>
      <c r="P16" s="5" t="e">
        <f ca="1">MATCH($A$5&amp;"*-*"&amp;$A$6&amp;"*",INDIRECT(baseFichierEAN13 &amp; "!B" &amp; (SUM(P$6:P15)+1) &amp; ":B" &amp;SUM(P$6:P15)+10000),0)</f>
        <v>#N/A</v>
      </c>
      <c r="Q16" s="2"/>
      <c r="R16" s="2"/>
    </row>
    <row r="17" spans="1:18" x14ac:dyDescent="0.25">
      <c r="A17" s="9" t="e">
        <f ca="1">INDEX(INDIRECT(baseFichierTraite &amp; "!D:D"),SUM($E$6:$E17))</f>
        <v>#N/A</v>
      </c>
      <c r="B17" s="4" t="e">
        <f ca="1">INDEX(INDIRECT(baseFichierTraite &amp; "!H:H"),SUM($E$6:$E17))</f>
        <v>#N/A</v>
      </c>
      <c r="C17" s="9" t="e">
        <f ca="1">INDEX(INDIRECT(baseFichierTraite &amp; "!E:E"),SUM($E$6:$E17))</f>
        <v>#N/A</v>
      </c>
      <c r="D17" s="2"/>
      <c r="E17" s="5" t="e">
        <f ca="1">MATCH($A$5&amp;"*-*"&amp;$A$6&amp;"*",INDIRECT(baseFichierTraite &amp; "!D" &amp; (SUM(E$6:E16)+1) &amp; ":D" &amp;SUM(E$6:E16)+500),0)</f>
        <v>#N/A</v>
      </c>
      <c r="G17" s="9" t="e">
        <f ca="1">INDEX(M:M,SUM($J$6:$J17))</f>
        <v>#N/A</v>
      </c>
      <c r="H17" s="4" t="e">
        <f ca="1">INDEX(N:N,SUM($J$6:$J17))</f>
        <v>#N/A</v>
      </c>
      <c r="I17" s="2"/>
      <c r="J17" s="5" t="e">
        <f ca="1">MATCH("*" &amp; $G$5 &amp; "*",INDIRECT("M" &amp; (SUM(J$6:J16)+1) &amp; ":M" &amp;SUM(J$6:J16)+500),0)</f>
        <v>#N/A</v>
      </c>
      <c r="K17" s="2"/>
      <c r="L17" s="9" t="e">
        <f ca="1">INDEX(INDIRECT(baseFichierEAN13 &amp; "!B:B"),SUM($P$6:$P17))</f>
        <v>#N/A</v>
      </c>
      <c r="M17" s="4" t="e">
        <f ca="1">INDEX(INDIRECT(baseFichierEAN13 &amp; "!F:F"),SUM($P$6:$P17))</f>
        <v>#N/A</v>
      </c>
      <c r="N17" s="9" t="e">
        <f ca="1">INDEX(INDIRECT(baseFichierEAN13 &amp; "!C:C"),SUM($P$6:$P17))</f>
        <v>#N/A</v>
      </c>
      <c r="O17" s="2"/>
      <c r="P17" s="5" t="e">
        <f ca="1">MATCH($A$5&amp;"*-*"&amp;$A$6&amp;"*",INDIRECT(baseFichierEAN13 &amp; "!B" &amp; (SUM(P$6:P16)+1) &amp; ":B" &amp;SUM(P$6:P16)+10000),0)</f>
        <v>#N/A</v>
      </c>
      <c r="Q17" s="2"/>
      <c r="R17" s="2"/>
    </row>
    <row r="18" spans="1:18" x14ac:dyDescent="0.25">
      <c r="A18" s="9" t="e">
        <f ca="1">INDEX(INDIRECT(baseFichierTraite &amp; "!D:D"),SUM($E$6:$E18))</f>
        <v>#N/A</v>
      </c>
      <c r="B18" s="4" t="e">
        <f ca="1">INDEX(INDIRECT(baseFichierTraite &amp; "!H:H"),SUM($E$6:$E18))</f>
        <v>#N/A</v>
      </c>
      <c r="C18" s="9" t="e">
        <f ca="1">INDEX(INDIRECT(baseFichierTraite &amp; "!E:E"),SUM($E$6:$E18))</f>
        <v>#N/A</v>
      </c>
      <c r="D18" s="2"/>
      <c r="E18" s="5" t="e">
        <f ca="1">MATCH($A$5&amp;"*-*"&amp;$A$6&amp;"*",INDIRECT(baseFichierTraite &amp; "!D" &amp; (SUM(E$6:E17)+1) &amp; ":D" &amp;SUM(E$6:E17)+500),0)</f>
        <v>#N/A</v>
      </c>
      <c r="G18" s="9" t="e">
        <f ca="1">INDEX(M:M,SUM($J$6:$J18))</f>
        <v>#N/A</v>
      </c>
      <c r="H18" s="4" t="e">
        <f ca="1">INDEX(N:N,SUM($J$6:$J18))</f>
        <v>#N/A</v>
      </c>
      <c r="I18" s="2"/>
      <c r="J18" s="5" t="e">
        <f ca="1">MATCH("*" &amp; $G$5 &amp; "*",INDIRECT("M" &amp; (SUM(J$6:J17)+1) &amp; ":M" &amp;SUM(J$6:J17)+500),0)</f>
        <v>#N/A</v>
      </c>
      <c r="K18" s="2"/>
      <c r="L18" s="9" t="e">
        <f ca="1">INDEX(INDIRECT(baseFichierEAN13 &amp; "!B:B"),SUM($P$6:$P18))</f>
        <v>#N/A</v>
      </c>
      <c r="M18" s="4" t="e">
        <f ca="1">INDEX(INDIRECT(baseFichierEAN13 &amp; "!F:F"),SUM($P$6:$P18))</f>
        <v>#N/A</v>
      </c>
      <c r="N18" s="9" t="e">
        <f ca="1">INDEX(INDIRECT(baseFichierEAN13 &amp; "!C:C"),SUM($P$6:$P18))</f>
        <v>#N/A</v>
      </c>
      <c r="O18" s="2"/>
      <c r="P18" s="5" t="e">
        <f ca="1">MATCH($A$5&amp;"*-*"&amp;$A$6&amp;"*",INDIRECT(baseFichierEAN13 &amp; "!B" &amp; (SUM(P$6:P17)+1) &amp; ":B" &amp;SUM(P$6:P17)+10000),0)</f>
        <v>#N/A</v>
      </c>
      <c r="Q18" s="2"/>
      <c r="R18" s="2"/>
    </row>
    <row r="19" spans="1:18" x14ac:dyDescent="0.25">
      <c r="A19" s="9" t="e">
        <f ca="1">INDEX(INDIRECT(baseFichierTraite &amp; "!D:D"),SUM($E$6:$E19))</f>
        <v>#N/A</v>
      </c>
      <c r="B19" s="4" t="e">
        <f ca="1">INDEX(INDIRECT(baseFichierTraite &amp; "!H:H"),SUM($E$6:$E19))</f>
        <v>#N/A</v>
      </c>
      <c r="C19" s="9" t="e">
        <f ca="1">INDEX(INDIRECT(baseFichierTraite &amp; "!E:E"),SUM($E$6:$E19))</f>
        <v>#N/A</v>
      </c>
      <c r="D19" s="2"/>
      <c r="E19" s="5" t="e">
        <f ca="1">MATCH($A$5&amp;"*-*"&amp;$A$6&amp;"*",INDIRECT(baseFichierTraite &amp; "!D" &amp; (SUM(E$6:E18)+1) &amp; ":D" &amp;SUM(E$6:E18)+500),0)</f>
        <v>#N/A</v>
      </c>
      <c r="G19" s="9" t="e">
        <f ca="1">INDEX(M:M,SUM($J$6:$J19))</f>
        <v>#N/A</v>
      </c>
      <c r="H19" s="4" t="e">
        <f ca="1">INDEX(N:N,SUM($J$6:$J19))</f>
        <v>#N/A</v>
      </c>
      <c r="I19" s="2"/>
      <c r="J19" s="5" t="e">
        <f ca="1">MATCH("*" &amp; $G$5 &amp; "*",INDIRECT("M" &amp; (SUM(J$6:J18)+1) &amp; ":M" &amp;SUM(J$6:J18)+500),0)</f>
        <v>#N/A</v>
      </c>
      <c r="K19" s="2"/>
      <c r="L19" s="9" t="e">
        <f ca="1">INDEX(INDIRECT(baseFichierEAN13 &amp; "!B:B"),SUM($P$6:$P19))</f>
        <v>#N/A</v>
      </c>
      <c r="M19" s="4" t="e">
        <f ca="1">INDEX(INDIRECT(baseFichierEAN13 &amp; "!F:F"),SUM($P$6:$P19))</f>
        <v>#N/A</v>
      </c>
      <c r="N19" s="9" t="e">
        <f ca="1">INDEX(INDIRECT(baseFichierEAN13 &amp; "!C:C"),SUM($P$6:$P19))</f>
        <v>#N/A</v>
      </c>
      <c r="O19" s="2"/>
      <c r="P19" s="5" t="e">
        <f ca="1">MATCH($A$5&amp;"*-*"&amp;$A$6&amp;"*",INDIRECT(baseFichierEAN13 &amp; "!B" &amp; (SUM(P$6:P18)+1) &amp; ":B" &amp;SUM(P$6:P18)+10000),0)</f>
        <v>#N/A</v>
      </c>
      <c r="Q19" s="2"/>
      <c r="R19" s="2"/>
    </row>
    <row r="20" spans="1:18" x14ac:dyDescent="0.25">
      <c r="G20" s="2"/>
      <c r="H20" s="2"/>
      <c r="I20" s="2"/>
      <c r="J20" s="2"/>
      <c r="K20" s="2"/>
      <c r="L20" s="9" t="e">
        <f ca="1">INDEX(INDIRECT(baseFichierEAN13 &amp; "!B:B"),SUM($P$6:$P20))</f>
        <v>#N/A</v>
      </c>
      <c r="M20" s="4" t="e">
        <f ca="1">INDEX(INDIRECT(baseFichierEAN13 &amp; "!F:F"),SUM($P$6:$P20))</f>
        <v>#N/A</v>
      </c>
      <c r="N20" s="9" t="e">
        <f ca="1">INDEX(INDIRECT(baseFichierEAN13 &amp; "!C:C"),SUM($P$6:$P20))</f>
        <v>#N/A</v>
      </c>
      <c r="O20" s="2"/>
      <c r="P20" s="5" t="e">
        <f ca="1">MATCH($A$5&amp;"*-*"&amp;$A$6&amp;"*",INDIRECT(baseFichierEAN13 &amp; "!B" &amp; (SUM(P$6:P19)+1) &amp; ":B" &amp;SUM(P$6:P19)+10000),0)</f>
        <v>#N/A</v>
      </c>
    </row>
    <row r="21" spans="1:18" x14ac:dyDescent="0.25">
      <c r="G21" s="2"/>
      <c r="H21" s="2"/>
      <c r="I21" s="2"/>
      <c r="J21" s="2"/>
      <c r="K21" s="2"/>
      <c r="L21" s="9" t="e">
        <f ca="1">INDEX(INDIRECT(baseFichierEAN13 &amp; "!B:B"),SUM($P$6:$P21))</f>
        <v>#N/A</v>
      </c>
      <c r="M21" s="4" t="e">
        <f ca="1">INDEX(INDIRECT(baseFichierEAN13 &amp; "!F:F"),SUM($P$6:$P21))</f>
        <v>#N/A</v>
      </c>
      <c r="N21" s="9" t="e">
        <f ca="1">INDEX(INDIRECT(baseFichierEAN13 &amp; "!C:C"),SUM($P$6:$P21))</f>
        <v>#N/A</v>
      </c>
      <c r="O21" s="2"/>
      <c r="P21" s="5" t="e">
        <f ca="1">MATCH($A$5&amp;"*-*"&amp;$A$6&amp;"*",INDIRECT(baseFichierEAN13 &amp; "!B" &amp; (SUM(P$6:P20)+1) &amp; ":B" &amp;SUM(P$6:P20)+10000),0)</f>
        <v>#N/A</v>
      </c>
    </row>
    <row r="22" spans="1:18" x14ac:dyDescent="0.25">
      <c r="G22" s="2"/>
      <c r="H22" s="2"/>
      <c r="I22" s="2"/>
      <c r="J22" s="2"/>
      <c r="K22" s="2"/>
      <c r="L22" s="9" t="e">
        <f ca="1">INDEX(INDIRECT(baseFichierEAN13 &amp; "!B:B"),SUM($P$6:$P22))</f>
        <v>#N/A</v>
      </c>
      <c r="M22" s="4" t="e">
        <f ca="1">INDEX(INDIRECT(baseFichierEAN13 &amp; "!F:F"),SUM($P$6:$P22))</f>
        <v>#N/A</v>
      </c>
      <c r="N22" s="9" t="e">
        <f ca="1">INDEX(INDIRECT(baseFichierEAN13 &amp; "!C:C"),SUM($P$6:$P22))</f>
        <v>#N/A</v>
      </c>
      <c r="O22" s="2"/>
      <c r="P22" s="5" t="e">
        <f ca="1">MATCH($A$5&amp;"*-*"&amp;$A$6&amp;"*",INDIRECT(baseFichierEAN13 &amp; "!B" &amp; (SUM(P$6:P21)+1) &amp; ":B" &amp;SUM(P$6:P21)+10000),0)</f>
        <v>#N/A</v>
      </c>
    </row>
    <row r="23" spans="1:18" x14ac:dyDescent="0.25">
      <c r="G23" s="2"/>
      <c r="H23" s="2"/>
      <c r="I23" s="2"/>
      <c r="J23" s="2"/>
      <c r="K23" s="2"/>
      <c r="L23" s="9" t="e">
        <f ca="1">INDEX(INDIRECT(baseFichierEAN13 &amp; "!B:B"),SUM($P$6:$P23))</f>
        <v>#N/A</v>
      </c>
      <c r="M23" s="4" t="e">
        <f ca="1">INDEX(INDIRECT(baseFichierEAN13 &amp; "!F:F"),SUM($P$6:$P23))</f>
        <v>#N/A</v>
      </c>
      <c r="N23" s="9" t="e">
        <f ca="1">INDEX(INDIRECT(baseFichierEAN13 &amp; "!C:C"),SUM($P$6:$P23))</f>
        <v>#N/A</v>
      </c>
      <c r="O23" s="2"/>
      <c r="P23" s="5" t="e">
        <f ca="1">MATCH($A$5&amp;"*-*"&amp;$A$6&amp;"*",INDIRECT(baseFichierEAN13 &amp; "!B" &amp; (SUM(P$6:P22)+1) &amp; ":B" &amp;SUM(P$6:P22)+10000),0)</f>
        <v>#N/A</v>
      </c>
    </row>
    <row r="24" spans="1:18" x14ac:dyDescent="0.25">
      <c r="G24" s="2"/>
      <c r="H24" s="2"/>
      <c r="I24" s="2"/>
      <c r="J24" s="2"/>
      <c r="K24" s="2"/>
      <c r="L24" s="9" t="e">
        <f ca="1">INDEX(INDIRECT(baseFichierEAN13 &amp; "!B:B"),SUM($P$6:$P24))</f>
        <v>#N/A</v>
      </c>
      <c r="M24" s="4" t="e">
        <f ca="1">INDEX(INDIRECT(baseFichierEAN13 &amp; "!F:F"),SUM($P$6:$P24))</f>
        <v>#N/A</v>
      </c>
      <c r="N24" s="9" t="e">
        <f ca="1">INDEX(INDIRECT(baseFichierEAN13 &amp; "!C:C"),SUM($P$6:$P24))</f>
        <v>#N/A</v>
      </c>
      <c r="O24" s="2"/>
      <c r="P24" s="5" t="e">
        <f ca="1">MATCH($A$5&amp;"*-*"&amp;$A$6&amp;"*",INDIRECT(baseFichierEAN13 &amp; "!B" &amp; (SUM(P$6:P23)+1) &amp; ":B" &amp;SUM(P$6:P23)+10000),0)</f>
        <v>#N/A</v>
      </c>
    </row>
    <row r="25" spans="1:18" x14ac:dyDescent="0.25">
      <c r="G25" s="2"/>
      <c r="H25" s="2"/>
      <c r="I25" s="2"/>
      <c r="J25" s="2"/>
      <c r="K25" s="2"/>
      <c r="L25" s="9" t="e">
        <f ca="1">INDEX(INDIRECT(baseFichierEAN13 &amp; "!B:B"),SUM($P$6:$P25))</f>
        <v>#N/A</v>
      </c>
      <c r="M25" s="4" t="e">
        <f ca="1">INDEX(INDIRECT(baseFichierEAN13 &amp; "!F:F"),SUM($P$6:$P25))</f>
        <v>#N/A</v>
      </c>
      <c r="N25" s="9" t="e">
        <f ca="1">INDEX(INDIRECT(baseFichierEAN13 &amp; "!C:C"),SUM($P$6:$P25))</f>
        <v>#N/A</v>
      </c>
      <c r="O25" s="2"/>
      <c r="P25" s="5" t="e">
        <f ca="1">MATCH($A$5&amp;"*-*"&amp;$A$6&amp;"*",INDIRECT(baseFichierEAN13 &amp; "!B" &amp; (SUM(P$6:P24)+1) &amp; ":B" &amp;SUM(P$6:P24)+10000),0)</f>
        <v>#N/A</v>
      </c>
    </row>
    <row r="26" spans="1:18" x14ac:dyDescent="0.25">
      <c r="G26" s="2"/>
      <c r="H26" s="2"/>
      <c r="I26" s="2"/>
      <c r="J26" s="2"/>
      <c r="K26" s="2"/>
      <c r="L26" s="9" t="e">
        <f ca="1">INDEX(INDIRECT(baseFichierEAN13 &amp; "!B:B"),SUM($P$6:$P26))</f>
        <v>#N/A</v>
      </c>
      <c r="M26" s="4" t="e">
        <f ca="1">INDEX(INDIRECT(baseFichierEAN13 &amp; "!F:F"),SUM($P$6:$P26))</f>
        <v>#N/A</v>
      </c>
      <c r="N26" s="9" t="e">
        <f ca="1">INDEX(INDIRECT(baseFichierEAN13 &amp; "!C:C"),SUM($P$6:$P26))</f>
        <v>#N/A</v>
      </c>
      <c r="O26" s="2"/>
      <c r="P26" s="5" t="e">
        <f ca="1">MATCH($A$5&amp;"*-*"&amp;$A$6&amp;"*",INDIRECT(baseFichierEAN13 &amp; "!B" &amp; (SUM(P$6:P25)+1) &amp; ":B" &amp;SUM(P$6:P25)+10000),0)</f>
        <v>#N/A</v>
      </c>
    </row>
    <row r="27" spans="1:18" x14ac:dyDescent="0.25">
      <c r="G27" s="2"/>
      <c r="H27" s="2"/>
      <c r="I27" s="2"/>
      <c r="J27" s="2"/>
      <c r="K27" s="2"/>
      <c r="L27" s="9" t="e">
        <f ca="1">INDEX(INDIRECT(baseFichierEAN13 &amp; "!B:B"),SUM($P$6:$P27))</f>
        <v>#N/A</v>
      </c>
      <c r="M27" s="4" t="e">
        <f ca="1">INDEX(INDIRECT(baseFichierEAN13 &amp; "!F:F"),SUM($P$6:$P27))</f>
        <v>#N/A</v>
      </c>
      <c r="N27" s="9" t="e">
        <f ca="1">INDEX(INDIRECT(baseFichierEAN13 &amp; "!C:C"),SUM($P$6:$P27))</f>
        <v>#N/A</v>
      </c>
      <c r="O27" s="2"/>
      <c r="P27" s="5" t="e">
        <f ca="1">MATCH($A$5&amp;"*-*"&amp;$A$6&amp;"*",INDIRECT(baseFichierEAN13 &amp; "!B" &amp; (SUM(P$6:P26)+1) &amp; ":B" &amp;SUM(P$6:P26)+10000),0)</f>
        <v>#N/A</v>
      </c>
    </row>
    <row r="28" spans="1:18" x14ac:dyDescent="0.25">
      <c r="G28" s="2"/>
      <c r="H28" s="2"/>
      <c r="I28" s="2"/>
      <c r="J28" s="2"/>
      <c r="K28" s="2"/>
      <c r="L28" s="9" t="e">
        <f ca="1">INDEX(INDIRECT(baseFichierEAN13 &amp; "!B:B"),SUM($P$6:$P28))</f>
        <v>#N/A</v>
      </c>
      <c r="M28" s="4" t="e">
        <f ca="1">INDEX(INDIRECT(baseFichierEAN13 &amp; "!F:F"),SUM($P$6:$P28))</f>
        <v>#N/A</v>
      </c>
      <c r="N28" s="9" t="e">
        <f ca="1">INDEX(INDIRECT(baseFichierEAN13 &amp; "!C:C"),SUM($P$6:$P28))</f>
        <v>#N/A</v>
      </c>
      <c r="O28" s="2"/>
      <c r="P28" s="5" t="e">
        <f ca="1">MATCH($A$5&amp;"*-*"&amp;$A$6&amp;"*",INDIRECT(baseFichierEAN13 &amp; "!B" &amp; (SUM(P$6:P27)+1) &amp; ":B" &amp;SUM(P$6:P27)+10000),0)</f>
        <v>#N/A</v>
      </c>
    </row>
    <row r="29" spans="1:18" x14ac:dyDescent="0.25">
      <c r="G29" s="2"/>
      <c r="H29" s="2"/>
      <c r="I29" s="2"/>
      <c r="J29" s="2"/>
      <c r="K29" s="2"/>
      <c r="L29" s="9" t="e">
        <f ca="1">INDEX(INDIRECT(baseFichierEAN13 &amp; "!B:B"),SUM($P$6:$P29))</f>
        <v>#N/A</v>
      </c>
      <c r="M29" s="4" t="e">
        <f ca="1">INDEX(INDIRECT(baseFichierEAN13 &amp; "!F:F"),SUM($P$6:$P29))</f>
        <v>#N/A</v>
      </c>
      <c r="N29" s="9" t="e">
        <f ca="1">INDEX(INDIRECT(baseFichierEAN13 &amp; "!C:C"),SUM($P$6:$P29))</f>
        <v>#N/A</v>
      </c>
      <c r="O29" s="2"/>
      <c r="P29" s="5" t="e">
        <f ca="1">MATCH($A$5&amp;"*-*"&amp;$A$6&amp;"*",INDIRECT(baseFichierEAN13 &amp; "!B" &amp; (SUM(P$6:P28)+1) &amp; ":B" &amp;SUM(P$6:P28)+10000),0)</f>
        <v>#N/A</v>
      </c>
    </row>
    <row r="30" spans="1:18" x14ac:dyDescent="0.25">
      <c r="G30" s="2"/>
      <c r="H30" s="2"/>
      <c r="I30" s="2"/>
      <c r="J30" s="2"/>
      <c r="K30" s="2"/>
      <c r="L30" s="9" t="e">
        <f ca="1">INDEX(INDIRECT(baseFichierEAN13 &amp; "!B:B"),SUM($P$6:$P30))</f>
        <v>#N/A</v>
      </c>
      <c r="M30" s="4" t="e">
        <f ca="1">INDEX(INDIRECT(baseFichierEAN13 &amp; "!F:F"),SUM($P$6:$P30))</f>
        <v>#N/A</v>
      </c>
      <c r="N30" s="9" t="e">
        <f ca="1">INDEX(INDIRECT(baseFichierEAN13 &amp; "!C:C"),SUM($P$6:$P30))</f>
        <v>#N/A</v>
      </c>
      <c r="O30" s="2"/>
      <c r="P30" s="5" t="e">
        <f ca="1">MATCH($A$5&amp;"*-*"&amp;$A$6&amp;"*",INDIRECT(baseFichierEAN13 &amp; "!B" &amp; (SUM(P$6:P29)+1) &amp; ":B" &amp;SUM(P$6:P29)+10000),0)</f>
        <v>#N/A</v>
      </c>
    </row>
    <row r="31" spans="1:18" x14ac:dyDescent="0.25">
      <c r="G31" s="2"/>
      <c r="H31" s="2"/>
      <c r="I31" s="2"/>
      <c r="J31" s="2"/>
      <c r="K31" s="2"/>
      <c r="L31" s="9" t="e">
        <f ca="1">INDEX(INDIRECT(baseFichierEAN13 &amp; "!B:B"),SUM($P$6:$P31))</f>
        <v>#N/A</v>
      </c>
      <c r="M31" s="4" t="e">
        <f ca="1">INDEX(INDIRECT(baseFichierEAN13 &amp; "!F:F"),SUM($P$6:$P31))</f>
        <v>#N/A</v>
      </c>
      <c r="N31" s="9" t="e">
        <f ca="1">INDEX(INDIRECT(baseFichierEAN13 &amp; "!C:C"),SUM($P$6:$P31))</f>
        <v>#N/A</v>
      </c>
      <c r="O31" s="2"/>
      <c r="P31" s="5" t="e">
        <f ca="1">MATCH($A$5&amp;"*-*"&amp;$A$6&amp;"*",INDIRECT(baseFichierEAN13 &amp; "!B" &amp; (SUM(P$6:P30)+1) &amp; ":B" &amp;SUM(P$6:P30)+10000),0)</f>
        <v>#N/A</v>
      </c>
    </row>
    <row r="32" spans="1:18" x14ac:dyDescent="0.25">
      <c r="G32" s="2"/>
      <c r="H32" s="2"/>
      <c r="I32" s="2"/>
      <c r="J32" s="2"/>
      <c r="K32" s="2"/>
      <c r="L32" s="9" t="e">
        <f ca="1">INDEX(INDIRECT(baseFichierEAN13 &amp; "!B:B"),SUM($P$6:$P32))</f>
        <v>#N/A</v>
      </c>
      <c r="M32" s="4" t="e">
        <f ca="1">INDEX(INDIRECT(baseFichierEAN13 &amp; "!F:F"),SUM($P$6:$P32))</f>
        <v>#N/A</v>
      </c>
      <c r="N32" s="9" t="e">
        <f ca="1">INDEX(INDIRECT(baseFichierEAN13 &amp; "!C:C"),SUM($P$6:$P32))</f>
        <v>#N/A</v>
      </c>
      <c r="O32" s="2"/>
      <c r="P32" s="5" t="e">
        <f ca="1">MATCH($A$5&amp;"*-*"&amp;$A$6&amp;"*",INDIRECT(baseFichierEAN13 &amp; "!B" &amp; (SUM(P$6:P31)+1) &amp; ":B" &amp;SUM(P$6:P31)+10000),0)</f>
        <v>#N/A</v>
      </c>
    </row>
    <row r="33" spans="7:16" x14ac:dyDescent="0.25">
      <c r="G33" s="2"/>
      <c r="H33" s="2"/>
      <c r="I33" s="2"/>
      <c r="J33" s="2"/>
      <c r="K33" s="2"/>
      <c r="L33" s="9" t="e">
        <f ca="1">INDEX(INDIRECT(baseFichierEAN13 &amp; "!B:B"),SUM($P$6:$P33))</f>
        <v>#N/A</v>
      </c>
      <c r="M33" s="4" t="e">
        <f ca="1">INDEX(INDIRECT(baseFichierEAN13 &amp; "!F:F"),SUM($P$6:$P33))</f>
        <v>#N/A</v>
      </c>
      <c r="N33" s="9" t="e">
        <f ca="1">INDEX(INDIRECT(baseFichierEAN13 &amp; "!C:C"),SUM($P$6:$P33))</f>
        <v>#N/A</v>
      </c>
      <c r="O33" s="2"/>
      <c r="P33" s="5" t="e">
        <f ca="1">MATCH($A$5&amp;"*-*"&amp;$A$6&amp;"*",INDIRECT(baseFichierEAN13 &amp; "!B" &amp; (SUM(P$6:P32)+1) &amp; ":B" &amp;SUM(P$6:P32)+10000),0)</f>
        <v>#N/A</v>
      </c>
    </row>
    <row r="34" spans="7:16" x14ac:dyDescent="0.25">
      <c r="G34" s="2"/>
      <c r="H34" s="2"/>
      <c r="I34" s="2"/>
      <c r="J34" s="2"/>
      <c r="K34" s="2"/>
      <c r="L34" s="9" t="e">
        <f ca="1">INDEX(INDIRECT(baseFichierEAN13 &amp; "!B:B"),SUM($P$6:$P34))</f>
        <v>#N/A</v>
      </c>
      <c r="M34" s="4" t="e">
        <f ca="1">INDEX(INDIRECT(baseFichierEAN13 &amp; "!F:F"),SUM($P$6:$P34))</f>
        <v>#N/A</v>
      </c>
      <c r="N34" s="9" t="e">
        <f ca="1">INDEX(INDIRECT(baseFichierEAN13 &amp; "!C:C"),SUM($P$6:$P34))</f>
        <v>#N/A</v>
      </c>
      <c r="O34" s="2"/>
      <c r="P34" s="5" t="e">
        <f ca="1">MATCH($A$5&amp;"*-*"&amp;$A$6&amp;"*",INDIRECT(baseFichierEAN13 &amp; "!B" &amp; (SUM(P$6:P33)+1) &amp; ":B" &amp;SUM(P$6:P33)+10000),0)</f>
        <v>#N/A</v>
      </c>
    </row>
    <row r="35" spans="7:16" x14ac:dyDescent="0.25">
      <c r="G35" s="2"/>
      <c r="H35" s="2"/>
      <c r="I35" s="2"/>
      <c r="J35" s="2"/>
      <c r="K35" s="2"/>
      <c r="L35" s="9" t="e">
        <f ca="1">INDEX(INDIRECT(baseFichierEAN13 &amp; "!B:B"),SUM($P$6:$P35))</f>
        <v>#N/A</v>
      </c>
      <c r="M35" s="4" t="e">
        <f ca="1">INDEX(INDIRECT(baseFichierEAN13 &amp; "!F:F"),SUM($P$6:$P35))</f>
        <v>#N/A</v>
      </c>
      <c r="N35" s="9" t="e">
        <f ca="1">INDEX(INDIRECT(baseFichierEAN13 &amp; "!C:C"),SUM($P$6:$P35))</f>
        <v>#N/A</v>
      </c>
      <c r="O35" s="2"/>
      <c r="P35" s="5" t="e">
        <f ca="1">MATCH($A$5&amp;"*-*"&amp;$A$6&amp;"*",INDIRECT(baseFichierEAN13 &amp; "!B" &amp; (SUM(P$6:P34)+1) &amp; ":B" &amp;SUM(P$6:P34)+10000),0)</f>
        <v>#N/A</v>
      </c>
    </row>
    <row r="36" spans="7:16" x14ac:dyDescent="0.25">
      <c r="G36" s="2"/>
      <c r="H36" s="2"/>
      <c r="I36" s="2"/>
      <c r="J36" s="2"/>
      <c r="K36" s="2"/>
      <c r="L36" s="9" t="e">
        <f ca="1">INDEX(INDIRECT(baseFichierEAN13 &amp; "!B:B"),SUM($P$6:$P36))</f>
        <v>#N/A</v>
      </c>
      <c r="M36" s="4" t="e">
        <f ca="1">INDEX(INDIRECT(baseFichierEAN13 &amp; "!F:F"),SUM($P$6:$P36))</f>
        <v>#N/A</v>
      </c>
      <c r="N36" s="9" t="e">
        <f ca="1">INDEX(INDIRECT(baseFichierEAN13 &amp; "!C:C"),SUM($P$6:$P36))</f>
        <v>#N/A</v>
      </c>
      <c r="O36" s="2"/>
      <c r="P36" s="5" t="e">
        <f ca="1">MATCH($A$5&amp;"*-*"&amp;$A$6&amp;"*",INDIRECT(baseFichierEAN13 &amp; "!B" &amp; (SUM(P$6:P35)+1) &amp; ":B" &amp;SUM(P$6:P35)+10000),0)</f>
        <v>#N/A</v>
      </c>
    </row>
    <row r="37" spans="7:16" x14ac:dyDescent="0.25">
      <c r="G37" s="2"/>
      <c r="H37" s="2"/>
      <c r="I37" s="2"/>
      <c r="J37" s="2"/>
      <c r="K37" s="2"/>
      <c r="L37" s="9" t="e">
        <f ca="1">INDEX(INDIRECT(baseFichierEAN13 &amp; "!B:B"),SUM($P$6:$P37))</f>
        <v>#N/A</v>
      </c>
      <c r="M37" s="4" t="e">
        <f ca="1">INDEX(INDIRECT(baseFichierEAN13 &amp; "!F:F"),SUM($P$6:$P37))</f>
        <v>#N/A</v>
      </c>
      <c r="N37" s="9" t="e">
        <f ca="1">INDEX(INDIRECT(baseFichierEAN13 &amp; "!C:C"),SUM($P$6:$P37))</f>
        <v>#N/A</v>
      </c>
      <c r="O37" s="2"/>
      <c r="P37" s="5" t="e">
        <f ca="1">MATCH($A$5&amp;"*-*"&amp;$A$6&amp;"*",INDIRECT(baseFichierEAN13 &amp; "!B" &amp; (SUM(P$6:P36)+1) &amp; ":B" &amp;SUM(P$6:P36)+10000),0)</f>
        <v>#N/A</v>
      </c>
    </row>
    <row r="38" spans="7:16" x14ac:dyDescent="0.25">
      <c r="G38" s="2"/>
      <c r="H38" s="2"/>
      <c r="I38" s="2"/>
      <c r="J38" s="2"/>
      <c r="K38" s="2"/>
      <c r="L38" s="9" t="e">
        <f ca="1">INDEX(INDIRECT(baseFichierEAN13 &amp; "!B:B"),SUM($P$6:$P38))</f>
        <v>#N/A</v>
      </c>
      <c r="M38" s="4" t="e">
        <f ca="1">INDEX(INDIRECT(baseFichierEAN13 &amp; "!F:F"),SUM($P$6:$P38))</f>
        <v>#N/A</v>
      </c>
      <c r="N38" s="9" t="e">
        <f ca="1">INDEX(INDIRECT(baseFichierEAN13 &amp; "!C:C"),SUM($P$6:$P38))</f>
        <v>#N/A</v>
      </c>
      <c r="O38" s="2"/>
      <c r="P38" s="5" t="e">
        <f ca="1">MATCH($A$5&amp;"*-*"&amp;$A$6&amp;"*",INDIRECT(baseFichierEAN13 &amp; "!B" &amp; (SUM(P$6:P37)+1) &amp; ":B" &amp;SUM(P$6:P37)+10000),0)</f>
        <v>#N/A</v>
      </c>
    </row>
    <row r="39" spans="7:16" x14ac:dyDescent="0.25">
      <c r="G39" s="2"/>
      <c r="H39" s="2"/>
      <c r="I39" s="2"/>
      <c r="J39" s="2"/>
      <c r="K39" s="2"/>
      <c r="L39" s="9" t="e">
        <f ca="1">INDEX(INDIRECT(baseFichierEAN13 &amp; "!B:B"),SUM($P$6:$P39))</f>
        <v>#N/A</v>
      </c>
      <c r="M39" s="4" t="e">
        <f ca="1">INDEX(INDIRECT(baseFichierEAN13 &amp; "!F:F"),SUM($P$6:$P39))</f>
        <v>#N/A</v>
      </c>
      <c r="N39" s="9" t="e">
        <f ca="1">INDEX(INDIRECT(baseFichierEAN13 &amp; "!C:C"),SUM($P$6:$P39))</f>
        <v>#N/A</v>
      </c>
      <c r="O39" s="2"/>
      <c r="P39" s="5" t="e">
        <f ca="1">MATCH($A$5&amp;"*-*"&amp;$A$6&amp;"*",INDIRECT(baseFichierEAN13 &amp; "!B" &amp; (SUM(P$6:P38)+1) &amp; ":B" &amp;SUM(P$6:P38)+10000),0)</f>
        <v>#N/A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T496"/>
  <sheetViews>
    <sheetView tabSelected="1" workbookViewId="0">
      <pane ySplit="6" topLeftCell="A7" activePane="bottomLeft" state="frozen"/>
      <selection pane="bottomLeft" activeCell="A7" sqref="A7"/>
    </sheetView>
  </sheetViews>
  <sheetFormatPr baseColWidth="10" defaultRowHeight="15" x14ac:dyDescent="0.25"/>
  <cols>
    <col min="1" max="1" width="7.5703125" style="7" customWidth="1"/>
    <col min="2" max="2" width="23.7109375" style="7" customWidth="1"/>
    <col min="3" max="3" width="99.42578125" style="7" customWidth="1"/>
    <col min="4" max="4" width="23.28515625" style="7" customWidth="1"/>
    <col min="5" max="5" width="12.42578125" style="7" customWidth="1"/>
    <col min="6" max="6" width="13.28515625" style="7" customWidth="1"/>
    <col min="7" max="7" width="11.28515625" style="7" customWidth="1"/>
    <col min="8" max="8" width="20.140625" style="7" bestFit="1" customWidth="1"/>
    <col min="9" max="9" width="11.42578125" style="2"/>
    <col min="10" max="10" width="15.85546875" style="2" bestFit="1" customWidth="1"/>
    <col min="11" max="13" width="11.42578125" style="2"/>
    <col min="14" max="14" width="14" style="2" bestFit="1" customWidth="1"/>
    <col min="15" max="15" width="13.7109375" style="2" bestFit="1" customWidth="1"/>
    <col min="16" max="17" width="13.7109375" style="2" customWidth="1"/>
    <col min="18" max="18" width="16.7109375" style="17" bestFit="1" customWidth="1"/>
    <col min="19" max="19" width="16.7109375" style="2" bestFit="1" customWidth="1"/>
    <col min="20" max="21" width="14" style="2" bestFit="1" customWidth="1"/>
    <col min="22" max="16384" width="11.42578125" style="2"/>
  </cols>
  <sheetData>
    <row r="1" spans="1:20" x14ac:dyDescent="0.25">
      <c r="A1" s="7" t="str">
        <f t="shared" ref="A1:A6" ca="1" si="0">INDEX(INDIRECT(zoneFichierTraite), ROW(A1),3)</f>
        <v>Fichier</v>
      </c>
      <c r="C1" s="20" t="str">
        <f t="shared" ref="C1:C6" ca="1" si="1">INDEX(INDIRECT(zoneFichierTraite), ROW(C1),5)</f>
        <v>2019-09-Fall19/FAT_2019_50_0001933.txt</v>
      </c>
      <c r="H1" s="42" t="s">
        <v>20</v>
      </c>
      <c r="J1" s="19" t="s">
        <v>4</v>
      </c>
      <c r="K1" s="2" t="s">
        <v>13</v>
      </c>
    </row>
    <row r="2" spans="1:20" ht="38.25" customHeight="1" x14ac:dyDescent="0.25">
      <c r="A2" s="7" t="str">
        <f t="shared" ca="1" si="0"/>
        <v>Boutique</v>
      </c>
      <c r="C2" s="12" t="str">
        <f t="shared" ca="1" si="1"/>
        <v>TOULOUSE</v>
      </c>
      <c r="F2" s="27"/>
      <c r="G2" s="27"/>
      <c r="H2" s="41" t="s">
        <v>21</v>
      </c>
      <c r="J2" s="3" t="s">
        <v>0</v>
      </c>
      <c r="K2" s="8">
        <v>7</v>
      </c>
      <c r="L2" s="2" t="str">
        <f>nomFichierTraite &amp; "!A:Z"</f>
        <v>EAN13_traite.csv!A:Z</v>
      </c>
    </row>
    <row r="3" spans="1:20" ht="19.5" x14ac:dyDescent="0.3">
      <c r="A3" s="7" t="str">
        <f t="shared" ca="1" si="0"/>
        <v>Ref. facture</v>
      </c>
      <c r="C3" s="40" t="str">
        <f t="shared" ca="1" si="1"/>
        <v>2019 50 1933 17/09/2019</v>
      </c>
      <c r="J3" s="19" t="s">
        <v>14</v>
      </c>
      <c r="K3" s="15"/>
    </row>
    <row r="4" spans="1:20" ht="19.5" x14ac:dyDescent="0.3">
      <c r="A4" s="7" t="str">
        <f t="shared" ca="1" si="0"/>
        <v>Total facture</v>
      </c>
      <c r="C4" s="43">
        <f t="shared" ca="1" si="1"/>
        <v>6224.71</v>
      </c>
      <c r="H4" s="26" t="s">
        <v>17</v>
      </c>
      <c r="J4" s="3" t="s">
        <v>15</v>
      </c>
      <c r="K4" s="16"/>
      <c r="L4" s="2" t="str">
        <f>nomFichierEAN13Valmag &amp; "!A:Z"</f>
        <v>EXPEAN13.csv!A:Z</v>
      </c>
    </row>
    <row r="5" spans="1:20" ht="17.25" x14ac:dyDescent="0.3">
      <c r="H5" s="36">
        <f ca="1">SUMPRODUCT(E:E,F:F)</f>
        <v>6132.7099999999928</v>
      </c>
      <c r="J5" s="19" t="s">
        <v>18</v>
      </c>
    </row>
    <row r="6" spans="1:20" ht="19.5" x14ac:dyDescent="0.3">
      <c r="A6" s="7" t="str">
        <f t="shared" ca="1" si="0"/>
        <v>Cumul montant</v>
      </c>
      <c r="C6" s="44" t="str">
        <f t="shared" ca="1" si="1"/>
        <v>6132.71</v>
      </c>
      <c r="H6" s="36">
        <f ca="1">SUM(M:M)</f>
        <v>6132.7099999999928</v>
      </c>
      <c r="J6" s="3" t="s">
        <v>8</v>
      </c>
      <c r="L6" s="2" t="str">
        <f>nomFichierBaseCatalogue &amp; "!A:Z"</f>
        <v>base.EAN13.csv!A:Z</v>
      </c>
    </row>
    <row r="7" spans="1:20" x14ac:dyDescent="0.25">
      <c r="J7" s="19" t="s">
        <v>24</v>
      </c>
    </row>
    <row r="8" spans="1:20" x14ac:dyDescent="0.25">
      <c r="J8" s="3" t="str">
        <f>"'[" &amp; H2 &amp; ".PRODUIT" &amp; ".csv]" &amp; H2 &amp; ".PRODUIT'"</f>
        <v>'[catalogo fall 19.PRODUIT.csv]catalogo fall 19.PRODUIT'</v>
      </c>
      <c r="L8" s="2" t="str">
        <f>nomFichierFiltreCatalogue &amp; "!A:Z"</f>
        <v>'[catalogo fall 19.PRODUIT.csv]catalogo fall 19.PRODUIT'!A:Z</v>
      </c>
    </row>
    <row r="9" spans="1:20" x14ac:dyDescent="0.25">
      <c r="L9" s="19" t="s">
        <v>4</v>
      </c>
      <c r="O9" s="19" t="s">
        <v>16</v>
      </c>
      <c r="P9" s="19"/>
      <c r="Q9" s="19" t="s">
        <v>19</v>
      </c>
      <c r="R9" s="28"/>
      <c r="S9" s="19" t="s">
        <v>25</v>
      </c>
    </row>
    <row r="10" spans="1:20" x14ac:dyDescent="0.25">
      <c r="O10" s="2" t="s">
        <v>22</v>
      </c>
      <c r="P10" s="2" t="s">
        <v>23</v>
      </c>
      <c r="Q10" s="2" t="s">
        <v>26</v>
      </c>
    </row>
    <row r="11" spans="1:20" ht="39" customHeight="1" thickBot="1" x14ac:dyDescent="0.65">
      <c r="A11" s="11" t="str">
        <f ca="1">INDEX(INDIRECT(zoneFichierTraite),$J11+offsetInitialFichierTraite,6)</f>
        <v>UNICA</v>
      </c>
      <c r="B11" s="7" t="str">
        <f ca="1">INDEX(INDIRECT(zoneFichierTraite),$J11+offsetInitialFichierTraite,4)</f>
        <v>ACCEO113-MAS00-055</v>
      </c>
      <c r="C11" s="31" t="str">
        <f ca="1">INDEX(INDIRECT(zoneFichierTraite),$J11+offsetInitialFichierTraite,5)</f>
        <v>ACCESSOIRE PORTE-CLES LETTRES O BAG EN PLASTIQUE</v>
      </c>
      <c r="D11" s="32" t="str">
        <f ca="1">INDEX(INDIRECT(zoneFichierTraite),$J11+offsetInitialFichierTraite,13)</f>
        <v>nero</v>
      </c>
      <c r="E11" s="35">
        <f ca="1">INDEX(INDIRECT(zoneFichierTraite),$J11+offsetInitialFichierTraite,7)</f>
        <v>2</v>
      </c>
      <c r="F11" s="33">
        <f ca="1">INDEX(INDIRECT(zoneFichierTraite),$J11+offsetInitialFichierTraite,8)</f>
        <v>7.78</v>
      </c>
      <c r="G11" s="34">
        <f t="shared" ref="G11" ca="1" si="2">ROUNDUP(F11*3,0)</f>
        <v>24</v>
      </c>
      <c r="H11" s="37" t="str">
        <f t="shared" ref="H11" ca="1" si="3">IF(ISNUMBER(N11),codeEAN13(INT(N11/10)),"")</f>
        <v>8APASOG*ajcfcf+</v>
      </c>
      <c r="J11" s="18">
        <f t="shared" ref="J11:J73" si="4">J9+1</f>
        <v>1</v>
      </c>
      <c r="L11" s="7" t="str">
        <f ca="1">INDEX(INDIRECT(zoneFichierTraite),$J11+offsetInitialFichierTraite,1)</f>
        <v>'001</v>
      </c>
      <c r="M11" s="14">
        <f ca="1">INDEX(INDIRECT(zoneFichierTraite),$J11+offsetInitialFichierTraite,9)</f>
        <v>15.56</v>
      </c>
      <c r="N11" s="17">
        <f ca="1">INDEX(INDIRECT(zoneFichierTraite),$J11+offsetInitialFichierTraite,3)</f>
        <v>8050846092525</v>
      </c>
      <c r="O11" s="2" t="e">
        <f ca="1">MATCH(N11,INDIRECT(nomFichierEAN13Valmag &amp; "!A:A"),0)</f>
        <v>#N/A</v>
      </c>
      <c r="P11" s="2" t="e">
        <f ca="1">MATCH(R11,INDIRECT(nomFichierEAN13Valmag &amp; "!A:A"),0)</f>
        <v>#N/A</v>
      </c>
      <c r="Q11" s="2">
        <f ca="1">MATCH(LEFT(B11,14) &amp; "*",INDIRECT(nomFichierBaseCatalogue &amp; "!B:B"),0)</f>
        <v>27</v>
      </c>
      <c r="R11" s="17">
        <f ca="1">IFERROR(INDEX(INDIRECT(zoneFichierBaseCatalogue),Q11,1),"")</f>
        <v>8050846092556</v>
      </c>
      <c r="S11" s="2">
        <f ca="1">MATCH(B11,INDIRECT(nomFichierFiltreCatalogue &amp; "!B:B"),0)</f>
        <v>569</v>
      </c>
      <c r="T11" s="17"/>
    </row>
    <row r="12" spans="1:20" s="24" customFormat="1" ht="15.75" customHeight="1" x14ac:dyDescent="0.25">
      <c r="A12" s="30">
        <f ca="1">INDEX(INDIRECT(zoneFichierTraite),$J11+offsetInitialFichierTraite,2)</f>
        <v>140</v>
      </c>
      <c r="B12" s="29" t="str">
        <f ca="1">IFERROR(INDEX(INDIRECT(zoneFichierEAN13Valmag),$P11,3),"")</f>
        <v/>
      </c>
      <c r="C12" s="22" t="str">
        <f ca="1">IFERROR(INDEX(INDIRECT(zoneFichierEAN13Valmag),$O11,3),"")</f>
        <v/>
      </c>
      <c r="D12" s="23" t="str">
        <f ca="1">IFERROR(INDEX(INDIRECT(zoneFichierEAN13Valmag),$O11,4),"")</f>
        <v/>
      </c>
      <c r="E12" s="38" t="str">
        <f ca="1">IFERROR(INDEX(INDIRECT(zoneFichierFiltreCatalogue),S11,3),"")</f>
        <v>p144-2-03</v>
      </c>
      <c r="F12" s="23"/>
      <c r="G12" s="21"/>
      <c r="H12" s="39" t="str">
        <f ca="1">IFERROR(INDEX(INDIRECT(zoneFichierFiltreCatalogue),S11,6),"")</f>
        <v>fall 2019 presentation_/catalogo fall 19.txt</v>
      </c>
      <c r="R12" s="25"/>
      <c r="S12" s="25"/>
    </row>
    <row r="13" spans="1:20" ht="39" customHeight="1" thickBot="1" x14ac:dyDescent="0.65">
      <c r="A13" s="11" t="str">
        <f ca="1">INDEX(INDIRECT(zoneFichierTraite),$J13+offsetInitialFichierTraite,6)</f>
        <v>UNICA</v>
      </c>
      <c r="B13" s="7" t="str">
        <f ca="1">INDEX(INDIRECT(zoneFichierTraite),$J13+offsetInitialFichierTraite,4)</f>
        <v>ACCEO113-MAS00-076</v>
      </c>
      <c r="C13" s="31" t="str">
        <f ca="1">INDEX(INDIRECT(zoneFichierTraite),$J13+offsetInitialFichierTraite,5)</f>
        <v>ACCESSOIRE PORTE-CLES LETTRES O BAG EN PLASTIQUE</v>
      </c>
      <c r="D13" s="32" t="str">
        <f ca="1">INDEX(INDIRECT(zoneFichierTraite),$J13+offsetInitialFichierTraite,13)</f>
        <v>rosso</v>
      </c>
      <c r="E13" s="35">
        <f ca="1">INDEX(INDIRECT(zoneFichierTraite),$J13+offsetInitialFichierTraite,7)</f>
        <v>2</v>
      </c>
      <c r="F13" s="33">
        <f ca="1">INDEX(INDIRECT(zoneFichierTraite),$J13+offsetInitialFichierTraite,8)</f>
        <v>7.78</v>
      </c>
      <c r="G13" s="34">
        <f t="shared" ref="G13" ca="1" si="5">ROUNDUP(F13*3,0)</f>
        <v>24</v>
      </c>
      <c r="H13" s="37" t="str">
        <f t="shared" ref="H13" ca="1" si="6">IF(ISNUMBER(N13),codeEAN13(INT(N13/10)),"")</f>
        <v>8APASOG*ajcfdc+</v>
      </c>
      <c r="J13" s="18">
        <f t="shared" si="4"/>
        <v>2</v>
      </c>
      <c r="L13" s="7" t="str">
        <f ca="1">INDEX(INDIRECT(zoneFichierTraite),$J13+offsetInitialFichierTraite,1)</f>
        <v>'002</v>
      </c>
      <c r="M13" s="14">
        <f ca="1">INDEX(INDIRECT(zoneFichierTraite),$J13+offsetInitialFichierTraite,9)</f>
        <v>15.56</v>
      </c>
      <c r="N13" s="17">
        <f ca="1">INDEX(INDIRECT(zoneFichierTraite),$J13+offsetInitialFichierTraite,3)</f>
        <v>8050846092532</v>
      </c>
      <c r="O13" s="2" t="e">
        <f ca="1">MATCH(N13,INDIRECT(nomFichierEAN13Valmag &amp; "!A:A"),0)</f>
        <v>#N/A</v>
      </c>
      <c r="P13" s="2" t="e">
        <f ca="1">MATCH(R13,INDIRECT(nomFichierEAN13Valmag &amp; "!A:A"),0)</f>
        <v>#N/A</v>
      </c>
      <c r="Q13" s="2">
        <f ca="1">MATCH(LEFT(B13,14) &amp; "*",INDIRECT(nomFichierBaseCatalogue &amp; "!B:B"),0)</f>
        <v>27</v>
      </c>
      <c r="R13" s="17">
        <f ca="1">IFERROR(INDEX(INDIRECT(zoneFichierBaseCatalogue),Q13,1),"")</f>
        <v>8050846092556</v>
      </c>
      <c r="S13" s="2">
        <f ca="1">MATCH(B13,INDIRECT(nomFichierFiltreCatalogue &amp; "!B:B"),0)</f>
        <v>571</v>
      </c>
      <c r="T13" s="17"/>
    </row>
    <row r="14" spans="1:20" s="24" customFormat="1" ht="15.75" customHeight="1" x14ac:dyDescent="0.25">
      <c r="A14" s="30">
        <f ca="1">INDEX(INDIRECT(zoneFichierTraite),$J13+offsetInitialFichierTraite,2)</f>
        <v>16</v>
      </c>
      <c r="B14" s="29" t="str">
        <f ca="1">IFERROR(INDEX(INDIRECT(zoneFichierEAN13Valmag),$P13,3),"")</f>
        <v/>
      </c>
      <c r="C14" s="22" t="str">
        <f ca="1">IFERROR(INDEX(INDIRECT(zoneFichierEAN13Valmag),$O13,3),"")</f>
        <v/>
      </c>
      <c r="D14" s="23" t="str">
        <f ca="1">IFERROR(INDEX(INDIRECT(zoneFichierEAN13Valmag),$O13,4),"")</f>
        <v/>
      </c>
      <c r="E14" s="38" t="str">
        <f ca="1">IFERROR(INDEX(INDIRECT(zoneFichierFiltreCatalogue),S13,3),"")</f>
        <v>p144-2-05</v>
      </c>
      <c r="F14" s="23"/>
      <c r="G14" s="21"/>
      <c r="H14" s="39" t="str">
        <f ca="1">IFERROR(INDEX(INDIRECT(zoneFichierFiltreCatalogue),S13,6),"")</f>
        <v>fall 2019 presentation_/catalogo fall 19.txt</v>
      </c>
      <c r="R14" s="25"/>
      <c r="S14" s="25"/>
    </row>
    <row r="15" spans="1:20" ht="39" customHeight="1" thickBot="1" x14ac:dyDescent="0.65">
      <c r="A15" s="11" t="str">
        <f ca="1">INDEX(INDIRECT(zoneFichierTraite),$J15+offsetInitialFichierTraite,6)</f>
        <v>UNICA</v>
      </c>
      <c r="B15" s="7" t="str">
        <f ca="1">INDEX(INDIRECT(zoneFichierTraite),$J15+offsetInitialFichierTraite,4)</f>
        <v>HLESAD00-ECS00-055</v>
      </c>
      <c r="C15" s="31" t="str">
        <f ca="1">INDEX(INDIRECT(zoneFichierTraite),$J15+offsetInitialFichierTraite,5)</f>
        <v>ANSES TUBULAIRES EN FAUX CUIR</v>
      </c>
      <c r="D15" s="32" t="str">
        <f ca="1">INDEX(INDIRECT(zoneFichierTraite),$J15+offsetInitialFichierTraite,13)</f>
        <v>nero</v>
      </c>
      <c r="E15" s="35">
        <f ca="1">INDEX(INDIRECT(zoneFichierTraite),$J15+offsetInitialFichierTraite,7)</f>
        <v>3</v>
      </c>
      <c r="F15" s="33">
        <f ca="1">INDEX(INDIRECT(zoneFichierTraite),$J15+offsetInitialFichierTraite,8)</f>
        <v>4.5599999999999996</v>
      </c>
      <c r="G15" s="34">
        <f t="shared" ref="G15" ca="1" si="7">ROUNDUP(F15*3,0)</f>
        <v>14</v>
      </c>
      <c r="H15" s="37" t="str">
        <f t="shared" ref="H15" ca="1" si="8">IF(ISNUMBER(N15),codeEAN13(INT(N15/10)),"")</f>
        <v>8APASOG*aacfig+</v>
      </c>
      <c r="J15" s="18">
        <f t="shared" si="4"/>
        <v>3</v>
      </c>
      <c r="L15" s="7" t="str">
        <f ca="1">INDEX(INDIRECT(zoneFichierTraite),$J15+offsetInitialFichierTraite,1)</f>
        <v>'003</v>
      </c>
      <c r="M15" s="14">
        <f ca="1">INDEX(INDIRECT(zoneFichierTraite),$J15+offsetInitialFichierTraite,9)</f>
        <v>13.68</v>
      </c>
      <c r="N15" s="17">
        <f ca="1">INDEX(INDIRECT(zoneFichierTraite),$J15+offsetInitialFichierTraite,3)</f>
        <v>8050846002586</v>
      </c>
      <c r="O15" s="2">
        <f ca="1">MATCH(N15,INDIRECT(nomFichierEAN13Valmag &amp; "!A:A"),0)</f>
        <v>59</v>
      </c>
      <c r="P15" s="2">
        <f ca="1">MATCH(R15,INDIRECT(nomFichierEAN13Valmag &amp; "!A:A"),0)</f>
        <v>65</v>
      </c>
      <c r="Q15" s="2">
        <f ca="1">MATCH(LEFT(B15,14) &amp; "*",INDIRECT(nomFichierBaseCatalogue &amp; "!B:B"),0)</f>
        <v>46</v>
      </c>
      <c r="R15" s="17">
        <f ca="1">IFERROR(INDEX(INDIRECT(zoneFichierBaseCatalogue),Q15,1),"")</f>
        <v>8050846014909</v>
      </c>
      <c r="S15" s="2">
        <f ca="1">MATCH(B15,INDIRECT(nomFichierFiltreCatalogue &amp; "!B:B"),0)</f>
        <v>155</v>
      </c>
      <c r="T15" s="17"/>
    </row>
    <row r="16" spans="1:20" s="24" customFormat="1" ht="15.75" customHeight="1" x14ac:dyDescent="0.25">
      <c r="A16" s="30">
        <f ca="1">INDEX(INDIRECT(zoneFichierTraite),$J15+offsetInitialFichierTraite,2)</f>
        <v>103</v>
      </c>
      <c r="B16" s="29" t="str">
        <f ca="1">IFERROR(INDEX(INDIRECT(zoneFichierEAN13Valmag),$P15,3),"")</f>
        <v>ANSE/TUB/ANNEAUX</v>
      </c>
      <c r="C16" s="22" t="str">
        <f ca="1">IFERROR(INDEX(INDIRECT(zoneFichierEAN13Valmag),$O15,3),"")</f>
        <v>ANSE/TUB/ANNEAUX</v>
      </c>
      <c r="D16" s="23" t="str">
        <f ca="1">IFERROR(INDEX(INDIRECT(zoneFichierEAN13Valmag),$O15,4),"")</f>
        <v>BLACK</v>
      </c>
      <c r="E16" s="38" t="str">
        <f ca="1">IFERROR(INDEX(INDIRECT(zoneFichierFiltreCatalogue),S15,3),"")</f>
        <v>p032-1-03</v>
      </c>
      <c r="F16" s="23"/>
      <c r="G16" s="21"/>
      <c r="H16" s="39" t="str">
        <f ca="1">IFERROR(INDEX(INDIRECT(zoneFichierFiltreCatalogue),S15,6),"")</f>
        <v>fall 2019 presentation_/catalogo fall 19.txt</v>
      </c>
      <c r="R16" s="25"/>
      <c r="S16" s="25"/>
    </row>
    <row r="17" spans="1:20" ht="39" customHeight="1" thickBot="1" x14ac:dyDescent="0.65">
      <c r="A17" s="11" t="str">
        <f ca="1">INDEX(INDIRECT(zoneFichierTraite),$J17+offsetInitialFichierTraite,6)</f>
        <v>UNICA</v>
      </c>
      <c r="B17" s="7" t="str">
        <f ca="1">INDEX(INDIRECT(zoneFichierTraite),$J17+offsetInitialFichierTraite,4)</f>
        <v>HLESC901-ECS00-078</v>
      </c>
      <c r="C17" s="31" t="str">
        <f ca="1">INDEX(INDIRECT(zoneFichierTraite),$J17+offsetInitialFichierTraite,5)</f>
        <v>ANSES COURTES CHAINE EN " T " EN FAUX CUIR</v>
      </c>
      <c r="D17" s="32" t="str">
        <f ca="1">INDEX(INDIRECT(zoneFichierTraite),$J17+offsetInitialFichierTraite,13)</f>
        <v>sabbia + oro</v>
      </c>
      <c r="E17" s="35">
        <f ca="1">INDEX(INDIRECT(zoneFichierTraite),$J17+offsetInitialFichierTraite,7)</f>
        <v>2</v>
      </c>
      <c r="F17" s="33">
        <f ca="1">INDEX(INDIRECT(zoneFichierTraite),$J17+offsetInitialFichierTraite,8)</f>
        <v>10</v>
      </c>
      <c r="G17" s="34">
        <f t="shared" ref="G17" ca="1" si="9">ROUNDUP(F17*3,0)</f>
        <v>30</v>
      </c>
      <c r="H17" s="37" t="str">
        <f t="shared" ref="H17" ca="1" si="10">IF(ISNUMBER(N17),codeEAN13(INT(N17/10)),"")</f>
        <v>8APASOG*aijfje+</v>
      </c>
      <c r="J17" s="18">
        <f t="shared" si="4"/>
        <v>4</v>
      </c>
      <c r="L17" s="7" t="str">
        <f ca="1">INDEX(INDIRECT(zoneFichierTraite),$J17+offsetInitialFichierTraite,1)</f>
        <v>'004</v>
      </c>
      <c r="M17" s="14">
        <f ca="1">INDEX(INDIRECT(zoneFichierTraite),$J17+offsetInitialFichierTraite,9)</f>
        <v>20</v>
      </c>
      <c r="N17" s="17">
        <f ca="1">INDEX(INDIRECT(zoneFichierTraite),$J17+offsetInitialFichierTraite,3)</f>
        <v>8050846089594</v>
      </c>
      <c r="O17" s="2" t="e">
        <f ca="1">MATCH(N17,INDIRECT(nomFichierEAN13Valmag &amp; "!A:A"),0)</f>
        <v>#N/A</v>
      </c>
      <c r="P17" s="2" t="e">
        <f ca="1">MATCH(R17,INDIRECT(nomFichierEAN13Valmag &amp; "!A:A"),0)</f>
        <v>#N/A</v>
      </c>
      <c r="Q17" s="2">
        <f ca="1">MATCH(LEFT(B17,14) &amp; "*",INDIRECT(nomFichierBaseCatalogue &amp; "!B:B"),0)</f>
        <v>92</v>
      </c>
      <c r="R17" s="17">
        <f ca="1">IFERROR(INDEX(INDIRECT(zoneFichierBaseCatalogue),Q17,1),"")</f>
        <v>8050846089594</v>
      </c>
      <c r="S17" s="2">
        <f ca="1">MATCH(B17,INDIRECT(nomFichierFiltreCatalogue &amp; "!B:B"),0)</f>
        <v>149</v>
      </c>
      <c r="T17" s="17"/>
    </row>
    <row r="18" spans="1:20" s="24" customFormat="1" ht="15.75" customHeight="1" x14ac:dyDescent="0.25">
      <c r="A18" s="30">
        <f ca="1">INDEX(INDIRECT(zoneFichierTraite),$J17+offsetInitialFichierTraite,2)</f>
        <v>15</v>
      </c>
      <c r="B18" s="29" t="str">
        <f ca="1">IFERROR(INDEX(INDIRECT(zoneFichierEAN13Valmag),$P17,3),"")</f>
        <v/>
      </c>
      <c r="C18" s="22" t="str">
        <f ca="1">IFERROR(INDEX(INDIRECT(zoneFichierEAN13Valmag),$O17,3),"")</f>
        <v/>
      </c>
      <c r="D18" s="23" t="str">
        <f ca="1">IFERROR(INDEX(INDIRECT(zoneFichierEAN13Valmag),$O17,4),"")</f>
        <v/>
      </c>
      <c r="E18" s="38" t="str">
        <f ca="1">IFERROR(INDEX(INDIRECT(zoneFichierFiltreCatalogue),S17,3),"")</f>
        <v>p031-1-01</v>
      </c>
      <c r="F18" s="23"/>
      <c r="G18" s="21"/>
      <c r="H18" s="39" t="str">
        <f ca="1">IFERROR(INDEX(INDIRECT(zoneFichierFiltreCatalogue),S17,6),"")</f>
        <v>fall 2019 presentation_/catalogo fall 19.txt</v>
      </c>
      <c r="R18" s="25"/>
      <c r="S18" s="25"/>
    </row>
    <row r="19" spans="1:20" ht="39" customHeight="1" thickBot="1" x14ac:dyDescent="0.65">
      <c r="A19" s="11" t="str">
        <f ca="1">INDEX(INDIRECT(zoneFichierTraite),$J19+offsetInitialFichierTraite,6)</f>
        <v>UNICA</v>
      </c>
      <c r="B19" s="7" t="str">
        <f ca="1">INDEX(INDIRECT(zoneFichierTraite),$J19+offsetInitialFichierTraite,4)</f>
        <v>HLESC901-ECS00-615</v>
      </c>
      <c r="C19" s="31" t="str">
        <f ca="1">INDEX(INDIRECT(zoneFichierTraite),$J19+offsetInitialFichierTraite,5)</f>
        <v>ANSES COURTES CHAINE EN " T " EN FAUX CUIR</v>
      </c>
      <c r="D19" s="32" t="str">
        <f ca="1">INDEX(INDIRECT(zoneFichierTraite),$J19+offsetInitialFichierTraite,13)</f>
        <v>military + oro</v>
      </c>
      <c r="E19" s="35">
        <f ca="1">INDEX(INDIRECT(zoneFichierTraite),$J19+offsetInitialFichierTraite,7)</f>
        <v>2</v>
      </c>
      <c r="F19" s="33">
        <f ca="1">INDEX(INDIRECT(zoneFichierTraite),$J19+offsetInitialFichierTraite,8)</f>
        <v>10</v>
      </c>
      <c r="G19" s="34">
        <f t="shared" ref="G19" ca="1" si="11">ROUNDUP(F19*3,0)</f>
        <v>30</v>
      </c>
      <c r="H19" s="37" t="str">
        <f t="shared" ref="H19" ca="1" si="12">IF(ISNUMBER(N19),codeEAN13(INT(N19/10)),"")</f>
        <v>8APASOG*aijfih+</v>
      </c>
      <c r="J19" s="18">
        <f t="shared" si="4"/>
        <v>5</v>
      </c>
      <c r="L19" s="7" t="str">
        <f ca="1">INDEX(INDIRECT(zoneFichierTraite),$J19+offsetInitialFichierTraite,1)</f>
        <v>'005</v>
      </c>
      <c r="M19" s="14">
        <f ca="1">INDEX(INDIRECT(zoneFichierTraite),$J19+offsetInitialFichierTraite,9)</f>
        <v>20</v>
      </c>
      <c r="N19" s="17">
        <f ca="1">INDEX(INDIRECT(zoneFichierTraite),$J19+offsetInitialFichierTraite,3)</f>
        <v>8050846089587</v>
      </c>
      <c r="O19" s="2" t="e">
        <f ca="1">MATCH(N19,INDIRECT(nomFichierEAN13Valmag &amp; "!A:A"),0)</f>
        <v>#N/A</v>
      </c>
      <c r="P19" s="2" t="e">
        <f ca="1">MATCH(R19,INDIRECT(nomFichierEAN13Valmag &amp; "!A:A"),0)</f>
        <v>#N/A</v>
      </c>
      <c r="Q19" s="2">
        <f ca="1">MATCH(LEFT(B19,14) &amp; "*",INDIRECT(nomFichierBaseCatalogue &amp; "!B:B"),0)</f>
        <v>92</v>
      </c>
      <c r="R19" s="17">
        <f ca="1">IFERROR(INDEX(INDIRECT(zoneFichierBaseCatalogue),Q19,1),"")</f>
        <v>8050846089594</v>
      </c>
      <c r="S19" s="2">
        <f ca="1">MATCH(B19,INDIRECT(nomFichierFiltreCatalogue &amp; "!B:B"),0)</f>
        <v>150</v>
      </c>
      <c r="T19" s="17"/>
    </row>
    <row r="20" spans="1:20" s="24" customFormat="1" ht="15.75" customHeight="1" x14ac:dyDescent="0.25">
      <c r="A20" s="30">
        <f ca="1">INDEX(INDIRECT(zoneFichierTraite),$J19+offsetInitialFichierTraite,2)</f>
        <v>90</v>
      </c>
      <c r="B20" s="29" t="str">
        <f ca="1">IFERROR(INDEX(INDIRECT(zoneFichierEAN13Valmag),$P19,3),"")</f>
        <v/>
      </c>
      <c r="C20" s="22" t="str">
        <f ca="1">IFERROR(INDEX(INDIRECT(zoneFichierEAN13Valmag),$O19,3),"")</f>
        <v/>
      </c>
      <c r="D20" s="23" t="str">
        <f ca="1">IFERROR(INDEX(INDIRECT(zoneFichierEAN13Valmag),$O19,4),"")</f>
        <v/>
      </c>
      <c r="E20" s="38" t="str">
        <f ca="1">IFERROR(INDEX(INDIRECT(zoneFichierFiltreCatalogue),S19,3),"")</f>
        <v>p031-1-02</v>
      </c>
      <c r="F20" s="23"/>
      <c r="G20" s="21"/>
      <c r="H20" s="39" t="str">
        <f ca="1">IFERROR(INDEX(INDIRECT(zoneFichierFiltreCatalogue),S19,6),"")</f>
        <v>fall 2019 presentation_/catalogo fall 19.txt</v>
      </c>
      <c r="R20" s="25"/>
      <c r="S20" s="25"/>
    </row>
    <row r="21" spans="1:20" ht="39" customHeight="1" thickBot="1" x14ac:dyDescent="0.65">
      <c r="A21" s="11" t="str">
        <f ca="1">INDEX(INDIRECT(zoneFichierTraite),$J21+offsetInitialFichierTraite,6)</f>
        <v>UNICA</v>
      </c>
      <c r="B21" s="7" t="str">
        <f ca="1">INDEX(INDIRECT(zoneFichierTraite),$J21+offsetInitialFichierTraite,4)</f>
        <v>HLESC901-ECS07-055</v>
      </c>
      <c r="C21" s="31" t="str">
        <f ca="1">INDEX(INDIRECT(zoneFichierTraite),$J21+offsetInitialFichierTraite,5)</f>
        <v>ANSES COURTES CHAINE EN " T " EN FAUX CUIR EFFET GRIFFE</v>
      </c>
      <c r="D21" s="32" t="str">
        <f ca="1">INDEX(INDIRECT(zoneFichierTraite),$J21+offsetInitialFichierTraite,13)</f>
        <v>nero + argento</v>
      </c>
      <c r="E21" s="35">
        <f ca="1">INDEX(INDIRECT(zoneFichierTraite),$J21+offsetInitialFichierTraite,7)</f>
        <v>2</v>
      </c>
      <c r="F21" s="33">
        <f ca="1">INDEX(INDIRECT(zoneFichierTraite),$J21+offsetInitialFichierTraite,8)</f>
        <v>10</v>
      </c>
      <c r="G21" s="34">
        <f t="shared" ref="G21" ca="1" si="13">ROUNDUP(F21*3,0)</f>
        <v>30</v>
      </c>
      <c r="H21" s="37" t="str">
        <f t="shared" ref="H21" ca="1" si="14">IF(ISNUMBER(N21),codeEAN13(INT(N21/10)),"")</f>
        <v>8APASOG*aijfha+</v>
      </c>
      <c r="J21" s="18">
        <f t="shared" si="4"/>
        <v>6</v>
      </c>
      <c r="L21" s="7" t="str">
        <f ca="1">INDEX(INDIRECT(zoneFichierTraite),$J21+offsetInitialFichierTraite,1)</f>
        <v>'006</v>
      </c>
      <c r="M21" s="14">
        <f ca="1">INDEX(INDIRECT(zoneFichierTraite),$J21+offsetInitialFichierTraite,9)</f>
        <v>20</v>
      </c>
      <c r="N21" s="17">
        <f ca="1">INDEX(INDIRECT(zoneFichierTraite),$J21+offsetInitialFichierTraite,3)</f>
        <v>8050846089570</v>
      </c>
      <c r="O21" s="2" t="e">
        <f ca="1">MATCH(N21,INDIRECT(nomFichierEAN13Valmag &amp; "!A:A"),0)</f>
        <v>#N/A</v>
      </c>
      <c r="P21" s="2" t="e">
        <f ca="1">MATCH(R21,INDIRECT(nomFichierEAN13Valmag &amp; "!A:A"),0)</f>
        <v>#N/A</v>
      </c>
      <c r="Q21" s="2">
        <f ca="1">MATCH(LEFT(B21,14) &amp; "*",INDIRECT(nomFichierBaseCatalogue &amp; "!B:B"),0)</f>
        <v>94</v>
      </c>
      <c r="R21" s="17">
        <f ca="1">IFERROR(INDEX(INDIRECT(zoneFichierBaseCatalogue),Q21,1),"")</f>
        <v>8050846089570</v>
      </c>
      <c r="S21" s="2">
        <f ca="1">MATCH(B21,INDIRECT(nomFichierFiltreCatalogue &amp; "!B:B"),0)</f>
        <v>151</v>
      </c>
      <c r="T21" s="17"/>
    </row>
    <row r="22" spans="1:20" s="24" customFormat="1" ht="15.75" customHeight="1" x14ac:dyDescent="0.25">
      <c r="A22" s="30">
        <f ca="1">INDEX(INDIRECT(zoneFichierTraite),$J21+offsetInitialFichierTraite,2)</f>
        <v>181</v>
      </c>
      <c r="B22" s="29" t="str">
        <f ca="1">IFERROR(INDEX(INDIRECT(zoneFichierEAN13Valmag),$P21,3),"")</f>
        <v/>
      </c>
      <c r="C22" s="22" t="str">
        <f ca="1">IFERROR(INDEX(INDIRECT(zoneFichierEAN13Valmag),$O21,3),"")</f>
        <v/>
      </c>
      <c r="D22" s="23" t="str">
        <f ca="1">IFERROR(INDEX(INDIRECT(zoneFichierEAN13Valmag),$O21,4),"")</f>
        <v/>
      </c>
      <c r="E22" s="38" t="str">
        <f ca="1">IFERROR(INDEX(INDIRECT(zoneFichierFiltreCatalogue),S21,3),"")</f>
        <v>p031-2-01</v>
      </c>
      <c r="F22" s="23"/>
      <c r="G22" s="21"/>
      <c r="H22" s="39" t="str">
        <f ca="1">IFERROR(INDEX(INDIRECT(zoneFichierFiltreCatalogue),S21,6),"")</f>
        <v>fall 2019 presentation_/catalogo fall 19.txt</v>
      </c>
      <c r="R22" s="25"/>
      <c r="S22" s="25"/>
    </row>
    <row r="23" spans="1:20" ht="39" customHeight="1" thickBot="1" x14ac:dyDescent="0.65">
      <c r="A23" s="11" t="str">
        <f ca="1">INDEX(INDIRECT(zoneFichierTraite),$J23+offsetInitialFichierTraite,6)</f>
        <v>UNICA</v>
      </c>
      <c r="B23" s="7" t="str">
        <f ca="1">INDEX(INDIRECT(zoneFichierTraite),$J23+offsetInitialFichierTraite,4)</f>
        <v>HLESC901-ECS07-371</v>
      </c>
      <c r="C23" s="31" t="str">
        <f ca="1">INDEX(INDIRECT(zoneFichierTraite),$J23+offsetInitialFichierTraite,5)</f>
        <v>ANSES COURTES CHAINE EN " T " EN FAUX CUIR EFFET GRIFFE</v>
      </c>
      <c r="D23" s="32" t="str">
        <f ca="1">INDEX(INDIRECT(zoneFichierTraite),$J23+offsetInitialFichierTraite,13)</f>
        <v>latte + argento</v>
      </c>
      <c r="E23" s="35">
        <f ca="1">INDEX(INDIRECT(zoneFichierTraite),$J23+offsetInitialFichierTraite,7)</f>
        <v>2</v>
      </c>
      <c r="F23" s="33">
        <f ca="1">INDEX(INDIRECT(zoneFichierTraite),$J23+offsetInitialFichierTraite,8)</f>
        <v>10</v>
      </c>
      <c r="G23" s="34">
        <f t="shared" ref="G23" ca="1" si="15">ROUNDUP(F23*3,0)</f>
        <v>30</v>
      </c>
      <c r="H23" s="37" t="str">
        <f t="shared" ref="H23" ca="1" si="16">IF(ISNUMBER(N23),codeEAN13(INT(N23/10)),"")</f>
        <v>8APASOG*aijfgd+</v>
      </c>
      <c r="J23" s="18">
        <f t="shared" si="4"/>
        <v>7</v>
      </c>
      <c r="L23" s="7" t="str">
        <f ca="1">INDEX(INDIRECT(zoneFichierTraite),$J23+offsetInitialFichierTraite,1)</f>
        <v>'007</v>
      </c>
      <c r="M23" s="14">
        <f ca="1">INDEX(INDIRECT(zoneFichierTraite),$J23+offsetInitialFichierTraite,9)</f>
        <v>20</v>
      </c>
      <c r="N23" s="17">
        <f ca="1">INDEX(INDIRECT(zoneFichierTraite),$J23+offsetInitialFichierTraite,3)</f>
        <v>8050846089563</v>
      </c>
      <c r="O23" s="2" t="e">
        <f ca="1">MATCH(N23,INDIRECT(nomFichierEAN13Valmag &amp; "!A:A"),0)</f>
        <v>#N/A</v>
      </c>
      <c r="P23" s="2" t="e">
        <f ca="1">MATCH(R23,INDIRECT(nomFichierEAN13Valmag &amp; "!A:A"),0)</f>
        <v>#N/A</v>
      </c>
      <c r="Q23" s="2">
        <f ca="1">MATCH(LEFT(B23,14) &amp; "*",INDIRECT(nomFichierBaseCatalogue &amp; "!B:B"),0)</f>
        <v>94</v>
      </c>
      <c r="R23" s="17">
        <f ca="1">IFERROR(INDEX(INDIRECT(zoneFichierBaseCatalogue),Q23,1),"")</f>
        <v>8050846089570</v>
      </c>
      <c r="S23" s="2">
        <f ca="1">MATCH(B23,INDIRECT(nomFichierFiltreCatalogue &amp; "!B:B"),0)</f>
        <v>152</v>
      </c>
      <c r="T23" s="17"/>
    </row>
    <row r="24" spans="1:20" s="24" customFormat="1" ht="15.75" customHeight="1" x14ac:dyDescent="0.25">
      <c r="A24" s="30">
        <f ca="1">INDEX(INDIRECT(zoneFichierTraite),$J23+offsetInitialFichierTraite,2)</f>
        <v>1</v>
      </c>
      <c r="B24" s="29" t="str">
        <f ca="1">IFERROR(INDEX(INDIRECT(zoneFichierEAN13Valmag),$P23,3),"")</f>
        <v/>
      </c>
      <c r="C24" s="22" t="str">
        <f ca="1">IFERROR(INDEX(INDIRECT(zoneFichierEAN13Valmag),$O23,3),"")</f>
        <v/>
      </c>
      <c r="D24" s="23" t="str">
        <f ca="1">IFERROR(INDEX(INDIRECT(zoneFichierEAN13Valmag),$O23,4),"")</f>
        <v/>
      </c>
      <c r="E24" s="38" t="str">
        <f ca="1">IFERROR(INDEX(INDIRECT(zoneFichierFiltreCatalogue),S23,3),"")</f>
        <v>p031-2-02</v>
      </c>
      <c r="F24" s="23"/>
      <c r="G24" s="21"/>
      <c r="H24" s="39" t="str">
        <f ca="1">IFERROR(INDEX(INDIRECT(zoneFichierFiltreCatalogue),S23,6),"")</f>
        <v>fall 2019 presentation_/catalogo fall 19.txt</v>
      </c>
      <c r="R24" s="25"/>
      <c r="S24" s="25"/>
    </row>
    <row r="25" spans="1:20" ht="39" customHeight="1" thickBot="1" x14ac:dyDescent="0.65">
      <c r="A25" s="11" t="str">
        <f ca="1">INDEX(INDIRECT(zoneFichierTraite),$J25+offsetInitialFichierTraite,6)</f>
        <v>UNICA</v>
      </c>
      <c r="B25" s="7" t="str">
        <f ca="1">INDEX(INDIRECT(zoneFichierTraite),$J25+offsetInitialFichierTraite,4)</f>
        <v>HLESCE01-ECS00-017</v>
      </c>
      <c r="C25" s="31" t="str">
        <f ca="1">INDEX(INDIRECT(zoneFichierTraite),$J25+offsetInitialFichierTraite,5)</f>
        <v>ANSES DOUBLE CHAINE EN " T " EN FAUX CUIR</v>
      </c>
      <c r="D25" s="32" t="str">
        <f ca="1">INDEX(INDIRECT(zoneFichierTraite),$J25+offsetInitialFichierTraite,13)</f>
        <v>blu navy + oro</v>
      </c>
      <c r="E25" s="35">
        <f ca="1">INDEX(INDIRECT(zoneFichierTraite),$J25+offsetInitialFichierTraite,7)</f>
        <v>3</v>
      </c>
      <c r="F25" s="33">
        <f ca="1">INDEX(INDIRECT(zoneFichierTraite),$J25+offsetInitialFichierTraite,8)</f>
        <v>12.66</v>
      </c>
      <c r="G25" s="34">
        <f t="shared" ref="G25" ca="1" si="17">ROUNDUP(F25*3,0)</f>
        <v>38</v>
      </c>
      <c r="H25" s="37" t="str">
        <f t="shared" ref="H25" ca="1" si="18">IF(ISNUMBER(N25),codeEAN13(INT(N25/10)),"")</f>
        <v>8APASOG*adfbcg+</v>
      </c>
      <c r="J25" s="18">
        <f t="shared" si="4"/>
        <v>8</v>
      </c>
      <c r="L25" s="7" t="str">
        <f ca="1">INDEX(INDIRECT(zoneFichierTraite),$J25+offsetInitialFichierTraite,1)</f>
        <v>'008</v>
      </c>
      <c r="M25" s="14">
        <f ca="1">INDEX(INDIRECT(zoneFichierTraite),$J25+offsetInitialFichierTraite,9)</f>
        <v>37.979999999999997</v>
      </c>
      <c r="N25" s="17">
        <f ca="1">INDEX(INDIRECT(zoneFichierTraite),$J25+offsetInitialFichierTraite,3)</f>
        <v>8050846035126</v>
      </c>
      <c r="O25" s="2">
        <f ca="1">MATCH(N25,INDIRECT(nomFichierEAN13Valmag &amp; "!A:A"),0)</f>
        <v>621</v>
      </c>
      <c r="P25" s="2">
        <f ca="1">MATCH(R25,INDIRECT(nomFichierEAN13Valmag &amp; "!A:A"),0)</f>
        <v>621</v>
      </c>
      <c r="Q25" s="2">
        <f ca="1">MATCH(LEFT(B25,14) &amp; "*",INDIRECT(nomFichierBaseCatalogue &amp; "!B:B"),0)</f>
        <v>96</v>
      </c>
      <c r="R25" s="17">
        <f ca="1">IFERROR(INDEX(INDIRECT(zoneFichierBaseCatalogue),Q25,1),"")</f>
        <v>8050846035126</v>
      </c>
      <c r="S25" s="2">
        <f ca="1">MATCH(B25,INDIRECT(nomFichierFiltreCatalogue &amp; "!B:B"),0)</f>
        <v>135</v>
      </c>
      <c r="T25" s="17"/>
    </row>
    <row r="26" spans="1:20" s="24" customFormat="1" ht="15.75" customHeight="1" x14ac:dyDescent="0.25">
      <c r="A26" s="30">
        <f ca="1">INDEX(INDIRECT(zoneFichierTraite),$J25+offsetInitialFichierTraite,2)</f>
        <v>7</v>
      </c>
      <c r="B26" s="29" t="str">
        <f ca="1">IFERROR(INDEX(INDIRECT(zoneFichierEAN13Valmag),$P25,3),"")</f>
        <v>ANSES/DOUBLECHAI</v>
      </c>
      <c r="C26" s="22" t="str">
        <f ca="1">IFERROR(INDEX(INDIRECT(zoneFichierEAN13Valmag),$O25,3),"")</f>
        <v>ANSES/DOUBLECHAI</v>
      </c>
      <c r="D26" s="23" t="str">
        <f ca="1">IFERROR(INDEX(INDIRECT(zoneFichierEAN13Valmag),$O25,4),"")</f>
        <v xml:space="preserve">NAVY </v>
      </c>
      <c r="E26" s="38" t="str">
        <f ca="1">IFERROR(INDEX(INDIRECT(zoneFichierFiltreCatalogue),S25,3),"")</f>
        <v>p028-2-01</v>
      </c>
      <c r="F26" s="23"/>
      <c r="G26" s="21"/>
      <c r="H26" s="39" t="str">
        <f ca="1">IFERROR(INDEX(INDIRECT(zoneFichierFiltreCatalogue),S25,6),"")</f>
        <v>fall 2019 presentation_/catalogo fall 19.txt</v>
      </c>
      <c r="R26" s="25"/>
      <c r="S26" s="25"/>
    </row>
    <row r="27" spans="1:20" ht="39" customHeight="1" thickBot="1" x14ac:dyDescent="0.65">
      <c r="A27" s="11" t="str">
        <f ca="1">INDEX(INDIRECT(zoneFichierTraite),$J27+offsetInitialFichierTraite,6)</f>
        <v>UNICA</v>
      </c>
      <c r="B27" s="7" t="str">
        <f ca="1">INDEX(INDIRECT(zoneFichierTraite),$J27+offsetInitialFichierTraite,4)</f>
        <v>HLESCE01-ECS00-055</v>
      </c>
      <c r="C27" s="31" t="str">
        <f ca="1">INDEX(INDIRECT(zoneFichierTraite),$J27+offsetInitialFichierTraite,5)</f>
        <v>ANSES DOUBLE CHAINE EN " T " EN FAUX CUIR</v>
      </c>
      <c r="D27" s="32" t="str">
        <f ca="1">INDEX(INDIRECT(zoneFichierTraite),$J27+offsetInitialFichierTraite,13)</f>
        <v>nero  + argento</v>
      </c>
      <c r="E27" s="35">
        <f ca="1">INDEX(INDIRECT(zoneFichierTraite),$J27+offsetInitialFichierTraite,7)</f>
        <v>6</v>
      </c>
      <c r="F27" s="33">
        <f ca="1">INDEX(INDIRECT(zoneFichierTraite),$J27+offsetInitialFichierTraite,8)</f>
        <v>12.66</v>
      </c>
      <c r="G27" s="34">
        <f t="shared" ref="G27" ca="1" si="19">ROUNDUP(F27*3,0)</f>
        <v>38</v>
      </c>
      <c r="H27" s="37" t="str">
        <f t="shared" ref="H27" ca="1" si="20">IF(ISNUMBER(N27),codeEAN13(INT(N27/10)),"")</f>
        <v>8APASOG*adfbdd+</v>
      </c>
      <c r="J27" s="18">
        <f t="shared" si="4"/>
        <v>9</v>
      </c>
      <c r="L27" s="7" t="str">
        <f ca="1">INDEX(INDIRECT(zoneFichierTraite),$J27+offsetInitialFichierTraite,1)</f>
        <v>'009</v>
      </c>
      <c r="M27" s="14">
        <f ca="1">INDEX(INDIRECT(zoneFichierTraite),$J27+offsetInitialFichierTraite,9)</f>
        <v>75.959999999999994</v>
      </c>
      <c r="N27" s="17">
        <f ca="1">INDEX(INDIRECT(zoneFichierTraite),$J27+offsetInitialFichierTraite,3)</f>
        <v>8050846035133</v>
      </c>
      <c r="O27" s="2">
        <f ca="1">MATCH(N27,INDIRECT(nomFichierEAN13Valmag &amp; "!A:A"),0)</f>
        <v>617</v>
      </c>
      <c r="P27" s="2">
        <f ca="1">MATCH(R27,INDIRECT(nomFichierEAN13Valmag &amp; "!A:A"),0)</f>
        <v>621</v>
      </c>
      <c r="Q27" s="2">
        <f ca="1">MATCH(LEFT(B27,14) &amp; "*",INDIRECT(nomFichierBaseCatalogue &amp; "!B:B"),0)</f>
        <v>96</v>
      </c>
      <c r="R27" s="17">
        <f ca="1">IFERROR(INDEX(INDIRECT(zoneFichierBaseCatalogue),Q27,1),"")</f>
        <v>8050846035126</v>
      </c>
      <c r="S27" s="2">
        <f ca="1">MATCH(B27,INDIRECT(nomFichierFiltreCatalogue &amp; "!B:B"),0)</f>
        <v>138</v>
      </c>
      <c r="T27" s="17"/>
    </row>
    <row r="28" spans="1:20" s="24" customFormat="1" ht="15.75" customHeight="1" x14ac:dyDescent="0.25">
      <c r="A28" s="30">
        <f ca="1">INDEX(INDIRECT(zoneFichierTraite),$J27+offsetInitialFichierTraite,2)</f>
        <v>76</v>
      </c>
      <c r="B28" s="29" t="str">
        <f ca="1">IFERROR(INDEX(INDIRECT(zoneFichierEAN13Valmag),$P27,3),"")</f>
        <v>ANSES/DOUBLECHAI</v>
      </c>
      <c r="C28" s="22" t="str">
        <f ca="1">IFERROR(INDEX(INDIRECT(zoneFichierEAN13Valmag),$O27,3),"")</f>
        <v>ANSES/DOUBLECHAI</v>
      </c>
      <c r="D28" s="23" t="str">
        <f ca="1">IFERROR(INDEX(INDIRECT(zoneFichierEAN13Valmag),$O27,4),"")</f>
        <v>BLACK</v>
      </c>
      <c r="E28" s="38" t="str">
        <f ca="1">IFERROR(INDEX(INDIRECT(zoneFichierFiltreCatalogue),S27,3),"")</f>
        <v>p028-2-04</v>
      </c>
      <c r="F28" s="23"/>
      <c r="G28" s="21"/>
      <c r="H28" s="39" t="str">
        <f ca="1">IFERROR(INDEX(INDIRECT(zoneFichierFiltreCatalogue),S27,6),"")</f>
        <v>fall 2019 presentation_/catalogo fall 19.txt</v>
      </c>
      <c r="R28" s="25"/>
      <c r="S28" s="25"/>
    </row>
    <row r="29" spans="1:20" ht="39" customHeight="1" thickBot="1" x14ac:dyDescent="0.65">
      <c r="A29" s="11" t="str">
        <f ca="1">INDEX(INDIRECT(zoneFichierTraite),$J29+offsetInitialFichierTraite,6)</f>
        <v>UNICA</v>
      </c>
      <c r="B29" s="7" t="str">
        <f ca="1">INDEX(INDIRECT(zoneFichierTraite),$J29+offsetInitialFichierTraite,4)</f>
        <v>HLESCE01-ECS00-612</v>
      </c>
      <c r="C29" s="31" t="str">
        <f ca="1">INDEX(INDIRECT(zoneFichierTraite),$J29+offsetInitialFichierTraite,5)</f>
        <v>ANSES DOUBLE CHAINE EN " T " EN FAUX CUIR</v>
      </c>
      <c r="D29" s="32" t="str">
        <f ca="1">INDEX(INDIRECT(zoneFichierTraite),$J29+offsetInitialFichierTraite,13)</f>
        <v>blu navy + argento</v>
      </c>
      <c r="E29" s="35">
        <f ca="1">INDEX(INDIRECT(zoneFichierTraite),$J29+offsetInitialFichierTraite,7)</f>
        <v>3</v>
      </c>
      <c r="F29" s="33">
        <f ca="1">INDEX(INDIRECT(zoneFichierTraite),$J29+offsetInitialFichierTraite,8)</f>
        <v>12.66</v>
      </c>
      <c r="G29" s="34">
        <f t="shared" ref="G29" ca="1" si="21">ROUNDUP(F29*3,0)</f>
        <v>38</v>
      </c>
      <c r="H29" s="37" t="str">
        <f t="shared" ref="H29" ca="1" si="22">IF(ISNUMBER(N29),codeEAN13(INT(N29/10)),"")</f>
        <v>8APASOG*aigebi+</v>
      </c>
      <c r="J29" s="18">
        <f t="shared" si="4"/>
        <v>10</v>
      </c>
      <c r="L29" s="7" t="str">
        <f ca="1">INDEX(INDIRECT(zoneFichierTraite),$J29+offsetInitialFichierTraite,1)</f>
        <v>'010</v>
      </c>
      <c r="M29" s="14">
        <f ca="1">INDEX(INDIRECT(zoneFichierTraite),$J29+offsetInitialFichierTraite,9)</f>
        <v>37.979999999999997</v>
      </c>
      <c r="N29" s="17">
        <f ca="1">INDEX(INDIRECT(zoneFichierTraite),$J29+offsetInitialFichierTraite,3)</f>
        <v>8050846086418</v>
      </c>
      <c r="O29" s="2" t="e">
        <f ca="1">MATCH(N29,INDIRECT(nomFichierEAN13Valmag &amp; "!A:A"),0)</f>
        <v>#N/A</v>
      </c>
      <c r="P29" s="2">
        <f ca="1">MATCH(R29,INDIRECT(nomFichierEAN13Valmag &amp; "!A:A"),0)</f>
        <v>621</v>
      </c>
      <c r="Q29" s="2">
        <f ca="1">MATCH(LEFT(B29,14) &amp; "*",INDIRECT(nomFichierBaseCatalogue &amp; "!B:B"),0)</f>
        <v>96</v>
      </c>
      <c r="R29" s="17">
        <f ca="1">IFERROR(INDEX(INDIRECT(zoneFichierBaseCatalogue),Q29,1),"")</f>
        <v>8050846035126</v>
      </c>
      <c r="S29" s="2">
        <f ca="1">MATCH(B29,INDIRECT(nomFichierFiltreCatalogue &amp; "!B:B"),0)</f>
        <v>137</v>
      </c>
      <c r="T29" s="17"/>
    </row>
    <row r="30" spans="1:20" s="24" customFormat="1" ht="15.75" customHeight="1" x14ac:dyDescent="0.25">
      <c r="A30" s="30">
        <f ca="1">INDEX(INDIRECT(zoneFichierTraite),$J29+offsetInitialFichierTraite,2)</f>
        <v>168</v>
      </c>
      <c r="B30" s="29" t="str">
        <f ca="1">IFERROR(INDEX(INDIRECT(zoneFichierEAN13Valmag),$P29,3),"")</f>
        <v>ANSES/DOUBLECHAI</v>
      </c>
      <c r="C30" s="22" t="str">
        <f ca="1">IFERROR(INDEX(INDIRECT(zoneFichierEAN13Valmag),$O29,3),"")</f>
        <v/>
      </c>
      <c r="D30" s="23" t="str">
        <f ca="1">IFERROR(INDEX(INDIRECT(zoneFichierEAN13Valmag),$O29,4),"")</f>
        <v/>
      </c>
      <c r="E30" s="38" t="str">
        <f ca="1">IFERROR(INDEX(INDIRECT(zoneFichierFiltreCatalogue),S29,3),"")</f>
        <v>p028-2-03</v>
      </c>
      <c r="F30" s="23"/>
      <c r="G30" s="21"/>
      <c r="H30" s="39" t="str">
        <f ca="1">IFERROR(INDEX(INDIRECT(zoneFichierFiltreCatalogue),S29,6),"")</f>
        <v>fall 2019 presentation_/catalogo fall 19.txt</v>
      </c>
      <c r="R30" s="25"/>
      <c r="S30" s="25"/>
    </row>
    <row r="31" spans="1:20" ht="39" customHeight="1" thickBot="1" x14ac:dyDescent="0.65">
      <c r="A31" s="11" t="str">
        <f ca="1">INDEX(INDIRECT(zoneFichierTraite),$J31+offsetInitialFichierTraite,6)</f>
        <v>UNICA</v>
      </c>
      <c r="B31" s="7" t="str">
        <f ca="1">INDEX(INDIRECT(zoneFichierTraite),$J31+offsetInitialFichierTraite,4)</f>
        <v>HLESCE01-ECS00-613</v>
      </c>
      <c r="C31" s="31" t="str">
        <f ca="1">INDEX(INDIRECT(zoneFichierTraite),$J31+offsetInitialFichierTraite,5)</f>
        <v>ANSES DOUBLE CHAINE EN " T " EN FAUX CUIR</v>
      </c>
      <c r="D31" s="32" t="str">
        <f ca="1">INDEX(INDIRECT(zoneFichierTraite),$J31+offsetInitialFichierTraite,13)</f>
        <v>cuoio + argento</v>
      </c>
      <c r="E31" s="35">
        <f ca="1">INDEX(INDIRECT(zoneFichierTraite),$J31+offsetInitialFichierTraite,7)</f>
        <v>6</v>
      </c>
      <c r="F31" s="33">
        <f ca="1">INDEX(INDIRECT(zoneFichierTraite),$J31+offsetInitialFichierTraite,8)</f>
        <v>12.66</v>
      </c>
      <c r="G31" s="34">
        <f t="shared" ref="G31" ca="1" si="23">ROUNDUP(F31*3,0)</f>
        <v>38</v>
      </c>
      <c r="H31" s="37" t="str">
        <f t="shared" ref="H31" ca="1" si="24">IF(ISNUMBER(N31),codeEAN13(INT(N31/10)),"")</f>
        <v>8APASOG*aigeab+</v>
      </c>
      <c r="J31" s="18">
        <f t="shared" si="4"/>
        <v>11</v>
      </c>
      <c r="L31" s="7" t="str">
        <f ca="1">INDEX(INDIRECT(zoneFichierTraite),$J31+offsetInitialFichierTraite,1)</f>
        <v>'011</v>
      </c>
      <c r="M31" s="14">
        <f ca="1">INDEX(INDIRECT(zoneFichierTraite),$J31+offsetInitialFichierTraite,9)</f>
        <v>75.959999999999994</v>
      </c>
      <c r="N31" s="17">
        <f ca="1">INDEX(INDIRECT(zoneFichierTraite),$J31+offsetInitialFichierTraite,3)</f>
        <v>8050846086401</v>
      </c>
      <c r="O31" s="2" t="e">
        <f ca="1">MATCH(N31,INDIRECT(nomFichierEAN13Valmag &amp; "!A:A"),0)</f>
        <v>#N/A</v>
      </c>
      <c r="P31" s="2">
        <f ca="1">MATCH(R31,INDIRECT(nomFichierEAN13Valmag &amp; "!A:A"),0)</f>
        <v>621</v>
      </c>
      <c r="Q31" s="2">
        <f ca="1">MATCH(LEFT(B31,14) &amp; "*",INDIRECT(nomFichierBaseCatalogue &amp; "!B:B"),0)</f>
        <v>96</v>
      </c>
      <c r="R31" s="17">
        <f ca="1">IFERROR(INDEX(INDIRECT(zoneFichierBaseCatalogue),Q31,1),"")</f>
        <v>8050846035126</v>
      </c>
      <c r="S31" s="2">
        <f ca="1">MATCH(B31,INDIRECT(nomFichierFiltreCatalogue &amp; "!B:B"),0)</f>
        <v>139</v>
      </c>
      <c r="T31" s="17"/>
    </row>
    <row r="32" spans="1:20" s="24" customFormat="1" ht="15.75" customHeight="1" x14ac:dyDescent="0.25">
      <c r="A32" s="30">
        <f ca="1">INDEX(INDIRECT(zoneFichierTraite),$J31+offsetInitialFichierTraite,2)</f>
        <v>87</v>
      </c>
      <c r="B32" s="29" t="str">
        <f ca="1">IFERROR(INDEX(INDIRECT(zoneFichierEAN13Valmag),$P31,3),"")</f>
        <v>ANSES/DOUBLECHAI</v>
      </c>
      <c r="C32" s="22" t="str">
        <f ca="1">IFERROR(INDEX(INDIRECT(zoneFichierEAN13Valmag),$O31,3),"")</f>
        <v/>
      </c>
      <c r="D32" s="23" t="str">
        <f ca="1">IFERROR(INDEX(INDIRECT(zoneFichierEAN13Valmag),$O31,4),"")</f>
        <v/>
      </c>
      <c r="E32" s="38" t="str">
        <f ca="1">IFERROR(INDEX(INDIRECT(zoneFichierFiltreCatalogue),S31,3),"")</f>
        <v>p028-2-05</v>
      </c>
      <c r="F32" s="23"/>
      <c r="G32" s="21"/>
      <c r="H32" s="39" t="str">
        <f ca="1">IFERROR(INDEX(INDIRECT(zoneFichierFiltreCatalogue),S31,6),"")</f>
        <v>fall 2019 presentation_/catalogo fall 19.txt</v>
      </c>
      <c r="R32" s="25"/>
      <c r="S32" s="25"/>
    </row>
    <row r="33" spans="1:20" ht="39" customHeight="1" thickBot="1" x14ac:dyDescent="0.65">
      <c r="A33" s="11" t="str">
        <f ca="1">INDEX(INDIRECT(zoneFichierTraite),$J33+offsetInitialFichierTraite,6)</f>
        <v>UNICA</v>
      </c>
      <c r="B33" s="7" t="str">
        <f ca="1">INDEX(INDIRECT(zoneFichierTraite),$J33+offsetInitialFichierTraite,4)</f>
        <v>HLESG020-ECSC7-055</v>
      </c>
      <c r="C33" s="31" t="str">
        <f ca="1">INDEX(INDIRECT(zoneFichierTraite),$J33+offsetInitialFichierTraite,5)</f>
        <v>ANSES LONGUES + GOUTTE EN FAUX CUIR SPIRALE BICOLORE</v>
      </c>
      <c r="D33" s="32" t="str">
        <f ca="1">INDEX(INDIRECT(zoneFichierTraite),$J33+offsetInitialFichierTraite,13)</f>
        <v>nero</v>
      </c>
      <c r="E33" s="35">
        <f ca="1">INDEX(INDIRECT(zoneFichierTraite),$J33+offsetInitialFichierTraite,7)</f>
        <v>2</v>
      </c>
      <c r="F33" s="33">
        <f ca="1">INDEX(INDIRECT(zoneFichierTraite),$J33+offsetInitialFichierTraite,8)</f>
        <v>15.56</v>
      </c>
      <c r="G33" s="34">
        <f t="shared" ref="G33" ca="1" si="25">ROUNDUP(F33*3,0)</f>
        <v>47</v>
      </c>
      <c r="H33" s="37" t="str">
        <f t="shared" ref="H33" ca="1" si="26">IF(ISNUMBER(N33),codeEAN13(INT(N33/10)),"")</f>
        <v>8APASOG*aijhhi+</v>
      </c>
      <c r="J33" s="18">
        <f t="shared" si="4"/>
        <v>12</v>
      </c>
      <c r="L33" s="7" t="str">
        <f ca="1">INDEX(INDIRECT(zoneFichierTraite),$J33+offsetInitialFichierTraite,1)</f>
        <v>'012</v>
      </c>
      <c r="M33" s="14">
        <f ca="1">INDEX(INDIRECT(zoneFichierTraite),$J33+offsetInitialFichierTraite,9)</f>
        <v>31.12</v>
      </c>
      <c r="N33" s="17">
        <f ca="1">INDEX(INDIRECT(zoneFichierTraite),$J33+offsetInitialFichierTraite,3)</f>
        <v>8050846089778</v>
      </c>
      <c r="O33" s="2" t="e">
        <f ca="1">MATCH(N33,INDIRECT(nomFichierEAN13Valmag &amp; "!A:A"),0)</f>
        <v>#N/A</v>
      </c>
      <c r="P33" s="2" t="e">
        <f ca="1">MATCH(R33,INDIRECT(nomFichierEAN13Valmag &amp; "!A:A"),0)</f>
        <v>#N/A</v>
      </c>
      <c r="Q33" s="2">
        <f ca="1">MATCH(LEFT(B33,14) &amp; "*",INDIRECT(nomFichierBaseCatalogue &amp; "!B:B"),0)</f>
        <v>199</v>
      </c>
      <c r="R33" s="17">
        <f ca="1">IFERROR(INDEX(INDIRECT(zoneFichierBaseCatalogue),Q33,1),"")</f>
        <v>8050846089778</v>
      </c>
      <c r="S33" s="2">
        <f ca="1">MATCH(B33,INDIRECT(nomFichierFiltreCatalogue &amp; "!B:B"),0)</f>
        <v>140</v>
      </c>
      <c r="T33" s="17"/>
    </row>
    <row r="34" spans="1:20" s="24" customFormat="1" ht="15.75" customHeight="1" x14ac:dyDescent="0.25">
      <c r="A34" s="30">
        <f ca="1">INDEX(INDIRECT(zoneFichierTraite),$J33+offsetInitialFichierTraite,2)</f>
        <v>128</v>
      </c>
      <c r="B34" s="29" t="str">
        <f ca="1">IFERROR(INDEX(INDIRECT(zoneFichierEAN13Valmag),$P33,3),"")</f>
        <v/>
      </c>
      <c r="C34" s="22" t="str">
        <f ca="1">IFERROR(INDEX(INDIRECT(zoneFichierEAN13Valmag),$O33,3),"")</f>
        <v/>
      </c>
      <c r="D34" s="23" t="str">
        <f ca="1">IFERROR(INDEX(INDIRECT(zoneFichierEAN13Valmag),$O33,4),"")</f>
        <v/>
      </c>
      <c r="E34" s="38" t="str">
        <f ca="1">IFERROR(INDEX(INDIRECT(zoneFichierFiltreCatalogue),S33,3),"")</f>
        <v>p029-1-01</v>
      </c>
      <c r="F34" s="23"/>
      <c r="G34" s="21"/>
      <c r="H34" s="39" t="str">
        <f ca="1">IFERROR(INDEX(INDIRECT(zoneFichierFiltreCatalogue),S33,6),"")</f>
        <v>fall 2019 presentation_/catalogo fall 19.txt</v>
      </c>
      <c r="R34" s="25"/>
      <c r="S34" s="25"/>
    </row>
    <row r="35" spans="1:20" ht="39" customHeight="1" thickBot="1" x14ac:dyDescent="0.65">
      <c r="A35" s="11" t="str">
        <f ca="1">INDEX(INDIRECT(zoneFichierTraite),$J35+offsetInitialFichierTraite,6)</f>
        <v>UNICA</v>
      </c>
      <c r="B35" s="7" t="str">
        <f ca="1">INDEX(INDIRECT(zoneFichierTraite),$J35+offsetInitialFichierTraite,4)</f>
        <v>HLESG020-ECSC7-076</v>
      </c>
      <c r="C35" s="31" t="str">
        <f ca="1">INDEX(INDIRECT(zoneFichierTraite),$J35+offsetInitialFichierTraite,5)</f>
        <v>ANSES LONGUES + GOUTTE EN FAUX CUIR SPIRALE BICOLORE</v>
      </c>
      <c r="D35" s="32" t="str">
        <f ca="1">INDEX(INDIRECT(zoneFichierTraite),$J35+offsetInitialFichierTraite,13)</f>
        <v>rosso</v>
      </c>
      <c r="E35" s="35">
        <f ca="1">INDEX(INDIRECT(zoneFichierTraite),$J35+offsetInitialFichierTraite,7)</f>
        <v>2</v>
      </c>
      <c r="F35" s="33">
        <f ca="1">INDEX(INDIRECT(zoneFichierTraite),$J35+offsetInitialFichierTraite,8)</f>
        <v>15.56</v>
      </c>
      <c r="G35" s="34">
        <f t="shared" ref="G35" ca="1" si="27">ROUNDUP(F35*3,0)</f>
        <v>47</v>
      </c>
      <c r="H35" s="37" t="str">
        <f t="shared" ref="H35" ca="1" si="28">IF(ISNUMBER(N35),codeEAN13(INT(N35/10)),"")</f>
        <v>8APASOG*aijhjc+</v>
      </c>
      <c r="J35" s="18">
        <f t="shared" si="4"/>
        <v>13</v>
      </c>
      <c r="L35" s="7" t="str">
        <f ca="1">INDEX(INDIRECT(zoneFichierTraite),$J35+offsetInitialFichierTraite,1)</f>
        <v>'013</v>
      </c>
      <c r="M35" s="14">
        <f ca="1">INDEX(INDIRECT(zoneFichierTraite),$J35+offsetInitialFichierTraite,9)</f>
        <v>31.12</v>
      </c>
      <c r="N35" s="17">
        <f ca="1">INDEX(INDIRECT(zoneFichierTraite),$J35+offsetInitialFichierTraite,3)</f>
        <v>8050846089792</v>
      </c>
      <c r="O35" s="2" t="e">
        <f ca="1">MATCH(N35,INDIRECT(nomFichierEAN13Valmag &amp; "!A:A"),0)</f>
        <v>#N/A</v>
      </c>
      <c r="P35" s="2" t="e">
        <f ca="1">MATCH(R35,INDIRECT(nomFichierEAN13Valmag &amp; "!A:A"),0)</f>
        <v>#N/A</v>
      </c>
      <c r="Q35" s="2">
        <f ca="1">MATCH(LEFT(B35,14) &amp; "*",INDIRECT(nomFichierBaseCatalogue &amp; "!B:B"),0)</f>
        <v>199</v>
      </c>
      <c r="R35" s="17">
        <f ca="1">IFERROR(INDEX(INDIRECT(zoneFichierBaseCatalogue),Q35,1),"")</f>
        <v>8050846089778</v>
      </c>
      <c r="S35" s="2">
        <f ca="1">MATCH(B35,INDIRECT(nomFichierFiltreCatalogue &amp; "!B:B"),0)</f>
        <v>141</v>
      </c>
      <c r="T35" s="17"/>
    </row>
    <row r="36" spans="1:20" s="24" customFormat="1" ht="15.75" customHeight="1" x14ac:dyDescent="0.25">
      <c r="A36" s="30">
        <f ca="1">INDEX(INDIRECT(zoneFichierTraite),$J35+offsetInitialFichierTraite,2)</f>
        <v>62</v>
      </c>
      <c r="B36" s="29" t="str">
        <f ca="1">IFERROR(INDEX(INDIRECT(zoneFichierEAN13Valmag),$P35,3),"")</f>
        <v/>
      </c>
      <c r="C36" s="22" t="str">
        <f ca="1">IFERROR(INDEX(INDIRECT(zoneFichierEAN13Valmag),$O35,3),"")</f>
        <v/>
      </c>
      <c r="D36" s="23" t="str">
        <f ca="1">IFERROR(INDEX(INDIRECT(zoneFichierEAN13Valmag),$O35,4),"")</f>
        <v/>
      </c>
      <c r="E36" s="38" t="str">
        <f ca="1">IFERROR(INDEX(INDIRECT(zoneFichierFiltreCatalogue),S35,3),"")</f>
        <v>p029-1-02</v>
      </c>
      <c r="F36" s="23"/>
      <c r="G36" s="21"/>
      <c r="H36" s="39" t="str">
        <f ca="1">IFERROR(INDEX(INDIRECT(zoneFichierFiltreCatalogue),S35,6),"")</f>
        <v>fall 2019 presentation_/catalogo fall 19.txt</v>
      </c>
      <c r="R36" s="25"/>
      <c r="S36" s="25"/>
    </row>
    <row r="37" spans="1:20" ht="39" customHeight="1" thickBot="1" x14ac:dyDescent="0.65">
      <c r="A37" s="11" t="str">
        <f ca="1">INDEX(INDIRECT(zoneFichierTraite),$J37+offsetInitialFichierTraite,6)</f>
        <v>UNICA</v>
      </c>
      <c r="B37" s="7" t="str">
        <f ca="1">INDEX(INDIRECT(zoneFichierTraite),$J37+offsetInitialFichierTraite,4)</f>
        <v>HLESG020-ECSC7-137</v>
      </c>
      <c r="C37" s="31" t="str">
        <f ca="1">INDEX(INDIRECT(zoneFichierTraite),$J37+offsetInitialFichierTraite,5)</f>
        <v>ANSES LONGUES + GOUTTE EN FAUX CUIR SPIRALE BICOLORE</v>
      </c>
      <c r="D37" s="32" t="str">
        <f ca="1">INDEX(INDIRECT(zoneFichierTraite),$J37+offsetInitialFichierTraite,13)</f>
        <v>bluette</v>
      </c>
      <c r="E37" s="35">
        <f ca="1">INDEX(INDIRECT(zoneFichierTraite),$J37+offsetInitialFichierTraite,7)</f>
        <v>2</v>
      </c>
      <c r="F37" s="33">
        <f ca="1">INDEX(INDIRECT(zoneFichierTraite),$J37+offsetInitialFichierTraite,8)</f>
        <v>15.56</v>
      </c>
      <c r="G37" s="34">
        <f t="shared" ref="G37" ca="1" si="29">ROUNDUP(F37*3,0)</f>
        <v>47</v>
      </c>
      <c r="H37" s="37" t="str">
        <f t="shared" ref="H37" ca="1" si="30">IF(ISNUMBER(N37),codeEAN13(INT(N37/10)),"")</f>
        <v>8APASOG*aijhif+</v>
      </c>
      <c r="J37" s="18">
        <f t="shared" si="4"/>
        <v>14</v>
      </c>
      <c r="L37" s="7" t="str">
        <f ca="1">INDEX(INDIRECT(zoneFichierTraite),$J37+offsetInitialFichierTraite,1)</f>
        <v>'014</v>
      </c>
      <c r="M37" s="14">
        <f ca="1">INDEX(INDIRECT(zoneFichierTraite),$J37+offsetInitialFichierTraite,9)</f>
        <v>31.12</v>
      </c>
      <c r="N37" s="17">
        <f ca="1">INDEX(INDIRECT(zoneFichierTraite),$J37+offsetInitialFichierTraite,3)</f>
        <v>8050846089785</v>
      </c>
      <c r="O37" s="2" t="e">
        <f ca="1">MATCH(N37,INDIRECT(nomFichierEAN13Valmag &amp; "!A:A"),0)</f>
        <v>#N/A</v>
      </c>
      <c r="P37" s="2" t="e">
        <f ca="1">MATCH(R37,INDIRECT(nomFichierEAN13Valmag &amp; "!A:A"),0)</f>
        <v>#N/A</v>
      </c>
      <c r="Q37" s="2">
        <f ca="1">MATCH(LEFT(B37,14) &amp; "*",INDIRECT(nomFichierBaseCatalogue &amp; "!B:B"),0)</f>
        <v>199</v>
      </c>
      <c r="R37" s="17">
        <f ca="1">IFERROR(INDEX(INDIRECT(zoneFichierBaseCatalogue),Q37,1),"")</f>
        <v>8050846089778</v>
      </c>
      <c r="S37" s="2">
        <f ca="1">MATCH(B37,INDIRECT(nomFichierFiltreCatalogue &amp; "!B:B"),0)</f>
        <v>142</v>
      </c>
      <c r="T37" s="17"/>
    </row>
    <row r="38" spans="1:20" s="24" customFormat="1" ht="15.75" customHeight="1" x14ac:dyDescent="0.25">
      <c r="A38" s="30">
        <f ca="1">INDEX(INDIRECT(zoneFichierTraite),$J37+offsetInitialFichierTraite,2)</f>
        <v>25</v>
      </c>
      <c r="B38" s="29" t="str">
        <f ca="1">IFERROR(INDEX(INDIRECT(zoneFichierEAN13Valmag),$P37,3),"")</f>
        <v/>
      </c>
      <c r="C38" s="22" t="str">
        <f ca="1">IFERROR(INDEX(INDIRECT(zoneFichierEAN13Valmag),$O37,3),"")</f>
        <v/>
      </c>
      <c r="D38" s="23" t="str">
        <f ca="1">IFERROR(INDEX(INDIRECT(zoneFichierEAN13Valmag),$O37,4),"")</f>
        <v/>
      </c>
      <c r="E38" s="38" t="str">
        <f ca="1">IFERROR(INDEX(INDIRECT(zoneFichierFiltreCatalogue),S37,3),"")</f>
        <v>p029-1-03</v>
      </c>
      <c r="F38" s="23"/>
      <c r="G38" s="21"/>
      <c r="H38" s="39" t="str">
        <f ca="1">IFERROR(INDEX(INDIRECT(zoneFichierFiltreCatalogue),S37,6),"")</f>
        <v>fall 2019 presentation_/catalogo fall 19.txt</v>
      </c>
      <c r="R38" s="25"/>
      <c r="S38" s="25"/>
    </row>
    <row r="39" spans="1:20" ht="39" customHeight="1" thickBot="1" x14ac:dyDescent="0.65">
      <c r="A39" s="11" t="str">
        <f ca="1">INDEX(INDIRECT(zoneFichierTraite),$J39+offsetInitialFichierTraite,6)</f>
        <v>UNICA</v>
      </c>
      <c r="B39" s="7" t="str">
        <f ca="1">INDEX(INDIRECT(zoneFichierTraite),$J39+offsetInitialFichierTraite,4)</f>
        <v>HLESGC00-ECSC4-055</v>
      </c>
      <c r="C39" s="31" t="str">
        <f ca="1">INDEX(INDIRECT(zoneFichierTraite),$J39+offsetInitialFichierTraite,5)</f>
        <v>ANSES COURTES EN FAUX CUIR EFFET GRIFFE + CLOUS</v>
      </c>
      <c r="D39" s="32" t="str">
        <f ca="1">INDEX(INDIRECT(zoneFichierTraite),$J39+offsetInitialFichierTraite,13)</f>
        <v>nero</v>
      </c>
      <c r="E39" s="35">
        <f ca="1">INDEX(INDIRECT(zoneFichierTraite),$J39+offsetInitialFichierTraite,7)</f>
        <v>3</v>
      </c>
      <c r="F39" s="33">
        <f ca="1">INDEX(INDIRECT(zoneFichierTraite),$J39+offsetInitialFichierTraite,8)</f>
        <v>16.670000000000002</v>
      </c>
      <c r="G39" s="34">
        <f t="shared" ref="G39" ca="1" si="31">ROUNDUP(F39*3,0)</f>
        <v>51</v>
      </c>
      <c r="H39" s="37" t="str">
        <f t="shared" ref="H39" ca="1" si="32">IF(ISNUMBER(N39),codeEAN13(INT(N39/10)),"")</f>
        <v>8APASOG*aijgig+</v>
      </c>
      <c r="J39" s="18">
        <f t="shared" si="4"/>
        <v>15</v>
      </c>
      <c r="L39" s="7" t="str">
        <f ca="1">INDEX(INDIRECT(zoneFichierTraite),$J39+offsetInitialFichierTraite,1)</f>
        <v>'015</v>
      </c>
      <c r="M39" s="14">
        <f ca="1">INDEX(INDIRECT(zoneFichierTraite),$J39+offsetInitialFichierTraite,9)</f>
        <v>50.01</v>
      </c>
      <c r="N39" s="17">
        <f ca="1">INDEX(INDIRECT(zoneFichierTraite),$J39+offsetInitialFichierTraite,3)</f>
        <v>8050846089686</v>
      </c>
      <c r="O39" s="2" t="e">
        <f ca="1">MATCH(N39,INDIRECT(nomFichierEAN13Valmag &amp; "!A:A"),0)</f>
        <v>#N/A</v>
      </c>
      <c r="P39" s="2" t="e">
        <f ca="1">MATCH(R39,INDIRECT(nomFichierEAN13Valmag &amp; "!A:A"),0)</f>
        <v>#N/A</v>
      </c>
      <c r="Q39" s="2">
        <f ca="1">MATCH(LEFT(B39,14) &amp; "*",INDIRECT(nomFichierBaseCatalogue &amp; "!B:B"),0)</f>
        <v>232</v>
      </c>
      <c r="R39" s="17">
        <f ca="1">IFERROR(INDEX(INDIRECT(zoneFichierBaseCatalogue),Q39,1),"")</f>
        <v>8050846089686</v>
      </c>
      <c r="S39" s="2">
        <f ca="1">MATCH(B39,INDIRECT(nomFichierFiltreCatalogue &amp; "!B:B"),0)</f>
        <v>171</v>
      </c>
      <c r="T39" s="17"/>
    </row>
    <row r="40" spans="1:20" s="24" customFormat="1" ht="15.75" customHeight="1" x14ac:dyDescent="0.25">
      <c r="A40" s="30">
        <f ca="1">INDEX(INDIRECT(zoneFichierTraite),$J39+offsetInitialFichierTraite,2)</f>
        <v>46</v>
      </c>
      <c r="B40" s="29" t="str">
        <f ca="1">IFERROR(INDEX(INDIRECT(zoneFichierEAN13Valmag),$P39,3),"")</f>
        <v/>
      </c>
      <c r="C40" s="22" t="str">
        <f ca="1">IFERROR(INDEX(INDIRECT(zoneFichierEAN13Valmag),$O39,3),"")</f>
        <v/>
      </c>
      <c r="D40" s="23" t="str">
        <f ca="1">IFERROR(INDEX(INDIRECT(zoneFichierEAN13Valmag),$O39,4),"")</f>
        <v/>
      </c>
      <c r="E40" s="38" t="str">
        <f ca="1">IFERROR(INDEX(INDIRECT(zoneFichierFiltreCatalogue),S39,3),"")</f>
        <v>p034-1-01</v>
      </c>
      <c r="F40" s="23"/>
      <c r="G40" s="21"/>
      <c r="H40" s="39" t="str">
        <f ca="1">IFERROR(INDEX(INDIRECT(zoneFichierFiltreCatalogue),S39,6),"")</f>
        <v>fall 2019 presentation_/catalogo fall 19.txt</v>
      </c>
      <c r="R40" s="25"/>
      <c r="S40" s="25"/>
    </row>
    <row r="41" spans="1:20" ht="39" customHeight="1" thickBot="1" x14ac:dyDescent="0.65">
      <c r="A41" s="11" t="str">
        <f ca="1">INDEX(INDIRECT(zoneFichierTraite),$J41+offsetInitialFichierTraite,6)</f>
        <v>UNICA</v>
      </c>
      <c r="B41" s="7" t="str">
        <f ca="1">INDEX(INDIRECT(zoneFichierTraite),$J41+offsetInitialFichierTraite,4)</f>
        <v>HLESGC00-ECSC4-371</v>
      </c>
      <c r="C41" s="31" t="str">
        <f ca="1">INDEX(INDIRECT(zoneFichierTraite),$J41+offsetInitialFichierTraite,5)</f>
        <v>ANSES COURTES EN FAUX CUIR EFFET GRIFFE + CLOUS</v>
      </c>
      <c r="D41" s="32" t="str">
        <f ca="1">INDEX(INDIRECT(zoneFichierTraite),$J41+offsetInitialFichierTraite,13)</f>
        <v>latte</v>
      </c>
      <c r="E41" s="35">
        <f ca="1">INDEX(INDIRECT(zoneFichierTraite),$J41+offsetInitialFichierTraite,7)</f>
        <v>3</v>
      </c>
      <c r="F41" s="33">
        <f ca="1">INDEX(INDIRECT(zoneFichierTraite),$J41+offsetInitialFichierTraite,8)</f>
        <v>16.670000000000002</v>
      </c>
      <c r="G41" s="34">
        <f t="shared" ref="G41" ca="1" si="33">ROUNDUP(F41*3,0)</f>
        <v>51</v>
      </c>
      <c r="H41" s="37" t="str">
        <f t="shared" ref="H41" ca="1" si="34">IF(ISNUMBER(N41),codeEAN13(INT(N41/10)),"")</f>
        <v>8APASOG*aijgjd+</v>
      </c>
      <c r="J41" s="18">
        <f t="shared" si="4"/>
        <v>16</v>
      </c>
      <c r="L41" s="7" t="str">
        <f ca="1">INDEX(INDIRECT(zoneFichierTraite),$J41+offsetInitialFichierTraite,1)</f>
        <v>'016</v>
      </c>
      <c r="M41" s="14">
        <f ca="1">INDEX(INDIRECT(zoneFichierTraite),$J41+offsetInitialFichierTraite,9)</f>
        <v>50.01</v>
      </c>
      <c r="N41" s="17">
        <f ca="1">INDEX(INDIRECT(zoneFichierTraite),$J41+offsetInitialFichierTraite,3)</f>
        <v>8050846089693</v>
      </c>
      <c r="O41" s="2" t="e">
        <f ca="1">MATCH(N41,INDIRECT(nomFichierEAN13Valmag &amp; "!A:A"),0)</f>
        <v>#N/A</v>
      </c>
      <c r="P41" s="2" t="e">
        <f ca="1">MATCH(R41,INDIRECT(nomFichierEAN13Valmag &amp; "!A:A"),0)</f>
        <v>#N/A</v>
      </c>
      <c r="Q41" s="2">
        <f ca="1">MATCH(LEFT(B41,14) &amp; "*",INDIRECT(nomFichierBaseCatalogue &amp; "!B:B"),0)</f>
        <v>232</v>
      </c>
      <c r="R41" s="17">
        <f ca="1">IFERROR(INDEX(INDIRECT(zoneFichierBaseCatalogue),Q41,1),"")</f>
        <v>8050846089686</v>
      </c>
      <c r="S41" s="2">
        <f ca="1">MATCH(B41,INDIRECT(nomFichierFiltreCatalogue &amp; "!B:B"),0)</f>
        <v>172</v>
      </c>
      <c r="T41" s="17"/>
    </row>
    <row r="42" spans="1:20" s="24" customFormat="1" ht="15.75" customHeight="1" x14ac:dyDescent="0.25">
      <c r="A42" s="30">
        <f ca="1">INDEX(INDIRECT(zoneFichierTraite),$J41+offsetInitialFichierTraite,2)</f>
        <v>179</v>
      </c>
      <c r="B42" s="29" t="str">
        <f ca="1">IFERROR(INDEX(INDIRECT(zoneFichierEAN13Valmag),$P41,3),"")</f>
        <v/>
      </c>
      <c r="C42" s="22" t="str">
        <f ca="1">IFERROR(INDEX(INDIRECT(zoneFichierEAN13Valmag),$O41,3),"")</f>
        <v/>
      </c>
      <c r="D42" s="23" t="str">
        <f ca="1">IFERROR(INDEX(INDIRECT(zoneFichierEAN13Valmag),$O41,4),"")</f>
        <v/>
      </c>
      <c r="E42" s="38" t="str">
        <f ca="1">IFERROR(INDEX(INDIRECT(zoneFichierFiltreCatalogue),S41,3),"")</f>
        <v>p034-1-02</v>
      </c>
      <c r="F42" s="23"/>
      <c r="G42" s="21"/>
      <c r="H42" s="39" t="str">
        <f ca="1">IFERROR(INDEX(INDIRECT(zoneFichierFiltreCatalogue),S41,6),"")</f>
        <v>fall 2019 presentation_/catalogo fall 19.txt</v>
      </c>
      <c r="R42" s="25"/>
      <c r="S42" s="25"/>
    </row>
    <row r="43" spans="1:20" ht="39" customHeight="1" thickBot="1" x14ac:dyDescent="0.65">
      <c r="A43" s="11" t="str">
        <f ca="1">INDEX(INDIRECT(zoneFichierTraite),$J43+offsetInitialFichierTraite,6)</f>
        <v>UNICA</v>
      </c>
      <c r="B43" s="7" t="str">
        <f ca="1">INDEX(INDIRECT(zoneFichierTraite),$J43+offsetInitialFichierTraite,4)</f>
        <v>HLESGC01-EVS54-055</v>
      </c>
      <c r="C43" s="31" t="str">
        <f ca="1">INDEX(INDIRECT(zoneFichierTraite),$J43+offsetInitialFichierTraite,5)</f>
        <v>ANSES COURTES + ANNEAU EVA COMPOUND EFFET BAMBOU</v>
      </c>
      <c r="D43" s="32" t="str">
        <f ca="1">INDEX(INDIRECT(zoneFichierTraite),$J43+offsetInitialFichierTraite,13)</f>
        <v>nero</v>
      </c>
      <c r="E43" s="35">
        <f ca="1">INDEX(INDIRECT(zoneFichierTraite),$J43+offsetInitialFichierTraite,7)</f>
        <v>2</v>
      </c>
      <c r="F43" s="33">
        <f ca="1">INDEX(INDIRECT(zoneFichierTraite),$J43+offsetInitialFichierTraite,8)</f>
        <v>8.52</v>
      </c>
      <c r="G43" s="34">
        <f t="shared" ref="G43" ca="1" si="35">ROUNDUP(F43*3,0)</f>
        <v>26</v>
      </c>
      <c r="H43" s="37" t="str">
        <f t="shared" ref="H43" ca="1" si="36">IF(ISNUMBER(N43),codeEAN13(INT(N43/10)),"")</f>
        <v>8APASOG*ajehch+</v>
      </c>
      <c r="J43" s="18">
        <f t="shared" si="4"/>
        <v>17</v>
      </c>
      <c r="L43" s="7" t="str">
        <f ca="1">INDEX(INDIRECT(zoneFichierTraite),$J43+offsetInitialFichierTraite,1)</f>
        <v>'017</v>
      </c>
      <c r="M43" s="14">
        <f ca="1">INDEX(INDIRECT(zoneFichierTraite),$J43+offsetInitialFichierTraite,9)</f>
        <v>17.04</v>
      </c>
      <c r="N43" s="17">
        <f ca="1">INDEX(INDIRECT(zoneFichierTraite),$J43+offsetInitialFichierTraite,3)</f>
        <v>8050846094727</v>
      </c>
      <c r="O43" s="2" t="e">
        <f ca="1">MATCH(N43,INDIRECT(nomFichierEAN13Valmag &amp; "!A:A"),0)</f>
        <v>#N/A</v>
      </c>
      <c r="P43" s="2" t="e">
        <f ca="1">MATCH(R43,INDIRECT(nomFichierEAN13Valmag &amp; "!A:A"),0)</f>
        <v>#N/A</v>
      </c>
      <c r="Q43" s="2">
        <f ca="1">MATCH(LEFT(B43,14) &amp; "*",INDIRECT(nomFichierBaseCatalogue &amp; "!B:B"),0)</f>
        <v>268</v>
      </c>
      <c r="R43" s="17">
        <f ca="1">IFERROR(INDEX(INDIRECT(zoneFichierBaseCatalogue),Q43,1),"")</f>
        <v>8050846094642</v>
      </c>
      <c r="S43" s="2">
        <f ca="1">MATCH(B43,INDIRECT(nomFichierFiltreCatalogue &amp; "!B:B"),0)</f>
        <v>191</v>
      </c>
      <c r="T43" s="17"/>
    </row>
    <row r="44" spans="1:20" s="24" customFormat="1" ht="15.75" customHeight="1" x14ac:dyDescent="0.25">
      <c r="A44" s="30">
        <f ca="1">INDEX(INDIRECT(zoneFichierTraite),$J43+offsetInitialFichierTraite,2)</f>
        <v>77</v>
      </c>
      <c r="B44" s="29" t="str">
        <f ca="1">IFERROR(INDEX(INDIRECT(zoneFichierEAN13Valmag),$P43,3),"")</f>
        <v/>
      </c>
      <c r="C44" s="22" t="str">
        <f ca="1">IFERROR(INDEX(INDIRECT(zoneFichierEAN13Valmag),$O43,3),"")</f>
        <v/>
      </c>
      <c r="D44" s="23" t="str">
        <f ca="1">IFERROR(INDEX(INDIRECT(zoneFichierEAN13Valmag),$O43,4),"")</f>
        <v/>
      </c>
      <c r="E44" s="38" t="str">
        <f ca="1">IFERROR(INDEX(INDIRECT(zoneFichierFiltreCatalogue),S43,3),"")</f>
        <v>p036-2-02</v>
      </c>
      <c r="F44" s="23"/>
      <c r="G44" s="21"/>
      <c r="H44" s="39" t="str">
        <f ca="1">IFERROR(INDEX(INDIRECT(zoneFichierFiltreCatalogue),S43,6),"")</f>
        <v>fall 2019 presentation_/catalogo fall 19.txt</v>
      </c>
      <c r="R44" s="25"/>
      <c r="S44" s="25"/>
    </row>
    <row r="45" spans="1:20" ht="39" customHeight="1" thickBot="1" x14ac:dyDescent="0.65">
      <c r="A45" s="11" t="str">
        <f ca="1">INDEX(INDIRECT(zoneFichierTraite),$J45+offsetInitialFichierTraite,6)</f>
        <v>UNICA</v>
      </c>
      <c r="B45" s="7" t="str">
        <f ca="1">INDEX(INDIRECT(zoneFichierTraite),$J45+offsetInitialFichierTraite,4)</f>
        <v>HLESLL01-ECS00-017</v>
      </c>
      <c r="C45" s="31" t="str">
        <f ca="1">INDEX(INDIRECT(zoneFichierTraite),$J45+offsetInitialFichierTraite,5)</f>
        <v>ANSES LONGUES LINEAR AVEC BOUCLE EN FAUX CUIR</v>
      </c>
      <c r="D45" s="32" t="str">
        <f ca="1">INDEX(INDIRECT(zoneFichierTraite),$J45+offsetInitialFichierTraite,13)</f>
        <v>blu navy</v>
      </c>
      <c r="E45" s="35">
        <f ca="1">INDEX(INDIRECT(zoneFichierTraite),$J45+offsetInitialFichierTraite,7)</f>
        <v>2</v>
      </c>
      <c r="F45" s="33">
        <f ca="1">INDEX(INDIRECT(zoneFichierTraite),$J45+offsetInitialFichierTraite,8)</f>
        <v>13.33</v>
      </c>
      <c r="G45" s="34">
        <f t="shared" ref="G45" ca="1" si="37">ROUNDUP(F45*3,0)</f>
        <v>40</v>
      </c>
      <c r="H45" s="37" t="str">
        <f t="shared" ref="H45" ca="1" si="38">IF(ISNUMBER(N45),codeEAN13(INT(N45/10)),"")</f>
        <v>8APASOG*aijhgb+</v>
      </c>
      <c r="J45" s="18">
        <f t="shared" si="4"/>
        <v>18</v>
      </c>
      <c r="L45" s="7" t="str">
        <f ca="1">INDEX(INDIRECT(zoneFichierTraite),$J45+offsetInitialFichierTraite,1)</f>
        <v>'018</v>
      </c>
      <c r="M45" s="14">
        <f ca="1">INDEX(INDIRECT(zoneFichierTraite),$J45+offsetInitialFichierTraite,9)</f>
        <v>26.66</v>
      </c>
      <c r="N45" s="17">
        <f ca="1">INDEX(INDIRECT(zoneFichierTraite),$J45+offsetInitialFichierTraite,3)</f>
        <v>8050846089761</v>
      </c>
      <c r="O45" s="2" t="e">
        <f ca="1">MATCH(N45,INDIRECT(nomFichierEAN13Valmag &amp; "!A:A"),0)</f>
        <v>#N/A</v>
      </c>
      <c r="P45" s="2" t="e">
        <f ca="1">MATCH(R45,INDIRECT(nomFichierEAN13Valmag &amp; "!A:A"),0)</f>
        <v>#N/A</v>
      </c>
      <c r="Q45" s="2">
        <f ca="1">MATCH(LEFT(B45,14) &amp; "*",INDIRECT(nomFichierBaseCatalogue &amp; "!B:B"),0)</f>
        <v>297</v>
      </c>
      <c r="R45" s="17">
        <f ca="1">IFERROR(INDEX(INDIRECT(zoneFichierBaseCatalogue),Q45,1),"")</f>
        <v>8050846089761</v>
      </c>
      <c r="S45" s="2">
        <f ca="1">MATCH(B45,INDIRECT(nomFichierFiltreCatalogue &amp; "!B:B"),0)</f>
        <v>145</v>
      </c>
      <c r="T45" s="17"/>
    </row>
    <row r="46" spans="1:20" s="24" customFormat="1" ht="15.75" customHeight="1" x14ac:dyDescent="0.25">
      <c r="A46" s="30">
        <f ca="1">INDEX(INDIRECT(zoneFichierTraite),$J45+offsetInitialFichierTraite,2)</f>
        <v>132</v>
      </c>
      <c r="B46" s="29" t="str">
        <f ca="1">IFERROR(INDEX(INDIRECT(zoneFichierEAN13Valmag),$P45,3),"")</f>
        <v/>
      </c>
      <c r="C46" s="22" t="str">
        <f ca="1">IFERROR(INDEX(INDIRECT(zoneFichierEAN13Valmag),$O45,3),"")</f>
        <v/>
      </c>
      <c r="D46" s="23" t="str">
        <f ca="1">IFERROR(INDEX(INDIRECT(zoneFichierEAN13Valmag),$O45,4),"")</f>
        <v/>
      </c>
      <c r="E46" s="38" t="str">
        <f ca="1">IFERROR(INDEX(INDIRECT(zoneFichierFiltreCatalogue),S45,3),"")</f>
        <v>p030-1-01</v>
      </c>
      <c r="F46" s="23"/>
      <c r="G46" s="21"/>
      <c r="H46" s="39" t="str">
        <f ca="1">IFERROR(INDEX(INDIRECT(zoneFichierFiltreCatalogue),S45,6),"")</f>
        <v>fall 2019 presentation_/catalogo fall 19.txt</v>
      </c>
      <c r="R46" s="25"/>
      <c r="S46" s="25"/>
    </row>
    <row r="47" spans="1:20" ht="39" customHeight="1" thickBot="1" x14ac:dyDescent="0.65">
      <c r="A47" s="11" t="str">
        <f ca="1">INDEX(INDIRECT(zoneFichierTraite),$J47+offsetInitialFichierTraite,6)</f>
        <v>UNICA</v>
      </c>
      <c r="B47" s="7" t="str">
        <f ca="1">INDEX(INDIRECT(zoneFichierTraite),$J47+offsetInitialFichierTraite,4)</f>
        <v>HLESLL01-ECS00-132</v>
      </c>
      <c r="C47" s="31" t="str">
        <f ca="1">INDEX(INDIRECT(zoneFichierTraite),$J47+offsetInitialFichierTraite,5)</f>
        <v>ANSES LONGUES LINEAR AVEC BOUCLE EN FAUX CUIR</v>
      </c>
      <c r="D47" s="32" t="str">
        <f ca="1">INDEX(INDIRECT(zoneFichierTraite),$J47+offsetInitialFichierTraite,13)</f>
        <v>biscotto</v>
      </c>
      <c r="E47" s="35">
        <f ca="1">INDEX(INDIRECT(zoneFichierTraite),$J47+offsetInitialFichierTraite,7)</f>
        <v>2</v>
      </c>
      <c r="F47" s="33">
        <f ca="1">INDEX(INDIRECT(zoneFichierTraite),$J47+offsetInitialFichierTraite,8)</f>
        <v>13.33</v>
      </c>
      <c r="G47" s="34">
        <f t="shared" ref="G47" ca="1" si="39">ROUNDUP(F47*3,0)</f>
        <v>40</v>
      </c>
      <c r="H47" s="37" t="str">
        <f t="shared" ref="H47" ca="1" si="40">IF(ISNUMBER(N47),codeEAN13(INT(N47/10)),"")</f>
        <v>8APASOG*aijhfe+</v>
      </c>
      <c r="J47" s="18">
        <f t="shared" si="4"/>
        <v>19</v>
      </c>
      <c r="L47" s="7" t="str">
        <f ca="1">INDEX(INDIRECT(zoneFichierTraite),$J47+offsetInitialFichierTraite,1)</f>
        <v>'019</v>
      </c>
      <c r="M47" s="14">
        <f ca="1">INDEX(INDIRECT(zoneFichierTraite),$J47+offsetInitialFichierTraite,9)</f>
        <v>26.66</v>
      </c>
      <c r="N47" s="17">
        <f ca="1">INDEX(INDIRECT(zoneFichierTraite),$J47+offsetInitialFichierTraite,3)</f>
        <v>8050846089754</v>
      </c>
      <c r="O47" s="2" t="e">
        <f ca="1">MATCH(N47,INDIRECT(nomFichierEAN13Valmag &amp; "!A:A"),0)</f>
        <v>#N/A</v>
      </c>
      <c r="P47" s="2" t="e">
        <f ca="1">MATCH(R47,INDIRECT(nomFichierEAN13Valmag &amp; "!A:A"),0)</f>
        <v>#N/A</v>
      </c>
      <c r="Q47" s="2">
        <f ca="1">MATCH(LEFT(B47,14) &amp; "*",INDIRECT(nomFichierBaseCatalogue &amp; "!B:B"),0)</f>
        <v>297</v>
      </c>
      <c r="R47" s="17">
        <f ca="1">IFERROR(INDEX(INDIRECT(zoneFichierBaseCatalogue),Q47,1),"")</f>
        <v>8050846089761</v>
      </c>
      <c r="S47" s="2">
        <f ca="1">MATCH(B47,INDIRECT(nomFichierFiltreCatalogue &amp; "!B:B"),0)</f>
        <v>146</v>
      </c>
      <c r="T47" s="17"/>
    </row>
    <row r="48" spans="1:20" s="24" customFormat="1" ht="15.75" customHeight="1" x14ac:dyDescent="0.25">
      <c r="A48" s="30">
        <f ca="1">INDEX(INDIRECT(zoneFichierTraite),$J47+offsetInitialFichierTraite,2)</f>
        <v>212</v>
      </c>
      <c r="B48" s="29" t="str">
        <f ca="1">IFERROR(INDEX(INDIRECT(zoneFichierEAN13Valmag),$P47,3),"")</f>
        <v/>
      </c>
      <c r="C48" s="22" t="str">
        <f ca="1">IFERROR(INDEX(INDIRECT(zoneFichierEAN13Valmag),$O47,3),"")</f>
        <v/>
      </c>
      <c r="D48" s="23" t="str">
        <f ca="1">IFERROR(INDEX(INDIRECT(zoneFichierEAN13Valmag),$O47,4),"")</f>
        <v/>
      </c>
      <c r="E48" s="38" t="str">
        <f ca="1">IFERROR(INDEX(INDIRECT(zoneFichierFiltreCatalogue),S47,3),"")</f>
        <v>p030-1-02</v>
      </c>
      <c r="F48" s="23"/>
      <c r="G48" s="21"/>
      <c r="H48" s="39" t="str">
        <f ca="1">IFERROR(INDEX(INDIRECT(zoneFichierFiltreCatalogue),S47,6),"")</f>
        <v>fall 2019 presentation_/catalogo fall 19.txt</v>
      </c>
      <c r="R48" s="25"/>
      <c r="S48" s="25"/>
    </row>
    <row r="49" spans="1:20" ht="39" customHeight="1" thickBot="1" x14ac:dyDescent="0.65">
      <c r="A49" s="11" t="str">
        <f ca="1">INDEX(INDIRECT(zoneFichierTraite),$J49+offsetInitialFichierTraite,6)</f>
        <v>UNICA</v>
      </c>
      <c r="B49" s="7" t="str">
        <f ca="1">INDEX(INDIRECT(zoneFichierTraite),$J49+offsetInitialFichierTraite,4)</f>
        <v>HLESLL01-ECS00-615</v>
      </c>
      <c r="C49" s="31" t="str">
        <f ca="1">INDEX(INDIRECT(zoneFichierTraite),$J49+offsetInitialFichierTraite,5)</f>
        <v>ANSES LONGUES LINEAR AVEC BOUCLE EN FAUX CUIR</v>
      </c>
      <c r="D49" s="32" t="str">
        <f ca="1">INDEX(INDIRECT(zoneFichierTraite),$J49+offsetInitialFichierTraite,13)</f>
        <v>military</v>
      </c>
      <c r="E49" s="35">
        <f ca="1">INDEX(INDIRECT(zoneFichierTraite),$J49+offsetInitialFichierTraite,7)</f>
        <v>2</v>
      </c>
      <c r="F49" s="33">
        <f ca="1">INDEX(INDIRECT(zoneFichierTraite),$J49+offsetInitialFichierTraite,8)</f>
        <v>13.33</v>
      </c>
      <c r="G49" s="34">
        <f t="shared" ref="G49" ca="1" si="41">ROUNDUP(F49*3,0)</f>
        <v>40</v>
      </c>
      <c r="H49" s="37" t="str">
        <f t="shared" ref="H49" ca="1" si="42">IF(ISNUMBER(N49),codeEAN13(INT(N49/10)),"")</f>
        <v>8APASOG*aijheh+</v>
      </c>
      <c r="J49" s="18">
        <f t="shared" si="4"/>
        <v>20</v>
      </c>
      <c r="L49" s="7" t="str">
        <f ca="1">INDEX(INDIRECT(zoneFichierTraite),$J49+offsetInitialFichierTraite,1)</f>
        <v>'020</v>
      </c>
      <c r="M49" s="14">
        <f ca="1">INDEX(INDIRECT(zoneFichierTraite),$J49+offsetInitialFichierTraite,9)</f>
        <v>26.66</v>
      </c>
      <c r="N49" s="17">
        <f ca="1">INDEX(INDIRECT(zoneFichierTraite),$J49+offsetInitialFichierTraite,3)</f>
        <v>8050846089747</v>
      </c>
      <c r="O49" s="2" t="e">
        <f ca="1">MATCH(N49,INDIRECT(nomFichierEAN13Valmag &amp; "!A:A"),0)</f>
        <v>#N/A</v>
      </c>
      <c r="P49" s="2" t="e">
        <f ca="1">MATCH(R49,INDIRECT(nomFichierEAN13Valmag &amp; "!A:A"),0)</f>
        <v>#N/A</v>
      </c>
      <c r="Q49" s="2">
        <f ca="1">MATCH(LEFT(B49,14) &amp; "*",INDIRECT(nomFichierBaseCatalogue &amp; "!B:B"),0)</f>
        <v>297</v>
      </c>
      <c r="R49" s="17">
        <f ca="1">IFERROR(INDEX(INDIRECT(zoneFichierBaseCatalogue),Q49,1),"")</f>
        <v>8050846089761</v>
      </c>
      <c r="S49" s="2">
        <f ca="1">MATCH(B49,INDIRECT(nomFichierFiltreCatalogue &amp; "!B:B"),0)</f>
        <v>147</v>
      </c>
      <c r="T49" s="17"/>
    </row>
    <row r="50" spans="1:20" s="24" customFormat="1" ht="15.75" customHeight="1" x14ac:dyDescent="0.25">
      <c r="A50" s="30">
        <f ca="1">INDEX(INDIRECT(zoneFichierTraite),$J49+offsetInitialFichierTraite,2)</f>
        <v>213</v>
      </c>
      <c r="B50" s="29" t="str">
        <f ca="1">IFERROR(INDEX(INDIRECT(zoneFichierEAN13Valmag),$P49,3),"")</f>
        <v/>
      </c>
      <c r="C50" s="22" t="str">
        <f ca="1">IFERROR(INDEX(INDIRECT(zoneFichierEAN13Valmag),$O49,3),"")</f>
        <v/>
      </c>
      <c r="D50" s="23" t="str">
        <f ca="1">IFERROR(INDEX(INDIRECT(zoneFichierEAN13Valmag),$O49,4),"")</f>
        <v/>
      </c>
      <c r="E50" s="38" t="str">
        <f ca="1">IFERROR(INDEX(INDIRECT(zoneFichierFiltreCatalogue),S49,3),"")</f>
        <v>p030-1-03</v>
      </c>
      <c r="F50" s="23"/>
      <c r="G50" s="21"/>
      <c r="H50" s="39" t="str">
        <f ca="1">IFERROR(INDEX(INDIRECT(zoneFichierFiltreCatalogue),S49,6),"")</f>
        <v>fall 2019 presentation_/catalogo fall 19.txt</v>
      </c>
      <c r="R50" s="25"/>
      <c r="S50" s="25"/>
    </row>
    <row r="51" spans="1:20" ht="39" customHeight="1" thickBot="1" x14ac:dyDescent="0.65">
      <c r="A51" s="11" t="str">
        <f ca="1">INDEX(INDIRECT(zoneFichierTraite),$J51+offsetInitialFichierTraite,6)</f>
        <v>UNICA</v>
      </c>
      <c r="B51" s="7" t="str">
        <f ca="1">INDEX(INDIRECT(zoneFichierTraite),$J51+offsetInitialFichierTraite,4)</f>
        <v>HLESMD00-ECS46-017</v>
      </c>
      <c r="C51" s="31" t="str">
        <f ca="1">INDEX(INDIRECT(zoneFichierTraite),$J51+offsetInitialFichierTraite,5)</f>
        <v>MICRO-ANSES TUBULAIRES COURTES EN FAUX CUIR LISSE</v>
      </c>
      <c r="D51" s="32" t="str">
        <f ca="1">INDEX(INDIRECT(zoneFichierTraite),$J51+offsetInitialFichierTraite,13)</f>
        <v>blu navy</v>
      </c>
      <c r="E51" s="35">
        <f ca="1">INDEX(INDIRECT(zoneFichierTraite),$J51+offsetInitialFichierTraite,7)</f>
        <v>3</v>
      </c>
      <c r="F51" s="33">
        <f ca="1">INDEX(INDIRECT(zoneFichierTraite),$J51+offsetInitialFichierTraite,8)</f>
        <v>12.66</v>
      </c>
      <c r="G51" s="34">
        <f t="shared" ref="G51" ca="1" si="43">ROUNDUP(F51*3,0)</f>
        <v>38</v>
      </c>
      <c r="H51" s="37" t="str">
        <f t="shared" ref="H51" ca="1" si="44">IF(ISNUMBER(N51),codeEAN13(INT(N51/10)),"")</f>
        <v>8APASOG*aaefhd+</v>
      </c>
      <c r="J51" s="18">
        <f t="shared" si="4"/>
        <v>21</v>
      </c>
      <c r="L51" s="7" t="str">
        <f ca="1">INDEX(INDIRECT(zoneFichierTraite),$J51+offsetInitialFichierTraite,1)</f>
        <v>'021</v>
      </c>
      <c r="M51" s="14">
        <f ca="1">INDEX(INDIRECT(zoneFichierTraite),$J51+offsetInitialFichierTraite,9)</f>
        <v>37.979999999999997</v>
      </c>
      <c r="N51" s="17">
        <f ca="1">INDEX(INDIRECT(zoneFichierTraite),$J51+offsetInitialFichierTraite,3)</f>
        <v>8050846004573</v>
      </c>
      <c r="O51" s="2">
        <f ca="1">MATCH(N51,INDIRECT(nomFichierEAN13Valmag &amp; "!A:A"),0)</f>
        <v>1230</v>
      </c>
      <c r="P51" s="2">
        <f ca="1">MATCH(R51,INDIRECT(nomFichierEAN13Valmag &amp; "!A:A"),0)</f>
        <v>1230</v>
      </c>
      <c r="Q51" s="2">
        <f ca="1">MATCH(LEFT(B51,14) &amp; "*",INDIRECT(nomFichierBaseCatalogue &amp; "!B:B"),0)</f>
        <v>313</v>
      </c>
      <c r="R51" s="17">
        <f ca="1">IFERROR(INDEX(INDIRECT(zoneFichierBaseCatalogue),Q51,1),"")</f>
        <v>8050846004573</v>
      </c>
      <c r="S51" s="2">
        <f ca="1">MATCH(B51,INDIRECT(nomFichierFiltreCatalogue &amp; "!B:B"),0)</f>
        <v>184</v>
      </c>
      <c r="T51" s="17"/>
    </row>
    <row r="52" spans="1:20" s="24" customFormat="1" ht="15.75" customHeight="1" x14ac:dyDescent="0.25">
      <c r="A52" s="30">
        <f ca="1">INDEX(INDIRECT(zoneFichierTraite),$J51+offsetInitialFichierTraite,2)</f>
        <v>188</v>
      </c>
      <c r="B52" s="29" t="str">
        <f ca="1">IFERROR(INDEX(INDIRECT(zoneFichierEAN13Valmag),$P51,3),"")</f>
        <v xml:space="preserve">ANSES/MICROTUB  </v>
      </c>
      <c r="C52" s="22" t="str">
        <f ca="1">IFERROR(INDEX(INDIRECT(zoneFichierEAN13Valmag),$O51,3),"")</f>
        <v xml:space="preserve">ANSES/MICROTUB  </v>
      </c>
      <c r="D52" s="23" t="str">
        <f ca="1">IFERROR(INDEX(INDIRECT(zoneFichierEAN13Valmag),$O51,4),"")</f>
        <v xml:space="preserve">NAVY </v>
      </c>
      <c r="E52" s="38" t="str">
        <f ca="1">IFERROR(INDEX(INDIRECT(zoneFichierFiltreCatalogue),S51,3),"")</f>
        <v>p036-1-01</v>
      </c>
      <c r="F52" s="23"/>
      <c r="G52" s="21"/>
      <c r="H52" s="39" t="str">
        <f ca="1">IFERROR(INDEX(INDIRECT(zoneFichierFiltreCatalogue),S51,6),"")</f>
        <v>fall 2019 presentation_/catalogo fall 19.txt</v>
      </c>
      <c r="R52" s="25"/>
      <c r="S52" s="25"/>
    </row>
    <row r="53" spans="1:20" ht="39" customHeight="1" thickBot="1" x14ac:dyDescent="0.65">
      <c r="A53" s="11" t="str">
        <f ca="1">INDEX(INDIRECT(zoneFichierTraite),$J53+offsetInitialFichierTraite,6)</f>
        <v>UNICA</v>
      </c>
      <c r="B53" s="7" t="str">
        <f ca="1">INDEX(INDIRECT(zoneFichierTraite),$J53+offsetInitialFichierTraite,4)</f>
        <v>HLESMD00-ECS46-055</v>
      </c>
      <c r="C53" s="31" t="str">
        <f ca="1">INDEX(INDIRECT(zoneFichierTraite),$J53+offsetInitialFichierTraite,5)</f>
        <v>MICRO-ANSES TUBULAIRES COURTES EN FAUX CUIR LISSE</v>
      </c>
      <c r="D53" s="32" t="str">
        <f ca="1">INDEX(INDIRECT(zoneFichierTraite),$J53+offsetInitialFichierTraite,13)</f>
        <v>nero</v>
      </c>
      <c r="E53" s="35">
        <f ca="1">INDEX(INDIRECT(zoneFichierTraite),$J53+offsetInitialFichierTraite,7)</f>
        <v>6</v>
      </c>
      <c r="F53" s="33">
        <f ca="1">INDEX(INDIRECT(zoneFichierTraite),$J53+offsetInitialFichierTraite,8)</f>
        <v>12.66</v>
      </c>
      <c r="G53" s="34">
        <f t="shared" ref="G53" ca="1" si="45">ROUNDUP(F53*3,0)</f>
        <v>38</v>
      </c>
      <c r="H53" s="37" t="str">
        <f t="shared" ref="H53" ca="1" si="46">IF(ISNUMBER(N53),codeEAN13(INT(N53/10)),"")</f>
        <v>8APASOG*abbbfb+</v>
      </c>
      <c r="J53" s="18">
        <f t="shared" si="4"/>
        <v>22</v>
      </c>
      <c r="L53" s="7" t="str">
        <f ca="1">INDEX(INDIRECT(zoneFichierTraite),$J53+offsetInitialFichierTraite,1)</f>
        <v>'022</v>
      </c>
      <c r="M53" s="14">
        <f ca="1">INDEX(INDIRECT(zoneFichierTraite),$J53+offsetInitialFichierTraite,9)</f>
        <v>75.959999999999994</v>
      </c>
      <c r="N53" s="17">
        <f ca="1">INDEX(INDIRECT(zoneFichierTraite),$J53+offsetInitialFichierTraite,3)</f>
        <v>8050846011151</v>
      </c>
      <c r="O53" s="2">
        <f ca="1">MATCH(N53,INDIRECT(nomFichierEAN13Valmag &amp; "!A:A"),0)</f>
        <v>1217</v>
      </c>
      <c r="P53" s="2">
        <f ca="1">MATCH(R53,INDIRECT(nomFichierEAN13Valmag &amp; "!A:A"),0)</f>
        <v>1230</v>
      </c>
      <c r="Q53" s="2">
        <f ca="1">MATCH(LEFT(B53,14) &amp; "*",INDIRECT(nomFichierBaseCatalogue &amp; "!B:B"),0)</f>
        <v>313</v>
      </c>
      <c r="R53" s="17">
        <f ca="1">IFERROR(INDEX(INDIRECT(zoneFichierBaseCatalogue),Q53,1),"")</f>
        <v>8050846004573</v>
      </c>
      <c r="S53" s="2">
        <f ca="1">MATCH(B53,INDIRECT(nomFichierFiltreCatalogue &amp; "!B:B"),0)</f>
        <v>186</v>
      </c>
      <c r="T53" s="17"/>
    </row>
    <row r="54" spans="1:20" s="24" customFormat="1" ht="15.75" customHeight="1" x14ac:dyDescent="0.25">
      <c r="A54" s="30">
        <f ca="1">INDEX(INDIRECT(zoneFichierTraite),$J53+offsetInitialFichierTraite,2)</f>
        <v>40</v>
      </c>
      <c r="B54" s="29" t="str">
        <f ca="1">IFERROR(INDEX(INDIRECT(zoneFichierEAN13Valmag),$P53,3),"")</f>
        <v xml:space="preserve">ANSES/MICROTUB  </v>
      </c>
      <c r="C54" s="22" t="str">
        <f ca="1">IFERROR(INDEX(INDIRECT(zoneFichierEAN13Valmag),$O53,3),"")</f>
        <v xml:space="preserve">ANSES/MICROTUB  </v>
      </c>
      <c r="D54" s="23" t="str">
        <f ca="1">IFERROR(INDEX(INDIRECT(zoneFichierEAN13Valmag),$O53,4),"")</f>
        <v>BLACK</v>
      </c>
      <c r="E54" s="38" t="str">
        <f ca="1">IFERROR(INDEX(INDIRECT(zoneFichierFiltreCatalogue),S53,3),"")</f>
        <v>p036-1-03</v>
      </c>
      <c r="F54" s="23"/>
      <c r="G54" s="21"/>
      <c r="H54" s="39" t="str">
        <f ca="1">IFERROR(INDEX(INDIRECT(zoneFichierFiltreCatalogue),S53,6),"")</f>
        <v>fall 2019 presentation_/catalogo fall 19.txt</v>
      </c>
      <c r="R54" s="25"/>
      <c r="S54" s="25"/>
    </row>
    <row r="55" spans="1:20" ht="39" customHeight="1" thickBot="1" x14ac:dyDescent="0.65">
      <c r="A55" s="11" t="str">
        <f ca="1">INDEX(INDIRECT(zoneFichierTraite),$J55+offsetInitialFichierTraite,6)</f>
        <v>UNICA</v>
      </c>
      <c r="B55" s="7" t="str">
        <f ca="1">INDEX(INDIRECT(zoneFichierTraite),$J55+offsetInitialFichierTraite,4)</f>
        <v>HLESMD00-ECS46-221</v>
      </c>
      <c r="C55" s="31" t="str">
        <f ca="1">INDEX(INDIRECT(zoneFichierTraite),$J55+offsetInitialFichierTraite,5)</f>
        <v>MICRO-ANSES TUBULAIRES COURTES EN FAUX CUIR LISSE</v>
      </c>
      <c r="D55" s="32" t="str">
        <f ca="1">INDEX(INDIRECT(zoneFichierTraite),$J55+offsetInitialFichierTraite,13)</f>
        <v>cognac</v>
      </c>
      <c r="E55" s="35">
        <f ca="1">INDEX(INDIRECT(zoneFichierTraite),$J55+offsetInitialFichierTraite,7)</f>
        <v>3</v>
      </c>
      <c r="F55" s="33">
        <f ca="1">INDEX(INDIRECT(zoneFichierTraite),$J55+offsetInitialFichierTraite,8)</f>
        <v>12.66</v>
      </c>
      <c r="G55" s="34">
        <f t="shared" ref="G55" ca="1" si="47">ROUNDUP(F55*3,0)</f>
        <v>38</v>
      </c>
      <c r="H55" s="37" t="str">
        <f t="shared" ref="H55" ca="1" si="48">IF(ISNUMBER(N55),codeEAN13(INT(N55/10)),"")</f>
        <v>8APASOG*abjjdf+</v>
      </c>
      <c r="J55" s="18">
        <f t="shared" si="4"/>
        <v>23</v>
      </c>
      <c r="L55" s="7" t="str">
        <f ca="1">INDEX(INDIRECT(zoneFichierTraite),$J55+offsetInitialFichierTraite,1)</f>
        <v>'023</v>
      </c>
      <c r="M55" s="14">
        <f ca="1">INDEX(INDIRECT(zoneFichierTraite),$J55+offsetInitialFichierTraite,9)</f>
        <v>37.979999999999997</v>
      </c>
      <c r="N55" s="17">
        <f ca="1">INDEX(INDIRECT(zoneFichierTraite),$J55+offsetInitialFichierTraite,3)</f>
        <v>8050846019935</v>
      </c>
      <c r="O55" s="2">
        <f ca="1">MATCH(N55,INDIRECT(nomFichierEAN13Valmag &amp; "!A:A"),0)</f>
        <v>1227</v>
      </c>
      <c r="P55" s="2">
        <f ca="1">MATCH(R55,INDIRECT(nomFichierEAN13Valmag &amp; "!A:A"),0)</f>
        <v>1230</v>
      </c>
      <c r="Q55" s="2">
        <f ca="1">MATCH(LEFT(B55,14) &amp; "*",INDIRECT(nomFichierBaseCatalogue &amp; "!B:B"),0)</f>
        <v>313</v>
      </c>
      <c r="R55" s="17">
        <f ca="1">IFERROR(INDEX(INDIRECT(zoneFichierBaseCatalogue),Q55,1),"")</f>
        <v>8050846004573</v>
      </c>
      <c r="S55" s="2">
        <f ca="1">MATCH(B55,INDIRECT(nomFichierFiltreCatalogue &amp; "!B:B"),0)</f>
        <v>185</v>
      </c>
      <c r="T55" s="17"/>
    </row>
    <row r="56" spans="1:20" s="24" customFormat="1" ht="15.75" customHeight="1" x14ac:dyDescent="0.25">
      <c r="A56" s="30">
        <f ca="1">INDEX(INDIRECT(zoneFichierTraite),$J55+offsetInitialFichierTraite,2)</f>
        <v>63</v>
      </c>
      <c r="B56" s="29" t="str">
        <f ca="1">IFERROR(INDEX(INDIRECT(zoneFichierEAN13Valmag),$P55,3),"")</f>
        <v xml:space="preserve">ANSES/MICROTUB  </v>
      </c>
      <c r="C56" s="22" t="str">
        <f ca="1">IFERROR(INDEX(INDIRECT(zoneFichierEAN13Valmag),$O55,3),"")</f>
        <v xml:space="preserve">ANSES/MICROTUB  </v>
      </c>
      <c r="D56" s="23" t="str">
        <f ca="1">IFERROR(INDEX(INDIRECT(zoneFichierEAN13Valmag),$O55,4),"")</f>
        <v>COGNA</v>
      </c>
      <c r="E56" s="38" t="str">
        <f ca="1">IFERROR(INDEX(INDIRECT(zoneFichierFiltreCatalogue),S55,3),"")</f>
        <v>p036-1-02</v>
      </c>
      <c r="F56" s="23"/>
      <c r="G56" s="21"/>
      <c r="H56" s="39" t="str">
        <f ca="1">IFERROR(INDEX(INDIRECT(zoneFichierFiltreCatalogue),S55,6),"")</f>
        <v>fall 2019 presentation_/catalogo fall 19.txt</v>
      </c>
      <c r="R56" s="25"/>
      <c r="S56" s="25"/>
    </row>
    <row r="57" spans="1:20" ht="39" customHeight="1" thickBot="1" x14ac:dyDescent="0.65">
      <c r="A57" s="11" t="str">
        <f ca="1">INDEX(INDIRECT(zoneFichierTraite),$J57+offsetInitialFichierTraite,6)</f>
        <v>UNICA</v>
      </c>
      <c r="B57" s="7" t="str">
        <f ca="1">INDEX(INDIRECT(zoneFichierTraite),$J57+offsetInitialFichierTraite,4)</f>
        <v>HLESXF00-ECS03-017</v>
      </c>
      <c r="C57" s="31" t="str">
        <f ca="1">INDEX(INDIRECT(zoneFichierTraite),$J57+offsetInitialFichierTraite,5)</f>
        <v>ANSES LONGUES EXTRA SLIM GOUTTE AVEC DEMI-ANNEAU EN FAUX CUIR SUÃˆDE</v>
      </c>
      <c r="D57" s="32" t="str">
        <f ca="1">INDEX(INDIRECT(zoneFichierTraite),$J57+offsetInitialFichierTraite,13)</f>
        <v>blu navy</v>
      </c>
      <c r="E57" s="35">
        <f ca="1">INDEX(INDIRECT(zoneFichierTraite),$J57+offsetInitialFichierTraite,7)</f>
        <v>3</v>
      </c>
      <c r="F57" s="33">
        <f ca="1">INDEX(INDIRECT(zoneFichierTraite),$J57+offsetInitialFichierTraite,8)</f>
        <v>14.52</v>
      </c>
      <c r="G57" s="34">
        <f t="shared" ref="G57" ca="1" si="49">ROUNDUP(F57*3,0)</f>
        <v>44</v>
      </c>
      <c r="H57" s="37" t="str">
        <f t="shared" ref="H57" ca="1" si="50">IF(ISNUMBER(N57),codeEAN13(INT(N57/10)),"")</f>
        <v>8APASOG*addbjb+</v>
      </c>
      <c r="J57" s="18">
        <f t="shared" si="4"/>
        <v>24</v>
      </c>
      <c r="L57" s="7" t="str">
        <f ca="1">INDEX(INDIRECT(zoneFichierTraite),$J57+offsetInitialFichierTraite,1)</f>
        <v>'024</v>
      </c>
      <c r="M57" s="14">
        <f ca="1">INDEX(INDIRECT(zoneFichierTraite),$J57+offsetInitialFichierTraite,9)</f>
        <v>43.56</v>
      </c>
      <c r="N57" s="17">
        <f ca="1">INDEX(INDIRECT(zoneFichierTraite),$J57+offsetInitialFichierTraite,3)</f>
        <v>8050846033191</v>
      </c>
      <c r="O57" s="2">
        <f ca="1">MATCH(N57,INDIRECT(nomFichierEAN13Valmag &amp; "!A:A"),0)</f>
        <v>2532</v>
      </c>
      <c r="P57" s="2">
        <f ca="1">MATCH(R57,INDIRECT(nomFichierEAN13Valmag &amp; "!A:A"),0)</f>
        <v>2532</v>
      </c>
      <c r="Q57" s="2">
        <f ca="1">MATCH(LEFT(B57,14) &amp; "*",INDIRECT(nomFichierBaseCatalogue &amp; "!B:B"),0)</f>
        <v>356</v>
      </c>
      <c r="R57" s="17">
        <f ca="1">IFERROR(INDEX(INDIRECT(zoneFichierBaseCatalogue),Q57,1),"")</f>
        <v>8050846033191</v>
      </c>
      <c r="S57" s="2">
        <f ca="1">MATCH(B57,INDIRECT(nomFichierFiltreCatalogue &amp; "!B:B"),0)</f>
        <v>126</v>
      </c>
      <c r="T57" s="17"/>
    </row>
    <row r="58" spans="1:20" s="24" customFormat="1" ht="15.75" customHeight="1" x14ac:dyDescent="0.25">
      <c r="A58" s="30">
        <f ca="1">INDEX(INDIRECT(zoneFichierTraite),$J57+offsetInitialFichierTraite,2)</f>
        <v>104</v>
      </c>
      <c r="B58" s="29" t="str">
        <f ca="1">IFERROR(INDEX(INDIRECT(zoneFichierEAN13Valmag),$P57,3),"")</f>
        <v>ANSESLONGUESSUED</v>
      </c>
      <c r="C58" s="22" t="str">
        <f ca="1">IFERROR(INDEX(INDIRECT(zoneFichierEAN13Valmag),$O57,3),"")</f>
        <v>ANSESLONGUESSUED</v>
      </c>
      <c r="D58" s="23" t="str">
        <f ca="1">IFERROR(INDEX(INDIRECT(zoneFichierEAN13Valmag),$O57,4),"")</f>
        <v xml:space="preserve">NAVY </v>
      </c>
      <c r="E58" s="38" t="str">
        <f ca="1">IFERROR(INDEX(INDIRECT(zoneFichierFiltreCatalogue),S57,3),"")</f>
        <v>p026-2-01</v>
      </c>
      <c r="F58" s="23"/>
      <c r="G58" s="21"/>
      <c r="H58" s="39" t="str">
        <f ca="1">IFERROR(INDEX(INDIRECT(zoneFichierFiltreCatalogue),S57,6),"")</f>
        <v>fall 2019 presentation_/catalogo fall 19.txt</v>
      </c>
      <c r="R58" s="25"/>
      <c r="S58" s="25"/>
    </row>
    <row r="59" spans="1:20" ht="39" customHeight="1" thickBot="1" x14ac:dyDescent="0.65">
      <c r="A59" s="11" t="str">
        <f ca="1">INDEX(INDIRECT(zoneFichierTraite),$J59+offsetInitialFichierTraite,6)</f>
        <v>UNICA</v>
      </c>
      <c r="B59" s="7" t="str">
        <f ca="1">INDEX(INDIRECT(zoneFichierTraite),$J59+offsetInitialFichierTraite,4)</f>
        <v>HLESXF00-ECS03-084</v>
      </c>
      <c r="C59" s="31" t="str">
        <f ca="1">INDEX(INDIRECT(zoneFichierTraite),$J59+offsetInitialFichierTraite,5)</f>
        <v>ANSES LONGUES EXTRA SLIM GOUTTE AVEC DEMI-ANNEAU EN FAUX CUIR SUÃˆDE</v>
      </c>
      <c r="D59" s="32" t="str">
        <f ca="1">INDEX(INDIRECT(zoneFichierTraite),$J59+offsetInitialFichierTraite,13)</f>
        <v>testa di moro</v>
      </c>
      <c r="E59" s="35">
        <f ca="1">INDEX(INDIRECT(zoneFichierTraite),$J59+offsetInitialFichierTraite,7)</f>
        <v>3</v>
      </c>
      <c r="F59" s="33">
        <f ca="1">INDEX(INDIRECT(zoneFichierTraite),$J59+offsetInitialFichierTraite,8)</f>
        <v>14.52</v>
      </c>
      <c r="G59" s="34">
        <f t="shared" ref="G59" ca="1" si="51">ROUNDUP(F59*3,0)</f>
        <v>44</v>
      </c>
      <c r="H59" s="37" t="str">
        <f t="shared" ref="H59" ca="1" si="52">IF(ISNUMBER(N59),codeEAN13(INT(N59/10)),"")</f>
        <v>8APASOG*addcef+</v>
      </c>
      <c r="J59" s="18">
        <f t="shared" si="4"/>
        <v>25</v>
      </c>
      <c r="L59" s="7" t="str">
        <f ca="1">INDEX(INDIRECT(zoneFichierTraite),$J59+offsetInitialFichierTraite,1)</f>
        <v>'025</v>
      </c>
      <c r="M59" s="14">
        <f ca="1">INDEX(INDIRECT(zoneFichierTraite),$J59+offsetInitialFichierTraite,9)</f>
        <v>43.56</v>
      </c>
      <c r="N59" s="17">
        <f ca="1">INDEX(INDIRECT(zoneFichierTraite),$J59+offsetInitialFichierTraite,3)</f>
        <v>8050846033245</v>
      </c>
      <c r="O59" s="2">
        <f ca="1">MATCH(N59,INDIRECT(nomFichierEAN13Valmag &amp; "!A:A"),0)</f>
        <v>2533</v>
      </c>
      <c r="P59" s="2">
        <f ca="1">MATCH(R59,INDIRECT(nomFichierEAN13Valmag &amp; "!A:A"),0)</f>
        <v>2532</v>
      </c>
      <c r="Q59" s="2">
        <f ca="1">MATCH(LEFT(B59,14) &amp; "*",INDIRECT(nomFichierBaseCatalogue &amp; "!B:B"),0)</f>
        <v>356</v>
      </c>
      <c r="R59" s="17">
        <f ca="1">IFERROR(INDEX(INDIRECT(zoneFichierBaseCatalogue),Q59,1),"")</f>
        <v>8050846033191</v>
      </c>
      <c r="S59" s="2">
        <f ca="1">MATCH(B59,INDIRECT(nomFichierFiltreCatalogue &amp; "!B:B"),0)</f>
        <v>127</v>
      </c>
      <c r="T59" s="17"/>
    </row>
    <row r="60" spans="1:20" s="24" customFormat="1" ht="15.75" customHeight="1" x14ac:dyDescent="0.25">
      <c r="A60" s="30">
        <f ca="1">INDEX(INDIRECT(zoneFichierTraite),$J59+offsetInitialFichierTraite,2)</f>
        <v>48</v>
      </c>
      <c r="B60" s="29" t="str">
        <f ca="1">IFERROR(INDEX(INDIRECT(zoneFichierEAN13Valmag),$P59,3),"")</f>
        <v>ANSESLONGUESSUED</v>
      </c>
      <c r="C60" s="22" t="str">
        <f ca="1">IFERROR(INDEX(INDIRECT(zoneFichierEAN13Valmag),$O59,3),"")</f>
        <v>ANSESLONGUESSUED</v>
      </c>
      <c r="D60" s="23" t="str">
        <f ca="1">IFERROR(INDEX(INDIRECT(zoneFichierEAN13Valmag),$O59,4),"")</f>
        <v>TESTA</v>
      </c>
      <c r="E60" s="38" t="str">
        <f ca="1">IFERROR(INDEX(INDIRECT(zoneFichierFiltreCatalogue),S59,3),"")</f>
        <v>p026-2-02</v>
      </c>
      <c r="F60" s="23"/>
      <c r="G60" s="21"/>
      <c r="H60" s="39" t="str">
        <f ca="1">IFERROR(INDEX(INDIRECT(zoneFichierFiltreCatalogue),S59,6),"")</f>
        <v>fall 2019 presentation_/catalogo fall 19.txt</v>
      </c>
      <c r="R60" s="25"/>
      <c r="S60" s="25"/>
    </row>
    <row r="61" spans="1:20" ht="39" customHeight="1" thickBot="1" x14ac:dyDescent="0.65">
      <c r="A61" s="11" t="str">
        <f ca="1">INDEX(INDIRECT(zoneFichierTraite),$J61+offsetInitialFichierTraite,6)</f>
        <v>UNICA</v>
      </c>
      <c r="B61" s="7" t="str">
        <f ca="1">INDEX(INDIRECT(zoneFichierTraite),$J61+offsetInitialFichierTraite,4)</f>
        <v>OBAGA000-ECS42-055</v>
      </c>
      <c r="C61" s="31" t="str">
        <f ca="1">INDEX(INDIRECT(zoneFichierTraite),$J61+offsetInitialFichierTraite,5)</f>
        <v>ACCESSOIRE CLIP EN FAUX CUIR OPAQUE + ARGENT</v>
      </c>
      <c r="D61" s="32" t="str">
        <f ca="1">INDEX(INDIRECT(zoneFichierTraite),$J61+offsetInitialFichierTraite,13)</f>
        <v>nero</v>
      </c>
      <c r="E61" s="35">
        <f ca="1">INDEX(INDIRECT(zoneFichierTraite),$J61+offsetInitialFichierTraite,7)</f>
        <v>2</v>
      </c>
      <c r="F61" s="33">
        <f ca="1">INDEX(INDIRECT(zoneFichierTraite),$J61+offsetInitialFichierTraite,8)</f>
        <v>3.6</v>
      </c>
      <c r="G61" s="34">
        <f t="shared" ref="G61" ca="1" si="53">ROUNDUP(F61*3,0)</f>
        <v>11</v>
      </c>
      <c r="H61" s="37" t="str">
        <f t="shared" ref="H61" ca="1" si="54">IF(ISNUMBER(N61),codeEAN13(INT(N61/10)),"")</f>
        <v>8APASOG*aacfff+</v>
      </c>
      <c r="J61" s="18">
        <f t="shared" si="4"/>
        <v>26</v>
      </c>
      <c r="L61" s="7" t="str">
        <f ca="1">INDEX(INDIRECT(zoneFichierTraite),$J61+offsetInitialFichierTraite,1)</f>
        <v>'026</v>
      </c>
      <c r="M61" s="14">
        <f ca="1">INDEX(INDIRECT(zoneFichierTraite),$J61+offsetInitialFichierTraite,9)</f>
        <v>7.2</v>
      </c>
      <c r="N61" s="17">
        <f ca="1">INDEX(INDIRECT(zoneFichierTraite),$J61+offsetInitialFichierTraite,3)</f>
        <v>8050846002555</v>
      </c>
      <c r="O61" s="2" t="e">
        <f ca="1">MATCH(N61,INDIRECT(nomFichierEAN13Valmag &amp; "!A:A"),0)</f>
        <v>#N/A</v>
      </c>
      <c r="P61" s="2">
        <f ca="1">MATCH(R61,INDIRECT(nomFichierEAN13Valmag &amp; "!A:A"),0)</f>
        <v>5356</v>
      </c>
      <c r="Q61" s="2">
        <f ca="1">MATCH(LEFT(B61,14) &amp; "*",INDIRECT(nomFichierBaseCatalogue &amp; "!B:B"),0)</f>
        <v>385</v>
      </c>
      <c r="R61" s="17">
        <f ca="1">IFERROR(INDEX(INDIRECT(zoneFichierBaseCatalogue),Q61,1),"")</f>
        <v>8050846004306</v>
      </c>
      <c r="S61" s="2" t="e">
        <f ca="1">MATCH(B61,INDIRECT(nomFichierFiltreCatalogue &amp; "!B:B"),0)</f>
        <v>#N/A</v>
      </c>
      <c r="T61" s="17"/>
    </row>
    <row r="62" spans="1:20" s="24" customFormat="1" ht="15.75" customHeight="1" x14ac:dyDescent="0.25">
      <c r="A62" s="30">
        <f ca="1">INDEX(INDIRECT(zoneFichierTraite),$J61+offsetInitialFichierTraite,2)</f>
        <v>32</v>
      </c>
      <c r="B62" s="29" t="str">
        <f ca="1">IFERROR(INDEX(INDIRECT(zoneFichierEAN13Valmag),$P61,3),"")</f>
        <v xml:space="preserve">CLIP            </v>
      </c>
      <c r="C62" s="22" t="str">
        <f ca="1">IFERROR(INDEX(INDIRECT(zoneFichierEAN13Valmag),$O61,3),"")</f>
        <v/>
      </c>
      <c r="D62" s="23" t="str">
        <f ca="1">IFERROR(INDEX(INDIRECT(zoneFichierEAN13Valmag),$O61,4),"")</f>
        <v/>
      </c>
      <c r="E62" s="38" t="str">
        <f ca="1">IFERROR(INDEX(INDIRECT(zoneFichierFiltreCatalogue),S61,3),"")</f>
        <v/>
      </c>
      <c r="F62" s="23"/>
      <c r="G62" s="21"/>
      <c r="H62" s="39" t="str">
        <f ca="1">IFERROR(INDEX(INDIRECT(zoneFichierFiltreCatalogue),S61,6),"")</f>
        <v/>
      </c>
      <c r="R62" s="25"/>
      <c r="S62" s="25"/>
    </row>
    <row r="63" spans="1:20" ht="39" customHeight="1" thickBot="1" x14ac:dyDescent="0.65">
      <c r="A63" s="11" t="str">
        <f ca="1">INDEX(INDIRECT(zoneFichierTraite),$J63+offsetInitialFichierTraite,6)</f>
        <v>UNICA</v>
      </c>
      <c r="B63" s="7" t="str">
        <f ca="1">INDEX(INDIRECT(zoneFichierTraite),$J63+offsetInitialFichierTraite,4)</f>
        <v>OBAGB001-EVS00-076</v>
      </c>
      <c r="C63" s="31" t="str">
        <f ca="1">INDEX(INDIRECT(zoneFichierTraite),$J63+offsetInitialFichierTraite,5)</f>
        <v>CORPS O BAG EVA COMPOUND</v>
      </c>
      <c r="D63" s="32" t="str">
        <f ca="1">INDEX(INDIRECT(zoneFichierTraite),$J63+offsetInitialFichierTraite,13)</f>
        <v>rosso</v>
      </c>
      <c r="E63" s="35">
        <f ca="1">INDEX(INDIRECT(zoneFichierTraite),$J63+offsetInitialFichierTraite,7)</f>
        <v>2</v>
      </c>
      <c r="F63" s="33">
        <f ca="1">INDEX(INDIRECT(zoneFichierTraite),$J63+offsetInitialFichierTraite,8)</f>
        <v>14.4</v>
      </c>
      <c r="G63" s="34">
        <f t="shared" ref="G63" ca="1" si="55">ROUNDUP(F63*3,0)</f>
        <v>44</v>
      </c>
      <c r="H63" s="37" t="str">
        <f t="shared" ref="H63" ca="1" si="56">IF(ISNUMBER(N63),codeEAN13(INT(N63/10)),"")</f>
        <v>8APBRRA*daifai+</v>
      </c>
      <c r="J63" s="18">
        <f t="shared" si="4"/>
        <v>27</v>
      </c>
      <c r="L63" s="7" t="str">
        <f ca="1">INDEX(INDIRECT(zoneFichierTraite),$J63+offsetInitialFichierTraite,1)</f>
        <v>'027</v>
      </c>
      <c r="M63" s="14">
        <f ca="1">INDEX(INDIRECT(zoneFichierTraite),$J63+offsetInitialFichierTraite,9)</f>
        <v>28.8</v>
      </c>
      <c r="N63" s="17">
        <f ca="1">INDEX(INDIRECT(zoneFichierTraite),$J63+offsetInitialFichierTraite,3)</f>
        <v>8051770308508</v>
      </c>
      <c r="O63" s="2">
        <f ca="1">MATCH(N63,INDIRECT(nomFichierEAN13Valmag &amp; "!A:A"),0)</f>
        <v>7813</v>
      </c>
      <c r="P63" s="2">
        <f ca="1">MATCH(R63,INDIRECT(nomFichierEAN13Valmag &amp; "!A:A"),0)</f>
        <v>7729</v>
      </c>
      <c r="Q63" s="2">
        <f ca="1">MATCH(LEFT(B63,14) &amp; "*",INDIRECT(nomFichierBaseCatalogue &amp; "!B:B"),0)</f>
        <v>407</v>
      </c>
      <c r="R63" s="17">
        <f ca="1">IFERROR(INDEX(INDIRECT(zoneFichierBaseCatalogue),Q63,1),"")</f>
        <v>8058333587646</v>
      </c>
      <c r="S63" s="2">
        <f ca="1">MATCH(B63,INDIRECT(nomFichierFiltreCatalogue &amp; "!B:B"),0)</f>
        <v>2</v>
      </c>
      <c r="T63" s="17"/>
    </row>
    <row r="64" spans="1:20" s="24" customFormat="1" ht="15.75" customHeight="1" x14ac:dyDescent="0.25">
      <c r="A64" s="30">
        <f ca="1">INDEX(INDIRECT(zoneFichierTraite),$J63+offsetInitialFichierTraite,2)</f>
        <v>182</v>
      </c>
      <c r="B64" s="29" t="str">
        <f ca="1">IFERROR(INDEX(INDIRECT(zoneFichierEAN13Valmag),$P63,3),"")</f>
        <v xml:space="preserve">OBODY           </v>
      </c>
      <c r="C64" s="22" t="str">
        <f ca="1">IFERROR(INDEX(INDIRECT(zoneFichierEAN13Valmag),$O63,3),"")</f>
        <v xml:space="preserve">OBODY           </v>
      </c>
      <c r="D64" s="23" t="str">
        <f ca="1">IFERROR(INDEX(INDIRECT(zoneFichierEAN13Valmag),$O63,4),"")</f>
        <v xml:space="preserve">RED  </v>
      </c>
      <c r="E64" s="38" t="str">
        <f ca="1">IFERROR(INDEX(INDIRECT(zoneFichierFiltreCatalogue),S63,3),"")</f>
        <v>p006-1-02</v>
      </c>
      <c r="F64" s="23"/>
      <c r="G64" s="21"/>
      <c r="H64" s="39" t="str">
        <f ca="1">IFERROR(INDEX(INDIRECT(zoneFichierFiltreCatalogue),S63,6),"")</f>
        <v>fall 2019 presentation_/catalogo fall 19.txt</v>
      </c>
      <c r="R64" s="25"/>
      <c r="S64" s="25"/>
    </row>
    <row r="65" spans="1:20" ht="39" customHeight="1" thickBot="1" x14ac:dyDescent="0.65">
      <c r="A65" s="11" t="str">
        <f ca="1">INDEX(INDIRECT(zoneFichierTraite),$J65+offsetInitialFichierTraite,6)</f>
        <v>UNICA</v>
      </c>
      <c r="B65" s="7" t="str">
        <f ca="1">INDEX(INDIRECT(zoneFichierTraite),$J65+offsetInitialFichierTraite,4)</f>
        <v>OBAGB001-EVS00-132</v>
      </c>
      <c r="C65" s="31" t="str">
        <f ca="1">INDEX(INDIRECT(zoneFichierTraite),$J65+offsetInitialFichierTraite,5)</f>
        <v>CORPS O BAG EVA COMPOUND</v>
      </c>
      <c r="D65" s="32" t="str">
        <f ca="1">INDEX(INDIRECT(zoneFichierTraite),$J65+offsetInitialFichierTraite,13)</f>
        <v>biscotto</v>
      </c>
      <c r="E65" s="35">
        <f ca="1">INDEX(INDIRECT(zoneFichierTraite),$J65+offsetInitialFichierTraite,7)</f>
        <v>2</v>
      </c>
      <c r="F65" s="33">
        <f ca="1">INDEX(INDIRECT(zoneFichierTraite),$J65+offsetInitialFichierTraite,8)</f>
        <v>14.4</v>
      </c>
      <c r="G65" s="34">
        <f t="shared" ref="G65" ca="1" si="57">ROUNDUP(F65*3,0)</f>
        <v>44</v>
      </c>
      <c r="H65" s="37" t="str">
        <f t="shared" ref="H65" ca="1" si="58">IF(ISNUMBER(N65),codeEAN13(INT(N65/10)),"")</f>
        <v>8APGKTF*agiigb+</v>
      </c>
      <c r="J65" s="18">
        <f t="shared" si="4"/>
        <v>28</v>
      </c>
      <c r="L65" s="7" t="str">
        <f ca="1">INDEX(INDIRECT(zoneFichierTraite),$J65+offsetInitialFichierTraite,1)</f>
        <v>'028</v>
      </c>
      <c r="M65" s="14">
        <f ca="1">INDEX(INDIRECT(zoneFichierTraite),$J65+offsetInitialFichierTraite,9)</f>
        <v>28.8</v>
      </c>
      <c r="N65" s="17">
        <f ca="1">INDEX(INDIRECT(zoneFichierTraite),$J65+offsetInitialFichierTraite,3)</f>
        <v>8056095068861</v>
      </c>
      <c r="O65" s="2">
        <f ca="1">MATCH(N65,INDIRECT(nomFichierEAN13Valmag &amp; "!A:A"),0)</f>
        <v>7740</v>
      </c>
      <c r="P65" s="2">
        <f ca="1">MATCH(R65,INDIRECT(nomFichierEAN13Valmag &amp; "!A:A"),0)</f>
        <v>7729</v>
      </c>
      <c r="Q65" s="2">
        <f ca="1">MATCH(LEFT(B65,14) &amp; "*",INDIRECT(nomFichierBaseCatalogue &amp; "!B:B"),0)</f>
        <v>407</v>
      </c>
      <c r="R65" s="17">
        <f ca="1">IFERROR(INDEX(INDIRECT(zoneFichierBaseCatalogue),Q65,1),"")</f>
        <v>8058333587646</v>
      </c>
      <c r="S65" s="2">
        <f ca="1">MATCH(B65,INDIRECT(nomFichierFiltreCatalogue &amp; "!B:B"),0)</f>
        <v>3</v>
      </c>
      <c r="T65" s="17"/>
    </row>
    <row r="66" spans="1:20" s="24" customFormat="1" ht="15.75" customHeight="1" x14ac:dyDescent="0.25">
      <c r="A66" s="30">
        <f ca="1">INDEX(INDIRECT(zoneFichierTraite),$J65+offsetInitialFichierTraite,2)</f>
        <v>110</v>
      </c>
      <c r="B66" s="29" t="str">
        <f ca="1">IFERROR(INDEX(INDIRECT(zoneFichierEAN13Valmag),$P65,3),"")</f>
        <v xml:space="preserve">OBODY           </v>
      </c>
      <c r="C66" s="22" t="str">
        <f ca="1">IFERROR(INDEX(INDIRECT(zoneFichierEAN13Valmag),$O65,3),"")</f>
        <v xml:space="preserve">OBODY           </v>
      </c>
      <c r="D66" s="23" t="str">
        <f ca="1">IFERROR(INDEX(INDIRECT(zoneFichierEAN13Valmag),$O65,4),"")</f>
        <v>BISCO</v>
      </c>
      <c r="E66" s="38" t="str">
        <f ca="1">IFERROR(INDEX(INDIRECT(zoneFichierFiltreCatalogue),S65,3),"")</f>
        <v>p006-1-03</v>
      </c>
      <c r="F66" s="23"/>
      <c r="G66" s="21"/>
      <c r="H66" s="39" t="str">
        <f ca="1">IFERROR(INDEX(INDIRECT(zoneFichierFiltreCatalogue),S65,6),"")</f>
        <v>fall 2019 presentation_/catalogo fall 19.txt</v>
      </c>
      <c r="R66" s="25"/>
      <c r="S66" s="25"/>
    </row>
    <row r="67" spans="1:20" ht="39" customHeight="1" thickBot="1" x14ac:dyDescent="0.65">
      <c r="A67" s="11" t="str">
        <f ca="1">INDEX(INDIRECT(zoneFichierTraite),$J67+offsetInitialFichierTraite,6)</f>
        <v>UNICA</v>
      </c>
      <c r="B67" s="7" t="str">
        <f ca="1">INDEX(INDIRECT(zoneFichierTraite),$J67+offsetInitialFichierTraite,4)</f>
        <v>OBAGB001-EVS00-614</v>
      </c>
      <c r="C67" s="31" t="str">
        <f ca="1">INDEX(INDIRECT(zoneFichierTraite),$J67+offsetInitialFichierTraite,5)</f>
        <v>CORPS O BAG EVA COMPOUND</v>
      </c>
      <c r="D67" s="32" t="str">
        <f ca="1">INDEX(INDIRECT(zoneFichierTraite),$J67+offsetInitialFichierTraite,13)</f>
        <v>imperial blu</v>
      </c>
      <c r="E67" s="35">
        <f ca="1">INDEX(INDIRECT(zoneFichierTraite),$J67+offsetInitialFichierTraite,7)</f>
        <v>2</v>
      </c>
      <c r="F67" s="33">
        <f ca="1">INDEX(INDIRECT(zoneFichierTraite),$J67+offsetInitialFichierTraite,8)</f>
        <v>14.4</v>
      </c>
      <c r="G67" s="34">
        <f t="shared" ref="G67" ca="1" si="59">ROUNDUP(F67*3,0)</f>
        <v>44</v>
      </c>
      <c r="H67" s="37" t="str">
        <f t="shared" ref="H67" ca="1" si="60">IF(ISNUMBER(N67),codeEAN13(INT(N67/10)),"")</f>
        <v>8APASOG*ajaaea+</v>
      </c>
      <c r="J67" s="18">
        <f t="shared" si="4"/>
        <v>29</v>
      </c>
      <c r="L67" s="7" t="str">
        <f ca="1">INDEX(INDIRECT(zoneFichierTraite),$J67+offsetInitialFichierTraite,1)</f>
        <v>'029</v>
      </c>
      <c r="M67" s="14">
        <f ca="1">INDEX(INDIRECT(zoneFichierTraite),$J67+offsetInitialFichierTraite,9)</f>
        <v>28.8</v>
      </c>
      <c r="N67" s="17">
        <f ca="1">INDEX(INDIRECT(zoneFichierTraite),$J67+offsetInitialFichierTraite,3)</f>
        <v>8050846090040</v>
      </c>
      <c r="O67" s="2" t="e">
        <f ca="1">MATCH(N67,INDIRECT(nomFichierEAN13Valmag &amp; "!A:A"),0)</f>
        <v>#N/A</v>
      </c>
      <c r="P67" s="2">
        <f ca="1">MATCH(R67,INDIRECT(nomFichierEAN13Valmag &amp; "!A:A"),0)</f>
        <v>7729</v>
      </c>
      <c r="Q67" s="2">
        <f ca="1">MATCH(LEFT(B67,14) &amp; "*",INDIRECT(nomFichierBaseCatalogue &amp; "!B:B"),0)</f>
        <v>407</v>
      </c>
      <c r="R67" s="17">
        <f ca="1">IFERROR(INDEX(INDIRECT(zoneFichierBaseCatalogue),Q67,1),"")</f>
        <v>8058333587646</v>
      </c>
      <c r="S67" s="2">
        <f ca="1">MATCH(B67,INDIRECT(nomFichierFiltreCatalogue &amp; "!B:B"),0)</f>
        <v>6</v>
      </c>
      <c r="T67" s="17"/>
    </row>
    <row r="68" spans="1:20" s="24" customFormat="1" ht="15.75" customHeight="1" x14ac:dyDescent="0.25">
      <c r="A68" s="30">
        <f ca="1">INDEX(INDIRECT(zoneFichierTraite),$J67+offsetInitialFichierTraite,2)</f>
        <v>183</v>
      </c>
      <c r="B68" s="29" t="str">
        <f ca="1">IFERROR(INDEX(INDIRECT(zoneFichierEAN13Valmag),$P67,3),"")</f>
        <v xml:space="preserve">OBODY           </v>
      </c>
      <c r="C68" s="22" t="str">
        <f ca="1">IFERROR(INDEX(INDIRECT(zoneFichierEAN13Valmag),$O67,3),"")</f>
        <v/>
      </c>
      <c r="D68" s="23" t="str">
        <f ca="1">IFERROR(INDEX(INDIRECT(zoneFichierEAN13Valmag),$O67,4),"")</f>
        <v/>
      </c>
      <c r="E68" s="38" t="str">
        <f ca="1">IFERROR(INDEX(INDIRECT(zoneFichierFiltreCatalogue),S67,3),"")</f>
        <v>p006-1-06</v>
      </c>
      <c r="F68" s="23"/>
      <c r="G68" s="21"/>
      <c r="H68" s="39" t="str">
        <f ca="1">IFERROR(INDEX(INDIRECT(zoneFichierFiltreCatalogue),S67,6),"")</f>
        <v>fall 2019 presentation_/catalogo fall 19.txt</v>
      </c>
      <c r="R68" s="25"/>
      <c r="S68" s="25"/>
    </row>
    <row r="69" spans="1:20" ht="39" customHeight="1" thickBot="1" x14ac:dyDescent="0.65">
      <c r="A69" s="11" t="str">
        <f ca="1">INDEX(INDIRECT(zoneFichierTraite),$J69+offsetInitialFichierTraite,6)</f>
        <v>UNICA</v>
      </c>
      <c r="B69" s="7" t="str">
        <f ca="1">INDEX(INDIRECT(zoneFichierTraite),$J69+offsetInitialFichierTraite,4)</f>
        <v>OBAGB001-EVS00-615</v>
      </c>
      <c r="C69" s="31" t="str">
        <f ca="1">INDEX(INDIRECT(zoneFichierTraite),$J69+offsetInitialFichierTraite,5)</f>
        <v>CORPS O BAG EVA COMPOUND</v>
      </c>
      <c r="D69" s="32" t="str">
        <f ca="1">INDEX(INDIRECT(zoneFichierTraite),$J69+offsetInitialFichierTraite,13)</f>
        <v>military</v>
      </c>
      <c r="E69" s="35">
        <f ca="1">INDEX(INDIRECT(zoneFichierTraite),$J69+offsetInitialFichierTraite,7)</f>
        <v>2</v>
      </c>
      <c r="F69" s="33">
        <f ca="1">INDEX(INDIRECT(zoneFichierTraite),$J69+offsetInitialFichierTraite,8)</f>
        <v>14.4</v>
      </c>
      <c r="G69" s="34">
        <f t="shared" ref="G69" ca="1" si="61">ROUNDUP(F69*3,0)</f>
        <v>44</v>
      </c>
      <c r="H69" s="37" t="str">
        <f t="shared" ref="H69" ca="1" si="62">IF(ISNUMBER(N69),codeEAN13(INT(N69/10)),"")</f>
        <v>8APASOG*ajaage+</v>
      </c>
      <c r="J69" s="18">
        <f t="shared" si="4"/>
        <v>30</v>
      </c>
      <c r="L69" s="7" t="str">
        <f ca="1">INDEX(INDIRECT(zoneFichierTraite),$J69+offsetInitialFichierTraite,1)</f>
        <v>'030</v>
      </c>
      <c r="M69" s="14">
        <f ca="1">INDEX(INDIRECT(zoneFichierTraite),$J69+offsetInitialFichierTraite,9)</f>
        <v>28.8</v>
      </c>
      <c r="N69" s="17">
        <f ca="1">INDEX(INDIRECT(zoneFichierTraite),$J69+offsetInitialFichierTraite,3)</f>
        <v>8050846090064</v>
      </c>
      <c r="O69" s="2" t="e">
        <f ca="1">MATCH(N69,INDIRECT(nomFichierEAN13Valmag &amp; "!A:A"),0)</f>
        <v>#N/A</v>
      </c>
      <c r="P69" s="2">
        <f ca="1">MATCH(R69,INDIRECT(nomFichierEAN13Valmag &amp; "!A:A"),0)</f>
        <v>7729</v>
      </c>
      <c r="Q69" s="2">
        <f ca="1">MATCH(LEFT(B69,14) &amp; "*",INDIRECT(nomFichierBaseCatalogue &amp; "!B:B"),0)</f>
        <v>407</v>
      </c>
      <c r="R69" s="17">
        <f ca="1">IFERROR(INDEX(INDIRECT(zoneFichierBaseCatalogue),Q69,1),"")</f>
        <v>8058333587646</v>
      </c>
      <c r="S69" s="2">
        <f ca="1">MATCH(B69,INDIRECT(nomFichierFiltreCatalogue &amp; "!B:B"),0)</f>
        <v>7</v>
      </c>
      <c r="T69" s="17"/>
    </row>
    <row r="70" spans="1:20" s="24" customFormat="1" ht="15.75" customHeight="1" x14ac:dyDescent="0.25">
      <c r="A70" s="30">
        <f ca="1">INDEX(INDIRECT(zoneFichierTraite),$J69+offsetInitialFichierTraite,2)</f>
        <v>41</v>
      </c>
      <c r="B70" s="29" t="str">
        <f ca="1">IFERROR(INDEX(INDIRECT(zoneFichierEAN13Valmag),$P69,3),"")</f>
        <v xml:space="preserve">OBODY           </v>
      </c>
      <c r="C70" s="22" t="str">
        <f ca="1">IFERROR(INDEX(INDIRECT(zoneFichierEAN13Valmag),$O69,3),"")</f>
        <v/>
      </c>
      <c r="D70" s="23" t="str">
        <f ca="1">IFERROR(INDEX(INDIRECT(zoneFichierEAN13Valmag),$O69,4),"")</f>
        <v/>
      </c>
      <c r="E70" s="38" t="str">
        <f ca="1">IFERROR(INDEX(INDIRECT(zoneFichierFiltreCatalogue),S69,3),"")</f>
        <v>p006-1-07</v>
      </c>
      <c r="F70" s="23"/>
      <c r="G70" s="21"/>
      <c r="H70" s="39" t="str">
        <f ca="1">IFERROR(INDEX(INDIRECT(zoneFichierFiltreCatalogue),S69,6),"")</f>
        <v>fall 2019 presentation_/catalogo fall 19.txt</v>
      </c>
      <c r="R70" s="25"/>
      <c r="S70" s="25"/>
    </row>
    <row r="71" spans="1:20" ht="39" customHeight="1" thickBot="1" x14ac:dyDescent="0.65">
      <c r="A71" s="11" t="str">
        <f ca="1">INDEX(INDIRECT(zoneFichierTraite),$J71+offsetInitialFichierTraite,6)</f>
        <v>UNICA</v>
      </c>
      <c r="B71" s="7" t="str">
        <f ca="1">INDEX(INDIRECT(zoneFichierTraite),$J71+offsetInitialFichierTraite,4)</f>
        <v>OBAGB001-EVS00-616</v>
      </c>
      <c r="C71" s="31" t="str">
        <f ca="1">INDEX(INDIRECT(zoneFichierTraite),$J71+offsetInitialFichierTraite,5)</f>
        <v>CORPS O BAG EVA COMPOUND</v>
      </c>
      <c r="D71" s="32" t="str">
        <f ca="1">INDEX(INDIRECT(zoneFichierTraite),$J71+offsetInitialFichierTraite,13)</f>
        <v>ice</v>
      </c>
      <c r="E71" s="35">
        <f ca="1">INDEX(INDIRECT(zoneFichierTraite),$J71+offsetInitialFichierTraite,7)</f>
        <v>2</v>
      </c>
      <c r="F71" s="33">
        <f ca="1">INDEX(INDIRECT(zoneFichierTraite),$J71+offsetInitialFichierTraite,8)</f>
        <v>14.4</v>
      </c>
      <c r="G71" s="34">
        <f t="shared" ref="G71" ca="1" si="63">ROUNDUP(F71*3,0)</f>
        <v>44</v>
      </c>
      <c r="H71" s="37" t="str">
        <f t="shared" ref="H71" ca="1" si="64">IF(ISNUMBER(N71),codeEAN13(INT(N71/10)),"")</f>
        <v>8APASOG*ajaafh+</v>
      </c>
      <c r="J71" s="18">
        <f t="shared" si="4"/>
        <v>31</v>
      </c>
      <c r="L71" s="7" t="str">
        <f ca="1">INDEX(INDIRECT(zoneFichierTraite),$J71+offsetInitialFichierTraite,1)</f>
        <v>'031</v>
      </c>
      <c r="M71" s="14">
        <f ca="1">INDEX(INDIRECT(zoneFichierTraite),$J71+offsetInitialFichierTraite,9)</f>
        <v>28.8</v>
      </c>
      <c r="N71" s="17">
        <f ca="1">INDEX(INDIRECT(zoneFichierTraite),$J71+offsetInitialFichierTraite,3)</f>
        <v>8050846090057</v>
      </c>
      <c r="O71" s="2" t="e">
        <f ca="1">MATCH(N71,INDIRECT(nomFichierEAN13Valmag &amp; "!A:A"),0)</f>
        <v>#N/A</v>
      </c>
      <c r="P71" s="2">
        <f ca="1">MATCH(R71,INDIRECT(nomFichierEAN13Valmag &amp; "!A:A"),0)</f>
        <v>7729</v>
      </c>
      <c r="Q71" s="2">
        <f ca="1">MATCH(LEFT(B71,14) &amp; "*",INDIRECT(nomFichierBaseCatalogue &amp; "!B:B"),0)</f>
        <v>407</v>
      </c>
      <c r="R71" s="17">
        <f ca="1">IFERROR(INDEX(INDIRECT(zoneFichierBaseCatalogue),Q71,1),"")</f>
        <v>8058333587646</v>
      </c>
      <c r="S71" s="2">
        <f ca="1">MATCH(B71,INDIRECT(nomFichierFiltreCatalogue &amp; "!B:B"),0)</f>
        <v>9</v>
      </c>
      <c r="T71" s="17"/>
    </row>
    <row r="72" spans="1:20" s="24" customFormat="1" ht="15.75" customHeight="1" x14ac:dyDescent="0.25">
      <c r="A72" s="30">
        <f ca="1">INDEX(INDIRECT(zoneFichierTraite),$J71+offsetInitialFichierTraite,2)</f>
        <v>64</v>
      </c>
      <c r="B72" s="29" t="str">
        <f ca="1">IFERROR(INDEX(INDIRECT(zoneFichierEAN13Valmag),$P71,3),"")</f>
        <v xml:space="preserve">OBODY           </v>
      </c>
      <c r="C72" s="22" t="str">
        <f ca="1">IFERROR(INDEX(INDIRECT(zoneFichierEAN13Valmag),$O71,3),"")</f>
        <v/>
      </c>
      <c r="D72" s="23" t="str">
        <f ca="1">IFERROR(INDEX(INDIRECT(zoneFichierEAN13Valmag),$O71,4),"")</f>
        <v/>
      </c>
      <c r="E72" s="38" t="str">
        <f ca="1">IFERROR(INDEX(INDIRECT(zoneFichierFiltreCatalogue),S71,3),"")</f>
        <v>p006-1-09</v>
      </c>
      <c r="F72" s="23"/>
      <c r="G72" s="21"/>
      <c r="H72" s="39" t="str">
        <f ca="1">IFERROR(INDEX(INDIRECT(zoneFichierFiltreCatalogue),S71,6),"")</f>
        <v>fall 2019 presentation_/catalogo fall 19.txt</v>
      </c>
      <c r="R72" s="25"/>
      <c r="S72" s="25"/>
    </row>
    <row r="73" spans="1:20" ht="39" customHeight="1" thickBot="1" x14ac:dyDescent="0.65">
      <c r="A73" s="11" t="str">
        <f ca="1">INDEX(INDIRECT(zoneFichierTraite),$J73+offsetInitialFichierTraite,6)</f>
        <v>UNICA</v>
      </c>
      <c r="B73" s="7" t="str">
        <f ca="1">INDEX(INDIRECT(zoneFichierTraite),$J73+offsetInitialFichierTraite,4)</f>
        <v>OBAGB002-EVS00-076</v>
      </c>
      <c r="C73" s="31" t="str">
        <f ca="1">INDEX(INDIRECT(zoneFichierTraite),$J73+offsetInitialFichierTraite,5)</f>
        <v>CORPS O BAG MINI EVA COMPOUND</v>
      </c>
      <c r="D73" s="32" t="str">
        <f ca="1">INDEX(INDIRECT(zoneFichierTraite),$J73+offsetInitialFichierTraite,13)</f>
        <v>rosso</v>
      </c>
      <c r="E73" s="35">
        <f ca="1">INDEX(INDIRECT(zoneFichierTraite),$J73+offsetInitialFichierTraite,7)</f>
        <v>2</v>
      </c>
      <c r="F73" s="33">
        <f ca="1">INDEX(INDIRECT(zoneFichierTraite),$J73+offsetInitialFichierTraite,8)</f>
        <v>14.4</v>
      </c>
      <c r="G73" s="34">
        <f t="shared" ref="G73" ca="1" si="65">ROUNDUP(F73*3,0)</f>
        <v>44</v>
      </c>
      <c r="H73" s="37" t="str">
        <f t="shared" ref="H73" ca="1" si="66">IF(ISNUMBER(N73),codeEAN13(INT(N73/10)),"")</f>
        <v>8APAOPA*cbfgce+</v>
      </c>
      <c r="J73" s="18">
        <f t="shared" si="4"/>
        <v>32</v>
      </c>
      <c r="L73" s="7" t="str">
        <f ca="1">INDEX(INDIRECT(zoneFichierTraite),$J73+offsetInitialFichierTraite,1)</f>
        <v>'032</v>
      </c>
      <c r="M73" s="14">
        <f ca="1">INDEX(INDIRECT(zoneFichierTraite),$J73+offsetInitialFichierTraite,9)</f>
        <v>28.8</v>
      </c>
      <c r="N73" s="17">
        <f ca="1">INDEX(INDIRECT(zoneFichierTraite),$J73+offsetInitialFichierTraite,3)</f>
        <v>8050450215624</v>
      </c>
      <c r="O73" s="2">
        <f ca="1">MATCH(N73,INDIRECT(nomFichierEAN13Valmag &amp; "!A:A"),0)</f>
        <v>7429</v>
      </c>
      <c r="P73" s="2">
        <f ca="1">MATCH(R73,INDIRECT(nomFichierEAN13Valmag &amp; "!A:A"),0)</f>
        <v>7323</v>
      </c>
      <c r="Q73" s="2">
        <f ca="1">MATCH(LEFT(B73,14) &amp; "*",INDIRECT(nomFichierBaseCatalogue &amp; "!B:B"),0)</f>
        <v>469</v>
      </c>
      <c r="R73" s="17">
        <f ca="1">IFERROR(INDEX(INDIRECT(zoneFichierBaseCatalogue),Q73,1),"")</f>
        <v>8058333587820</v>
      </c>
      <c r="S73" s="2">
        <f ca="1">MATCH(B73,INDIRECT(nomFichierFiltreCatalogue &amp; "!B:B"),0)</f>
        <v>17</v>
      </c>
      <c r="T73" s="17"/>
    </row>
    <row r="74" spans="1:20" s="24" customFormat="1" ht="15.75" customHeight="1" x14ac:dyDescent="0.25">
      <c r="A74" s="30">
        <f ca="1">INDEX(INDIRECT(zoneFichierTraite),$J73+offsetInitialFichierTraite,2)</f>
        <v>58</v>
      </c>
      <c r="B74" s="29" t="str">
        <f ca="1">IFERROR(INDEX(INDIRECT(zoneFichierEAN13Valmag),$P73,3),"")</f>
        <v xml:space="preserve">MINIOBODY       </v>
      </c>
      <c r="C74" s="22" t="str">
        <f ca="1">IFERROR(INDEX(INDIRECT(zoneFichierEAN13Valmag),$O73,3),"")</f>
        <v xml:space="preserve">MINIOBODY       </v>
      </c>
      <c r="D74" s="23" t="str">
        <f ca="1">IFERROR(INDEX(INDIRECT(zoneFichierEAN13Valmag),$O73,4),"")</f>
        <v xml:space="preserve">RED  </v>
      </c>
      <c r="E74" s="38" t="str">
        <f ca="1">IFERROR(INDEX(INDIRECT(zoneFichierFiltreCatalogue),S73,3),"")</f>
        <v>p008-1-02</v>
      </c>
      <c r="F74" s="23"/>
      <c r="G74" s="21"/>
      <c r="H74" s="39" t="str">
        <f ca="1">IFERROR(INDEX(INDIRECT(zoneFichierFiltreCatalogue),S73,6),"")</f>
        <v>fall 2019 presentation_/catalogo fall 19.txt</v>
      </c>
      <c r="R74" s="25"/>
      <c r="S74" s="25"/>
    </row>
    <row r="75" spans="1:20" ht="39" customHeight="1" thickBot="1" x14ac:dyDescent="0.65">
      <c r="A75" s="11" t="str">
        <f ca="1">INDEX(INDIRECT(zoneFichierTraite),$J75+offsetInitialFichierTraite,6)</f>
        <v>UNICA</v>
      </c>
      <c r="B75" s="7" t="str">
        <f ca="1">INDEX(INDIRECT(zoneFichierTraite),$J75+offsetInitialFichierTraite,4)</f>
        <v>OBAGB002-EVS00-132</v>
      </c>
      <c r="C75" s="31" t="str">
        <f ca="1">INDEX(INDIRECT(zoneFichierTraite),$J75+offsetInitialFichierTraite,5)</f>
        <v>CORPS O BAG MINI EVA COMPOUND</v>
      </c>
      <c r="D75" s="32" t="str">
        <f ca="1">INDEX(INDIRECT(zoneFichierTraite),$J75+offsetInitialFichierTraite,13)</f>
        <v>biscotto</v>
      </c>
      <c r="E75" s="35">
        <f ca="1">INDEX(INDIRECT(zoneFichierTraite),$J75+offsetInitialFichierTraite,7)</f>
        <v>2</v>
      </c>
      <c r="F75" s="33">
        <f ca="1">INDEX(INDIRECT(zoneFichierTraite),$J75+offsetInitialFichierTraite,8)</f>
        <v>14.4</v>
      </c>
      <c r="G75" s="34">
        <f t="shared" ref="G75" ca="1" si="67">ROUNDUP(F75*3,0)</f>
        <v>44</v>
      </c>
      <c r="H75" s="37" t="str">
        <f t="shared" ref="H75" ca="1" si="68">IF(ISNUMBER(N75),codeEAN13(INT(N75/10)),"")</f>
        <v>8APASOG*aiddih+</v>
      </c>
      <c r="J75" s="18">
        <f t="shared" ref="J75:J137" si="69">J73+1</f>
        <v>33</v>
      </c>
      <c r="L75" s="7" t="str">
        <f ca="1">INDEX(INDIRECT(zoneFichierTraite),$J75+offsetInitialFichierTraite,1)</f>
        <v>'033</v>
      </c>
      <c r="M75" s="14">
        <f ca="1">INDEX(INDIRECT(zoneFichierTraite),$J75+offsetInitialFichierTraite,9)</f>
        <v>28.8</v>
      </c>
      <c r="N75" s="17">
        <f ca="1">INDEX(INDIRECT(zoneFichierTraite),$J75+offsetInitialFichierTraite,3)</f>
        <v>8050846083387</v>
      </c>
      <c r="O75" s="2" t="e">
        <f ca="1">MATCH(N75,INDIRECT(nomFichierEAN13Valmag &amp; "!A:A"),0)</f>
        <v>#N/A</v>
      </c>
      <c r="P75" s="2">
        <f ca="1">MATCH(R75,INDIRECT(nomFichierEAN13Valmag &amp; "!A:A"),0)</f>
        <v>7323</v>
      </c>
      <c r="Q75" s="2">
        <f ca="1">MATCH(LEFT(B75,14) &amp; "*",INDIRECT(nomFichierBaseCatalogue &amp; "!B:B"),0)</f>
        <v>469</v>
      </c>
      <c r="R75" s="17">
        <f ca="1">IFERROR(INDEX(INDIRECT(zoneFichierBaseCatalogue),Q75,1),"")</f>
        <v>8058333587820</v>
      </c>
      <c r="S75" s="2">
        <f ca="1">MATCH(B75,INDIRECT(nomFichierFiltreCatalogue &amp; "!B:B"),0)</f>
        <v>18</v>
      </c>
      <c r="T75" s="17"/>
    </row>
    <row r="76" spans="1:20" s="24" customFormat="1" ht="15.75" customHeight="1" x14ac:dyDescent="0.25">
      <c r="A76" s="30">
        <f ca="1">INDEX(INDIRECT(zoneFichierTraite),$J75+offsetInitialFichierTraite,2)</f>
        <v>153</v>
      </c>
      <c r="B76" s="29" t="str">
        <f ca="1">IFERROR(INDEX(INDIRECT(zoneFichierEAN13Valmag),$P75,3),"")</f>
        <v xml:space="preserve">MINIOBODY       </v>
      </c>
      <c r="C76" s="22" t="str">
        <f ca="1">IFERROR(INDEX(INDIRECT(zoneFichierEAN13Valmag),$O75,3),"")</f>
        <v/>
      </c>
      <c r="D76" s="23" t="str">
        <f ca="1">IFERROR(INDEX(INDIRECT(zoneFichierEAN13Valmag),$O75,4),"")</f>
        <v/>
      </c>
      <c r="E76" s="38" t="str">
        <f ca="1">IFERROR(INDEX(INDIRECT(zoneFichierFiltreCatalogue),S75,3),"")</f>
        <v>p008-1-03</v>
      </c>
      <c r="F76" s="23"/>
      <c r="G76" s="21"/>
      <c r="H76" s="39" t="str">
        <f ca="1">IFERROR(INDEX(INDIRECT(zoneFichierFiltreCatalogue),S75,6),"")</f>
        <v>fall 2019 presentation_/catalogo fall 19.txt</v>
      </c>
      <c r="R76" s="25"/>
      <c r="S76" s="25"/>
    </row>
    <row r="77" spans="1:20" ht="39" customHeight="1" thickBot="1" x14ac:dyDescent="0.65">
      <c r="A77" s="11" t="str">
        <f ca="1">INDEX(INDIRECT(zoneFichierTraite),$J77+offsetInitialFichierTraite,6)</f>
        <v>UNICA</v>
      </c>
      <c r="B77" s="7" t="str">
        <f ca="1">INDEX(INDIRECT(zoneFichierTraite),$J77+offsetInitialFichierTraite,4)</f>
        <v>OBAGB002-EVS00-614</v>
      </c>
      <c r="C77" s="31" t="str">
        <f ca="1">INDEX(INDIRECT(zoneFichierTraite),$J77+offsetInitialFichierTraite,5)</f>
        <v>CORPS O BAG MINI EVA COMPOUND</v>
      </c>
      <c r="D77" s="32" t="str">
        <f ca="1">INDEX(INDIRECT(zoneFichierTraite),$J77+offsetInitialFichierTraite,13)</f>
        <v>imperial blu</v>
      </c>
      <c r="E77" s="35">
        <f ca="1">INDEX(INDIRECT(zoneFichierTraite),$J77+offsetInitialFichierTraite,7)</f>
        <v>2</v>
      </c>
      <c r="F77" s="33">
        <f ca="1">INDEX(INDIRECT(zoneFichierTraite),$J77+offsetInitialFichierTraite,8)</f>
        <v>14.4</v>
      </c>
      <c r="G77" s="34">
        <f t="shared" ref="G77" ca="1" si="70">ROUNDUP(F77*3,0)</f>
        <v>44</v>
      </c>
      <c r="H77" s="37" t="str">
        <f t="shared" ref="H77" ca="1" si="71">IF(ISNUMBER(N77),codeEAN13(INT(N77/10)),"")</f>
        <v>8APASOG*ajahed+</v>
      </c>
      <c r="J77" s="18">
        <f t="shared" si="69"/>
        <v>34</v>
      </c>
      <c r="L77" s="7" t="str">
        <f ca="1">INDEX(INDIRECT(zoneFichierTraite),$J77+offsetInitialFichierTraite,1)</f>
        <v>'034</v>
      </c>
      <c r="M77" s="14">
        <f ca="1">INDEX(INDIRECT(zoneFichierTraite),$J77+offsetInitialFichierTraite,9)</f>
        <v>28.8</v>
      </c>
      <c r="N77" s="17">
        <f ca="1">INDEX(INDIRECT(zoneFichierTraite),$J77+offsetInitialFichierTraite,3)</f>
        <v>8050846090743</v>
      </c>
      <c r="O77" s="2" t="e">
        <f ca="1">MATCH(N77,INDIRECT(nomFichierEAN13Valmag &amp; "!A:A"),0)</f>
        <v>#N/A</v>
      </c>
      <c r="P77" s="2">
        <f ca="1">MATCH(R77,INDIRECT(nomFichierEAN13Valmag &amp; "!A:A"),0)</f>
        <v>7323</v>
      </c>
      <c r="Q77" s="2">
        <f ca="1">MATCH(LEFT(B77,14) &amp; "*",INDIRECT(nomFichierBaseCatalogue &amp; "!B:B"),0)</f>
        <v>469</v>
      </c>
      <c r="R77" s="17">
        <f ca="1">IFERROR(INDEX(INDIRECT(zoneFichierBaseCatalogue),Q77,1),"")</f>
        <v>8058333587820</v>
      </c>
      <c r="S77" s="2">
        <f ca="1">MATCH(B77,INDIRECT(nomFichierFiltreCatalogue &amp; "!B:B"),0)</f>
        <v>23</v>
      </c>
      <c r="T77" s="17"/>
    </row>
    <row r="78" spans="1:20" s="24" customFormat="1" ht="15.75" customHeight="1" x14ac:dyDescent="0.25">
      <c r="A78" s="30">
        <f ca="1">INDEX(INDIRECT(zoneFichierTraite),$J77+offsetInitialFichierTraite,2)</f>
        <v>116</v>
      </c>
      <c r="B78" s="29" t="str">
        <f ca="1">IFERROR(INDEX(INDIRECT(zoneFichierEAN13Valmag),$P77,3),"")</f>
        <v xml:space="preserve">MINIOBODY       </v>
      </c>
      <c r="C78" s="22" t="str">
        <f ca="1">IFERROR(INDEX(INDIRECT(zoneFichierEAN13Valmag),$O77,3),"")</f>
        <v/>
      </c>
      <c r="D78" s="23" t="str">
        <f ca="1">IFERROR(INDEX(INDIRECT(zoneFichierEAN13Valmag),$O77,4),"")</f>
        <v/>
      </c>
      <c r="E78" s="38" t="str">
        <f ca="1">IFERROR(INDEX(INDIRECT(zoneFichierFiltreCatalogue),S77,3),"")</f>
        <v>p008-1-08</v>
      </c>
      <c r="F78" s="23"/>
      <c r="G78" s="21"/>
      <c r="H78" s="39" t="str">
        <f ca="1">IFERROR(INDEX(INDIRECT(zoneFichierFiltreCatalogue),S77,6),"")</f>
        <v>fall 2019 presentation_/catalogo fall 19.txt</v>
      </c>
      <c r="R78" s="25"/>
      <c r="S78" s="25"/>
    </row>
    <row r="79" spans="1:20" ht="39" customHeight="1" thickBot="1" x14ac:dyDescent="0.65">
      <c r="A79" s="11" t="str">
        <f ca="1">INDEX(INDIRECT(zoneFichierTraite),$J79+offsetInitialFichierTraite,6)</f>
        <v>UNICA</v>
      </c>
      <c r="B79" s="7" t="str">
        <f ca="1">INDEX(INDIRECT(zoneFichierTraite),$J79+offsetInitialFichierTraite,4)</f>
        <v>OBAGB002-EVS00-615</v>
      </c>
      <c r="C79" s="31" t="str">
        <f ca="1">INDEX(INDIRECT(zoneFichierTraite),$J79+offsetInitialFichierTraite,5)</f>
        <v>CORPS O BAG MINI EVA COMPOUND</v>
      </c>
      <c r="D79" s="32" t="str">
        <f ca="1">INDEX(INDIRECT(zoneFichierTraite),$J79+offsetInitialFichierTraite,13)</f>
        <v>military</v>
      </c>
      <c r="E79" s="35">
        <f ca="1">INDEX(INDIRECT(zoneFichierTraite),$J79+offsetInitialFichierTraite,7)</f>
        <v>2</v>
      </c>
      <c r="F79" s="33">
        <f ca="1">INDEX(INDIRECT(zoneFichierTraite),$J79+offsetInitialFichierTraite,8)</f>
        <v>14.4</v>
      </c>
      <c r="G79" s="34">
        <f t="shared" ref="G79" ca="1" si="72">ROUNDUP(F79*3,0)</f>
        <v>44</v>
      </c>
      <c r="H79" s="37" t="str">
        <f t="shared" ref="H79" ca="1" si="73">IF(ISNUMBER(N79),codeEAN13(INT(N79/10)),"")</f>
        <v>8APASOG*ajahed+</v>
      </c>
      <c r="J79" s="18">
        <f t="shared" si="69"/>
        <v>35</v>
      </c>
      <c r="L79" s="7" t="str">
        <f ca="1">INDEX(INDIRECT(zoneFichierTraite),$J79+offsetInitialFichierTraite,1)</f>
        <v>'035</v>
      </c>
      <c r="M79" s="14">
        <f ca="1">INDEX(INDIRECT(zoneFichierTraite),$J79+offsetInitialFichierTraite,9)</f>
        <v>28.8</v>
      </c>
      <c r="N79" s="17">
        <f ca="1">INDEX(INDIRECT(zoneFichierTraite),$J79+offsetInitialFichierTraite,3)</f>
        <v>8050846090743</v>
      </c>
      <c r="O79" s="2" t="e">
        <f ca="1">MATCH(N79,INDIRECT(nomFichierEAN13Valmag &amp; "!A:A"),0)</f>
        <v>#N/A</v>
      </c>
      <c r="P79" s="2">
        <f ca="1">MATCH(R79,INDIRECT(nomFichierEAN13Valmag &amp; "!A:A"),0)</f>
        <v>7323</v>
      </c>
      <c r="Q79" s="2">
        <f ca="1">MATCH(LEFT(B79,14) &amp; "*",INDIRECT(nomFichierBaseCatalogue &amp; "!B:B"),0)</f>
        <v>469</v>
      </c>
      <c r="R79" s="17">
        <f ca="1">IFERROR(INDEX(INDIRECT(zoneFichierBaseCatalogue),Q79,1),"")</f>
        <v>8058333587820</v>
      </c>
      <c r="S79" s="2">
        <f ca="1">MATCH(B79,INDIRECT(nomFichierFiltreCatalogue &amp; "!B:B"),0)</f>
        <v>20</v>
      </c>
      <c r="T79" s="17"/>
    </row>
    <row r="80" spans="1:20" s="24" customFormat="1" ht="15.75" customHeight="1" x14ac:dyDescent="0.25">
      <c r="A80" s="30">
        <f ca="1">INDEX(INDIRECT(zoneFichierTraite),$J79+offsetInitialFichierTraite,2)</f>
        <v>205</v>
      </c>
      <c r="B80" s="29" t="str">
        <f ca="1">IFERROR(INDEX(INDIRECT(zoneFichierEAN13Valmag),$P79,3),"")</f>
        <v xml:space="preserve">MINIOBODY       </v>
      </c>
      <c r="C80" s="22" t="str">
        <f ca="1">IFERROR(INDEX(INDIRECT(zoneFichierEAN13Valmag),$O79,3),"")</f>
        <v/>
      </c>
      <c r="D80" s="23" t="str">
        <f ca="1">IFERROR(INDEX(INDIRECT(zoneFichierEAN13Valmag),$O79,4),"")</f>
        <v/>
      </c>
      <c r="E80" s="38" t="str">
        <f ca="1">IFERROR(INDEX(INDIRECT(zoneFichierFiltreCatalogue),S79,3),"")</f>
        <v>p008-1-05</v>
      </c>
      <c r="F80" s="23"/>
      <c r="G80" s="21"/>
      <c r="H80" s="39" t="str">
        <f ca="1">IFERROR(INDEX(INDIRECT(zoneFichierFiltreCatalogue),S79,6),"")</f>
        <v>fall 2019 presentation_/catalogo fall 19.txt</v>
      </c>
      <c r="R80" s="25"/>
      <c r="S80" s="25"/>
    </row>
    <row r="81" spans="1:20" ht="39" customHeight="1" thickBot="1" x14ac:dyDescent="0.65">
      <c r="A81" s="11" t="str">
        <f ca="1">INDEX(INDIRECT(zoneFichierTraite),$J81+offsetInitialFichierTraite,6)</f>
        <v>UNICA</v>
      </c>
      <c r="B81" s="7" t="str">
        <f ca="1">INDEX(INDIRECT(zoneFichierTraite),$J81+offsetInitialFichierTraite,4)</f>
        <v>OBAGB002-EVS00-616</v>
      </c>
      <c r="C81" s="31" t="str">
        <f ca="1">INDEX(INDIRECT(zoneFichierTraite),$J81+offsetInitialFichierTraite,5)</f>
        <v>CORPS O BAG MINI EVA COMPOUND</v>
      </c>
      <c r="D81" s="32" t="str">
        <f ca="1">INDEX(INDIRECT(zoneFichierTraite),$J81+offsetInitialFichierTraite,13)</f>
        <v>ice</v>
      </c>
      <c r="E81" s="35">
        <f ca="1">INDEX(INDIRECT(zoneFichierTraite),$J81+offsetInitialFichierTraite,7)</f>
        <v>2</v>
      </c>
      <c r="F81" s="33">
        <f ca="1">INDEX(INDIRECT(zoneFichierTraite),$J81+offsetInitialFichierTraite,8)</f>
        <v>14.4</v>
      </c>
      <c r="G81" s="34">
        <f t="shared" ref="G81" ca="1" si="74">ROUNDUP(F81*3,0)</f>
        <v>44</v>
      </c>
      <c r="H81" s="37" t="str">
        <f t="shared" ref="H81" ca="1" si="75">IF(ISNUMBER(N81),codeEAN13(INT(N81/10)),"")</f>
        <v>8APAOPA*cbfgce+</v>
      </c>
      <c r="J81" s="18">
        <f t="shared" si="69"/>
        <v>36</v>
      </c>
      <c r="L81" s="7" t="str">
        <f ca="1">INDEX(INDIRECT(zoneFichierTraite),$J81+offsetInitialFichierTraite,1)</f>
        <v>'036</v>
      </c>
      <c r="M81" s="14">
        <f ca="1">INDEX(INDIRECT(zoneFichierTraite),$J81+offsetInitialFichierTraite,9)</f>
        <v>28.8</v>
      </c>
      <c r="N81" s="17">
        <f ca="1">INDEX(INDIRECT(zoneFichierTraite),$J81+offsetInitialFichierTraite,3)</f>
        <v>8050450215624</v>
      </c>
      <c r="O81" s="2">
        <f ca="1">MATCH(N81,INDIRECT(nomFichierEAN13Valmag &amp; "!A:A"),0)</f>
        <v>7429</v>
      </c>
      <c r="P81" s="2">
        <f ca="1">MATCH(R81,INDIRECT(nomFichierEAN13Valmag &amp; "!A:A"),0)</f>
        <v>7323</v>
      </c>
      <c r="Q81" s="2">
        <f ca="1">MATCH(LEFT(B81,14) &amp; "*",INDIRECT(nomFichierBaseCatalogue &amp; "!B:B"),0)</f>
        <v>469</v>
      </c>
      <c r="R81" s="17">
        <f ca="1">IFERROR(INDEX(INDIRECT(zoneFichierBaseCatalogue),Q81,1),"")</f>
        <v>8058333587820</v>
      </c>
      <c r="S81" s="2">
        <f ca="1">MATCH(B81,INDIRECT(nomFichierFiltreCatalogue &amp; "!B:B"),0)</f>
        <v>22</v>
      </c>
      <c r="T81" s="17"/>
    </row>
    <row r="82" spans="1:20" s="24" customFormat="1" ht="15.75" customHeight="1" x14ac:dyDescent="0.25">
      <c r="A82" s="30">
        <f ca="1">INDEX(INDIRECT(zoneFichierTraite),$J81+offsetInitialFichierTraite,2)</f>
        <v>49</v>
      </c>
      <c r="B82" s="29" t="str">
        <f ca="1">IFERROR(INDEX(INDIRECT(zoneFichierEAN13Valmag),$P81,3),"")</f>
        <v xml:space="preserve">MINIOBODY       </v>
      </c>
      <c r="C82" s="22" t="str">
        <f ca="1">IFERROR(INDEX(INDIRECT(zoneFichierEAN13Valmag),$O81,3),"")</f>
        <v xml:space="preserve">MINIOBODY       </v>
      </c>
      <c r="D82" s="23" t="str">
        <f ca="1">IFERROR(INDEX(INDIRECT(zoneFichierEAN13Valmag),$O81,4),"")</f>
        <v xml:space="preserve">RED  </v>
      </c>
      <c r="E82" s="38" t="str">
        <f ca="1">IFERROR(INDEX(INDIRECT(zoneFichierFiltreCatalogue),S81,3),"")</f>
        <v>p008-1-07</v>
      </c>
      <c r="F82" s="23"/>
      <c r="G82" s="21"/>
      <c r="H82" s="39" t="str">
        <f ca="1">IFERROR(INDEX(INDIRECT(zoneFichierFiltreCatalogue),S81,6),"")</f>
        <v>fall 2019 presentation_/catalogo fall 19.txt</v>
      </c>
      <c r="R82" s="25"/>
      <c r="S82" s="25"/>
    </row>
    <row r="83" spans="1:20" ht="39" customHeight="1" thickBot="1" x14ac:dyDescent="0.65">
      <c r="A83" s="11" t="str">
        <f ca="1">INDEX(INDIRECT(zoneFichierTraite),$J83+offsetInitialFichierTraite,6)</f>
        <v>UNICA</v>
      </c>
      <c r="B83" s="7" t="str">
        <f ca="1">INDEX(INDIRECT(zoneFichierTraite),$J83+offsetInitialFichierTraite,4)</f>
        <v>OBAGB002-EVS18-055</v>
      </c>
      <c r="C83" s="31" t="str">
        <f ca="1">INDEX(INDIRECT(zoneFichierTraite),$J83+offsetInitialFichierTraite,5)</f>
        <v>CORPS O BAG MINI EVA COMPOUND TEXTURE Ã€ CHEVRONS</v>
      </c>
      <c r="D83" s="32" t="str">
        <f ca="1">INDEX(INDIRECT(zoneFichierTraite),$J83+offsetInitialFichierTraite,13)</f>
        <v>nero</v>
      </c>
      <c r="E83" s="35">
        <f ca="1">INDEX(INDIRECT(zoneFichierTraite),$J83+offsetInitialFichierTraite,7)</f>
        <v>2</v>
      </c>
      <c r="F83" s="33">
        <f ca="1">INDEX(INDIRECT(zoneFichierTraite),$J83+offsetInitialFichierTraite,8)</f>
        <v>15.6</v>
      </c>
      <c r="G83" s="34">
        <f t="shared" ref="G83" ca="1" si="76">ROUNDUP(F83*3,0)</f>
        <v>47</v>
      </c>
      <c r="H83" s="37" t="str">
        <f t="shared" ref="H83" ca="1" si="77">IF(ISNUMBER(N83),codeEAN13(INT(N83/10)),"")</f>
        <v>8APASOG*aaddbg+</v>
      </c>
      <c r="J83" s="18">
        <f t="shared" si="69"/>
        <v>37</v>
      </c>
      <c r="L83" s="7" t="str">
        <f ca="1">INDEX(INDIRECT(zoneFichierTraite),$J83+offsetInitialFichierTraite,1)</f>
        <v>'037</v>
      </c>
      <c r="M83" s="14">
        <f ca="1">INDEX(INDIRECT(zoneFichierTraite),$J83+offsetInitialFichierTraite,9)</f>
        <v>31.2</v>
      </c>
      <c r="N83" s="17">
        <f ca="1">INDEX(INDIRECT(zoneFichierTraite),$J83+offsetInitialFichierTraite,3)</f>
        <v>8050846003316</v>
      </c>
      <c r="O83" s="2">
        <f ca="1">MATCH(N83,INDIRECT(nomFichierEAN13Valmag &amp; "!A:A"),0)</f>
        <v>7510</v>
      </c>
      <c r="P83" s="2">
        <f ca="1">MATCH(R83,INDIRECT(nomFichierEAN13Valmag &amp; "!A:A"),0)</f>
        <v>7510</v>
      </c>
      <c r="Q83" s="2">
        <f ca="1">MATCH(LEFT(B83,14) &amp; "*",INDIRECT(nomFichierBaseCatalogue &amp; "!B:B"),0)</f>
        <v>540</v>
      </c>
      <c r="R83" s="17">
        <f ca="1">IFERROR(INDEX(INDIRECT(zoneFichierBaseCatalogue),Q83,1),"")</f>
        <v>8050846003316</v>
      </c>
      <c r="S83" s="2">
        <f ca="1">MATCH(B83,INDIRECT(nomFichierFiltreCatalogue &amp; "!B:B"),0)</f>
        <v>30</v>
      </c>
      <c r="T83" s="17"/>
    </row>
    <row r="84" spans="1:20" s="24" customFormat="1" ht="15.75" customHeight="1" x14ac:dyDescent="0.25">
      <c r="A84" s="30">
        <f ca="1">INDEX(INDIRECT(zoneFichierTraite),$J83+offsetInitialFichierTraite,2)</f>
        <v>163</v>
      </c>
      <c r="B84" s="29" t="str">
        <f ca="1">IFERROR(INDEX(INDIRECT(zoneFichierEAN13Valmag),$P83,3),"")</f>
        <v>MINIOBODYCHEVRON</v>
      </c>
      <c r="C84" s="22" t="str">
        <f ca="1">IFERROR(INDEX(INDIRECT(zoneFichierEAN13Valmag),$O83,3),"")</f>
        <v>MINIOBODYCHEVRON</v>
      </c>
      <c r="D84" s="23" t="str">
        <f ca="1">IFERROR(INDEX(INDIRECT(zoneFichierEAN13Valmag),$O83,4),"")</f>
        <v>BLACK</v>
      </c>
      <c r="E84" s="38" t="str">
        <f ca="1">IFERROR(INDEX(INDIRECT(zoneFichierFiltreCatalogue),S83,3),"")</f>
        <v>p010-1-01</v>
      </c>
      <c r="F84" s="23"/>
      <c r="G84" s="21"/>
      <c r="H84" s="39" t="str">
        <f ca="1">IFERROR(INDEX(INDIRECT(zoneFichierFiltreCatalogue),S83,6),"")</f>
        <v>fall 2019 presentation_/catalogo fall 19.txt</v>
      </c>
      <c r="R84" s="25"/>
      <c r="S84" s="25"/>
    </row>
    <row r="85" spans="1:20" ht="39" customHeight="1" thickBot="1" x14ac:dyDescent="0.65">
      <c r="A85" s="11" t="str">
        <f ca="1">INDEX(INDIRECT(zoneFichierTraite),$J85+offsetInitialFichierTraite,6)</f>
        <v>UNICA</v>
      </c>
      <c r="B85" s="7" t="str">
        <f ca="1">INDEX(INDIRECT(zoneFichierTraite),$J85+offsetInitialFichierTraite,4)</f>
        <v>OBAGB002-EVS18-067</v>
      </c>
      <c r="C85" s="31" t="str">
        <f ca="1">INDEX(INDIRECT(zoneFichierTraite),$J85+offsetInitialFichierTraite,5)</f>
        <v>CORPS O BAG MINI EVA COMPOUND TEXTURE Ã€ CHEVRONS</v>
      </c>
      <c r="D85" s="32" t="str">
        <f ca="1">INDEX(INDIRECT(zoneFichierTraite),$J85+offsetInitialFichierTraite,13)</f>
        <v>phard</v>
      </c>
      <c r="E85" s="35">
        <f ca="1">INDEX(INDIRECT(zoneFichierTraite),$J85+offsetInitialFichierTraite,7)</f>
        <v>2</v>
      </c>
      <c r="F85" s="33">
        <f ca="1">INDEX(INDIRECT(zoneFichierTraite),$J85+offsetInitialFichierTraite,8)</f>
        <v>15.6</v>
      </c>
      <c r="G85" s="34">
        <f t="shared" ref="G85" ca="1" si="78">ROUNDUP(F85*3,0)</f>
        <v>47</v>
      </c>
      <c r="H85" s="37" t="str">
        <f t="shared" ref="H85" ca="1" si="79">IF(ISNUMBER(N85),codeEAN13(INT(N85/10)),"")</f>
        <v>8APASOG*ajejcf+</v>
      </c>
      <c r="J85" s="18">
        <f t="shared" si="69"/>
        <v>38</v>
      </c>
      <c r="L85" s="7" t="str">
        <f ca="1">INDEX(INDIRECT(zoneFichierTraite),$J85+offsetInitialFichierTraite,1)</f>
        <v>'038</v>
      </c>
      <c r="M85" s="14">
        <f ca="1">INDEX(INDIRECT(zoneFichierTraite),$J85+offsetInitialFichierTraite,9)</f>
        <v>31.2</v>
      </c>
      <c r="N85" s="17">
        <f ca="1">INDEX(INDIRECT(zoneFichierTraite),$J85+offsetInitialFichierTraite,3)</f>
        <v>8050846094925</v>
      </c>
      <c r="O85" s="2" t="e">
        <f ca="1">MATCH(N85,INDIRECT(nomFichierEAN13Valmag &amp; "!A:A"),0)</f>
        <v>#N/A</v>
      </c>
      <c r="P85" s="2">
        <f ca="1">MATCH(R85,INDIRECT(nomFichierEAN13Valmag &amp; "!A:A"),0)</f>
        <v>7510</v>
      </c>
      <c r="Q85" s="2">
        <f ca="1">MATCH(LEFT(B85,14) &amp; "*",INDIRECT(nomFichierBaseCatalogue &amp; "!B:B"),0)</f>
        <v>540</v>
      </c>
      <c r="R85" s="17">
        <f ca="1">IFERROR(INDEX(INDIRECT(zoneFichierBaseCatalogue),Q85,1),"")</f>
        <v>8050846003316</v>
      </c>
      <c r="S85" s="2">
        <f ca="1">MATCH(B85,INDIRECT(nomFichierFiltreCatalogue &amp; "!B:B"),0)</f>
        <v>32</v>
      </c>
      <c r="T85" s="17"/>
    </row>
    <row r="86" spans="1:20" s="24" customFormat="1" ht="15.75" customHeight="1" x14ac:dyDescent="0.25">
      <c r="A86" s="30">
        <f ca="1">INDEX(INDIRECT(zoneFichierTraite),$J85+offsetInitialFichierTraite,2)</f>
        <v>209</v>
      </c>
      <c r="B86" s="29" t="str">
        <f ca="1">IFERROR(INDEX(INDIRECT(zoneFichierEAN13Valmag),$P85,3),"")</f>
        <v>MINIOBODYCHEVRON</v>
      </c>
      <c r="C86" s="22" t="str">
        <f ca="1">IFERROR(INDEX(INDIRECT(zoneFichierEAN13Valmag),$O85,3),"")</f>
        <v/>
      </c>
      <c r="D86" s="23" t="str">
        <f ca="1">IFERROR(INDEX(INDIRECT(zoneFichierEAN13Valmag),$O85,4),"")</f>
        <v/>
      </c>
      <c r="E86" s="38" t="str">
        <f ca="1">IFERROR(INDEX(INDIRECT(zoneFichierFiltreCatalogue),S85,3),"")</f>
        <v>p010-1-03</v>
      </c>
      <c r="F86" s="23"/>
      <c r="G86" s="21"/>
      <c r="H86" s="39" t="str">
        <f ca="1">IFERROR(INDEX(INDIRECT(zoneFichierFiltreCatalogue),S85,6),"")</f>
        <v>fall 2019 presentation_/catalogo fall 19.txt</v>
      </c>
      <c r="R86" s="25"/>
      <c r="S86" s="25"/>
    </row>
    <row r="87" spans="1:20" ht="39" customHeight="1" thickBot="1" x14ac:dyDescent="0.65">
      <c r="A87" s="11" t="str">
        <f ca="1">INDEX(INDIRECT(zoneFichierTraite),$J87+offsetInitialFichierTraite,6)</f>
        <v>UNICA</v>
      </c>
      <c r="B87" s="7" t="str">
        <f ca="1">INDEX(INDIRECT(zoneFichierTraite),$J87+offsetInitialFichierTraite,4)</f>
        <v>OBAGB002-EVS18-078</v>
      </c>
      <c r="C87" s="31" t="str">
        <f ca="1">INDEX(INDIRECT(zoneFichierTraite),$J87+offsetInitialFichierTraite,5)</f>
        <v>CORPS O BAG MINI EVA COMPOUND TEXTURE Ã€ CHEVRONS</v>
      </c>
      <c r="D87" s="32" t="str">
        <f ca="1">INDEX(INDIRECT(zoneFichierTraite),$J87+offsetInitialFichierTraite,13)</f>
        <v>sabbia</v>
      </c>
      <c r="E87" s="35">
        <f ca="1">INDEX(INDIRECT(zoneFichierTraite),$J87+offsetInitialFichierTraite,7)</f>
        <v>2</v>
      </c>
      <c r="F87" s="33">
        <f ca="1">INDEX(INDIRECT(zoneFichierTraite),$J87+offsetInitialFichierTraite,8)</f>
        <v>15.6</v>
      </c>
      <c r="G87" s="34">
        <f t="shared" ref="G87" ca="1" si="80">ROUNDUP(F87*3,0)</f>
        <v>47</v>
      </c>
      <c r="H87" s="37" t="str">
        <f t="shared" ref="H87" ca="1" si="81">IF(ISNUMBER(N87),codeEAN13(INT(N87/10)),"")</f>
        <v>8APASOG*ajjgif+</v>
      </c>
      <c r="J87" s="18">
        <f t="shared" si="69"/>
        <v>39</v>
      </c>
      <c r="L87" s="7" t="str">
        <f ca="1">INDEX(INDIRECT(zoneFichierTraite),$J87+offsetInitialFichierTraite,1)</f>
        <v>'039</v>
      </c>
      <c r="M87" s="14">
        <f ca="1">INDEX(INDIRECT(zoneFichierTraite),$J87+offsetInitialFichierTraite,9)</f>
        <v>31.2</v>
      </c>
      <c r="N87" s="17">
        <f ca="1">INDEX(INDIRECT(zoneFichierTraite),$J87+offsetInitialFichierTraite,3)</f>
        <v>8050846099685</v>
      </c>
      <c r="O87" s="2" t="e">
        <f ca="1">MATCH(N87,INDIRECT(nomFichierEAN13Valmag &amp; "!A:A"),0)</f>
        <v>#N/A</v>
      </c>
      <c r="P87" s="2">
        <f ca="1">MATCH(R87,INDIRECT(nomFichierEAN13Valmag &amp; "!A:A"),0)</f>
        <v>7510</v>
      </c>
      <c r="Q87" s="2">
        <f ca="1">MATCH(LEFT(B87,14) &amp; "*",INDIRECT(nomFichierBaseCatalogue &amp; "!B:B"),0)</f>
        <v>540</v>
      </c>
      <c r="R87" s="17">
        <f ca="1">IFERROR(INDEX(INDIRECT(zoneFichierBaseCatalogue),Q87,1),"")</f>
        <v>8050846003316</v>
      </c>
      <c r="S87" s="2">
        <f ca="1">MATCH(B87,INDIRECT(nomFichierFiltreCatalogue &amp; "!B:B"),0)</f>
        <v>35</v>
      </c>
      <c r="T87" s="17"/>
    </row>
    <row r="88" spans="1:20" s="24" customFormat="1" ht="15.75" customHeight="1" x14ac:dyDescent="0.25">
      <c r="A88" s="30">
        <f ca="1">INDEX(INDIRECT(zoneFichierTraite),$J87+offsetInitialFichierTraite,2)</f>
        <v>133</v>
      </c>
      <c r="B88" s="29" t="str">
        <f ca="1">IFERROR(INDEX(INDIRECT(zoneFichierEAN13Valmag),$P87,3),"")</f>
        <v>MINIOBODYCHEVRON</v>
      </c>
      <c r="C88" s="22" t="str">
        <f ca="1">IFERROR(INDEX(INDIRECT(zoneFichierEAN13Valmag),$O87,3),"")</f>
        <v/>
      </c>
      <c r="D88" s="23" t="str">
        <f ca="1">IFERROR(INDEX(INDIRECT(zoneFichierEAN13Valmag),$O87,4),"")</f>
        <v/>
      </c>
      <c r="E88" s="38" t="str">
        <f ca="1">IFERROR(INDEX(INDIRECT(zoneFichierFiltreCatalogue),S87,3),"")</f>
        <v>p010-1-06</v>
      </c>
      <c r="F88" s="23"/>
      <c r="G88" s="21"/>
      <c r="H88" s="39" t="str">
        <f ca="1">IFERROR(INDEX(INDIRECT(zoneFichierFiltreCatalogue),S87,6),"")</f>
        <v>fall 2019 presentation_/catalogo fall 19.txt</v>
      </c>
      <c r="R88" s="25"/>
      <c r="S88" s="25"/>
    </row>
    <row r="89" spans="1:20" ht="39" customHeight="1" thickBot="1" x14ac:dyDescent="0.65">
      <c r="A89" s="11" t="str">
        <f ca="1">INDEX(INDIRECT(zoneFichierTraite),$J89+offsetInitialFichierTraite,6)</f>
        <v>UNICA</v>
      </c>
      <c r="B89" s="7" t="str">
        <f ca="1">INDEX(INDIRECT(zoneFichierTraite),$J89+offsetInitialFichierTraite,4)</f>
        <v>OBAGB002-EVS18-371</v>
      </c>
      <c r="C89" s="31" t="str">
        <f ca="1">INDEX(INDIRECT(zoneFichierTraite),$J89+offsetInitialFichierTraite,5)</f>
        <v>CORPS O BAG MINI EVA COMPOUND TEXTURE Ã€ CHEVRONS</v>
      </c>
      <c r="D89" s="32" t="str">
        <f ca="1">INDEX(INDIRECT(zoneFichierTraite),$J89+offsetInitialFichierTraite,13)</f>
        <v>latte</v>
      </c>
      <c r="E89" s="35">
        <f ca="1">INDEX(INDIRECT(zoneFichierTraite),$J89+offsetInitialFichierTraite,7)</f>
        <v>2</v>
      </c>
      <c r="F89" s="33">
        <f ca="1">INDEX(INDIRECT(zoneFichierTraite),$J89+offsetInitialFichierTraite,8)</f>
        <v>15.6</v>
      </c>
      <c r="G89" s="34">
        <f t="shared" ref="G89" ca="1" si="82">ROUNDUP(F89*3,0)</f>
        <v>47</v>
      </c>
      <c r="H89" s="37" t="str">
        <f t="shared" ref="H89" ca="1" si="83">IF(ISNUMBER(N89),codeEAN13(INT(N89/10)),"")</f>
        <v>8APASOG*aaddaj+</v>
      </c>
      <c r="J89" s="18">
        <f t="shared" si="69"/>
        <v>40</v>
      </c>
      <c r="L89" s="7" t="str">
        <f ca="1">INDEX(INDIRECT(zoneFichierTraite),$J89+offsetInitialFichierTraite,1)</f>
        <v>'040</v>
      </c>
      <c r="M89" s="14">
        <f ca="1">INDEX(INDIRECT(zoneFichierTraite),$J89+offsetInitialFichierTraite,9)</f>
        <v>31.2</v>
      </c>
      <c r="N89" s="17">
        <f ca="1">INDEX(INDIRECT(zoneFichierTraite),$J89+offsetInitialFichierTraite,3)</f>
        <v>8050846003309</v>
      </c>
      <c r="O89" s="2">
        <f ca="1">MATCH(N89,INDIRECT(nomFichierEAN13Valmag &amp; "!A:A"),0)</f>
        <v>7514</v>
      </c>
      <c r="P89" s="2">
        <f ca="1">MATCH(R89,INDIRECT(nomFichierEAN13Valmag &amp; "!A:A"),0)</f>
        <v>7510</v>
      </c>
      <c r="Q89" s="2">
        <f ca="1">MATCH(LEFT(B89,14) &amp; "*",INDIRECT(nomFichierBaseCatalogue &amp; "!B:B"),0)</f>
        <v>540</v>
      </c>
      <c r="R89" s="17">
        <f ca="1">IFERROR(INDEX(INDIRECT(zoneFichierBaseCatalogue),Q89,1),"")</f>
        <v>8050846003316</v>
      </c>
      <c r="S89" s="2">
        <f ca="1">MATCH(B89,INDIRECT(nomFichierFiltreCatalogue &amp; "!B:B"),0)</f>
        <v>31</v>
      </c>
      <c r="T89" s="17"/>
    </row>
    <row r="90" spans="1:20" s="24" customFormat="1" ht="15.75" customHeight="1" x14ac:dyDescent="0.25">
      <c r="A90" s="30">
        <f ca="1">INDEX(INDIRECT(zoneFichierTraite),$J89+offsetInitialFichierTraite,2)</f>
        <v>54</v>
      </c>
      <c r="B90" s="29" t="str">
        <f ca="1">IFERROR(INDEX(INDIRECT(zoneFichierEAN13Valmag),$P89,3),"")</f>
        <v>MINIOBODYCHEVRON</v>
      </c>
      <c r="C90" s="22" t="str">
        <f ca="1">IFERROR(INDEX(INDIRECT(zoneFichierEAN13Valmag),$O89,3),"")</f>
        <v>MINIOBODYCHEVRON</v>
      </c>
      <c r="D90" s="23" t="str">
        <f ca="1">IFERROR(INDEX(INDIRECT(zoneFichierEAN13Valmag),$O89,4),"")</f>
        <v>WHITE</v>
      </c>
      <c r="E90" s="38" t="str">
        <f ca="1">IFERROR(INDEX(INDIRECT(zoneFichierFiltreCatalogue),S89,3),"")</f>
        <v>p010-1-02</v>
      </c>
      <c r="F90" s="23"/>
      <c r="G90" s="21"/>
      <c r="H90" s="39" t="str">
        <f ca="1">IFERROR(INDEX(INDIRECT(zoneFichierFiltreCatalogue),S89,6),"")</f>
        <v>fall 2019 presentation_/catalogo fall 19.txt</v>
      </c>
      <c r="R90" s="25"/>
      <c r="S90" s="25"/>
    </row>
    <row r="91" spans="1:20" ht="39" customHeight="1" thickBot="1" x14ac:dyDescent="0.65">
      <c r="A91" s="11" t="str">
        <f ca="1">INDEX(INDIRECT(zoneFichierTraite),$J91+offsetInitialFichierTraite,6)</f>
        <v>UNICA</v>
      </c>
      <c r="B91" s="7" t="str">
        <f ca="1">INDEX(INDIRECT(zoneFichierTraite),$J91+offsetInitialFichierTraite,4)</f>
        <v>OBAGB002-EVS18-614</v>
      </c>
      <c r="C91" s="31" t="str">
        <f ca="1">INDEX(INDIRECT(zoneFichierTraite),$J91+offsetInitialFichierTraite,5)</f>
        <v>CORPS O BAG MINI EVA COMPOUND TEXTURE Ã€ CHEVRONS</v>
      </c>
      <c r="D91" s="32" t="str">
        <f ca="1">INDEX(INDIRECT(zoneFichierTraite),$J91+offsetInitialFichierTraite,13)</f>
        <v>imperial blu</v>
      </c>
      <c r="E91" s="35">
        <f ca="1">INDEX(INDIRECT(zoneFichierTraite),$J91+offsetInitialFichierTraite,7)</f>
        <v>2</v>
      </c>
      <c r="F91" s="33">
        <f ca="1">INDEX(INDIRECT(zoneFichierTraite),$J91+offsetInitialFichierTraite,8)</f>
        <v>15.6</v>
      </c>
      <c r="G91" s="34">
        <f t="shared" ref="G91" ca="1" si="84">ROUNDUP(F91*3,0)</f>
        <v>47</v>
      </c>
      <c r="H91" s="37" t="str">
        <f t="shared" ref="H91" ca="1" si="85">IF(ISNUMBER(N91),codeEAN13(INT(N91/10)),"")</f>
        <v>8APASOG*ajejfg+</v>
      </c>
      <c r="J91" s="18">
        <f t="shared" si="69"/>
        <v>41</v>
      </c>
      <c r="L91" s="7" t="str">
        <f ca="1">INDEX(INDIRECT(zoneFichierTraite),$J91+offsetInitialFichierTraite,1)</f>
        <v>'041</v>
      </c>
      <c r="M91" s="14">
        <f ca="1">INDEX(INDIRECT(zoneFichierTraite),$J91+offsetInitialFichierTraite,9)</f>
        <v>31.2</v>
      </c>
      <c r="N91" s="17">
        <f ca="1">INDEX(INDIRECT(zoneFichierTraite),$J91+offsetInitialFichierTraite,3)</f>
        <v>8050846094956</v>
      </c>
      <c r="O91" s="2" t="e">
        <f ca="1">MATCH(N91,INDIRECT(nomFichierEAN13Valmag &amp; "!A:A"),0)</f>
        <v>#N/A</v>
      </c>
      <c r="P91" s="2">
        <f ca="1">MATCH(R91,INDIRECT(nomFichierEAN13Valmag &amp; "!A:A"),0)</f>
        <v>7510</v>
      </c>
      <c r="Q91" s="2">
        <f ca="1">MATCH(LEFT(B91,14) &amp; "*",INDIRECT(nomFichierBaseCatalogue &amp; "!B:B"),0)</f>
        <v>540</v>
      </c>
      <c r="R91" s="17">
        <f ca="1">IFERROR(INDEX(INDIRECT(zoneFichierBaseCatalogue),Q91,1),"")</f>
        <v>8050846003316</v>
      </c>
      <c r="S91" s="2">
        <f ca="1">MATCH(B91,INDIRECT(nomFichierFiltreCatalogue &amp; "!B:B"),0)</f>
        <v>33</v>
      </c>
      <c r="T91" s="17"/>
    </row>
    <row r="92" spans="1:20" s="24" customFormat="1" ht="15.75" customHeight="1" x14ac:dyDescent="0.25">
      <c r="A92" s="30">
        <f ca="1">INDEX(INDIRECT(zoneFichierTraite),$J91+offsetInitialFichierTraite,2)</f>
        <v>189</v>
      </c>
      <c r="B92" s="29" t="str">
        <f ca="1">IFERROR(INDEX(INDIRECT(zoneFichierEAN13Valmag),$P91,3),"")</f>
        <v>MINIOBODYCHEVRON</v>
      </c>
      <c r="C92" s="22" t="str">
        <f ca="1">IFERROR(INDEX(INDIRECT(zoneFichierEAN13Valmag),$O91,3),"")</f>
        <v/>
      </c>
      <c r="D92" s="23" t="str">
        <f ca="1">IFERROR(INDEX(INDIRECT(zoneFichierEAN13Valmag),$O91,4),"")</f>
        <v/>
      </c>
      <c r="E92" s="38" t="str">
        <f ca="1">IFERROR(INDEX(INDIRECT(zoneFichierFiltreCatalogue),S91,3),"")</f>
        <v>p010-1-04</v>
      </c>
      <c r="F92" s="23"/>
      <c r="G92" s="21"/>
      <c r="H92" s="39" t="str">
        <f ca="1">IFERROR(INDEX(INDIRECT(zoneFichierFiltreCatalogue),S91,6),"")</f>
        <v>fall 2019 presentation_/catalogo fall 19.txt</v>
      </c>
      <c r="R92" s="25"/>
      <c r="S92" s="25"/>
    </row>
    <row r="93" spans="1:20" ht="39" customHeight="1" thickBot="1" x14ac:dyDescent="0.65">
      <c r="A93" s="11" t="str">
        <f ca="1">INDEX(INDIRECT(zoneFichierTraite),$J93+offsetInitialFichierTraite,6)</f>
        <v>UNICA</v>
      </c>
      <c r="B93" s="7" t="str">
        <f ca="1">INDEX(INDIRECT(zoneFichierTraite),$J93+offsetInitialFichierTraite,4)</f>
        <v>OBAGB002-EVS18-615</v>
      </c>
      <c r="C93" s="31" t="str">
        <f ca="1">INDEX(INDIRECT(zoneFichierTraite),$J93+offsetInitialFichierTraite,5)</f>
        <v>CORPS O BAG MINI EVA COMPOUND TEXTURE Ã€ CHEVRONS</v>
      </c>
      <c r="D93" s="32" t="str">
        <f ca="1">INDEX(INDIRECT(zoneFichierTraite),$J93+offsetInitialFichierTraite,13)</f>
        <v>military</v>
      </c>
      <c r="E93" s="35">
        <f ca="1">INDEX(INDIRECT(zoneFichierTraite),$J93+offsetInitialFichierTraite,7)</f>
        <v>2</v>
      </c>
      <c r="F93" s="33">
        <f ca="1">INDEX(INDIRECT(zoneFichierTraite),$J93+offsetInitialFichierTraite,8)</f>
        <v>15.6</v>
      </c>
      <c r="G93" s="34">
        <f t="shared" ref="G93" ca="1" si="86">ROUNDUP(F93*3,0)</f>
        <v>47</v>
      </c>
      <c r="H93" s="37" t="str">
        <f t="shared" ref="H93" ca="1" si="87">IF(ISNUMBER(N93),codeEAN13(INT(N93/10)),"")</f>
        <v>8APASOG*ajejdc+</v>
      </c>
      <c r="J93" s="18">
        <f t="shared" si="69"/>
        <v>42</v>
      </c>
      <c r="L93" s="7" t="str">
        <f ca="1">INDEX(INDIRECT(zoneFichierTraite),$J93+offsetInitialFichierTraite,1)</f>
        <v>'042</v>
      </c>
      <c r="M93" s="14">
        <f ca="1">INDEX(INDIRECT(zoneFichierTraite),$J93+offsetInitialFichierTraite,9)</f>
        <v>31.2</v>
      </c>
      <c r="N93" s="17">
        <f ca="1">INDEX(INDIRECT(zoneFichierTraite),$J93+offsetInitialFichierTraite,3)</f>
        <v>8050846094932</v>
      </c>
      <c r="O93" s="2" t="e">
        <f ca="1">MATCH(N93,INDIRECT(nomFichierEAN13Valmag &amp; "!A:A"),0)</f>
        <v>#N/A</v>
      </c>
      <c r="P93" s="2">
        <f ca="1">MATCH(R93,INDIRECT(nomFichierEAN13Valmag &amp; "!A:A"),0)</f>
        <v>7510</v>
      </c>
      <c r="Q93" s="2">
        <f ca="1">MATCH(LEFT(B93,14) &amp; "*",INDIRECT(nomFichierBaseCatalogue &amp; "!B:B"),0)</f>
        <v>540</v>
      </c>
      <c r="R93" s="17">
        <f ca="1">IFERROR(INDEX(INDIRECT(zoneFichierBaseCatalogue),Q93,1),"")</f>
        <v>8050846003316</v>
      </c>
      <c r="S93" s="2">
        <f ca="1">MATCH(B93,INDIRECT(nomFichierFiltreCatalogue &amp; "!B:B"),0)</f>
        <v>34</v>
      </c>
      <c r="T93" s="17"/>
    </row>
    <row r="94" spans="1:20" s="24" customFormat="1" ht="15.75" customHeight="1" x14ac:dyDescent="0.25">
      <c r="A94" s="30">
        <f ca="1">INDEX(INDIRECT(zoneFichierTraite),$J93+offsetInitialFichierTraite,2)</f>
        <v>221</v>
      </c>
      <c r="B94" s="29" t="str">
        <f ca="1">IFERROR(INDEX(INDIRECT(zoneFichierEAN13Valmag),$P93,3),"")</f>
        <v>MINIOBODYCHEVRON</v>
      </c>
      <c r="C94" s="22" t="str">
        <f ca="1">IFERROR(INDEX(INDIRECT(zoneFichierEAN13Valmag),$O93,3),"")</f>
        <v/>
      </c>
      <c r="D94" s="23" t="str">
        <f ca="1">IFERROR(INDEX(INDIRECT(zoneFichierEAN13Valmag),$O93,4),"")</f>
        <v/>
      </c>
      <c r="E94" s="38" t="str">
        <f ca="1">IFERROR(INDEX(INDIRECT(zoneFichierFiltreCatalogue),S93,3),"")</f>
        <v>p010-1-05</v>
      </c>
      <c r="F94" s="23"/>
      <c r="G94" s="21"/>
      <c r="H94" s="39" t="str">
        <f ca="1">IFERROR(INDEX(INDIRECT(zoneFichierFiltreCatalogue),S93,6),"")</f>
        <v>fall 2019 presentation_/catalogo fall 19.txt</v>
      </c>
      <c r="R94" s="25"/>
      <c r="S94" s="25"/>
    </row>
    <row r="95" spans="1:20" ht="39" customHeight="1" thickBot="1" x14ac:dyDescent="0.65">
      <c r="A95" s="11" t="str">
        <f ca="1">INDEX(INDIRECT(zoneFichierTraite),$J95+offsetInitialFichierTraite,6)</f>
        <v>UNICA</v>
      </c>
      <c r="B95" s="7" t="str">
        <f ca="1">INDEX(INDIRECT(zoneFichierTraite),$J95+offsetInitialFichierTraite,4)</f>
        <v>OBAGB033-EVS00-017</v>
      </c>
      <c r="C95" s="31" t="str">
        <f ca="1">INDEX(INDIRECT(zoneFichierTraite),$J95+offsetInitialFichierTraite,5)</f>
        <v>CORPS O BAG URBAN EVA COMPOUND</v>
      </c>
      <c r="D95" s="32" t="str">
        <f ca="1">INDEX(INDIRECT(zoneFichierTraite),$J95+offsetInitialFichierTraite,13)</f>
        <v>blu navy</v>
      </c>
      <c r="E95" s="35">
        <f ca="1">INDEX(INDIRECT(zoneFichierTraite),$J95+offsetInitialFichierTraite,7)</f>
        <v>2</v>
      </c>
      <c r="F95" s="33">
        <f ca="1">INDEX(INDIRECT(zoneFichierTraite),$J95+offsetInitialFichierTraite,8)</f>
        <v>14.16</v>
      </c>
      <c r="G95" s="34">
        <f t="shared" ref="G95" ca="1" si="88">ROUNDUP(F95*3,0)</f>
        <v>43</v>
      </c>
      <c r="H95" s="37" t="str">
        <f t="shared" ref="H95" ca="1" si="89">IF(ISNUMBER(N95),codeEAN13(INT(N95/10)),"")</f>
        <v>8APASOG*adjged+</v>
      </c>
      <c r="J95" s="18">
        <f t="shared" si="69"/>
        <v>43</v>
      </c>
      <c r="L95" s="7" t="str">
        <f ca="1">INDEX(INDIRECT(zoneFichierTraite),$J95+offsetInitialFichierTraite,1)</f>
        <v>'043</v>
      </c>
      <c r="M95" s="14">
        <f ca="1">INDEX(INDIRECT(zoneFichierTraite),$J95+offsetInitialFichierTraite,9)</f>
        <v>28.32</v>
      </c>
      <c r="N95" s="17">
        <f ca="1">INDEX(INDIRECT(zoneFichierTraite),$J95+offsetInitialFichierTraite,3)</f>
        <v>8050846039643</v>
      </c>
      <c r="O95" s="2">
        <f ca="1">MATCH(N95,INDIRECT(nomFichierEAN13Valmag &amp; "!A:A"),0)</f>
        <v>9664</v>
      </c>
      <c r="P95" s="2">
        <f ca="1">MATCH(R95,INDIRECT(nomFichierEAN13Valmag &amp; "!A:A"),0)</f>
        <v>9664</v>
      </c>
      <c r="Q95" s="2">
        <f ca="1">MATCH(LEFT(B95,14) &amp; "*",INDIRECT(nomFichierBaseCatalogue &amp; "!B:B"),0)</f>
        <v>684</v>
      </c>
      <c r="R95" s="17">
        <f ca="1">IFERROR(INDEX(INDIRECT(zoneFichierBaseCatalogue),Q95,1),"")</f>
        <v>8050846039643</v>
      </c>
      <c r="S95" s="2">
        <f ca="1">MATCH(B95,INDIRECT(nomFichierFiltreCatalogue &amp; "!B:B"),0)</f>
        <v>36</v>
      </c>
      <c r="T95" s="17"/>
    </row>
    <row r="96" spans="1:20" s="24" customFormat="1" ht="15.75" customHeight="1" x14ac:dyDescent="0.25">
      <c r="A96" s="30">
        <f ca="1">INDEX(INDIRECT(zoneFichierTraite),$J95+offsetInitialFichierTraite,2)</f>
        <v>55</v>
      </c>
      <c r="B96" s="29" t="str">
        <f ca="1">IFERROR(INDEX(INDIRECT(zoneFichierEAN13Valmag),$P95,3),"")</f>
        <v xml:space="preserve">OURBAN          </v>
      </c>
      <c r="C96" s="22" t="str">
        <f ca="1">IFERROR(INDEX(INDIRECT(zoneFichierEAN13Valmag),$O95,3),"")</f>
        <v xml:space="preserve">OURBAN          </v>
      </c>
      <c r="D96" s="23" t="str">
        <f ca="1">IFERROR(INDEX(INDIRECT(zoneFichierEAN13Valmag),$O95,4),"")</f>
        <v xml:space="preserve">NAVY </v>
      </c>
      <c r="E96" s="38" t="str">
        <f ca="1">IFERROR(INDEX(INDIRECT(zoneFichierFiltreCatalogue),S95,3),"")</f>
        <v>p011-1-01</v>
      </c>
      <c r="F96" s="23"/>
      <c r="G96" s="21"/>
      <c r="H96" s="39" t="str">
        <f ca="1">IFERROR(INDEX(INDIRECT(zoneFichierFiltreCatalogue),S95,6),"")</f>
        <v>fall 2019 presentation_/catalogo fall 19.txt</v>
      </c>
      <c r="R96" s="25"/>
      <c r="S96" s="25"/>
    </row>
    <row r="97" spans="1:20" ht="39" customHeight="1" thickBot="1" x14ac:dyDescent="0.65">
      <c r="A97" s="11" t="str">
        <f ca="1">INDEX(INDIRECT(zoneFichierTraite),$J97+offsetInitialFichierTraite,6)</f>
        <v>UNICA</v>
      </c>
      <c r="B97" s="7" t="str">
        <f ca="1">INDEX(INDIRECT(zoneFichierTraite),$J97+offsetInitialFichierTraite,4)</f>
        <v>OBAGB033-EVS00-038</v>
      </c>
      <c r="C97" s="31" t="str">
        <f ca="1">INDEX(INDIRECT(zoneFichierTraite),$J97+offsetInitialFichierTraite,5)</f>
        <v>CORPS O BAG URBAN EVA COMPOUND</v>
      </c>
      <c r="D97" s="32" t="str">
        <f ca="1">INDEX(INDIRECT(zoneFichierTraite),$J97+offsetInitialFichierTraite,13)</f>
        <v>grafite</v>
      </c>
      <c r="E97" s="35">
        <f ca="1">INDEX(INDIRECT(zoneFichierTraite),$J97+offsetInitialFichierTraite,7)</f>
        <v>2</v>
      </c>
      <c r="F97" s="33">
        <f ca="1">INDEX(INDIRECT(zoneFichierTraite),$J97+offsetInitialFichierTraite,8)</f>
        <v>14.16</v>
      </c>
      <c r="G97" s="34">
        <f t="shared" ref="G97" ca="1" si="90">ROUNDUP(F97*3,0)</f>
        <v>43</v>
      </c>
      <c r="H97" s="37" t="str">
        <f t="shared" ref="H97" ca="1" si="91">IF(ISNUMBER(N97),codeEAN13(INT(N97/10)),"")</f>
        <v>8APASOG*ajbhge+</v>
      </c>
      <c r="J97" s="18">
        <f t="shared" si="69"/>
        <v>44</v>
      </c>
      <c r="L97" s="7" t="str">
        <f ca="1">INDEX(INDIRECT(zoneFichierTraite),$J97+offsetInitialFichierTraite,1)</f>
        <v>'044</v>
      </c>
      <c r="M97" s="14">
        <f ca="1">INDEX(INDIRECT(zoneFichierTraite),$J97+offsetInitialFichierTraite,9)</f>
        <v>28.32</v>
      </c>
      <c r="N97" s="17">
        <f ca="1">INDEX(INDIRECT(zoneFichierTraite),$J97+offsetInitialFichierTraite,3)</f>
        <v>8050846091764</v>
      </c>
      <c r="O97" s="2" t="e">
        <f ca="1">MATCH(N97,INDIRECT(nomFichierEAN13Valmag &amp; "!A:A"),0)</f>
        <v>#N/A</v>
      </c>
      <c r="P97" s="2">
        <f ca="1">MATCH(R97,INDIRECT(nomFichierEAN13Valmag &amp; "!A:A"),0)</f>
        <v>9664</v>
      </c>
      <c r="Q97" s="2">
        <f ca="1">MATCH(LEFT(B97,14) &amp; "*",INDIRECT(nomFichierBaseCatalogue &amp; "!B:B"),0)</f>
        <v>684</v>
      </c>
      <c r="R97" s="17">
        <f ca="1">IFERROR(INDEX(INDIRECT(zoneFichierBaseCatalogue),Q97,1),"")</f>
        <v>8050846039643</v>
      </c>
      <c r="S97" s="2">
        <f ca="1">MATCH(B97,INDIRECT(nomFichierFiltreCatalogue &amp; "!B:B"),0)</f>
        <v>38</v>
      </c>
      <c r="T97" s="17"/>
    </row>
    <row r="98" spans="1:20" s="24" customFormat="1" ht="15.75" customHeight="1" x14ac:dyDescent="0.25">
      <c r="A98" s="30">
        <f ca="1">INDEX(INDIRECT(zoneFichierTraite),$J97+offsetInitialFichierTraite,2)</f>
        <v>190</v>
      </c>
      <c r="B98" s="29" t="str">
        <f ca="1">IFERROR(INDEX(INDIRECT(zoneFichierEAN13Valmag),$P97,3),"")</f>
        <v xml:space="preserve">OURBAN          </v>
      </c>
      <c r="C98" s="22" t="str">
        <f ca="1">IFERROR(INDEX(INDIRECT(zoneFichierEAN13Valmag),$O97,3),"")</f>
        <v/>
      </c>
      <c r="D98" s="23" t="str">
        <f ca="1">IFERROR(INDEX(INDIRECT(zoneFichierEAN13Valmag),$O97,4),"")</f>
        <v/>
      </c>
      <c r="E98" s="38" t="str">
        <f ca="1">IFERROR(INDEX(INDIRECT(zoneFichierFiltreCatalogue),S97,3),"")</f>
        <v>p011-1-03</v>
      </c>
      <c r="F98" s="23"/>
      <c r="G98" s="21"/>
      <c r="H98" s="39" t="str">
        <f ca="1">IFERROR(INDEX(INDIRECT(zoneFichierFiltreCatalogue),S97,6),"")</f>
        <v>fall 2019 presentation_/catalogo fall 19.txt</v>
      </c>
      <c r="R98" s="25"/>
      <c r="S98" s="25"/>
    </row>
    <row r="99" spans="1:20" ht="39" customHeight="1" thickBot="1" x14ac:dyDescent="0.65">
      <c r="A99" s="11" t="str">
        <f ca="1">INDEX(INDIRECT(zoneFichierTraite),$J99+offsetInitialFichierTraite,6)</f>
        <v>UNICA</v>
      </c>
      <c r="B99" s="7" t="str">
        <f ca="1">INDEX(INDIRECT(zoneFichierTraite),$J99+offsetInitialFichierTraite,4)</f>
        <v>OBAGB033-EVS00-055</v>
      </c>
      <c r="C99" s="31" t="str">
        <f ca="1">INDEX(INDIRECT(zoneFichierTraite),$J99+offsetInitialFichierTraite,5)</f>
        <v>CORPS O BAG URBAN EVA COMPOUND</v>
      </c>
      <c r="D99" s="32" t="str">
        <f ca="1">INDEX(INDIRECT(zoneFichierTraite),$J99+offsetInitialFichierTraite,13)</f>
        <v>nero</v>
      </c>
      <c r="E99" s="35">
        <f ca="1">INDEX(INDIRECT(zoneFichierTraite),$J99+offsetInitialFichierTraite,7)</f>
        <v>2</v>
      </c>
      <c r="F99" s="33">
        <f ca="1">INDEX(INDIRECT(zoneFichierTraite),$J99+offsetInitialFichierTraite,8)</f>
        <v>14.16</v>
      </c>
      <c r="G99" s="34">
        <f t="shared" ref="G99" ca="1" si="92">ROUNDUP(F99*3,0)</f>
        <v>43</v>
      </c>
      <c r="H99" s="37" t="str">
        <f t="shared" ref="H99" ca="1" si="93">IF(ISNUMBER(N99),codeEAN13(INT(N99/10)),"")</f>
        <v>8APASOG*adjgib+</v>
      </c>
      <c r="J99" s="18">
        <f t="shared" si="69"/>
        <v>45</v>
      </c>
      <c r="L99" s="7" t="str">
        <f ca="1">INDEX(INDIRECT(zoneFichierTraite),$J99+offsetInitialFichierTraite,1)</f>
        <v>'045</v>
      </c>
      <c r="M99" s="14">
        <f ca="1">INDEX(INDIRECT(zoneFichierTraite),$J99+offsetInitialFichierTraite,9)</f>
        <v>28.32</v>
      </c>
      <c r="N99" s="17">
        <f ca="1">INDEX(INDIRECT(zoneFichierTraite),$J99+offsetInitialFichierTraite,3)</f>
        <v>8050846039681</v>
      </c>
      <c r="O99" s="2">
        <f ca="1">MATCH(N99,INDIRECT(nomFichierEAN13Valmag &amp; "!A:A"),0)</f>
        <v>9656</v>
      </c>
      <c r="P99" s="2">
        <f ca="1">MATCH(R99,INDIRECT(nomFichierEAN13Valmag &amp; "!A:A"),0)</f>
        <v>9664</v>
      </c>
      <c r="Q99" s="2">
        <f ca="1">MATCH(LEFT(B99,14) &amp; "*",INDIRECT(nomFichierBaseCatalogue &amp; "!B:B"),0)</f>
        <v>684</v>
      </c>
      <c r="R99" s="17">
        <f ca="1">IFERROR(INDEX(INDIRECT(zoneFichierBaseCatalogue),Q99,1),"")</f>
        <v>8050846039643</v>
      </c>
      <c r="S99" s="2">
        <f ca="1">MATCH(B99,INDIRECT(nomFichierFiltreCatalogue &amp; "!B:B"),0)</f>
        <v>40</v>
      </c>
      <c r="T99" s="17"/>
    </row>
    <row r="100" spans="1:20" s="24" customFormat="1" ht="15.75" customHeight="1" x14ac:dyDescent="0.25">
      <c r="A100" s="30">
        <f ca="1">INDEX(INDIRECT(zoneFichierTraite),$J99+offsetInitialFichierTraite,2)</f>
        <v>82</v>
      </c>
      <c r="B100" s="29" t="str">
        <f ca="1">IFERROR(INDEX(INDIRECT(zoneFichierEAN13Valmag),$P99,3),"")</f>
        <v xml:space="preserve">OURBAN          </v>
      </c>
      <c r="C100" s="22" t="str">
        <f ca="1">IFERROR(INDEX(INDIRECT(zoneFichierEAN13Valmag),$O99,3),"")</f>
        <v xml:space="preserve">OURBAN          </v>
      </c>
      <c r="D100" s="23" t="str">
        <f ca="1">IFERROR(INDEX(INDIRECT(zoneFichierEAN13Valmag),$O99,4),"")</f>
        <v>BLACK</v>
      </c>
      <c r="E100" s="38" t="str">
        <f ca="1">IFERROR(INDEX(INDIRECT(zoneFichierFiltreCatalogue),S99,3),"")</f>
        <v>p011-1-05</v>
      </c>
      <c r="F100" s="23"/>
      <c r="G100" s="21"/>
      <c r="H100" s="39" t="str">
        <f ca="1">IFERROR(INDEX(INDIRECT(zoneFichierFiltreCatalogue),S99,6),"")</f>
        <v>fall 2019 presentation_/catalogo fall 19.txt</v>
      </c>
      <c r="R100" s="25"/>
      <c r="S100" s="25"/>
    </row>
    <row r="101" spans="1:20" ht="39" customHeight="1" thickBot="1" x14ac:dyDescent="0.65">
      <c r="A101" s="11" t="str">
        <f ca="1">INDEX(INDIRECT(zoneFichierTraite),$J101+offsetInitialFichierTraite,6)</f>
        <v>UNICA</v>
      </c>
      <c r="B101" s="7" t="str">
        <f ca="1">INDEX(INDIRECT(zoneFichierTraite),$J101+offsetInitialFichierTraite,4)</f>
        <v>OBAGB033-EVS00-078</v>
      </c>
      <c r="C101" s="31" t="str">
        <f ca="1">INDEX(INDIRECT(zoneFichierTraite),$J101+offsetInitialFichierTraite,5)</f>
        <v>CORPS O BAG URBAN EVA COMPOUND</v>
      </c>
      <c r="D101" s="32" t="str">
        <f ca="1">INDEX(INDIRECT(zoneFichierTraite),$J101+offsetInitialFichierTraite,13)</f>
        <v>sabbia</v>
      </c>
      <c r="E101" s="35">
        <f ca="1">INDEX(INDIRECT(zoneFichierTraite),$J101+offsetInitialFichierTraite,7)</f>
        <v>2</v>
      </c>
      <c r="F101" s="33">
        <f ca="1">INDEX(INDIRECT(zoneFichierTraite),$J101+offsetInitialFichierTraite,8)</f>
        <v>14.16</v>
      </c>
      <c r="G101" s="34">
        <f t="shared" ref="G101" ca="1" si="94">ROUNDUP(F101*3,0)</f>
        <v>43</v>
      </c>
      <c r="H101" s="37" t="str">
        <f t="shared" ref="H101" ca="1" si="95">IF(ISNUMBER(N101),codeEAN13(INT(N101/10)),"")</f>
        <v>8APASOG*adjhbb+</v>
      </c>
      <c r="J101" s="18">
        <f t="shared" si="69"/>
        <v>46</v>
      </c>
      <c r="L101" s="7" t="str">
        <f ca="1">INDEX(INDIRECT(zoneFichierTraite),$J101+offsetInitialFichierTraite,1)</f>
        <v>'046</v>
      </c>
      <c r="M101" s="14">
        <f ca="1">INDEX(INDIRECT(zoneFichierTraite),$J101+offsetInitialFichierTraite,9)</f>
        <v>28.32</v>
      </c>
      <c r="N101" s="17">
        <f ca="1">INDEX(INDIRECT(zoneFichierTraite),$J101+offsetInitialFichierTraite,3)</f>
        <v>8050846039711</v>
      </c>
      <c r="O101" s="2">
        <f ca="1">MATCH(N101,INDIRECT(nomFichierEAN13Valmag &amp; "!A:A"),0)</f>
        <v>9669</v>
      </c>
      <c r="P101" s="2">
        <f ca="1">MATCH(R101,INDIRECT(nomFichierEAN13Valmag &amp; "!A:A"),0)</f>
        <v>9664</v>
      </c>
      <c r="Q101" s="2">
        <f ca="1">MATCH(LEFT(B101,14) &amp; "*",INDIRECT(nomFichierBaseCatalogue &amp; "!B:B"),0)</f>
        <v>684</v>
      </c>
      <c r="R101" s="17">
        <f ca="1">IFERROR(INDEX(INDIRECT(zoneFichierBaseCatalogue),Q101,1),"")</f>
        <v>8050846039643</v>
      </c>
      <c r="S101" s="2">
        <f ca="1">MATCH(B101,INDIRECT(nomFichierFiltreCatalogue &amp; "!B:B"),0)</f>
        <v>41</v>
      </c>
      <c r="T101" s="17"/>
    </row>
    <row r="102" spans="1:20" s="24" customFormat="1" ht="15.75" customHeight="1" x14ac:dyDescent="0.25">
      <c r="A102" s="30">
        <f ca="1">INDEX(INDIRECT(zoneFichierTraite),$J101+offsetInitialFichierTraite,2)</f>
        <v>119</v>
      </c>
      <c r="B102" s="29" t="str">
        <f ca="1">IFERROR(INDEX(INDIRECT(zoneFichierEAN13Valmag),$P101,3),"")</f>
        <v xml:space="preserve">OURBAN          </v>
      </c>
      <c r="C102" s="22" t="str">
        <f ca="1">IFERROR(INDEX(INDIRECT(zoneFichierEAN13Valmag),$O101,3),"")</f>
        <v xml:space="preserve">OURBAN          </v>
      </c>
      <c r="D102" s="23" t="str">
        <f ca="1">IFERROR(INDEX(INDIRECT(zoneFichierEAN13Valmag),$O101,4),"")</f>
        <v xml:space="preserve">SAND </v>
      </c>
      <c r="E102" s="38" t="str">
        <f ca="1">IFERROR(INDEX(INDIRECT(zoneFichierFiltreCatalogue),S101,3),"")</f>
        <v>p011-1-06</v>
      </c>
      <c r="F102" s="23"/>
      <c r="G102" s="21"/>
      <c r="H102" s="39" t="str">
        <f ca="1">IFERROR(INDEX(INDIRECT(zoneFichierFiltreCatalogue),S101,6),"")</f>
        <v>fall 2019 presentation_/catalogo fall 19.txt</v>
      </c>
      <c r="R102" s="25"/>
      <c r="S102" s="25"/>
    </row>
    <row r="103" spans="1:20" ht="39" customHeight="1" thickBot="1" x14ac:dyDescent="0.65">
      <c r="A103" s="11" t="str">
        <f ca="1">INDEX(INDIRECT(zoneFichierTraite),$J103+offsetInitialFichierTraite,6)</f>
        <v>UNICA</v>
      </c>
      <c r="B103" s="7" t="str">
        <f ca="1">INDEX(INDIRECT(zoneFichierTraite),$J103+offsetInitialFichierTraite,4)</f>
        <v>OBAGB033-EVS00-615</v>
      </c>
      <c r="C103" s="31" t="str">
        <f ca="1">INDEX(INDIRECT(zoneFichierTraite),$J103+offsetInitialFichierTraite,5)</f>
        <v>CORPS O BAG URBAN EVA COMPOUND</v>
      </c>
      <c r="D103" s="32" t="str">
        <f ca="1">INDEX(INDIRECT(zoneFichierTraite),$J103+offsetInitialFichierTraite,13)</f>
        <v>military</v>
      </c>
      <c r="E103" s="35">
        <f ca="1">INDEX(INDIRECT(zoneFichierTraite),$J103+offsetInitialFichierTraite,7)</f>
        <v>2</v>
      </c>
      <c r="F103" s="33">
        <f ca="1">INDEX(INDIRECT(zoneFichierTraite),$J103+offsetInitialFichierTraite,8)</f>
        <v>14.16</v>
      </c>
      <c r="G103" s="34">
        <f t="shared" ref="G103" ca="1" si="96">ROUNDUP(F103*3,0)</f>
        <v>43</v>
      </c>
      <c r="H103" s="37" t="str">
        <f t="shared" ref="H103" ca="1" si="97">IF(ISNUMBER(N103),codeEAN13(INT(N103/10)),"")</f>
        <v>8APASOG*ajbhii+</v>
      </c>
      <c r="J103" s="18">
        <f t="shared" si="69"/>
        <v>47</v>
      </c>
      <c r="L103" s="7" t="str">
        <f ca="1">INDEX(INDIRECT(zoneFichierTraite),$J103+offsetInitialFichierTraite,1)</f>
        <v>'047</v>
      </c>
      <c r="M103" s="14">
        <f ca="1">INDEX(INDIRECT(zoneFichierTraite),$J103+offsetInitialFichierTraite,9)</f>
        <v>28.32</v>
      </c>
      <c r="N103" s="17">
        <f ca="1">INDEX(INDIRECT(zoneFichierTraite),$J103+offsetInitialFichierTraite,3)</f>
        <v>8050846091788</v>
      </c>
      <c r="O103" s="2" t="e">
        <f ca="1">MATCH(N103,INDIRECT(nomFichierEAN13Valmag &amp; "!A:A"),0)</f>
        <v>#N/A</v>
      </c>
      <c r="P103" s="2">
        <f ca="1">MATCH(R103,INDIRECT(nomFichierEAN13Valmag &amp; "!A:A"),0)</f>
        <v>9664</v>
      </c>
      <c r="Q103" s="2">
        <f ca="1">MATCH(LEFT(B103,14) &amp; "*",INDIRECT(nomFichierBaseCatalogue &amp; "!B:B"),0)</f>
        <v>684</v>
      </c>
      <c r="R103" s="17">
        <f ca="1">IFERROR(INDEX(INDIRECT(zoneFichierBaseCatalogue),Q103,1),"")</f>
        <v>8050846039643</v>
      </c>
      <c r="S103" s="2">
        <f ca="1">MATCH(B103,INDIRECT(nomFichierFiltreCatalogue &amp; "!B:B"),0)</f>
        <v>44</v>
      </c>
      <c r="T103" s="17"/>
    </row>
    <row r="104" spans="1:20" s="24" customFormat="1" ht="15.75" customHeight="1" x14ac:dyDescent="0.25">
      <c r="A104" s="30">
        <f ca="1">INDEX(INDIRECT(zoneFichierTraite),$J103+offsetInitialFichierTraite,2)</f>
        <v>122</v>
      </c>
      <c r="B104" s="29" t="str">
        <f ca="1">IFERROR(INDEX(INDIRECT(zoneFichierEAN13Valmag),$P103,3),"")</f>
        <v xml:space="preserve">OURBAN          </v>
      </c>
      <c r="C104" s="22" t="str">
        <f ca="1">IFERROR(INDEX(INDIRECT(zoneFichierEAN13Valmag),$O103,3),"")</f>
        <v/>
      </c>
      <c r="D104" s="23" t="str">
        <f ca="1">IFERROR(INDEX(INDIRECT(zoneFichierEAN13Valmag),$O103,4),"")</f>
        <v/>
      </c>
      <c r="E104" s="38" t="str">
        <f ca="1">IFERROR(INDEX(INDIRECT(zoneFichierFiltreCatalogue),S103,3),"")</f>
        <v>p011-1-09</v>
      </c>
      <c r="F104" s="23"/>
      <c r="G104" s="21"/>
      <c r="H104" s="39" t="str">
        <f ca="1">IFERROR(INDEX(INDIRECT(zoneFichierFiltreCatalogue),S103,6),"")</f>
        <v>fall 2019 presentation_/catalogo fall 19.txt</v>
      </c>
      <c r="R104" s="25"/>
      <c r="S104" s="25"/>
    </row>
    <row r="105" spans="1:20" ht="39" customHeight="1" thickBot="1" x14ac:dyDescent="0.65">
      <c r="A105" s="11" t="str">
        <f ca="1">INDEX(INDIRECT(zoneFichierTraite),$J105+offsetInitialFichierTraite,6)</f>
        <v>UNICA</v>
      </c>
      <c r="B105" s="7" t="str">
        <f ca="1">INDEX(INDIRECT(zoneFichierTraite),$J105+offsetInitialFichierTraite,4)</f>
        <v>OBAGB033-EVS09-017</v>
      </c>
      <c r="C105" s="31" t="str">
        <f ca="1">INDEX(INDIRECT(zoneFichierTraite),$J105+offsetInitialFichierTraite,5)</f>
        <v>CORPS O BAG URBAN EVA COMPOUND TEXTURE MATELASSEE</v>
      </c>
      <c r="D105" s="32" t="str">
        <f ca="1">INDEX(INDIRECT(zoneFichierTraite),$J105+offsetInitialFichierTraite,13)</f>
        <v>blu navy</v>
      </c>
      <c r="E105" s="35">
        <f ca="1">INDEX(INDIRECT(zoneFichierTraite),$J105+offsetInitialFichierTraite,7)</f>
        <v>2</v>
      </c>
      <c r="F105" s="33">
        <f ca="1">INDEX(INDIRECT(zoneFichierTraite),$J105+offsetInitialFichierTraite,8)</f>
        <v>16.670000000000002</v>
      </c>
      <c r="G105" s="34">
        <f t="shared" ref="G105" ca="1" si="98">ROUNDUP(F105*3,0)</f>
        <v>51</v>
      </c>
      <c r="H105" s="37" t="str">
        <f t="shared" ref="H105" ca="1" si="99">IF(ISNUMBER(N105),codeEAN13(INT(N105/10)),"")</f>
        <v>8APASOG*ajbhcg+</v>
      </c>
      <c r="J105" s="18">
        <f t="shared" si="69"/>
        <v>48</v>
      </c>
      <c r="L105" s="7" t="str">
        <f ca="1">INDEX(INDIRECT(zoneFichierTraite),$J105+offsetInitialFichierTraite,1)</f>
        <v>'048</v>
      </c>
      <c r="M105" s="14">
        <f ca="1">INDEX(INDIRECT(zoneFichierTraite),$J105+offsetInitialFichierTraite,9)</f>
        <v>33.340000000000003</v>
      </c>
      <c r="N105" s="17">
        <f ca="1">INDEX(INDIRECT(zoneFichierTraite),$J105+offsetInitialFichierTraite,3)</f>
        <v>8050846091726</v>
      </c>
      <c r="O105" s="2" t="e">
        <f ca="1">MATCH(N105,INDIRECT(nomFichierEAN13Valmag &amp; "!A:A"),0)</f>
        <v>#N/A</v>
      </c>
      <c r="P105" s="2" t="e">
        <f ca="1">MATCH(R105,INDIRECT(nomFichierEAN13Valmag &amp; "!A:A"),0)</f>
        <v>#N/A</v>
      </c>
      <c r="Q105" s="2">
        <f ca="1">MATCH(LEFT(B105,14) &amp; "*",INDIRECT(nomFichierBaseCatalogue &amp; "!B:B"),0)</f>
        <v>725</v>
      </c>
      <c r="R105" s="17">
        <f ca="1">IFERROR(INDEX(INDIRECT(zoneFichierBaseCatalogue),Q105,1),"")</f>
        <v>8050846091726</v>
      </c>
      <c r="S105" s="2">
        <f ca="1">MATCH(B105,INDIRECT(nomFichierFiltreCatalogue &amp; "!B:B"),0)</f>
        <v>45</v>
      </c>
      <c r="T105" s="17"/>
    </row>
    <row r="106" spans="1:20" s="24" customFormat="1" ht="15.75" customHeight="1" x14ac:dyDescent="0.25">
      <c r="A106" s="30">
        <f ca="1">INDEX(INDIRECT(zoneFichierTraite),$J105+offsetInitialFichierTraite,2)</f>
        <v>214</v>
      </c>
      <c r="B106" s="29" t="str">
        <f ca="1">IFERROR(INDEX(INDIRECT(zoneFichierEAN13Valmag),$P105,3),"")</f>
        <v/>
      </c>
      <c r="C106" s="22" t="str">
        <f ca="1">IFERROR(INDEX(INDIRECT(zoneFichierEAN13Valmag),$O105,3),"")</f>
        <v/>
      </c>
      <c r="D106" s="23" t="str">
        <f ca="1">IFERROR(INDEX(INDIRECT(zoneFichierEAN13Valmag),$O105,4),"")</f>
        <v/>
      </c>
      <c r="E106" s="38" t="str">
        <f ca="1">IFERROR(INDEX(INDIRECT(zoneFichierFiltreCatalogue),S105,3),"")</f>
        <v>p012-1-01</v>
      </c>
      <c r="F106" s="23"/>
      <c r="G106" s="21"/>
      <c r="H106" s="39" t="str">
        <f ca="1">IFERROR(INDEX(INDIRECT(zoneFichierFiltreCatalogue),S105,6),"")</f>
        <v>fall 2019 presentation_/catalogo fall 19.txt</v>
      </c>
      <c r="R106" s="25"/>
      <c r="S106" s="25"/>
    </row>
    <row r="107" spans="1:20" ht="39" customHeight="1" thickBot="1" x14ac:dyDescent="0.65">
      <c r="A107" s="11" t="str">
        <f ca="1">INDEX(INDIRECT(zoneFichierTraite),$J107+offsetInitialFichierTraite,6)</f>
        <v>UNICA</v>
      </c>
      <c r="B107" s="7" t="str">
        <f ca="1">INDEX(INDIRECT(zoneFichierTraite),$J107+offsetInitialFichierTraite,4)</f>
        <v>OBAGB033-EVS09-038</v>
      </c>
      <c r="C107" s="31" t="str">
        <f ca="1">INDEX(INDIRECT(zoneFichierTraite),$J107+offsetInitialFichierTraite,5)</f>
        <v>CORPS O BAG URBAN EVA COMPOUND TEXTURE MATELASSEE</v>
      </c>
      <c r="D107" s="32" t="str">
        <f ca="1">INDEX(INDIRECT(zoneFichierTraite),$J107+offsetInitialFichierTraite,13)</f>
        <v>grafite</v>
      </c>
      <c r="E107" s="35">
        <f ca="1">INDEX(INDIRECT(zoneFichierTraite),$J107+offsetInitialFichierTraite,7)</f>
        <v>1</v>
      </c>
      <c r="F107" s="33">
        <f ca="1">INDEX(INDIRECT(zoneFichierTraite),$J107+offsetInitialFichierTraite,8)</f>
        <v>16.670000000000002</v>
      </c>
      <c r="G107" s="34">
        <f t="shared" ref="G107" ca="1" si="100">ROUNDUP(F107*3,0)</f>
        <v>51</v>
      </c>
      <c r="H107" s="37" t="str">
        <f t="shared" ref="H107" ca="1" si="101">IF(ISNUMBER(N107),codeEAN13(INT(N107/10)),"")</f>
        <v>8APASOG*ajbhbj+</v>
      </c>
      <c r="J107" s="18">
        <f t="shared" si="69"/>
        <v>49</v>
      </c>
      <c r="L107" s="7" t="str">
        <f ca="1">INDEX(INDIRECT(zoneFichierTraite),$J107+offsetInitialFichierTraite,1)</f>
        <v>'049</v>
      </c>
      <c r="M107" s="14">
        <f ca="1">INDEX(INDIRECT(zoneFichierTraite),$J107+offsetInitialFichierTraite,9)</f>
        <v>16.670000000000002</v>
      </c>
      <c r="N107" s="17">
        <f ca="1">INDEX(INDIRECT(zoneFichierTraite),$J107+offsetInitialFichierTraite,3)</f>
        <v>8050846091719</v>
      </c>
      <c r="O107" s="2" t="e">
        <f ca="1">MATCH(N107,INDIRECT(nomFichierEAN13Valmag &amp; "!A:A"),0)</f>
        <v>#N/A</v>
      </c>
      <c r="P107" s="2" t="e">
        <f ca="1">MATCH(R107,INDIRECT(nomFichierEAN13Valmag &amp; "!A:A"),0)</f>
        <v>#N/A</v>
      </c>
      <c r="Q107" s="2">
        <f ca="1">MATCH(LEFT(B107,14) &amp; "*",INDIRECT(nomFichierBaseCatalogue &amp; "!B:B"),0)</f>
        <v>725</v>
      </c>
      <c r="R107" s="17">
        <f ca="1">IFERROR(INDEX(INDIRECT(zoneFichierBaseCatalogue),Q107,1),"")</f>
        <v>8050846091726</v>
      </c>
      <c r="S107" s="2">
        <f ca="1">MATCH(B107,INDIRECT(nomFichierFiltreCatalogue &amp; "!B:B"),0)</f>
        <v>46</v>
      </c>
      <c r="T107" s="17"/>
    </row>
    <row r="108" spans="1:20" s="24" customFormat="1" ht="15.75" customHeight="1" x14ac:dyDescent="0.25">
      <c r="A108" s="30">
        <f ca="1">INDEX(INDIRECT(zoneFichierTraite),$J107+offsetInitialFichierTraite,2)</f>
        <v>111</v>
      </c>
      <c r="B108" s="29" t="str">
        <f ca="1">IFERROR(INDEX(INDIRECT(zoneFichierEAN13Valmag),$P107,3),"")</f>
        <v/>
      </c>
      <c r="C108" s="22" t="str">
        <f ca="1">IFERROR(INDEX(INDIRECT(zoneFichierEAN13Valmag),$O107,3),"")</f>
        <v/>
      </c>
      <c r="D108" s="23" t="str">
        <f ca="1">IFERROR(INDEX(INDIRECT(zoneFichierEAN13Valmag),$O107,4),"")</f>
        <v/>
      </c>
      <c r="E108" s="38" t="str">
        <f ca="1">IFERROR(INDEX(INDIRECT(zoneFichierFiltreCatalogue),S107,3),"")</f>
        <v>p012-1-02</v>
      </c>
      <c r="F108" s="23"/>
      <c r="G108" s="21"/>
      <c r="H108" s="39" t="str">
        <f ca="1">IFERROR(INDEX(INDIRECT(zoneFichierFiltreCatalogue),S107,6),"")</f>
        <v>fall 2019 presentation_/catalogo fall 19.txt</v>
      </c>
      <c r="R108" s="25"/>
      <c r="S108" s="25"/>
    </row>
    <row r="109" spans="1:20" ht="39" customHeight="1" thickBot="1" x14ac:dyDescent="0.65">
      <c r="A109" s="11" t="str">
        <f ca="1">INDEX(INDIRECT(zoneFichierTraite),$J109+offsetInitialFichierTraite,6)</f>
        <v>UNICA</v>
      </c>
      <c r="B109" s="7" t="str">
        <f ca="1">INDEX(INDIRECT(zoneFichierTraite),$J109+offsetInitialFichierTraite,4)</f>
        <v>OBAGB033-EVS09-055</v>
      </c>
      <c r="C109" s="31" t="str">
        <f ca="1">INDEX(INDIRECT(zoneFichierTraite),$J109+offsetInitialFichierTraite,5)</f>
        <v>CORPS O BAG URBAN EVA COMPOUND TEXTURE MATELASSEE</v>
      </c>
      <c r="D109" s="32" t="str">
        <f ca="1">INDEX(INDIRECT(zoneFichierTraite),$J109+offsetInitialFichierTraite,13)</f>
        <v>nero</v>
      </c>
      <c r="E109" s="35">
        <f ca="1">INDEX(INDIRECT(zoneFichierTraite),$J109+offsetInitialFichierTraite,7)</f>
        <v>2</v>
      </c>
      <c r="F109" s="33">
        <f ca="1">INDEX(INDIRECT(zoneFichierTraite),$J109+offsetInitialFichierTraite,8)</f>
        <v>16.670000000000002</v>
      </c>
      <c r="G109" s="34">
        <f t="shared" ref="G109" ca="1" si="102">ROUNDUP(F109*3,0)</f>
        <v>51</v>
      </c>
      <c r="H109" s="37" t="str">
        <f t="shared" ref="H109" ca="1" si="103">IF(ISNUMBER(N109),codeEAN13(INT(N109/10)),"")</f>
        <v>8APASOG*ajbhac+</v>
      </c>
      <c r="J109" s="18">
        <f t="shared" si="69"/>
        <v>50</v>
      </c>
      <c r="L109" s="7" t="str">
        <f ca="1">INDEX(INDIRECT(zoneFichierTraite),$J109+offsetInitialFichierTraite,1)</f>
        <v>'050</v>
      </c>
      <c r="M109" s="14">
        <f ca="1">INDEX(INDIRECT(zoneFichierTraite),$J109+offsetInitialFichierTraite,9)</f>
        <v>33.340000000000003</v>
      </c>
      <c r="N109" s="17">
        <f ca="1">INDEX(INDIRECT(zoneFichierTraite),$J109+offsetInitialFichierTraite,3)</f>
        <v>8050846091702</v>
      </c>
      <c r="O109" s="2" t="e">
        <f ca="1">MATCH(N109,INDIRECT(nomFichierEAN13Valmag &amp; "!A:A"),0)</f>
        <v>#N/A</v>
      </c>
      <c r="P109" s="2" t="e">
        <f ca="1">MATCH(R109,INDIRECT(nomFichierEAN13Valmag &amp; "!A:A"),0)</f>
        <v>#N/A</v>
      </c>
      <c r="Q109" s="2">
        <f ca="1">MATCH(LEFT(B109,14) &amp; "*",INDIRECT(nomFichierBaseCatalogue &amp; "!B:B"),0)</f>
        <v>725</v>
      </c>
      <c r="R109" s="17">
        <f ca="1">IFERROR(INDEX(INDIRECT(zoneFichierBaseCatalogue),Q109,1),"")</f>
        <v>8050846091726</v>
      </c>
      <c r="S109" s="2">
        <f ca="1">MATCH(B109,INDIRECT(nomFichierFiltreCatalogue &amp; "!B:B"),0)</f>
        <v>48</v>
      </c>
      <c r="T109" s="17"/>
    </row>
    <row r="110" spans="1:20" s="24" customFormat="1" ht="15.75" customHeight="1" x14ac:dyDescent="0.25">
      <c r="A110" s="30">
        <f ca="1">INDEX(INDIRECT(zoneFichierTraite),$J109+offsetInitialFichierTraite,2)</f>
        <v>197</v>
      </c>
      <c r="B110" s="29" t="str">
        <f ca="1">IFERROR(INDEX(INDIRECT(zoneFichierEAN13Valmag),$P109,3),"")</f>
        <v/>
      </c>
      <c r="C110" s="22" t="str">
        <f ca="1">IFERROR(INDEX(INDIRECT(zoneFichierEAN13Valmag),$O109,3),"")</f>
        <v/>
      </c>
      <c r="D110" s="23" t="str">
        <f ca="1">IFERROR(INDEX(INDIRECT(zoneFichierEAN13Valmag),$O109,4),"")</f>
        <v/>
      </c>
      <c r="E110" s="38" t="str">
        <f ca="1">IFERROR(INDEX(INDIRECT(zoneFichierFiltreCatalogue),S109,3),"")</f>
        <v>p012-1-04</v>
      </c>
      <c r="F110" s="23"/>
      <c r="G110" s="21"/>
      <c r="H110" s="39" t="str">
        <f ca="1">IFERROR(INDEX(INDIRECT(zoneFichierFiltreCatalogue),S109,6),"")</f>
        <v>fall 2019 presentation_/catalogo fall 19.txt</v>
      </c>
      <c r="R110" s="25"/>
      <c r="S110" s="25"/>
    </row>
    <row r="111" spans="1:20" ht="39" customHeight="1" thickBot="1" x14ac:dyDescent="0.65">
      <c r="A111" s="11" t="str">
        <f ca="1">INDEX(INDIRECT(zoneFichierTraite),$J111+offsetInitialFichierTraite,6)</f>
        <v>UNICA</v>
      </c>
      <c r="B111" s="7" t="str">
        <f ca="1">INDEX(INDIRECT(zoneFichierTraite),$J111+offsetInitialFichierTraite,4)</f>
        <v>OBAGB033-EVS09-078</v>
      </c>
      <c r="C111" s="31" t="str">
        <f ca="1">INDEX(INDIRECT(zoneFichierTraite),$J111+offsetInitialFichierTraite,5)</f>
        <v>CORPS O BAG URBAN EVA COMPOUND TEXTURE MATELASSEE</v>
      </c>
      <c r="D111" s="32" t="str">
        <f ca="1">INDEX(INDIRECT(zoneFichierTraite),$J111+offsetInitialFichierTraite,13)</f>
        <v>sabbia</v>
      </c>
      <c r="E111" s="35">
        <f ca="1">INDEX(INDIRECT(zoneFichierTraite),$J111+offsetInitialFichierTraite,7)</f>
        <v>1</v>
      </c>
      <c r="F111" s="33">
        <f ca="1">INDEX(INDIRECT(zoneFichierTraite),$J111+offsetInitialFichierTraite,8)</f>
        <v>16.670000000000002</v>
      </c>
      <c r="G111" s="34">
        <f t="shared" ref="G111" ca="1" si="104">ROUNDUP(F111*3,0)</f>
        <v>51</v>
      </c>
      <c r="H111" s="37" t="str">
        <f t="shared" ref="H111" ca="1" si="105">IF(ISNUMBER(N111),codeEAN13(INT(N111/10)),"")</f>
        <v>8APASOG*ajbhdd+</v>
      </c>
      <c r="J111" s="18">
        <f t="shared" si="69"/>
        <v>51</v>
      </c>
      <c r="L111" s="7" t="str">
        <f ca="1">INDEX(INDIRECT(zoneFichierTraite),$J111+offsetInitialFichierTraite,1)</f>
        <v>'051</v>
      </c>
      <c r="M111" s="14">
        <f ca="1">INDEX(INDIRECT(zoneFichierTraite),$J111+offsetInitialFichierTraite,9)</f>
        <v>16.670000000000002</v>
      </c>
      <c r="N111" s="17">
        <f ca="1">INDEX(INDIRECT(zoneFichierTraite),$J111+offsetInitialFichierTraite,3)</f>
        <v>8050846091733</v>
      </c>
      <c r="O111" s="2" t="e">
        <f ca="1">MATCH(N111,INDIRECT(nomFichierEAN13Valmag &amp; "!A:A"),0)</f>
        <v>#N/A</v>
      </c>
      <c r="P111" s="2" t="e">
        <f ca="1">MATCH(R111,INDIRECT(nomFichierEAN13Valmag &amp; "!A:A"),0)</f>
        <v>#N/A</v>
      </c>
      <c r="Q111" s="2">
        <f ca="1">MATCH(LEFT(B111,14) &amp; "*",INDIRECT(nomFichierBaseCatalogue &amp; "!B:B"),0)</f>
        <v>725</v>
      </c>
      <c r="R111" s="17">
        <f ca="1">IFERROR(INDEX(INDIRECT(zoneFichierBaseCatalogue),Q111,1),"")</f>
        <v>8050846091726</v>
      </c>
      <c r="S111" s="2">
        <f ca="1">MATCH(B111,INDIRECT(nomFichierFiltreCatalogue &amp; "!B:B"),0)</f>
        <v>47</v>
      </c>
      <c r="T111" s="17"/>
    </row>
    <row r="112" spans="1:20" s="24" customFormat="1" ht="15.75" customHeight="1" x14ac:dyDescent="0.25">
      <c r="A112" s="30">
        <f ca="1">INDEX(INDIRECT(zoneFichierTraite),$J111+offsetInitialFichierTraite,2)</f>
        <v>97</v>
      </c>
      <c r="B112" s="29" t="str">
        <f ca="1">IFERROR(INDEX(INDIRECT(zoneFichierEAN13Valmag),$P111,3),"")</f>
        <v/>
      </c>
      <c r="C112" s="22" t="str">
        <f ca="1">IFERROR(INDEX(INDIRECT(zoneFichierEAN13Valmag),$O111,3),"")</f>
        <v/>
      </c>
      <c r="D112" s="23" t="str">
        <f ca="1">IFERROR(INDEX(INDIRECT(zoneFichierEAN13Valmag),$O111,4),"")</f>
        <v/>
      </c>
      <c r="E112" s="38" t="str">
        <f ca="1">IFERROR(INDEX(INDIRECT(zoneFichierFiltreCatalogue),S111,3),"")</f>
        <v>p012-1-03</v>
      </c>
      <c r="F112" s="23"/>
      <c r="G112" s="21"/>
      <c r="H112" s="39" t="str">
        <f ca="1">IFERROR(INDEX(INDIRECT(zoneFichierFiltreCatalogue),S111,6),"")</f>
        <v>fall 2019 presentation_/catalogo fall 19.txt</v>
      </c>
      <c r="R112" s="25"/>
      <c r="S112" s="25"/>
    </row>
    <row r="113" spans="1:20" ht="39" customHeight="1" thickBot="1" x14ac:dyDescent="0.65">
      <c r="A113" s="11" t="str">
        <f ca="1">INDEX(INDIRECT(zoneFichierTraite),$J113+offsetInitialFichierTraite,6)</f>
        <v>UNICA</v>
      </c>
      <c r="B113" s="7" t="str">
        <f ca="1">INDEX(INDIRECT(zoneFichierTraite),$J113+offsetInitialFichierTraite,4)</f>
        <v>OBAGB033-EVS09-615</v>
      </c>
      <c r="C113" s="31" t="str">
        <f ca="1">INDEX(INDIRECT(zoneFichierTraite),$J113+offsetInitialFichierTraite,5)</f>
        <v>CORPS O BAG URBAN EVA COMPOUND TEXTURE MATELASSEE</v>
      </c>
      <c r="D113" s="32" t="str">
        <f ca="1">INDEX(INDIRECT(zoneFichierTraite),$J113+offsetInitialFichierTraite,13)</f>
        <v>military</v>
      </c>
      <c r="E113" s="35">
        <f ca="1">INDEX(INDIRECT(zoneFichierTraite),$J113+offsetInitialFichierTraite,7)</f>
        <v>1</v>
      </c>
      <c r="F113" s="33">
        <f ca="1">INDEX(INDIRECT(zoneFichierTraite),$J113+offsetInitialFichierTraite,8)</f>
        <v>16.670000000000002</v>
      </c>
      <c r="G113" s="34">
        <f t="shared" ref="G113" ca="1" si="106">ROUNDUP(F113*3,0)</f>
        <v>51</v>
      </c>
      <c r="H113" s="37" t="str">
        <f t="shared" ref="H113" ca="1" si="107">IF(ISNUMBER(N113),codeEAN13(INT(N113/10)),"")</f>
        <v>8APASOG*ajbhea+</v>
      </c>
      <c r="J113" s="18">
        <f t="shared" si="69"/>
        <v>52</v>
      </c>
      <c r="L113" s="7" t="str">
        <f ca="1">INDEX(INDIRECT(zoneFichierTraite),$J113+offsetInitialFichierTraite,1)</f>
        <v>'052</v>
      </c>
      <c r="M113" s="14">
        <f ca="1">INDEX(INDIRECT(zoneFichierTraite),$J113+offsetInitialFichierTraite,9)</f>
        <v>16.670000000000002</v>
      </c>
      <c r="N113" s="17">
        <f ca="1">INDEX(INDIRECT(zoneFichierTraite),$J113+offsetInitialFichierTraite,3)</f>
        <v>8050846091740</v>
      </c>
      <c r="O113" s="2" t="e">
        <f ca="1">MATCH(N113,INDIRECT(nomFichierEAN13Valmag &amp; "!A:A"),0)</f>
        <v>#N/A</v>
      </c>
      <c r="P113" s="2" t="e">
        <f ca="1">MATCH(R113,INDIRECT(nomFichierEAN13Valmag &amp; "!A:A"),0)</f>
        <v>#N/A</v>
      </c>
      <c r="Q113" s="2">
        <f ca="1">MATCH(LEFT(B113,14) &amp; "*",INDIRECT(nomFichierBaseCatalogue &amp; "!B:B"),0)</f>
        <v>725</v>
      </c>
      <c r="R113" s="17">
        <f ca="1">IFERROR(INDEX(INDIRECT(zoneFichierBaseCatalogue),Q113,1),"")</f>
        <v>8050846091726</v>
      </c>
      <c r="S113" s="2">
        <f ca="1">MATCH(B113,INDIRECT(nomFichierFiltreCatalogue &amp; "!B:B"),0)</f>
        <v>50</v>
      </c>
      <c r="T113" s="17"/>
    </row>
    <row r="114" spans="1:20" s="24" customFormat="1" ht="15.75" customHeight="1" x14ac:dyDescent="0.25">
      <c r="A114" s="30">
        <f ca="1">INDEX(INDIRECT(zoneFichierTraite),$J113+offsetInitialFichierTraite,2)</f>
        <v>139</v>
      </c>
      <c r="B114" s="29" t="str">
        <f ca="1">IFERROR(INDEX(INDIRECT(zoneFichierEAN13Valmag),$P113,3),"")</f>
        <v/>
      </c>
      <c r="C114" s="22" t="str">
        <f ca="1">IFERROR(INDEX(INDIRECT(zoneFichierEAN13Valmag),$O113,3),"")</f>
        <v/>
      </c>
      <c r="D114" s="23" t="str">
        <f ca="1">IFERROR(INDEX(INDIRECT(zoneFichierEAN13Valmag),$O113,4),"")</f>
        <v/>
      </c>
      <c r="E114" s="38" t="str">
        <f ca="1">IFERROR(INDEX(INDIRECT(zoneFichierFiltreCatalogue),S113,3),"")</f>
        <v>p012-1-06</v>
      </c>
      <c r="F114" s="23"/>
      <c r="G114" s="21"/>
      <c r="H114" s="39" t="str">
        <f ca="1">IFERROR(INDEX(INDIRECT(zoneFichierFiltreCatalogue),S113,6),"")</f>
        <v>fall 2019 presentation_/catalogo fall 19.txt</v>
      </c>
      <c r="R114" s="25"/>
      <c r="S114" s="25"/>
    </row>
    <row r="115" spans="1:20" ht="39" customHeight="1" thickBot="1" x14ac:dyDescent="0.65">
      <c r="A115" s="11" t="str">
        <f ca="1">INDEX(INDIRECT(zoneFichierTraite),$J115+offsetInitialFichierTraite,6)</f>
        <v>UNICA</v>
      </c>
      <c r="B115" s="7" t="str">
        <f ca="1">INDEX(INDIRECT(zoneFichierTraite),$J115+offsetInitialFichierTraite,4)</f>
        <v>OBAGB034-EVS00-017</v>
      </c>
      <c r="C115" s="31" t="str">
        <f ca="1">INDEX(INDIRECT(zoneFichierTraite),$J115+offsetInitialFichierTraite,5)</f>
        <v>CORPS O BAG GLAM EVA COMPOUND</v>
      </c>
      <c r="D115" s="32" t="str">
        <f ca="1">INDEX(INDIRECT(zoneFichierTraite),$J115+offsetInitialFichierTraite,13)</f>
        <v>blu navy</v>
      </c>
      <c r="E115" s="35">
        <f ca="1">INDEX(INDIRECT(zoneFichierTraite),$J115+offsetInitialFichierTraite,7)</f>
        <v>2</v>
      </c>
      <c r="F115" s="33">
        <f ca="1">INDEX(INDIRECT(zoneFichierTraite),$J115+offsetInitialFichierTraite,8)</f>
        <v>12.59</v>
      </c>
      <c r="G115" s="34">
        <f t="shared" ref="G115" ca="1" si="108">ROUNDUP(F115*3,0)</f>
        <v>38</v>
      </c>
      <c r="H115" s="37" t="str">
        <f t="shared" ref="H115" ca="1" si="109">IF(ISNUMBER(N115),codeEAN13(INT(N115/10)),"")</f>
        <v>8APASOG*adjhia+</v>
      </c>
      <c r="J115" s="18">
        <f t="shared" si="69"/>
        <v>53</v>
      </c>
      <c r="L115" s="7" t="str">
        <f ca="1">INDEX(INDIRECT(zoneFichierTraite),$J115+offsetInitialFichierTraite,1)</f>
        <v>'053</v>
      </c>
      <c r="M115" s="14">
        <f ca="1">INDEX(INDIRECT(zoneFichierTraite),$J115+offsetInitialFichierTraite,9)</f>
        <v>25.18</v>
      </c>
      <c r="N115" s="17">
        <f ca="1">INDEX(INDIRECT(zoneFichierTraite),$J115+offsetInitialFichierTraite,3)</f>
        <v>8050846039780</v>
      </c>
      <c r="O115" s="2">
        <f ca="1">MATCH(N115,INDIRECT(nomFichierEAN13Valmag &amp; "!A:A"),0)</f>
        <v>8937</v>
      </c>
      <c r="P115" s="2">
        <f ca="1">MATCH(R115,INDIRECT(nomFichierEAN13Valmag &amp; "!A:A"),0)</f>
        <v>8937</v>
      </c>
      <c r="Q115" s="2">
        <f ca="1">MATCH(LEFT(B115,14) &amp; "*",INDIRECT(nomFichierBaseCatalogue &amp; "!B:B"),0)</f>
        <v>731</v>
      </c>
      <c r="R115" s="17">
        <f ca="1">IFERROR(INDEX(INDIRECT(zoneFichierBaseCatalogue),Q115,1),"")</f>
        <v>8050846039780</v>
      </c>
      <c r="S115" s="2">
        <f ca="1">MATCH(B115,INDIRECT(nomFichierFiltreCatalogue &amp; "!B:B"),0)</f>
        <v>51</v>
      </c>
      <c r="T115" s="17"/>
    </row>
    <row r="116" spans="1:20" s="24" customFormat="1" ht="15.75" customHeight="1" x14ac:dyDescent="0.25">
      <c r="A116" s="30">
        <f ca="1">INDEX(INDIRECT(zoneFichierTraite),$J115+offsetInitialFichierTraite,2)</f>
        <v>11</v>
      </c>
      <c r="B116" s="29" t="str">
        <f ca="1">IFERROR(INDEX(INDIRECT(zoneFichierEAN13Valmag),$P115,3),"")</f>
        <v xml:space="preserve">OGLAM           </v>
      </c>
      <c r="C116" s="22" t="str">
        <f ca="1">IFERROR(INDEX(INDIRECT(zoneFichierEAN13Valmag),$O115,3),"")</f>
        <v xml:space="preserve">OGLAM           </v>
      </c>
      <c r="D116" s="23" t="str">
        <f ca="1">IFERROR(INDEX(INDIRECT(zoneFichierEAN13Valmag),$O115,4),"")</f>
        <v xml:space="preserve">NAVY </v>
      </c>
      <c r="E116" s="38" t="str">
        <f ca="1">IFERROR(INDEX(INDIRECT(zoneFichierFiltreCatalogue),S115,3),"")</f>
        <v>p013-1-01</v>
      </c>
      <c r="F116" s="23"/>
      <c r="G116" s="21"/>
      <c r="H116" s="39" t="str">
        <f ca="1">IFERROR(INDEX(INDIRECT(zoneFichierFiltreCatalogue),S115,6),"")</f>
        <v>fall 2019 presentation_/catalogo fall 19.txt</v>
      </c>
      <c r="R116" s="25"/>
      <c r="S116" s="25"/>
    </row>
    <row r="117" spans="1:20" ht="39" customHeight="1" thickBot="1" x14ac:dyDescent="0.65">
      <c r="A117" s="11" t="str">
        <f ca="1">INDEX(INDIRECT(zoneFichierTraite),$J117+offsetInitialFichierTraite,6)</f>
        <v>UNICA</v>
      </c>
      <c r="B117" s="7" t="str">
        <f ca="1">INDEX(INDIRECT(zoneFichierTraite),$J117+offsetInitialFichierTraite,4)</f>
        <v>OBAGB034-EVS00-038</v>
      </c>
      <c r="C117" s="31" t="str">
        <f ca="1">INDEX(INDIRECT(zoneFichierTraite),$J117+offsetInitialFichierTraite,5)</f>
        <v>CORPS O BAG GLAM EVA COMPOUND</v>
      </c>
      <c r="D117" s="32" t="str">
        <f ca="1">INDEX(INDIRECT(zoneFichierTraite),$J117+offsetInitialFichierTraite,13)</f>
        <v>grafite</v>
      </c>
      <c r="E117" s="35">
        <f ca="1">INDEX(INDIRECT(zoneFichierTraite),$J117+offsetInitialFichierTraite,7)</f>
        <v>2</v>
      </c>
      <c r="F117" s="33">
        <f ca="1">INDEX(INDIRECT(zoneFichierTraite),$J117+offsetInitialFichierTraite,8)</f>
        <v>12.59</v>
      </c>
      <c r="G117" s="34">
        <f t="shared" ref="G117" ca="1" si="110">ROUNDUP(F117*3,0)</f>
        <v>38</v>
      </c>
      <c r="H117" s="37" t="str">
        <f t="shared" ref="H117" ca="1" si="111">IF(ISNUMBER(N117),codeEAN13(INT(N117/10)),"")</f>
        <v>8APASOG*ajadda+</v>
      </c>
      <c r="J117" s="18">
        <f t="shared" si="69"/>
        <v>54</v>
      </c>
      <c r="L117" s="7" t="str">
        <f ca="1">INDEX(INDIRECT(zoneFichierTraite),$J117+offsetInitialFichierTraite,1)</f>
        <v>'054</v>
      </c>
      <c r="M117" s="14">
        <f ca="1">INDEX(INDIRECT(zoneFichierTraite),$J117+offsetInitialFichierTraite,9)</f>
        <v>25.18</v>
      </c>
      <c r="N117" s="17">
        <f ca="1">INDEX(INDIRECT(zoneFichierTraite),$J117+offsetInitialFichierTraite,3)</f>
        <v>8050846090330</v>
      </c>
      <c r="O117" s="2" t="e">
        <f ca="1">MATCH(N117,INDIRECT(nomFichierEAN13Valmag &amp; "!A:A"),0)</f>
        <v>#N/A</v>
      </c>
      <c r="P117" s="2">
        <f ca="1">MATCH(R117,INDIRECT(nomFichierEAN13Valmag &amp; "!A:A"),0)</f>
        <v>8937</v>
      </c>
      <c r="Q117" s="2">
        <f ca="1">MATCH(LEFT(B117,14) &amp; "*",INDIRECT(nomFichierBaseCatalogue &amp; "!B:B"),0)</f>
        <v>731</v>
      </c>
      <c r="R117" s="17">
        <f ca="1">IFERROR(INDEX(INDIRECT(zoneFichierBaseCatalogue),Q117,1),"")</f>
        <v>8050846039780</v>
      </c>
      <c r="S117" s="2">
        <f ca="1">MATCH(B117,INDIRECT(nomFichierFiltreCatalogue &amp; "!B:B"),0)</f>
        <v>54</v>
      </c>
      <c r="T117" s="17"/>
    </row>
    <row r="118" spans="1:20" s="24" customFormat="1" ht="15.75" customHeight="1" x14ac:dyDescent="0.25">
      <c r="A118" s="30">
        <f ca="1">INDEX(INDIRECT(zoneFichierTraite),$J117+offsetInitialFichierTraite,2)</f>
        <v>210</v>
      </c>
      <c r="B118" s="29" t="str">
        <f ca="1">IFERROR(INDEX(INDIRECT(zoneFichierEAN13Valmag),$P117,3),"")</f>
        <v xml:space="preserve">OGLAM           </v>
      </c>
      <c r="C118" s="22" t="str">
        <f ca="1">IFERROR(INDEX(INDIRECT(zoneFichierEAN13Valmag),$O117,3),"")</f>
        <v/>
      </c>
      <c r="D118" s="23" t="str">
        <f ca="1">IFERROR(INDEX(INDIRECT(zoneFichierEAN13Valmag),$O117,4),"")</f>
        <v/>
      </c>
      <c r="E118" s="38" t="str">
        <f ca="1">IFERROR(INDEX(INDIRECT(zoneFichierFiltreCatalogue),S117,3),"")</f>
        <v>p013-1-04</v>
      </c>
      <c r="F118" s="23"/>
      <c r="G118" s="21"/>
      <c r="H118" s="39" t="str">
        <f ca="1">IFERROR(INDEX(INDIRECT(zoneFichierFiltreCatalogue),S117,6),"")</f>
        <v>fall 2019 presentation_/catalogo fall 19.txt</v>
      </c>
      <c r="R118" s="25"/>
      <c r="S118" s="25"/>
    </row>
    <row r="119" spans="1:20" ht="39" customHeight="1" thickBot="1" x14ac:dyDescent="0.65">
      <c r="A119" s="11" t="str">
        <f ca="1">INDEX(INDIRECT(zoneFichierTraite),$J119+offsetInitialFichierTraite,6)</f>
        <v>UNICA</v>
      </c>
      <c r="B119" s="7" t="str">
        <f ca="1">INDEX(INDIRECT(zoneFichierTraite),$J119+offsetInitialFichierTraite,4)</f>
        <v>OBAGB034-EVS00-055</v>
      </c>
      <c r="C119" s="31" t="str">
        <f ca="1">INDEX(INDIRECT(zoneFichierTraite),$J119+offsetInitialFichierTraite,5)</f>
        <v>CORPS O BAG GLAM EVA COMPOUND</v>
      </c>
      <c r="D119" s="32" t="str">
        <f ca="1">INDEX(INDIRECT(zoneFichierTraite),$J119+offsetInitialFichierTraite,13)</f>
        <v>nero</v>
      </c>
      <c r="E119" s="35">
        <f ca="1">INDEX(INDIRECT(zoneFichierTraite),$J119+offsetInitialFichierTraite,7)</f>
        <v>3</v>
      </c>
      <c r="F119" s="33">
        <f ca="1">INDEX(INDIRECT(zoneFichierTraite),$J119+offsetInitialFichierTraite,8)</f>
        <v>12.59</v>
      </c>
      <c r="G119" s="34">
        <f t="shared" ref="G119" ca="1" si="112">ROUNDUP(F119*3,0)</f>
        <v>38</v>
      </c>
      <c r="H119" s="37" t="str">
        <f t="shared" ref="H119" ca="1" si="113">IF(ISNUMBER(N119),codeEAN13(INT(N119/10)),"")</f>
        <v>8APASOG*adjich+</v>
      </c>
      <c r="J119" s="18">
        <f t="shared" si="69"/>
        <v>55</v>
      </c>
      <c r="L119" s="7" t="str">
        <f ca="1">INDEX(INDIRECT(zoneFichierTraite),$J119+offsetInitialFichierTraite,1)</f>
        <v>'055</v>
      </c>
      <c r="M119" s="14">
        <f ca="1">INDEX(INDIRECT(zoneFichierTraite),$J119+offsetInitialFichierTraite,9)</f>
        <v>37.770000000000003</v>
      </c>
      <c r="N119" s="17">
        <f ca="1">INDEX(INDIRECT(zoneFichierTraite),$J119+offsetInitialFichierTraite,3)</f>
        <v>8050846039827</v>
      </c>
      <c r="O119" s="2">
        <f ca="1">MATCH(N119,INDIRECT(nomFichierEAN13Valmag &amp; "!A:A"),0)</f>
        <v>8928</v>
      </c>
      <c r="P119" s="2">
        <f ca="1">MATCH(R119,INDIRECT(nomFichierEAN13Valmag &amp; "!A:A"),0)</f>
        <v>8937</v>
      </c>
      <c r="Q119" s="2">
        <f ca="1">MATCH(LEFT(B119,14) &amp; "*",INDIRECT(nomFichierBaseCatalogue &amp; "!B:B"),0)</f>
        <v>731</v>
      </c>
      <c r="R119" s="17">
        <f ca="1">IFERROR(INDEX(INDIRECT(zoneFichierBaseCatalogue),Q119,1),"")</f>
        <v>8050846039780</v>
      </c>
      <c r="S119" s="2">
        <f ca="1">MATCH(B119,INDIRECT(nomFichierFiltreCatalogue &amp; "!B:B"),0)</f>
        <v>52</v>
      </c>
      <c r="T119" s="17"/>
    </row>
    <row r="120" spans="1:20" s="24" customFormat="1" ht="15.75" customHeight="1" x14ac:dyDescent="0.25">
      <c r="A120" s="30">
        <f ca="1">INDEX(INDIRECT(zoneFichierTraite),$J119+offsetInitialFichierTraite,2)</f>
        <v>91</v>
      </c>
      <c r="B120" s="29" t="str">
        <f ca="1">IFERROR(INDEX(INDIRECT(zoneFichierEAN13Valmag),$P119,3),"")</f>
        <v xml:space="preserve">OGLAM           </v>
      </c>
      <c r="C120" s="22" t="str">
        <f ca="1">IFERROR(INDEX(INDIRECT(zoneFichierEAN13Valmag),$O119,3),"")</f>
        <v xml:space="preserve">OGLAM           </v>
      </c>
      <c r="D120" s="23" t="str">
        <f ca="1">IFERROR(INDEX(INDIRECT(zoneFichierEAN13Valmag),$O119,4),"")</f>
        <v>BLACK</v>
      </c>
      <c r="E120" s="38" t="str">
        <f ca="1">IFERROR(INDEX(INDIRECT(zoneFichierFiltreCatalogue),S119,3),"")</f>
        <v>p013-1-02</v>
      </c>
      <c r="F120" s="23"/>
      <c r="G120" s="21"/>
      <c r="H120" s="39" t="str">
        <f ca="1">IFERROR(INDEX(INDIRECT(zoneFichierFiltreCatalogue),S119,6),"")</f>
        <v>fall 2019 presentation_/catalogo fall 19.txt</v>
      </c>
      <c r="R120" s="25"/>
      <c r="S120" s="25"/>
    </row>
    <row r="121" spans="1:20" ht="39" customHeight="1" thickBot="1" x14ac:dyDescent="0.65">
      <c r="A121" s="11" t="str">
        <f ca="1">INDEX(INDIRECT(zoneFichierTraite),$J121+offsetInitialFichierTraite,6)</f>
        <v>UNICA</v>
      </c>
      <c r="B121" s="7" t="str">
        <f ca="1">INDEX(INDIRECT(zoneFichierTraite),$J121+offsetInitialFichierTraite,4)</f>
        <v>OBAGB034-EVS00-076</v>
      </c>
      <c r="C121" s="31" t="str">
        <f ca="1">INDEX(INDIRECT(zoneFichierTraite),$J121+offsetInitialFichierTraite,5)</f>
        <v>CORPS O BAG GLAM EVA COMPOUND</v>
      </c>
      <c r="D121" s="32" t="str">
        <f ca="1">INDEX(INDIRECT(zoneFichierTraite),$J121+offsetInitialFichierTraite,13)</f>
        <v>rosso</v>
      </c>
      <c r="E121" s="35">
        <f ca="1">INDEX(INDIRECT(zoneFichierTraite),$J121+offsetInitialFichierTraite,7)</f>
        <v>2</v>
      </c>
      <c r="F121" s="33">
        <f ca="1">INDEX(INDIRECT(zoneFichierTraite),$J121+offsetInitialFichierTraite,8)</f>
        <v>12.59</v>
      </c>
      <c r="G121" s="34">
        <f t="shared" ref="G121" ca="1" si="114">ROUNDUP(F121*3,0)</f>
        <v>38</v>
      </c>
      <c r="H121" s="37" t="str">
        <f t="shared" ref="H121" ca="1" si="115">IF(ISNUMBER(N121),codeEAN13(INT(N121/10)),"")</f>
        <v>8APASOG*adjifi+</v>
      </c>
      <c r="J121" s="18">
        <f t="shared" si="69"/>
        <v>56</v>
      </c>
      <c r="L121" s="7" t="str">
        <f ca="1">INDEX(INDIRECT(zoneFichierTraite),$J121+offsetInitialFichierTraite,1)</f>
        <v>'056</v>
      </c>
      <c r="M121" s="14">
        <f ca="1">INDEX(INDIRECT(zoneFichierTraite),$J121+offsetInitialFichierTraite,9)</f>
        <v>25.18</v>
      </c>
      <c r="N121" s="17">
        <f ca="1">INDEX(INDIRECT(zoneFichierTraite),$J121+offsetInitialFichierTraite,3)</f>
        <v>8050846039858</v>
      </c>
      <c r="O121" s="2">
        <f ca="1">MATCH(N121,INDIRECT(nomFichierEAN13Valmag &amp; "!A:A"),0)</f>
        <v>8939</v>
      </c>
      <c r="P121" s="2">
        <f ca="1">MATCH(R121,INDIRECT(nomFichierEAN13Valmag &amp; "!A:A"),0)</f>
        <v>8937</v>
      </c>
      <c r="Q121" s="2">
        <f ca="1">MATCH(LEFT(B121,14) &amp; "*",INDIRECT(nomFichierBaseCatalogue &amp; "!B:B"),0)</f>
        <v>731</v>
      </c>
      <c r="R121" s="17">
        <f ca="1">IFERROR(INDEX(INDIRECT(zoneFichierBaseCatalogue),Q121,1),"")</f>
        <v>8050846039780</v>
      </c>
      <c r="S121" s="2">
        <f ca="1">MATCH(B121,INDIRECT(nomFichierFiltreCatalogue &amp; "!B:B"),0)</f>
        <v>56</v>
      </c>
      <c r="T121" s="17"/>
    </row>
    <row r="122" spans="1:20" s="24" customFormat="1" ht="15.75" customHeight="1" x14ac:dyDescent="0.25">
      <c r="A122" s="30">
        <f ca="1">INDEX(INDIRECT(zoneFichierTraite),$J121+offsetInitialFichierTraite,2)</f>
        <v>94</v>
      </c>
      <c r="B122" s="29" t="str">
        <f ca="1">IFERROR(INDEX(INDIRECT(zoneFichierEAN13Valmag),$P121,3),"")</f>
        <v xml:space="preserve">OGLAM           </v>
      </c>
      <c r="C122" s="22" t="str">
        <f ca="1">IFERROR(INDEX(INDIRECT(zoneFichierEAN13Valmag),$O121,3),"")</f>
        <v xml:space="preserve">OGLAM           </v>
      </c>
      <c r="D122" s="23" t="str">
        <f ca="1">IFERROR(INDEX(INDIRECT(zoneFichierEAN13Valmag),$O121,4),"")</f>
        <v xml:space="preserve">RED  </v>
      </c>
      <c r="E122" s="38" t="str">
        <f ca="1">IFERROR(INDEX(INDIRECT(zoneFichierFiltreCatalogue),S121,3),"")</f>
        <v>p013-1-06</v>
      </c>
      <c r="F122" s="23"/>
      <c r="G122" s="21"/>
      <c r="H122" s="39" t="str">
        <f ca="1">IFERROR(INDEX(INDIRECT(zoneFichierFiltreCatalogue),S121,6),"")</f>
        <v>fall 2019 presentation_/catalogo fall 19.txt</v>
      </c>
      <c r="R122" s="25"/>
      <c r="S122" s="25"/>
    </row>
    <row r="123" spans="1:20" ht="39" customHeight="1" thickBot="1" x14ac:dyDescent="0.65">
      <c r="A123" s="11" t="str">
        <f ca="1">INDEX(INDIRECT(zoneFichierTraite),$J123+offsetInitialFichierTraite,6)</f>
        <v>UNICA</v>
      </c>
      <c r="B123" s="7" t="str">
        <f ca="1">INDEX(INDIRECT(zoneFichierTraite),$J123+offsetInitialFichierTraite,4)</f>
        <v>OBAGB034-EVS00-078</v>
      </c>
      <c r="C123" s="31" t="str">
        <f ca="1">INDEX(INDIRECT(zoneFichierTraite),$J123+offsetInitialFichierTraite,5)</f>
        <v>CORPS O BAG GLAM EVA COMPOUND</v>
      </c>
      <c r="D123" s="32" t="str">
        <f ca="1">INDEX(INDIRECT(zoneFichierTraite),$J123+offsetInitialFichierTraite,13)</f>
        <v>sabbia</v>
      </c>
      <c r="E123" s="35">
        <f ca="1">INDEX(INDIRECT(zoneFichierTraite),$J123+offsetInitialFichierTraite,7)</f>
        <v>2</v>
      </c>
      <c r="F123" s="33">
        <f ca="1">INDEX(INDIRECT(zoneFichierTraite),$J123+offsetInitialFichierTraite,8)</f>
        <v>12.59</v>
      </c>
      <c r="G123" s="34">
        <f t="shared" ref="G123" ca="1" si="116">ROUNDUP(F123*3,0)</f>
        <v>38</v>
      </c>
      <c r="H123" s="37" t="str">
        <f t="shared" ref="H123" ca="1" si="117">IF(ISNUMBER(N123),codeEAN13(INT(N123/10)),"")</f>
        <v>8APASOG*agciih+</v>
      </c>
      <c r="J123" s="18">
        <f t="shared" si="69"/>
        <v>57</v>
      </c>
      <c r="L123" s="7" t="str">
        <f ca="1">INDEX(INDIRECT(zoneFichierTraite),$J123+offsetInitialFichierTraite,1)</f>
        <v>'057</v>
      </c>
      <c r="M123" s="14">
        <f ca="1">INDEX(INDIRECT(zoneFichierTraite),$J123+offsetInitialFichierTraite,9)</f>
        <v>25.18</v>
      </c>
      <c r="N123" s="17">
        <f ca="1">INDEX(INDIRECT(zoneFichierTraite),$J123+offsetInitialFichierTraite,3)</f>
        <v>8050846062887</v>
      </c>
      <c r="O123" s="2">
        <f ca="1">MATCH(N123,INDIRECT(nomFichierEAN13Valmag &amp; "!A:A"),0)</f>
        <v>8943</v>
      </c>
      <c r="P123" s="2">
        <f ca="1">MATCH(R123,INDIRECT(nomFichierEAN13Valmag &amp; "!A:A"),0)</f>
        <v>8937</v>
      </c>
      <c r="Q123" s="2">
        <f ca="1">MATCH(LEFT(B123,14) &amp; "*",INDIRECT(nomFichierBaseCatalogue &amp; "!B:B"),0)</f>
        <v>731</v>
      </c>
      <c r="R123" s="17">
        <f ca="1">IFERROR(INDEX(INDIRECT(zoneFichierBaseCatalogue),Q123,1),"")</f>
        <v>8050846039780</v>
      </c>
      <c r="S123" s="2">
        <f ca="1">MATCH(B123,INDIRECT(nomFichierFiltreCatalogue &amp; "!B:B"),0)</f>
        <v>58</v>
      </c>
      <c r="T123" s="17"/>
    </row>
    <row r="124" spans="1:20" s="24" customFormat="1" ht="15.75" customHeight="1" x14ac:dyDescent="0.25">
      <c r="A124" s="30">
        <f ca="1">INDEX(INDIRECT(zoneFichierTraite),$J123+offsetInitialFichierTraite,2)</f>
        <v>148</v>
      </c>
      <c r="B124" s="29" t="str">
        <f ca="1">IFERROR(INDEX(INDIRECT(zoneFichierEAN13Valmag),$P123,3),"")</f>
        <v xml:space="preserve">OGLAM           </v>
      </c>
      <c r="C124" s="22" t="str">
        <f ca="1">IFERROR(INDEX(INDIRECT(zoneFichierEAN13Valmag),$O123,3),"")</f>
        <v xml:space="preserve">OGLAM           </v>
      </c>
      <c r="D124" s="23" t="str">
        <f ca="1">IFERROR(INDEX(INDIRECT(zoneFichierEAN13Valmag),$O123,4),"")</f>
        <v xml:space="preserve">SAND </v>
      </c>
      <c r="E124" s="38" t="str">
        <f ca="1">IFERROR(INDEX(INDIRECT(zoneFichierFiltreCatalogue),S123,3),"")</f>
        <v>p013-1-08</v>
      </c>
      <c r="F124" s="23"/>
      <c r="G124" s="21"/>
      <c r="H124" s="39" t="str">
        <f ca="1">IFERROR(INDEX(INDIRECT(zoneFichierFiltreCatalogue),S123,6),"")</f>
        <v>fall 2019 presentation_/catalogo fall 19.txt</v>
      </c>
      <c r="R124" s="25"/>
      <c r="S124" s="25"/>
    </row>
    <row r="125" spans="1:20" ht="39" customHeight="1" thickBot="1" x14ac:dyDescent="0.65">
      <c r="A125" s="11" t="str">
        <f ca="1">INDEX(INDIRECT(zoneFichierTraite),$J125+offsetInitialFichierTraite,6)</f>
        <v>UNICA</v>
      </c>
      <c r="B125" s="7" t="str">
        <f ca="1">INDEX(INDIRECT(zoneFichierTraite),$J125+offsetInitialFichierTraite,4)</f>
        <v>OBAGB034-EVS00-614</v>
      </c>
      <c r="C125" s="31" t="str">
        <f ca="1">INDEX(INDIRECT(zoneFichierTraite),$J125+offsetInitialFichierTraite,5)</f>
        <v>CORPS O BAG GLAM EVA COMPOUND</v>
      </c>
      <c r="D125" s="32" t="str">
        <f ca="1">INDEX(INDIRECT(zoneFichierTraite),$J125+offsetInitialFichierTraite,13)</f>
        <v>imperial blu</v>
      </c>
      <c r="E125" s="35">
        <f ca="1">INDEX(INDIRECT(zoneFichierTraite),$J125+offsetInitialFichierTraite,7)</f>
        <v>2</v>
      </c>
      <c r="F125" s="33">
        <f ca="1">INDEX(INDIRECT(zoneFichierTraite),$J125+offsetInitialFichierTraite,8)</f>
        <v>12.59</v>
      </c>
      <c r="G125" s="34">
        <f t="shared" ref="G125" ca="1" si="118">ROUNDUP(F125*3,0)</f>
        <v>38</v>
      </c>
      <c r="H125" s="37" t="str">
        <f t="shared" ref="H125" ca="1" si="119">IF(ISNUMBER(N125),codeEAN13(INT(N125/10)),"")</f>
        <v>8APASOG*ajadbg+</v>
      </c>
      <c r="J125" s="18">
        <f t="shared" si="69"/>
        <v>58</v>
      </c>
      <c r="L125" s="7" t="str">
        <f ca="1">INDEX(INDIRECT(zoneFichierTraite),$J125+offsetInitialFichierTraite,1)</f>
        <v>'058</v>
      </c>
      <c r="M125" s="14">
        <f ca="1">INDEX(INDIRECT(zoneFichierTraite),$J125+offsetInitialFichierTraite,9)</f>
        <v>25.18</v>
      </c>
      <c r="N125" s="17">
        <f ca="1">INDEX(INDIRECT(zoneFichierTraite),$J125+offsetInitialFichierTraite,3)</f>
        <v>8050846090316</v>
      </c>
      <c r="O125" s="2" t="e">
        <f ca="1">MATCH(N125,INDIRECT(nomFichierEAN13Valmag &amp; "!A:A"),0)</f>
        <v>#N/A</v>
      </c>
      <c r="P125" s="2">
        <f ca="1">MATCH(R125,INDIRECT(nomFichierEAN13Valmag &amp; "!A:A"),0)</f>
        <v>8937</v>
      </c>
      <c r="Q125" s="2">
        <f ca="1">MATCH(LEFT(B125,14) &amp; "*",INDIRECT(nomFichierBaseCatalogue &amp; "!B:B"),0)</f>
        <v>731</v>
      </c>
      <c r="R125" s="17">
        <f ca="1">IFERROR(INDEX(INDIRECT(zoneFichierBaseCatalogue),Q125,1),"")</f>
        <v>8050846039780</v>
      </c>
      <c r="S125" s="2">
        <f ca="1">MATCH(B125,INDIRECT(nomFichierFiltreCatalogue &amp; "!B:B"),0)</f>
        <v>59</v>
      </c>
      <c r="T125" s="17"/>
    </row>
    <row r="126" spans="1:20" s="24" customFormat="1" ht="15.75" customHeight="1" x14ac:dyDescent="0.25">
      <c r="A126" s="30">
        <f ca="1">INDEX(INDIRECT(zoneFichierTraite),$J125+offsetInitialFichierTraite,2)</f>
        <v>98</v>
      </c>
      <c r="B126" s="29" t="str">
        <f ca="1">IFERROR(INDEX(INDIRECT(zoneFichierEAN13Valmag),$P125,3),"")</f>
        <v xml:space="preserve">OGLAM           </v>
      </c>
      <c r="C126" s="22" t="str">
        <f ca="1">IFERROR(INDEX(INDIRECT(zoneFichierEAN13Valmag),$O125,3),"")</f>
        <v/>
      </c>
      <c r="D126" s="23" t="str">
        <f ca="1">IFERROR(INDEX(INDIRECT(zoneFichierEAN13Valmag),$O125,4),"")</f>
        <v/>
      </c>
      <c r="E126" s="38" t="str">
        <f ca="1">IFERROR(INDEX(INDIRECT(zoneFichierFiltreCatalogue),S125,3),"")</f>
        <v>p013-1-09</v>
      </c>
      <c r="F126" s="23"/>
      <c r="G126" s="21"/>
      <c r="H126" s="39" t="str">
        <f ca="1">IFERROR(INDEX(INDIRECT(zoneFichierFiltreCatalogue),S125,6),"")</f>
        <v>fall 2019 presentation_/catalogo fall 19.txt</v>
      </c>
      <c r="R126" s="25"/>
      <c r="S126" s="25"/>
    </row>
    <row r="127" spans="1:20" ht="39" customHeight="1" thickBot="1" x14ac:dyDescent="0.65">
      <c r="A127" s="11" t="str">
        <f ca="1">INDEX(INDIRECT(zoneFichierTraite),$J127+offsetInitialFichierTraite,6)</f>
        <v>UNICA</v>
      </c>
      <c r="B127" s="7" t="str">
        <f ca="1">INDEX(INDIRECT(zoneFichierTraite),$J127+offsetInitialFichierTraite,4)</f>
        <v>OBAGB034-EVS00-615</v>
      </c>
      <c r="C127" s="31" t="str">
        <f ca="1">INDEX(INDIRECT(zoneFichierTraite),$J127+offsetInitialFichierTraite,5)</f>
        <v>CORPS O BAG GLAM EVA COMPOUND</v>
      </c>
      <c r="D127" s="32" t="str">
        <f ca="1">INDEX(INDIRECT(zoneFichierTraite),$J127+offsetInitialFichierTraite,13)</f>
        <v>military</v>
      </c>
      <c r="E127" s="35">
        <f ca="1">INDEX(INDIRECT(zoneFichierTraite),$J127+offsetInitialFichierTraite,7)</f>
        <v>2</v>
      </c>
      <c r="F127" s="33">
        <f ca="1">INDEX(INDIRECT(zoneFichierTraite),$J127+offsetInitialFichierTraite,8)</f>
        <v>12.59</v>
      </c>
      <c r="G127" s="34">
        <f t="shared" ref="G127" ca="1" si="120">ROUNDUP(F127*3,0)</f>
        <v>38</v>
      </c>
      <c r="H127" s="37" t="str">
        <f t="shared" ref="H127" ca="1" si="121">IF(ISNUMBER(N127),codeEAN13(INT(N127/10)),"")</f>
        <v>8APASOG*ajadeh+</v>
      </c>
      <c r="J127" s="18">
        <f t="shared" si="69"/>
        <v>59</v>
      </c>
      <c r="L127" s="7" t="str">
        <f ca="1">INDEX(INDIRECT(zoneFichierTraite),$J127+offsetInitialFichierTraite,1)</f>
        <v>'059</v>
      </c>
      <c r="M127" s="14">
        <f ca="1">INDEX(INDIRECT(zoneFichierTraite),$J127+offsetInitialFichierTraite,9)</f>
        <v>25.18</v>
      </c>
      <c r="N127" s="17">
        <f ca="1">INDEX(INDIRECT(zoneFichierTraite),$J127+offsetInitialFichierTraite,3)</f>
        <v>8050846090347</v>
      </c>
      <c r="O127" s="2" t="e">
        <f ca="1">MATCH(N127,INDIRECT(nomFichierEAN13Valmag &amp; "!A:A"),0)</f>
        <v>#N/A</v>
      </c>
      <c r="P127" s="2">
        <f ca="1">MATCH(R127,INDIRECT(nomFichierEAN13Valmag &amp; "!A:A"),0)</f>
        <v>8937</v>
      </c>
      <c r="Q127" s="2">
        <f ca="1">MATCH(LEFT(B127,14) &amp; "*",INDIRECT(nomFichierBaseCatalogue &amp; "!B:B"),0)</f>
        <v>731</v>
      </c>
      <c r="R127" s="17">
        <f ca="1">IFERROR(INDEX(INDIRECT(zoneFichierBaseCatalogue),Q127,1),"")</f>
        <v>8050846039780</v>
      </c>
      <c r="S127" s="2">
        <f ca="1">MATCH(B127,INDIRECT(nomFichierFiltreCatalogue &amp; "!B:B"),0)</f>
        <v>61</v>
      </c>
      <c r="T127" s="17"/>
    </row>
    <row r="128" spans="1:20" s="24" customFormat="1" ht="15.75" customHeight="1" x14ac:dyDescent="0.25">
      <c r="A128" s="30">
        <f ca="1">INDEX(INDIRECT(zoneFichierTraite),$J127+offsetInitialFichierTraite,2)</f>
        <v>33</v>
      </c>
      <c r="B128" s="29" t="str">
        <f ca="1">IFERROR(INDEX(INDIRECT(zoneFichierEAN13Valmag),$P127,3),"")</f>
        <v xml:space="preserve">OGLAM           </v>
      </c>
      <c r="C128" s="22" t="str">
        <f ca="1">IFERROR(INDEX(INDIRECT(zoneFichierEAN13Valmag),$O127,3),"")</f>
        <v/>
      </c>
      <c r="D128" s="23" t="str">
        <f ca="1">IFERROR(INDEX(INDIRECT(zoneFichierEAN13Valmag),$O127,4),"")</f>
        <v/>
      </c>
      <c r="E128" s="38" t="str">
        <f ca="1">IFERROR(INDEX(INDIRECT(zoneFichierFiltreCatalogue),S127,3),"")</f>
        <v>p013-1-11</v>
      </c>
      <c r="F128" s="23"/>
      <c r="G128" s="21"/>
      <c r="H128" s="39" t="str">
        <f ca="1">IFERROR(INDEX(INDIRECT(zoneFichierFiltreCatalogue),S127,6),"")</f>
        <v>fall 2019 presentation_/catalogo fall 19.txt</v>
      </c>
      <c r="R128" s="25"/>
      <c r="S128" s="25"/>
    </row>
    <row r="129" spans="1:20" ht="39" customHeight="1" thickBot="1" x14ac:dyDescent="0.65">
      <c r="A129" s="11" t="str">
        <f ca="1">INDEX(INDIRECT(zoneFichierTraite),$J129+offsetInitialFichierTraite,6)</f>
        <v>UNICA</v>
      </c>
      <c r="B129" s="7" t="str">
        <f ca="1">INDEX(INDIRECT(zoneFichierTraite),$J129+offsetInitialFichierTraite,4)</f>
        <v>OBAGB034-EVS00-616</v>
      </c>
      <c r="C129" s="31" t="str">
        <f ca="1">INDEX(INDIRECT(zoneFichierTraite),$J129+offsetInitialFichierTraite,5)</f>
        <v>CORPS O BAG GLAM EVA COMPOUND</v>
      </c>
      <c r="D129" s="32" t="str">
        <f ca="1">INDEX(INDIRECT(zoneFichierTraite),$J129+offsetInitialFichierTraite,13)</f>
        <v>ice</v>
      </c>
      <c r="E129" s="35">
        <f ca="1">INDEX(INDIRECT(zoneFichierTraite),$J129+offsetInitialFichierTraite,7)</f>
        <v>2</v>
      </c>
      <c r="F129" s="33">
        <f ca="1">INDEX(INDIRECT(zoneFichierTraite),$J129+offsetInitialFichierTraite,8)</f>
        <v>12.59</v>
      </c>
      <c r="G129" s="34">
        <f t="shared" ref="G129" ca="1" si="122">ROUNDUP(F129*3,0)</f>
        <v>38</v>
      </c>
      <c r="H129" s="37" t="str">
        <f t="shared" ref="H129" ca="1" si="123">IF(ISNUMBER(N129),codeEAN13(INT(N129/10)),"")</f>
        <v>8APASOG*ajadgb+</v>
      </c>
      <c r="J129" s="18">
        <f t="shared" si="69"/>
        <v>60</v>
      </c>
      <c r="L129" s="7" t="str">
        <f ca="1">INDEX(INDIRECT(zoneFichierTraite),$J129+offsetInitialFichierTraite,1)</f>
        <v>'060</v>
      </c>
      <c r="M129" s="14">
        <f ca="1">INDEX(INDIRECT(zoneFichierTraite),$J129+offsetInitialFichierTraite,9)</f>
        <v>25.18</v>
      </c>
      <c r="N129" s="17">
        <f ca="1">INDEX(INDIRECT(zoneFichierTraite),$J129+offsetInitialFichierTraite,3)</f>
        <v>8050846090361</v>
      </c>
      <c r="O129" s="2" t="e">
        <f ca="1">MATCH(N129,INDIRECT(nomFichierEAN13Valmag &amp; "!A:A"),0)</f>
        <v>#N/A</v>
      </c>
      <c r="P129" s="2">
        <f ca="1">MATCH(R129,INDIRECT(nomFichierEAN13Valmag &amp; "!A:A"),0)</f>
        <v>8937</v>
      </c>
      <c r="Q129" s="2">
        <f ca="1">MATCH(LEFT(B129,14) &amp; "*",INDIRECT(nomFichierBaseCatalogue &amp; "!B:B"),0)</f>
        <v>731</v>
      </c>
      <c r="R129" s="17">
        <f ca="1">IFERROR(INDEX(INDIRECT(zoneFichierBaseCatalogue),Q129,1),"")</f>
        <v>8050846039780</v>
      </c>
      <c r="S129" s="2">
        <f ca="1">MATCH(B129,INDIRECT(nomFichierFiltreCatalogue &amp; "!B:B"),0)</f>
        <v>62</v>
      </c>
      <c r="T129" s="17"/>
    </row>
    <row r="130" spans="1:20" s="24" customFormat="1" ht="15.75" customHeight="1" x14ac:dyDescent="0.25">
      <c r="A130" s="30">
        <f ca="1">INDEX(INDIRECT(zoneFichierTraite),$J129+offsetInitialFichierTraite,2)</f>
        <v>56</v>
      </c>
      <c r="B130" s="29" t="str">
        <f ca="1">IFERROR(INDEX(INDIRECT(zoneFichierEAN13Valmag),$P129,3),"")</f>
        <v xml:space="preserve">OGLAM           </v>
      </c>
      <c r="C130" s="22" t="str">
        <f ca="1">IFERROR(INDEX(INDIRECT(zoneFichierEAN13Valmag),$O129,3),"")</f>
        <v/>
      </c>
      <c r="D130" s="23" t="str">
        <f ca="1">IFERROR(INDEX(INDIRECT(zoneFichierEAN13Valmag),$O129,4),"")</f>
        <v/>
      </c>
      <c r="E130" s="38" t="str">
        <f ca="1">IFERROR(INDEX(INDIRECT(zoneFichierFiltreCatalogue),S129,3),"")</f>
        <v>p013-1-12</v>
      </c>
      <c r="F130" s="23"/>
      <c r="G130" s="21"/>
      <c r="H130" s="39" t="str">
        <f ca="1">IFERROR(INDEX(INDIRECT(zoneFichierFiltreCatalogue),S129,6),"")</f>
        <v>fall 2019 presentation_/catalogo fall 19.txt</v>
      </c>
      <c r="R130" s="25"/>
      <c r="S130" s="25"/>
    </row>
    <row r="131" spans="1:20" ht="39" customHeight="1" thickBot="1" x14ac:dyDescent="0.65">
      <c r="A131" s="11" t="str">
        <f ca="1">INDEX(INDIRECT(zoneFichierTraite),$J131+offsetInitialFichierTraite,6)</f>
        <v>UNICA</v>
      </c>
      <c r="B131" s="7" t="str">
        <f ca="1">INDEX(INDIRECT(zoneFichierTraite),$J131+offsetInitialFichierTraite,4)</f>
        <v>OBAGB056-TESBK-055</v>
      </c>
      <c r="C131" s="31" t="str">
        <f ca="1">INDEX(INDIRECT(zoneFichierTraite),$J131+offsetInitialFichierTraite,5)</f>
        <v>CORPS O BAG MARKET EN TISSU DOUDOUNE Ã€ CHEVRONS</v>
      </c>
      <c r="D131" s="32" t="str">
        <f ca="1">INDEX(INDIRECT(zoneFichierTraite),$J131+offsetInitialFichierTraite,13)</f>
        <v>nero</v>
      </c>
      <c r="E131" s="35">
        <f ca="1">INDEX(INDIRECT(zoneFichierTraite),$J131+offsetInitialFichierTraite,7)</f>
        <v>2</v>
      </c>
      <c r="F131" s="33">
        <f ca="1">INDEX(INDIRECT(zoneFichierTraite),$J131+offsetInitialFichierTraite,8)</f>
        <v>18.52</v>
      </c>
      <c r="G131" s="34">
        <f t="shared" ref="G131" ca="1" si="124">ROUNDUP(F131*3,0)</f>
        <v>56</v>
      </c>
      <c r="H131" s="37" t="str">
        <f t="shared" ref="H131" ca="1" si="125">IF(ISNUMBER(N131),codeEAN13(INT(N131/10)),"")</f>
        <v>8APASOG*ajahaf+</v>
      </c>
      <c r="J131" s="18">
        <f t="shared" si="69"/>
        <v>61</v>
      </c>
      <c r="L131" s="7" t="str">
        <f ca="1">INDEX(INDIRECT(zoneFichierTraite),$J131+offsetInitialFichierTraite,1)</f>
        <v>'061</v>
      </c>
      <c r="M131" s="14">
        <f ca="1">INDEX(INDIRECT(zoneFichierTraite),$J131+offsetInitialFichierTraite,9)</f>
        <v>37.04</v>
      </c>
      <c r="N131" s="17">
        <f ca="1">INDEX(INDIRECT(zoneFichierTraite),$J131+offsetInitialFichierTraite,3)</f>
        <v>8050846090705</v>
      </c>
      <c r="O131" s="2" t="e">
        <f ca="1">MATCH(N131,INDIRECT(nomFichierEAN13Valmag &amp; "!A:A"),0)</f>
        <v>#N/A</v>
      </c>
      <c r="P131" s="2" t="e">
        <f ca="1">MATCH(R131,INDIRECT(nomFichierEAN13Valmag &amp; "!A:A"),0)</f>
        <v>#N/A</v>
      </c>
      <c r="Q131" s="2">
        <f ca="1">MATCH(LEFT(B131,14) &amp; "*",INDIRECT(nomFichierBaseCatalogue &amp; "!B:B"),0)</f>
        <v>862</v>
      </c>
      <c r="R131" s="17">
        <f ca="1">IFERROR(INDEX(INDIRECT(zoneFichierBaseCatalogue),Q131,1),"")</f>
        <v>8050846090705</v>
      </c>
      <c r="S131" s="2">
        <f ca="1">MATCH(B131,INDIRECT(nomFichierFiltreCatalogue &amp; "!B:B"),0)</f>
        <v>120</v>
      </c>
      <c r="T131" s="17"/>
    </row>
    <row r="132" spans="1:20" s="24" customFormat="1" ht="15.75" customHeight="1" x14ac:dyDescent="0.25">
      <c r="A132" s="30">
        <f ca="1">INDEX(INDIRECT(zoneFichierTraite),$J131+offsetInitialFichierTraite,2)</f>
        <v>184</v>
      </c>
      <c r="B132" s="29" t="str">
        <f ca="1">IFERROR(INDEX(INDIRECT(zoneFichierEAN13Valmag),$P131,3),"")</f>
        <v/>
      </c>
      <c r="C132" s="22" t="str">
        <f ca="1">IFERROR(INDEX(INDIRECT(zoneFichierEAN13Valmag),$O131,3),"")</f>
        <v/>
      </c>
      <c r="D132" s="23" t="str">
        <f ca="1">IFERROR(INDEX(INDIRECT(zoneFichierEAN13Valmag),$O131,4),"")</f>
        <v/>
      </c>
      <c r="E132" s="38" t="str">
        <f ca="1">IFERROR(INDEX(INDIRECT(zoneFichierFiltreCatalogue),S131,3),"")</f>
        <v>p022-1-01</v>
      </c>
      <c r="F132" s="23"/>
      <c r="G132" s="21"/>
      <c r="H132" s="39" t="str">
        <f ca="1">IFERROR(INDEX(INDIRECT(zoneFichierFiltreCatalogue),S131,6),"")</f>
        <v>fall 2019 presentation_/catalogo fall 19.txt</v>
      </c>
      <c r="R132" s="25"/>
      <c r="S132" s="25"/>
    </row>
    <row r="133" spans="1:20" ht="39" customHeight="1" thickBot="1" x14ac:dyDescent="0.65">
      <c r="A133" s="11" t="str">
        <f ca="1">INDEX(INDIRECT(zoneFichierTraite),$J133+offsetInitialFichierTraite,6)</f>
        <v>UNICA</v>
      </c>
      <c r="B133" s="7" t="str">
        <f ca="1">INDEX(INDIRECT(zoneFichierTraite),$J133+offsetInitialFichierTraite,4)</f>
        <v>OBAGB056-TESBN-615</v>
      </c>
      <c r="C133" s="31" t="str">
        <f ca="1">INDEX(INDIRECT(zoneFichierTraite),$J133+offsetInitialFichierTraite,5)</f>
        <v>CORPS O BAG MARKET EN TISSU DOUDOUNE Ã€ CHECK</v>
      </c>
      <c r="D133" s="32" t="str">
        <f ca="1">INDEX(INDIRECT(zoneFichierTraite),$J133+offsetInitialFichierTraite,13)</f>
        <v>military</v>
      </c>
      <c r="E133" s="35">
        <f ca="1">INDEX(INDIRECT(zoneFichierTraite),$J133+offsetInitialFichierTraite,7)</f>
        <v>2</v>
      </c>
      <c r="F133" s="33">
        <f ca="1">INDEX(INDIRECT(zoneFichierTraite),$J133+offsetInitialFichierTraite,8)</f>
        <v>18.52</v>
      </c>
      <c r="G133" s="34">
        <f t="shared" ref="G133" ca="1" si="126">ROUNDUP(F133*3,0)</f>
        <v>56</v>
      </c>
      <c r="H133" s="37" t="str">
        <f t="shared" ref="H133" ca="1" si="127">IF(ISNUMBER(N133),codeEAN13(INT(N133/10)),"")</f>
        <v>8APASOG*ajahbc+</v>
      </c>
      <c r="J133" s="18">
        <f t="shared" si="69"/>
        <v>62</v>
      </c>
      <c r="L133" s="7" t="str">
        <f ca="1">INDEX(INDIRECT(zoneFichierTraite),$J133+offsetInitialFichierTraite,1)</f>
        <v>'062</v>
      </c>
      <c r="M133" s="14">
        <f ca="1">INDEX(INDIRECT(zoneFichierTraite),$J133+offsetInitialFichierTraite,9)</f>
        <v>37.04</v>
      </c>
      <c r="N133" s="17">
        <f ca="1">INDEX(INDIRECT(zoneFichierTraite),$J133+offsetInitialFichierTraite,3)</f>
        <v>8050846090712</v>
      </c>
      <c r="O133" s="2" t="e">
        <f ca="1">MATCH(N133,INDIRECT(nomFichierEAN13Valmag &amp; "!A:A"),0)</f>
        <v>#N/A</v>
      </c>
      <c r="P133" s="2" t="e">
        <f ca="1">MATCH(R133,INDIRECT(nomFichierEAN13Valmag &amp; "!A:A"),0)</f>
        <v>#N/A</v>
      </c>
      <c r="Q133" s="2">
        <f ca="1">MATCH(LEFT(B133,14) &amp; "*",INDIRECT(nomFichierBaseCatalogue &amp; "!B:B"),0)</f>
        <v>863</v>
      </c>
      <c r="R133" s="17">
        <f ca="1">IFERROR(INDEX(INDIRECT(zoneFichierBaseCatalogue),Q133,1),"")</f>
        <v>8050846090712</v>
      </c>
      <c r="S133" s="2">
        <f ca="1">MATCH(B133,INDIRECT(nomFichierFiltreCatalogue &amp; "!B:B"),0)</f>
        <v>121</v>
      </c>
      <c r="T133" s="17"/>
    </row>
    <row r="134" spans="1:20" s="24" customFormat="1" ht="15.75" customHeight="1" x14ac:dyDescent="0.25">
      <c r="A134" s="30">
        <f ca="1">INDEX(INDIRECT(zoneFichierTraite),$J133+offsetInitialFichierTraite,2)</f>
        <v>12</v>
      </c>
      <c r="B134" s="29" t="str">
        <f ca="1">IFERROR(INDEX(INDIRECT(zoneFichierEAN13Valmag),$P133,3),"")</f>
        <v/>
      </c>
      <c r="C134" s="22" t="str">
        <f ca="1">IFERROR(INDEX(INDIRECT(zoneFichierEAN13Valmag),$O133,3),"")</f>
        <v/>
      </c>
      <c r="D134" s="23" t="str">
        <f ca="1">IFERROR(INDEX(INDIRECT(zoneFichierEAN13Valmag),$O133,4),"")</f>
        <v/>
      </c>
      <c r="E134" s="38" t="str">
        <f ca="1">IFERROR(INDEX(INDIRECT(zoneFichierFiltreCatalogue),S133,3),"")</f>
        <v>p022-2-01</v>
      </c>
      <c r="F134" s="23"/>
      <c r="G134" s="21"/>
      <c r="H134" s="39" t="str">
        <f ca="1">IFERROR(INDEX(INDIRECT(zoneFichierFiltreCatalogue),S133,6),"")</f>
        <v>fall 2019 presentation_/catalogo fall 19.txt</v>
      </c>
      <c r="R134" s="25"/>
      <c r="S134" s="25"/>
    </row>
    <row r="135" spans="1:20" ht="39" customHeight="1" thickBot="1" x14ac:dyDescent="0.65">
      <c r="A135" s="11" t="str">
        <f ca="1">INDEX(INDIRECT(zoneFichierTraite),$J135+offsetInitialFichierTraite,6)</f>
        <v>UNICA</v>
      </c>
      <c r="B135" s="7" t="str">
        <f ca="1">INDEX(INDIRECT(zoneFichierTraite),$J135+offsetInitialFichierTraite,4)</f>
        <v>OBAGB206-EVS00-076</v>
      </c>
      <c r="C135" s="31" t="str">
        <f ca="1">INDEX(INDIRECT(zoneFichierTraite),$J135+offsetInitialFichierTraite,5)</f>
        <v>CORPS INFERIEUR O POCKET EVA COMPOUND</v>
      </c>
      <c r="D135" s="32" t="str">
        <f ca="1">INDEX(INDIRECT(zoneFichierTraite),$J135+offsetInitialFichierTraite,13)</f>
        <v>rosso</v>
      </c>
      <c r="E135" s="35">
        <f ca="1">INDEX(INDIRECT(zoneFichierTraite),$J135+offsetInitialFichierTraite,7)</f>
        <v>2</v>
      </c>
      <c r="F135" s="33">
        <f ca="1">INDEX(INDIRECT(zoneFichierTraite),$J135+offsetInitialFichierTraite,8)</f>
        <v>4.8</v>
      </c>
      <c r="G135" s="34">
        <f t="shared" ref="G135" ca="1" si="128">ROUNDUP(F135*3,0)</f>
        <v>15</v>
      </c>
      <c r="H135" s="37" t="str">
        <f t="shared" ref="H135" ca="1" si="129">IF(ISNUMBER(N135),codeEAN13(INT(N135/10)),"")</f>
        <v>8APGKTJ*bhiigd+</v>
      </c>
      <c r="J135" s="18">
        <f t="shared" si="69"/>
        <v>63</v>
      </c>
      <c r="L135" s="7" t="str">
        <f ca="1">INDEX(INDIRECT(zoneFichierTraite),$J135+offsetInitialFichierTraite,1)</f>
        <v>'063</v>
      </c>
      <c r="M135" s="14">
        <f ca="1">INDEX(INDIRECT(zoneFichierTraite),$J135+offsetInitialFichierTraite,9)</f>
        <v>9.6</v>
      </c>
      <c r="N135" s="17">
        <f ca="1">INDEX(INDIRECT(zoneFichierTraite),$J135+offsetInitialFichierTraite,3)</f>
        <v>8056099178863</v>
      </c>
      <c r="O135" s="2">
        <f ca="1">MATCH(N135,INDIRECT(nomFichierEAN13Valmag &amp; "!A:A"),0)</f>
        <v>5483</v>
      </c>
      <c r="P135" s="2">
        <f ca="1">MATCH(R135,INDIRECT(nomFichierEAN13Valmag &amp; "!A:A"),0)</f>
        <v>5436</v>
      </c>
      <c r="Q135" s="2">
        <f ca="1">MATCH(LEFT(B135,14) &amp; "*",INDIRECT(nomFichierBaseCatalogue &amp; "!B:B"),0)</f>
        <v>878</v>
      </c>
      <c r="R135" s="17">
        <f ca="1">IFERROR(INDEX(INDIRECT(zoneFichierBaseCatalogue),Q135,1),"")</f>
        <v>8050846039902</v>
      </c>
      <c r="S135" s="2">
        <f ca="1">MATCH(B135,INDIRECT(nomFichierFiltreCatalogue &amp; "!B:B"),0)</f>
        <v>95</v>
      </c>
      <c r="T135" s="17"/>
    </row>
    <row r="136" spans="1:20" s="24" customFormat="1" ht="15.75" customHeight="1" x14ac:dyDescent="0.25">
      <c r="A136" s="30">
        <f ca="1">INDEX(INDIRECT(zoneFichierTraite),$J135+offsetInitialFichierTraite,2)</f>
        <v>50</v>
      </c>
      <c r="B136" s="29" t="str">
        <f ca="1">IFERROR(INDEX(INDIRECT(zoneFichierEAN13Valmag),$P135,3),"")</f>
        <v xml:space="preserve">COQUOPOCKET     </v>
      </c>
      <c r="C136" s="22" t="str">
        <f ca="1">IFERROR(INDEX(INDIRECT(zoneFichierEAN13Valmag),$O135,3),"")</f>
        <v xml:space="preserve">COQUOPOCKET     </v>
      </c>
      <c r="D136" s="23" t="str">
        <f ca="1">IFERROR(INDEX(INDIRECT(zoneFichierEAN13Valmag),$O135,4),"")</f>
        <v xml:space="preserve">RED  </v>
      </c>
      <c r="E136" s="38" t="str">
        <f ca="1">IFERROR(INDEX(INDIRECT(zoneFichierFiltreCatalogue),S135,3),"")</f>
        <v>p018-1-06</v>
      </c>
      <c r="F136" s="23"/>
      <c r="G136" s="21"/>
      <c r="H136" s="39" t="str">
        <f ca="1">IFERROR(INDEX(INDIRECT(zoneFichierFiltreCatalogue),S135,6),"")</f>
        <v>fall 2019 presentation_/catalogo fall 19.txt</v>
      </c>
      <c r="R136" s="25"/>
      <c r="S136" s="25"/>
    </row>
    <row r="137" spans="1:20" ht="39" customHeight="1" thickBot="1" x14ac:dyDescent="0.65">
      <c r="A137" s="11" t="str">
        <f ca="1">INDEX(INDIRECT(zoneFichierTraite),$J137+offsetInitialFichierTraite,6)</f>
        <v>UNICA</v>
      </c>
      <c r="B137" s="7" t="str">
        <f ca="1">INDEX(INDIRECT(zoneFichierTraite),$J137+offsetInitialFichierTraite,4)</f>
        <v>OBAGB206-EVS00-144</v>
      </c>
      <c r="C137" s="31" t="str">
        <f ca="1">INDEX(INDIRECT(zoneFichierTraite),$J137+offsetInitialFichierTraite,5)</f>
        <v>CORPS INFERIEUR O POCKET EVA COMPOUND</v>
      </c>
      <c r="D137" s="32" t="str">
        <f ca="1">INDEX(INDIRECT(zoneFichierTraite),$J137+offsetInitialFichierTraite,13)</f>
        <v>ginestra</v>
      </c>
      <c r="E137" s="35">
        <f ca="1">INDEX(INDIRECT(zoneFichierTraite),$J137+offsetInitialFichierTraite,7)</f>
        <v>2</v>
      </c>
      <c r="F137" s="33">
        <f ca="1">INDEX(INDIRECT(zoneFichierTraite),$J137+offsetInitialFichierTraite,8)</f>
        <v>4.8</v>
      </c>
      <c r="G137" s="34">
        <f t="shared" ref="G137" ca="1" si="130">ROUNDUP(F137*3,0)</f>
        <v>15</v>
      </c>
      <c r="H137" s="37" t="str">
        <f t="shared" ref="H137" ca="1" si="131">IF(ISNUMBER(N137),codeEAN13(INT(N137/10)),"")</f>
        <v>8APASOG*ajbjgc+</v>
      </c>
      <c r="J137" s="18">
        <f t="shared" si="69"/>
        <v>64</v>
      </c>
      <c r="L137" s="7" t="str">
        <f ca="1">INDEX(INDIRECT(zoneFichierTraite),$J137+offsetInitialFichierTraite,1)</f>
        <v>'064</v>
      </c>
      <c r="M137" s="14">
        <f ca="1">INDEX(INDIRECT(zoneFichierTraite),$J137+offsetInitialFichierTraite,9)</f>
        <v>9.6</v>
      </c>
      <c r="N137" s="17">
        <f ca="1">INDEX(INDIRECT(zoneFichierTraite),$J137+offsetInitialFichierTraite,3)</f>
        <v>8050846091962</v>
      </c>
      <c r="O137" s="2" t="e">
        <f ca="1">MATCH(N137,INDIRECT(nomFichierEAN13Valmag &amp; "!A:A"),0)</f>
        <v>#N/A</v>
      </c>
      <c r="P137" s="2">
        <f ca="1">MATCH(R137,INDIRECT(nomFichierEAN13Valmag &amp; "!A:A"),0)</f>
        <v>5436</v>
      </c>
      <c r="Q137" s="2">
        <f ca="1">MATCH(LEFT(B137,14) &amp; "*",INDIRECT(nomFichierBaseCatalogue &amp; "!B:B"),0)</f>
        <v>878</v>
      </c>
      <c r="R137" s="17">
        <f ca="1">IFERROR(INDEX(INDIRECT(zoneFichierBaseCatalogue),Q137,1),"")</f>
        <v>8050846039902</v>
      </c>
      <c r="S137" s="2">
        <f ca="1">MATCH(B137,INDIRECT(nomFichierFiltreCatalogue &amp; "!B:B"),0)</f>
        <v>98</v>
      </c>
      <c r="T137" s="17"/>
    </row>
    <row r="138" spans="1:20" s="24" customFormat="1" ht="15.75" customHeight="1" x14ac:dyDescent="0.25">
      <c r="A138" s="30">
        <f ca="1">INDEX(INDIRECT(zoneFichierTraite),$J137+offsetInitialFichierTraite,2)</f>
        <v>164</v>
      </c>
      <c r="B138" s="29" t="str">
        <f ca="1">IFERROR(INDEX(INDIRECT(zoneFichierEAN13Valmag),$P137,3),"")</f>
        <v xml:space="preserve">COQUOPOCKET     </v>
      </c>
      <c r="C138" s="22" t="str">
        <f ca="1">IFERROR(INDEX(INDIRECT(zoneFichierEAN13Valmag),$O137,3),"")</f>
        <v/>
      </c>
      <c r="D138" s="23" t="str">
        <f ca="1">IFERROR(INDEX(INDIRECT(zoneFichierEAN13Valmag),$O137,4),"")</f>
        <v/>
      </c>
      <c r="E138" s="38" t="str">
        <f ca="1">IFERROR(INDEX(INDIRECT(zoneFichierFiltreCatalogue),S137,3),"")</f>
        <v>p018-1-09</v>
      </c>
      <c r="F138" s="23"/>
      <c r="G138" s="21"/>
      <c r="H138" s="39" t="str">
        <f ca="1">IFERROR(INDEX(INDIRECT(zoneFichierFiltreCatalogue),S137,6),"")</f>
        <v>fall 2019 presentation_/catalogo fall 19.txt</v>
      </c>
      <c r="R138" s="25"/>
      <c r="S138" s="25"/>
    </row>
    <row r="139" spans="1:20" ht="39" customHeight="1" thickBot="1" x14ac:dyDescent="0.65">
      <c r="A139" s="11" t="str">
        <f ca="1">INDEX(INDIRECT(zoneFichierTraite),$J139+offsetInitialFichierTraite,6)</f>
        <v>UNICA</v>
      </c>
      <c r="B139" s="7" t="str">
        <f ca="1">INDEX(INDIRECT(zoneFichierTraite),$J139+offsetInitialFichierTraite,4)</f>
        <v>OBAGB206-EVS00-158</v>
      </c>
      <c r="C139" s="31" t="str">
        <f ca="1">INDEX(INDIRECT(zoneFichierTraite),$J139+offsetInitialFichierTraite,5)</f>
        <v>CORPS INFERIEUR O POCKET EVA COMPOUND</v>
      </c>
      <c r="D139" s="32" t="str">
        <f ca="1">INDEX(INDIRECT(zoneFichierTraite),$J139+offsetInitialFichierTraite,13)</f>
        <v>vulcano</v>
      </c>
      <c r="E139" s="35">
        <f ca="1">INDEX(INDIRECT(zoneFichierTraite),$J139+offsetInitialFichierTraite,7)</f>
        <v>2</v>
      </c>
      <c r="F139" s="33">
        <f ca="1">INDEX(INDIRECT(zoneFichierTraite),$J139+offsetInitialFichierTraite,8)</f>
        <v>4.8</v>
      </c>
      <c r="G139" s="34">
        <f t="shared" ref="G139" ca="1" si="132">ROUNDUP(F139*3,0)</f>
        <v>15</v>
      </c>
      <c r="H139" s="37" t="str">
        <f t="shared" ref="H139" ca="1" si="133">IF(ISNUMBER(N139),codeEAN13(INT(N139/10)),"")</f>
        <v>8APAPNI*fjabbh+</v>
      </c>
      <c r="J139" s="18">
        <f t="shared" ref="J139:J201" si="134">J137+1</f>
        <v>65</v>
      </c>
      <c r="L139" s="7" t="str">
        <f ca="1">INDEX(INDIRECT(zoneFichierTraite),$J139+offsetInitialFichierTraite,1)</f>
        <v>'065</v>
      </c>
      <c r="M139" s="14">
        <f ca="1">INDEX(INDIRECT(zoneFichierTraite),$J139+offsetInitialFichierTraite,9)</f>
        <v>9.6</v>
      </c>
      <c r="N139" s="17">
        <f ca="1">INDEX(INDIRECT(zoneFichierTraite),$J139+offsetInitialFichierTraite,3)</f>
        <v>8050538590117</v>
      </c>
      <c r="O139" s="2">
        <f ca="1">MATCH(N139,INDIRECT(nomFichierEAN13Valmag &amp; "!A:A"),0)</f>
        <v>5509</v>
      </c>
      <c r="P139" s="2">
        <f ca="1">MATCH(R139,INDIRECT(nomFichierEAN13Valmag &amp; "!A:A"),0)</f>
        <v>5436</v>
      </c>
      <c r="Q139" s="2">
        <f ca="1">MATCH(LEFT(B139,14) &amp; "*",INDIRECT(nomFichierBaseCatalogue &amp; "!B:B"),0)</f>
        <v>878</v>
      </c>
      <c r="R139" s="17">
        <f ca="1">IFERROR(INDEX(INDIRECT(zoneFichierBaseCatalogue),Q139,1),"")</f>
        <v>8050846039902</v>
      </c>
      <c r="S139" s="2">
        <f ca="1">MATCH(B139,INDIRECT(nomFichierFiltreCatalogue &amp; "!B:B"),0)</f>
        <v>102</v>
      </c>
      <c r="T139" s="17"/>
    </row>
    <row r="140" spans="1:20" s="24" customFormat="1" ht="15.75" customHeight="1" x14ac:dyDescent="0.25">
      <c r="A140" s="30">
        <f ca="1">INDEX(INDIRECT(zoneFichierTraite),$J139+offsetInitialFichierTraite,2)</f>
        <v>141</v>
      </c>
      <c r="B140" s="29" t="str">
        <f ca="1">IFERROR(INDEX(INDIRECT(zoneFichierEAN13Valmag),$P139,3),"")</f>
        <v xml:space="preserve">COQUOPOCKET     </v>
      </c>
      <c r="C140" s="22" t="str">
        <f ca="1">IFERROR(INDEX(INDIRECT(zoneFichierEAN13Valmag),$O139,3),"")</f>
        <v xml:space="preserve">COQUOPOCKET     </v>
      </c>
      <c r="D140" s="23" t="str">
        <f ca="1">IFERROR(INDEX(INDIRECT(zoneFichierEAN13Valmag),$O139,4),"")</f>
        <v xml:space="preserve">VOLC </v>
      </c>
      <c r="E140" s="38" t="str">
        <f ca="1">IFERROR(INDEX(INDIRECT(zoneFichierFiltreCatalogue),S139,3),"")</f>
        <v>p018-1-13</v>
      </c>
      <c r="F140" s="23"/>
      <c r="G140" s="21"/>
      <c r="H140" s="39" t="str">
        <f ca="1">IFERROR(INDEX(INDIRECT(zoneFichierFiltreCatalogue),S139,6),"")</f>
        <v>fall 2019 presentation_/catalogo fall 19.txt</v>
      </c>
      <c r="R140" s="25"/>
      <c r="S140" s="25"/>
    </row>
    <row r="141" spans="1:20" ht="39" customHeight="1" thickBot="1" x14ac:dyDescent="0.65">
      <c r="A141" s="11" t="str">
        <f ca="1">INDEX(INDIRECT(zoneFichierTraite),$J141+offsetInitialFichierTraite,6)</f>
        <v>UNICA</v>
      </c>
      <c r="B141" s="7" t="str">
        <f ca="1">INDEX(INDIRECT(zoneFichierTraite),$J141+offsetInitialFichierTraite,4)</f>
        <v>OBAGB206-EVS00-614</v>
      </c>
      <c r="C141" s="31" t="str">
        <f ca="1">INDEX(INDIRECT(zoneFichierTraite),$J141+offsetInitialFichierTraite,5)</f>
        <v>CORPS INFERIEUR O POCKET EVA COMPOUND</v>
      </c>
      <c r="D141" s="32" t="str">
        <f ca="1">INDEX(INDIRECT(zoneFichierTraite),$J141+offsetInitialFichierTraite,13)</f>
        <v>imperial blu</v>
      </c>
      <c r="E141" s="35">
        <f ca="1">INDEX(INDIRECT(zoneFichierTraite),$J141+offsetInitialFichierTraite,7)</f>
        <v>2</v>
      </c>
      <c r="F141" s="33">
        <f ca="1">INDEX(INDIRECT(zoneFichierTraite),$J141+offsetInitialFichierTraite,8)</f>
        <v>4.8</v>
      </c>
      <c r="G141" s="34">
        <f t="shared" ref="G141" ca="1" si="135">ROUNDUP(F141*3,0)</f>
        <v>15</v>
      </c>
      <c r="H141" s="37" t="str">
        <f t="shared" ref="H141" ca="1" si="136">IF(ISNUMBER(N141),codeEAN13(INT(N141/10)),"")</f>
        <v>8APASOG*ajbjff+</v>
      </c>
      <c r="J141" s="18">
        <f t="shared" si="134"/>
        <v>66</v>
      </c>
      <c r="L141" s="7" t="str">
        <f ca="1">INDEX(INDIRECT(zoneFichierTraite),$J141+offsetInitialFichierTraite,1)</f>
        <v>'066</v>
      </c>
      <c r="M141" s="14">
        <f ca="1">INDEX(INDIRECT(zoneFichierTraite),$J141+offsetInitialFichierTraite,9)</f>
        <v>9.6</v>
      </c>
      <c r="N141" s="17">
        <f ca="1">INDEX(INDIRECT(zoneFichierTraite),$J141+offsetInitialFichierTraite,3)</f>
        <v>8050846091955</v>
      </c>
      <c r="O141" s="2" t="e">
        <f ca="1">MATCH(N141,INDIRECT(nomFichierEAN13Valmag &amp; "!A:A"),0)</f>
        <v>#N/A</v>
      </c>
      <c r="P141" s="2">
        <f ca="1">MATCH(R141,INDIRECT(nomFichierEAN13Valmag &amp; "!A:A"),0)</f>
        <v>5436</v>
      </c>
      <c r="Q141" s="2">
        <f ca="1">MATCH(LEFT(B141,14) &amp; "*",INDIRECT(nomFichierBaseCatalogue &amp; "!B:B"),0)</f>
        <v>878</v>
      </c>
      <c r="R141" s="17">
        <f ca="1">IFERROR(INDEX(INDIRECT(zoneFichierBaseCatalogue),Q141,1),"")</f>
        <v>8050846039902</v>
      </c>
      <c r="S141" s="2">
        <f ca="1">MATCH(B141,INDIRECT(nomFichierFiltreCatalogue &amp; "!B:B"),0)</f>
        <v>97</v>
      </c>
      <c r="T141" s="17"/>
    </row>
    <row r="142" spans="1:20" s="24" customFormat="1" ht="15.75" customHeight="1" x14ac:dyDescent="0.25">
      <c r="A142" s="30">
        <f ca="1">INDEX(INDIRECT(zoneFichierTraite),$J141+offsetInitialFichierTraite,2)</f>
        <v>123</v>
      </c>
      <c r="B142" s="29" t="str">
        <f ca="1">IFERROR(INDEX(INDIRECT(zoneFichierEAN13Valmag),$P141,3),"")</f>
        <v xml:space="preserve">COQUOPOCKET     </v>
      </c>
      <c r="C142" s="22" t="str">
        <f ca="1">IFERROR(INDEX(INDIRECT(zoneFichierEAN13Valmag),$O141,3),"")</f>
        <v/>
      </c>
      <c r="D142" s="23" t="str">
        <f ca="1">IFERROR(INDEX(INDIRECT(zoneFichierEAN13Valmag),$O141,4),"")</f>
        <v/>
      </c>
      <c r="E142" s="38" t="str">
        <f ca="1">IFERROR(INDEX(INDIRECT(zoneFichierFiltreCatalogue),S141,3),"")</f>
        <v>p018-1-08</v>
      </c>
      <c r="F142" s="23"/>
      <c r="G142" s="21"/>
      <c r="H142" s="39" t="str">
        <f ca="1">IFERROR(INDEX(INDIRECT(zoneFichierFiltreCatalogue),S141,6),"")</f>
        <v>fall 2019 presentation_/catalogo fall 19.txt</v>
      </c>
      <c r="R142" s="25"/>
      <c r="S142" s="25"/>
    </row>
    <row r="143" spans="1:20" ht="39" customHeight="1" thickBot="1" x14ac:dyDescent="0.65">
      <c r="A143" s="11" t="str">
        <f ca="1">INDEX(INDIRECT(zoneFichierTraite),$J143+offsetInitialFichierTraite,6)</f>
        <v>UNICA</v>
      </c>
      <c r="B143" s="7" t="str">
        <f ca="1">INDEX(INDIRECT(zoneFichierTraite),$J143+offsetInitialFichierTraite,4)</f>
        <v>OBAGB206-EVS00-615</v>
      </c>
      <c r="C143" s="31" t="str">
        <f ca="1">INDEX(INDIRECT(zoneFichierTraite),$J143+offsetInitialFichierTraite,5)</f>
        <v>CORPS INFERIEUR O POCKET EVA COMPOUND</v>
      </c>
      <c r="D143" s="32" t="str">
        <f ca="1">INDEX(INDIRECT(zoneFichierTraite),$J143+offsetInitialFichierTraite,13)</f>
        <v>military</v>
      </c>
      <c r="E143" s="35">
        <f ca="1">INDEX(INDIRECT(zoneFichierTraite),$J143+offsetInitialFichierTraite,7)</f>
        <v>2</v>
      </c>
      <c r="F143" s="33">
        <f ca="1">INDEX(INDIRECT(zoneFichierTraite),$J143+offsetInitialFichierTraite,8)</f>
        <v>4.8</v>
      </c>
      <c r="G143" s="34">
        <f t="shared" ref="G143" ca="1" si="137">ROUNDUP(F143*3,0)</f>
        <v>15</v>
      </c>
      <c r="H143" s="37" t="str">
        <f t="shared" ref="H143" ca="1" si="138">IF(ISNUMBER(N143),codeEAN13(INT(N143/10)),"")</f>
        <v>8APASOG*ajbjig+</v>
      </c>
      <c r="J143" s="18">
        <f t="shared" si="134"/>
        <v>67</v>
      </c>
      <c r="L143" s="7" t="str">
        <f ca="1">INDEX(INDIRECT(zoneFichierTraite),$J143+offsetInitialFichierTraite,1)</f>
        <v>'067</v>
      </c>
      <c r="M143" s="14">
        <f ca="1">INDEX(INDIRECT(zoneFichierTraite),$J143+offsetInitialFichierTraite,9)</f>
        <v>9.6</v>
      </c>
      <c r="N143" s="17">
        <f ca="1">INDEX(INDIRECT(zoneFichierTraite),$J143+offsetInitialFichierTraite,3)</f>
        <v>8050846091986</v>
      </c>
      <c r="O143" s="2" t="e">
        <f ca="1">MATCH(N143,INDIRECT(nomFichierEAN13Valmag &amp; "!A:A"),0)</f>
        <v>#N/A</v>
      </c>
      <c r="P143" s="2">
        <f ca="1">MATCH(R143,INDIRECT(nomFichierEAN13Valmag &amp; "!A:A"),0)</f>
        <v>5436</v>
      </c>
      <c r="Q143" s="2">
        <f ca="1">MATCH(LEFT(B143,14) &amp; "*",INDIRECT(nomFichierBaseCatalogue &amp; "!B:B"),0)</f>
        <v>878</v>
      </c>
      <c r="R143" s="17">
        <f ca="1">IFERROR(INDEX(INDIRECT(zoneFichierBaseCatalogue),Q143,1),"")</f>
        <v>8050846039902</v>
      </c>
      <c r="S143" s="2">
        <f ca="1">MATCH(B143,INDIRECT(nomFichierFiltreCatalogue &amp; "!B:B"),0)</f>
        <v>99</v>
      </c>
      <c r="T143" s="17"/>
    </row>
    <row r="144" spans="1:20" s="24" customFormat="1" ht="15.75" customHeight="1" x14ac:dyDescent="0.25">
      <c r="A144" s="30">
        <f ca="1">INDEX(INDIRECT(zoneFichierTraite),$J143+offsetInitialFichierTraite,2)</f>
        <v>37</v>
      </c>
      <c r="B144" s="29" t="str">
        <f ca="1">IFERROR(INDEX(INDIRECT(zoneFichierEAN13Valmag),$P143,3),"")</f>
        <v xml:space="preserve">COQUOPOCKET     </v>
      </c>
      <c r="C144" s="22" t="str">
        <f ca="1">IFERROR(INDEX(INDIRECT(zoneFichierEAN13Valmag),$O143,3),"")</f>
        <v/>
      </c>
      <c r="D144" s="23" t="str">
        <f ca="1">IFERROR(INDEX(INDIRECT(zoneFichierEAN13Valmag),$O143,4),"")</f>
        <v/>
      </c>
      <c r="E144" s="38" t="str">
        <f ca="1">IFERROR(INDEX(INDIRECT(zoneFichierFiltreCatalogue),S143,3),"")</f>
        <v>p018-1-10</v>
      </c>
      <c r="F144" s="23"/>
      <c r="G144" s="21"/>
      <c r="H144" s="39" t="str">
        <f ca="1">IFERROR(INDEX(INDIRECT(zoneFichierFiltreCatalogue),S143,6),"")</f>
        <v>fall 2019 presentation_/catalogo fall 19.txt</v>
      </c>
      <c r="R144" s="25"/>
      <c r="S144" s="25"/>
    </row>
    <row r="145" spans="1:20" ht="39" customHeight="1" thickBot="1" x14ac:dyDescent="0.65">
      <c r="A145" s="11" t="str">
        <f ca="1">INDEX(INDIRECT(zoneFichierTraite),$J145+offsetInitialFichierTraite,6)</f>
        <v>UNICA</v>
      </c>
      <c r="B145" s="7" t="str">
        <f ca="1">INDEX(INDIRECT(zoneFichierTraite),$J145+offsetInitialFichierTraite,4)</f>
        <v>OBAGB206-EVS00-616</v>
      </c>
      <c r="C145" s="31" t="str">
        <f ca="1">INDEX(INDIRECT(zoneFichierTraite),$J145+offsetInitialFichierTraite,5)</f>
        <v>CORPS INFERIEUR O POCKET EVA COMPOUND</v>
      </c>
      <c r="D145" s="32" t="str">
        <f ca="1">INDEX(INDIRECT(zoneFichierTraite),$J145+offsetInitialFichierTraite,13)</f>
        <v>ice</v>
      </c>
      <c r="E145" s="35">
        <f ca="1">INDEX(INDIRECT(zoneFichierTraite),$J145+offsetInitialFichierTraite,7)</f>
        <v>2</v>
      </c>
      <c r="F145" s="33">
        <f ca="1">INDEX(INDIRECT(zoneFichierTraite),$J145+offsetInitialFichierTraite,8)</f>
        <v>4.8</v>
      </c>
      <c r="G145" s="34">
        <f t="shared" ref="G145" ca="1" si="139">ROUNDUP(F145*3,0)</f>
        <v>15</v>
      </c>
      <c r="H145" s="37" t="str">
        <f t="shared" ref="H145" ca="1" si="140">IF(ISNUMBER(N145),codeEAN13(INT(N145/10)),"")</f>
        <v>8APASOG*ajbjhj+</v>
      </c>
      <c r="J145" s="18">
        <f t="shared" si="134"/>
        <v>68</v>
      </c>
      <c r="L145" s="7" t="str">
        <f ca="1">INDEX(INDIRECT(zoneFichierTraite),$J145+offsetInitialFichierTraite,1)</f>
        <v>'068</v>
      </c>
      <c r="M145" s="14">
        <f ca="1">INDEX(INDIRECT(zoneFichierTraite),$J145+offsetInitialFichierTraite,9)</f>
        <v>9.6</v>
      </c>
      <c r="N145" s="17">
        <f ca="1">INDEX(INDIRECT(zoneFichierTraite),$J145+offsetInitialFichierTraite,3)</f>
        <v>8050846091979</v>
      </c>
      <c r="O145" s="2" t="e">
        <f ca="1">MATCH(N145,INDIRECT(nomFichierEAN13Valmag &amp; "!A:A"),0)</f>
        <v>#N/A</v>
      </c>
      <c r="P145" s="2">
        <f ca="1">MATCH(R145,INDIRECT(nomFichierEAN13Valmag &amp; "!A:A"),0)</f>
        <v>5436</v>
      </c>
      <c r="Q145" s="2">
        <f ca="1">MATCH(LEFT(B145,14) &amp; "*",INDIRECT(nomFichierBaseCatalogue &amp; "!B:B"),0)</f>
        <v>878</v>
      </c>
      <c r="R145" s="17">
        <f ca="1">IFERROR(INDEX(INDIRECT(zoneFichierBaseCatalogue),Q145,1),"")</f>
        <v>8050846039902</v>
      </c>
      <c r="S145" s="2">
        <f ca="1">MATCH(B145,INDIRECT(nomFichierFiltreCatalogue &amp; "!B:B"),0)</f>
        <v>101</v>
      </c>
      <c r="T145" s="17"/>
    </row>
    <row r="146" spans="1:20" s="24" customFormat="1" ht="15.75" customHeight="1" x14ac:dyDescent="0.25">
      <c r="A146" s="30">
        <f ca="1">INDEX(INDIRECT(zoneFichierTraite),$J145+offsetInitialFichierTraite,2)</f>
        <v>154</v>
      </c>
      <c r="B146" s="29" t="str">
        <f ca="1">IFERROR(INDEX(INDIRECT(zoneFichierEAN13Valmag),$P145,3),"")</f>
        <v xml:space="preserve">COQUOPOCKET     </v>
      </c>
      <c r="C146" s="22" t="str">
        <f ca="1">IFERROR(INDEX(INDIRECT(zoneFichierEAN13Valmag),$O145,3),"")</f>
        <v/>
      </c>
      <c r="D146" s="23" t="str">
        <f ca="1">IFERROR(INDEX(INDIRECT(zoneFichierEAN13Valmag),$O145,4),"")</f>
        <v/>
      </c>
      <c r="E146" s="38" t="str">
        <f ca="1">IFERROR(INDEX(INDIRECT(zoneFichierFiltreCatalogue),S145,3),"")</f>
        <v>p018-1-12</v>
      </c>
      <c r="F146" s="23"/>
      <c r="G146" s="21"/>
      <c r="H146" s="39" t="str">
        <f ca="1">IFERROR(INDEX(INDIRECT(zoneFichierFiltreCatalogue),S145,6),"")</f>
        <v>fall 2019 presentation_/catalogo fall 19.txt</v>
      </c>
      <c r="R146" s="25"/>
      <c r="S146" s="25"/>
    </row>
    <row r="147" spans="1:20" ht="39" customHeight="1" thickBot="1" x14ac:dyDescent="0.65">
      <c r="A147" s="11" t="str">
        <f ca="1">INDEX(INDIRECT(zoneFichierTraite),$J147+offsetInitialFichierTraite,6)</f>
        <v>UNICA</v>
      </c>
      <c r="B147" s="7" t="str">
        <f ca="1">INDEX(INDIRECT(zoneFichierTraite),$J147+offsetInitialFichierTraite,4)</f>
        <v>OBAGB426-ECSD3-227</v>
      </c>
      <c r="C147" s="31" t="str">
        <f ca="1">INDEX(INDIRECT(zoneFichierTraite),$J147+offsetInitialFichierTraite,5)</f>
        <v>CORPS COMPLET O BAG TOTE EN FAUX CUIR IMPRIME MARIGOLD</v>
      </c>
      <c r="D147" s="32" t="str">
        <f ca="1">INDEX(INDIRECT(zoneFichierTraite),$J147+offsetInitialFichierTraite,13)</f>
        <v>bianco/nero</v>
      </c>
      <c r="E147" s="35">
        <f ca="1">INDEX(INDIRECT(zoneFichierTraite),$J147+offsetInitialFichierTraite,7)</f>
        <v>2</v>
      </c>
      <c r="F147" s="33">
        <f ca="1">INDEX(INDIRECT(zoneFichierTraite),$J147+offsetInitialFichierTraite,8)</f>
        <v>31.48</v>
      </c>
      <c r="G147" s="34">
        <f t="shared" ref="G147" ca="1" si="141">ROUNDUP(F147*3,0)</f>
        <v>95</v>
      </c>
      <c r="H147" s="37" t="str">
        <f t="shared" ref="H147" ca="1" si="142">IF(ISNUMBER(N147),codeEAN13(INT(N147/10)),"")</f>
        <v>8APASOG*ajbghc+</v>
      </c>
      <c r="J147" s="18">
        <f t="shared" si="134"/>
        <v>69</v>
      </c>
      <c r="L147" s="7" t="str">
        <f ca="1">INDEX(INDIRECT(zoneFichierTraite),$J147+offsetInitialFichierTraite,1)</f>
        <v>'069</v>
      </c>
      <c r="M147" s="14">
        <f ca="1">INDEX(INDIRECT(zoneFichierTraite),$J147+offsetInitialFichierTraite,9)</f>
        <v>62.96</v>
      </c>
      <c r="N147" s="17">
        <f ca="1">INDEX(INDIRECT(zoneFichierTraite),$J147+offsetInitialFichierTraite,3)</f>
        <v>8050846091672</v>
      </c>
      <c r="O147" s="2" t="e">
        <f ca="1">MATCH(N147,INDIRECT(nomFichierEAN13Valmag &amp; "!A:A"),0)</f>
        <v>#N/A</v>
      </c>
      <c r="P147" s="2" t="e">
        <f ca="1">MATCH(R147,INDIRECT(nomFichierEAN13Valmag &amp; "!A:A"),0)</f>
        <v>#N/A</v>
      </c>
      <c r="Q147" s="2">
        <f ca="1">MATCH(LEFT(B147,14) &amp; "*",INDIRECT(nomFichierBaseCatalogue &amp; "!B:B"),0)</f>
        <v>945</v>
      </c>
      <c r="R147" s="17">
        <f ca="1">IFERROR(INDEX(INDIRECT(zoneFichierBaseCatalogue),Q147,1),"")</f>
        <v>8050846091672</v>
      </c>
      <c r="S147" s="2">
        <f ca="1">MATCH(B147,INDIRECT(nomFichierFiltreCatalogue &amp; "!B:B"),0)</f>
        <v>563</v>
      </c>
      <c r="T147" s="17"/>
    </row>
    <row r="148" spans="1:20" s="24" customFormat="1" ht="15.75" customHeight="1" x14ac:dyDescent="0.25">
      <c r="A148" s="30">
        <f ca="1">INDEX(INDIRECT(zoneFichierTraite),$J147+offsetInitialFichierTraite,2)</f>
        <v>142</v>
      </c>
      <c r="B148" s="29" t="str">
        <f ca="1">IFERROR(INDEX(INDIRECT(zoneFichierEAN13Valmag),$P147,3),"")</f>
        <v/>
      </c>
      <c r="C148" s="22" t="str">
        <f ca="1">IFERROR(INDEX(INDIRECT(zoneFichierEAN13Valmag),$O147,3),"")</f>
        <v/>
      </c>
      <c r="D148" s="23" t="str">
        <f ca="1">IFERROR(INDEX(INDIRECT(zoneFichierEAN13Valmag),$O147,4),"")</f>
        <v/>
      </c>
      <c r="E148" s="38" t="str">
        <f ca="1">IFERROR(INDEX(INDIRECT(zoneFichierFiltreCatalogue),S147,3),"")</f>
        <v>p141-2-01</v>
      </c>
      <c r="F148" s="23"/>
      <c r="G148" s="21"/>
      <c r="H148" s="39" t="str">
        <f ca="1">IFERROR(INDEX(INDIRECT(zoneFichierFiltreCatalogue),S147,6),"")</f>
        <v>fall 2019 presentation_/catalogo fall 19.txt</v>
      </c>
      <c r="R148" s="25"/>
      <c r="S148" s="25"/>
    </row>
    <row r="149" spans="1:20" ht="39" customHeight="1" thickBot="1" x14ac:dyDescent="0.65">
      <c r="A149" s="11" t="str">
        <f ca="1">INDEX(INDIRECT(zoneFichierTraite),$J149+offsetInitialFichierTraite,6)</f>
        <v>UNICA</v>
      </c>
      <c r="B149" s="7" t="str">
        <f ca="1">INDEX(INDIRECT(zoneFichierTraite),$J149+offsetInitialFichierTraite,4)</f>
        <v>OBAGC534-ECS29-017</v>
      </c>
      <c r="C149" s="31" t="str">
        <f ca="1">INDEX(INDIRECT(zoneFichierTraite),$J149+offsetInitialFichierTraite,5)</f>
        <v>FERMETURE Ã€ BANDEAU AVEC BOUCLE O BAG GLAM EN FAUX CUIR IMPRIME COCO</v>
      </c>
      <c r="D149" s="32" t="str">
        <f ca="1">INDEX(INDIRECT(zoneFichierTraite),$J149+offsetInitialFichierTraite,13)</f>
        <v>blu navy</v>
      </c>
      <c r="E149" s="35">
        <f ca="1">INDEX(INDIRECT(zoneFichierTraite),$J149+offsetInitialFichierTraite,7)</f>
        <v>1</v>
      </c>
      <c r="F149" s="33">
        <f ca="1">INDEX(INDIRECT(zoneFichierTraite),$J149+offsetInitialFichierTraite,8)</f>
        <v>8.89</v>
      </c>
      <c r="G149" s="34">
        <f t="shared" ref="G149" ca="1" si="143">ROUNDUP(F149*3,0)</f>
        <v>27</v>
      </c>
      <c r="H149" s="37" t="str">
        <f t="shared" ref="H149" ca="1" si="144">IF(ISNUMBER(N149),codeEAN13(INT(N149/10)),"")</f>
        <v>8APASOG*ajagjj+</v>
      </c>
      <c r="J149" s="18">
        <f t="shared" si="134"/>
        <v>70</v>
      </c>
      <c r="L149" s="7" t="str">
        <f ca="1">INDEX(INDIRECT(zoneFichierTraite),$J149+offsetInitialFichierTraite,1)</f>
        <v>'070</v>
      </c>
      <c r="M149" s="14">
        <f ca="1">INDEX(INDIRECT(zoneFichierTraite),$J149+offsetInitialFichierTraite,9)</f>
        <v>8.89</v>
      </c>
      <c r="N149" s="17">
        <f ca="1">INDEX(INDIRECT(zoneFichierTraite),$J149+offsetInitialFichierTraite,3)</f>
        <v>8050846090699</v>
      </c>
      <c r="O149" s="2" t="e">
        <f ca="1">MATCH(N149,INDIRECT(nomFichierEAN13Valmag &amp; "!A:A"),0)</f>
        <v>#N/A</v>
      </c>
      <c r="P149" s="2" t="e">
        <f ca="1">MATCH(R149,INDIRECT(nomFichierEAN13Valmag &amp; "!A:A"),0)</f>
        <v>#N/A</v>
      </c>
      <c r="Q149" s="2">
        <f ca="1">MATCH(LEFT(B149,14) &amp; "*",INDIRECT(nomFichierBaseCatalogue &amp; "!B:B"),0)</f>
        <v>979</v>
      </c>
      <c r="R149" s="17">
        <f ca="1">IFERROR(INDEX(INDIRECT(zoneFichierBaseCatalogue),Q149,1),"")</f>
        <v>8050846090699</v>
      </c>
      <c r="S149" s="2">
        <f ca="1">MATCH(B149,INDIRECT(nomFichierFiltreCatalogue &amp; "!B:B"),0)</f>
        <v>513</v>
      </c>
      <c r="T149" s="17"/>
    </row>
    <row r="150" spans="1:20" s="24" customFormat="1" ht="15.75" customHeight="1" x14ac:dyDescent="0.25">
      <c r="A150" s="30">
        <f ca="1">INDEX(INDIRECT(zoneFichierTraite),$J149+offsetInitialFichierTraite,2)</f>
        <v>89</v>
      </c>
      <c r="B150" s="29" t="str">
        <f ca="1">IFERROR(INDEX(INDIRECT(zoneFichierEAN13Valmag),$P149,3),"")</f>
        <v/>
      </c>
      <c r="C150" s="22" t="str">
        <f ca="1">IFERROR(INDEX(INDIRECT(zoneFichierEAN13Valmag),$O149,3),"")</f>
        <v/>
      </c>
      <c r="D150" s="23" t="str">
        <f ca="1">IFERROR(INDEX(INDIRECT(zoneFichierEAN13Valmag),$O149,4),"")</f>
        <v/>
      </c>
      <c r="E150" s="38" t="str">
        <f ca="1">IFERROR(INDEX(INDIRECT(zoneFichierFiltreCatalogue),S149,3),"")</f>
        <v>p128-2-01</v>
      </c>
      <c r="F150" s="23"/>
      <c r="G150" s="21"/>
      <c r="H150" s="39" t="str">
        <f ca="1">IFERROR(INDEX(INDIRECT(zoneFichierFiltreCatalogue),S149,6),"")</f>
        <v>fall 2019 presentation_/catalogo fall 19.txt</v>
      </c>
      <c r="R150" s="25"/>
      <c r="S150" s="25"/>
    </row>
    <row r="151" spans="1:20" ht="39" customHeight="1" thickBot="1" x14ac:dyDescent="0.65">
      <c r="A151" s="11" t="str">
        <f ca="1">INDEX(INDIRECT(zoneFichierTraite),$J151+offsetInitialFichierTraite,6)</f>
        <v>UNICA</v>
      </c>
      <c r="B151" s="7" t="str">
        <f ca="1">INDEX(INDIRECT(zoneFichierTraite),$J151+offsetInitialFichierTraite,4)</f>
        <v>OBAGC534-ECS29-084</v>
      </c>
      <c r="C151" s="31" t="str">
        <f ca="1">INDEX(INDIRECT(zoneFichierTraite),$J151+offsetInitialFichierTraite,5)</f>
        <v>FERMETURE Ã€ BANDEAU AVEC BOUCLE O BAG GLAM EN FAUX CUIR IMPRIME COCO</v>
      </c>
      <c r="D151" s="32" t="str">
        <f ca="1">INDEX(INDIRECT(zoneFichierTraite),$J151+offsetInitialFichierTraite,13)</f>
        <v>testa di moro</v>
      </c>
      <c r="E151" s="35">
        <f ca="1">INDEX(INDIRECT(zoneFichierTraite),$J151+offsetInitialFichierTraite,7)</f>
        <v>1</v>
      </c>
      <c r="F151" s="33">
        <f ca="1">INDEX(INDIRECT(zoneFichierTraite),$J151+offsetInitialFichierTraite,8)</f>
        <v>8.89</v>
      </c>
      <c r="G151" s="34">
        <f t="shared" ref="G151" ca="1" si="145">ROUNDUP(F151*3,0)</f>
        <v>27</v>
      </c>
      <c r="H151" s="37" t="str">
        <f t="shared" ref="H151" ca="1" si="146">IF(ISNUMBER(N151),codeEAN13(INT(N151/10)),"")</f>
        <v>8APASOG*ajagic+</v>
      </c>
      <c r="J151" s="18">
        <f t="shared" si="134"/>
        <v>71</v>
      </c>
      <c r="L151" s="7" t="str">
        <f ca="1">INDEX(INDIRECT(zoneFichierTraite),$J151+offsetInitialFichierTraite,1)</f>
        <v>'071</v>
      </c>
      <c r="M151" s="14">
        <f ca="1">INDEX(INDIRECT(zoneFichierTraite),$J151+offsetInitialFichierTraite,9)</f>
        <v>8.89</v>
      </c>
      <c r="N151" s="17">
        <f ca="1">INDEX(INDIRECT(zoneFichierTraite),$J151+offsetInitialFichierTraite,3)</f>
        <v>8050846090682</v>
      </c>
      <c r="O151" s="2" t="e">
        <f ca="1">MATCH(N151,INDIRECT(nomFichierEAN13Valmag &amp; "!A:A"),0)</f>
        <v>#N/A</v>
      </c>
      <c r="P151" s="2" t="e">
        <f ca="1">MATCH(R151,INDIRECT(nomFichierEAN13Valmag &amp; "!A:A"),0)</f>
        <v>#N/A</v>
      </c>
      <c r="Q151" s="2">
        <f ca="1">MATCH(LEFT(B151,14) &amp; "*",INDIRECT(nomFichierBaseCatalogue &amp; "!B:B"),0)</f>
        <v>979</v>
      </c>
      <c r="R151" s="17">
        <f ca="1">IFERROR(INDEX(INDIRECT(zoneFichierBaseCatalogue),Q151,1),"")</f>
        <v>8050846090699</v>
      </c>
      <c r="S151" s="2">
        <f ca="1">MATCH(B151,INDIRECT(nomFichierFiltreCatalogue &amp; "!B:B"),0)</f>
        <v>514</v>
      </c>
      <c r="T151" s="17"/>
    </row>
    <row r="152" spans="1:20" s="24" customFormat="1" ht="15.75" customHeight="1" x14ac:dyDescent="0.25">
      <c r="A152" s="30">
        <f ca="1">INDEX(INDIRECT(zoneFichierTraite),$J151+offsetInitialFichierTraite,2)</f>
        <v>218</v>
      </c>
      <c r="B152" s="29" t="str">
        <f ca="1">IFERROR(INDEX(INDIRECT(zoneFichierEAN13Valmag),$P151,3),"")</f>
        <v/>
      </c>
      <c r="C152" s="22" t="str">
        <f ca="1">IFERROR(INDEX(INDIRECT(zoneFichierEAN13Valmag),$O151,3),"")</f>
        <v/>
      </c>
      <c r="D152" s="23" t="str">
        <f ca="1">IFERROR(INDEX(INDIRECT(zoneFichierEAN13Valmag),$O151,4),"")</f>
        <v/>
      </c>
      <c r="E152" s="38" t="str">
        <f ca="1">IFERROR(INDEX(INDIRECT(zoneFichierFiltreCatalogue),S151,3),"")</f>
        <v>p128-2-02</v>
      </c>
      <c r="F152" s="23"/>
      <c r="G152" s="21"/>
      <c r="H152" s="39" t="str">
        <f ca="1">IFERROR(INDEX(INDIRECT(zoneFichierFiltreCatalogue),S151,6),"")</f>
        <v>fall 2019 presentation_/catalogo fall 19.txt</v>
      </c>
      <c r="R152" s="25"/>
      <c r="S152" s="25"/>
    </row>
    <row r="153" spans="1:20" ht="39" customHeight="1" thickBot="1" x14ac:dyDescent="0.65">
      <c r="A153" s="11" t="str">
        <f ca="1">INDEX(INDIRECT(zoneFichierTraite),$J153+offsetInitialFichierTraite,6)</f>
        <v>UNICA</v>
      </c>
      <c r="B153" s="7" t="str">
        <f ca="1">INDEX(INDIRECT(zoneFichierTraite),$J153+offsetInitialFichierTraite,4)</f>
        <v>OBAGC534-ECSC4-371</v>
      </c>
      <c r="C153" s="31" t="str">
        <f ca="1">INDEX(INDIRECT(zoneFichierTraite),$J153+offsetInitialFichierTraite,5)</f>
        <v>FERMETURE Ã€ BANDEAU AVEC BOUCLE O BAG GLAM EN FAUX CUIR EFFET GRIFFE + CLOUS</v>
      </c>
      <c r="D153" s="32" t="str">
        <f ca="1">INDEX(INDIRECT(zoneFichierTraite),$J153+offsetInitialFichierTraite,13)</f>
        <v>latte</v>
      </c>
      <c r="E153" s="35">
        <f ca="1">INDEX(INDIRECT(zoneFichierTraite),$J153+offsetInitialFichierTraite,7)</f>
        <v>1</v>
      </c>
      <c r="F153" s="33">
        <f ca="1">INDEX(INDIRECT(zoneFichierTraite),$J153+offsetInitialFichierTraite,8)</f>
        <v>11.85</v>
      </c>
      <c r="G153" s="34">
        <f t="shared" ref="G153" ca="1" si="147">ROUNDUP(F153*3,0)</f>
        <v>36</v>
      </c>
      <c r="H153" s="37" t="str">
        <f t="shared" ref="H153" ca="1" si="148">IF(ISNUMBER(N153),codeEAN13(INT(N153/10)),"")</f>
        <v>8APASOG*ajaggi+</v>
      </c>
      <c r="J153" s="18">
        <f t="shared" si="134"/>
        <v>72</v>
      </c>
      <c r="L153" s="7" t="str">
        <f ca="1">INDEX(INDIRECT(zoneFichierTraite),$J153+offsetInitialFichierTraite,1)</f>
        <v>'072</v>
      </c>
      <c r="M153" s="14">
        <f ca="1">INDEX(INDIRECT(zoneFichierTraite),$J153+offsetInitialFichierTraite,9)</f>
        <v>11.85</v>
      </c>
      <c r="N153" s="17">
        <f ca="1">INDEX(INDIRECT(zoneFichierTraite),$J153+offsetInitialFichierTraite,3)</f>
        <v>8050846090668</v>
      </c>
      <c r="O153" s="2" t="e">
        <f ca="1">MATCH(N153,INDIRECT(nomFichierEAN13Valmag &amp; "!A:A"),0)</f>
        <v>#N/A</v>
      </c>
      <c r="P153" s="2" t="e">
        <f ca="1">MATCH(R153,INDIRECT(nomFichierEAN13Valmag &amp; "!A:A"),0)</f>
        <v>#N/A</v>
      </c>
      <c r="Q153" s="2">
        <f ca="1">MATCH(LEFT(B153,14) &amp; "*",INDIRECT(nomFichierBaseCatalogue &amp; "!B:B"),0)</f>
        <v>983</v>
      </c>
      <c r="R153" s="17">
        <f ca="1">IFERROR(INDEX(INDIRECT(zoneFichierBaseCatalogue),Q153,1),"")</f>
        <v>8050846090675</v>
      </c>
      <c r="S153" s="2">
        <f ca="1">MATCH(B153,INDIRECT(nomFichierFiltreCatalogue &amp; "!B:B"),0)</f>
        <v>519</v>
      </c>
      <c r="T153" s="17"/>
    </row>
    <row r="154" spans="1:20" s="24" customFormat="1" ht="15.75" customHeight="1" x14ac:dyDescent="0.25">
      <c r="A154" s="30">
        <f ca="1">INDEX(INDIRECT(zoneFichierTraite),$J153+offsetInitialFichierTraite,2)</f>
        <v>173</v>
      </c>
      <c r="B154" s="29" t="str">
        <f ca="1">IFERROR(INDEX(INDIRECT(zoneFichierEAN13Valmag),$P153,3),"")</f>
        <v/>
      </c>
      <c r="C154" s="22" t="str">
        <f ca="1">IFERROR(INDEX(INDIRECT(zoneFichierEAN13Valmag),$O153,3),"")</f>
        <v/>
      </c>
      <c r="D154" s="23" t="str">
        <f ca="1">IFERROR(INDEX(INDIRECT(zoneFichierEAN13Valmag),$O153,4),"")</f>
        <v/>
      </c>
      <c r="E154" s="38" t="str">
        <f ca="1">IFERROR(INDEX(INDIRECT(zoneFichierFiltreCatalogue),S153,3),"")</f>
        <v>p130-2-02</v>
      </c>
      <c r="F154" s="23"/>
      <c r="G154" s="21"/>
      <c r="H154" s="39" t="str">
        <f ca="1">IFERROR(INDEX(INDIRECT(zoneFichierFiltreCatalogue),S153,6),"")</f>
        <v>fall 2019 presentation_/catalogo fall 19.txt</v>
      </c>
      <c r="R154" s="25"/>
      <c r="S154" s="25"/>
    </row>
    <row r="155" spans="1:20" ht="39" customHeight="1" thickBot="1" x14ac:dyDescent="0.65">
      <c r="A155" s="11" t="str">
        <f ca="1">INDEX(INDIRECT(zoneFichierTraite),$J155+offsetInitialFichierTraite,6)</f>
        <v>UNICA</v>
      </c>
      <c r="B155" s="7" t="str">
        <f ca="1">INDEX(INDIRECT(zoneFichierTraite),$J155+offsetInitialFichierTraite,4)</f>
        <v>OBAGC534-ECSC9-055</v>
      </c>
      <c r="C155" s="31" t="str">
        <f ca="1">INDEX(INDIRECT(zoneFichierTraite),$J155+offsetInitialFichierTraite,5)</f>
        <v>FERMETURE Ã€ BANDEAU AVEC BOUCLE O BAG GLAM EN FAUX CUIR IMPRIME ATHLEISURE</v>
      </c>
      <c r="D155" s="32" t="str">
        <f ca="1">INDEX(INDIRECT(zoneFichierTraite),$J155+offsetInitialFichierTraite,13)</f>
        <v>nero</v>
      </c>
      <c r="E155" s="35">
        <f ca="1">INDEX(INDIRECT(zoneFichierTraite),$J155+offsetInitialFichierTraite,7)</f>
        <v>1</v>
      </c>
      <c r="F155" s="33">
        <f ca="1">INDEX(INDIRECT(zoneFichierTraite),$J155+offsetInitialFichierTraite,8)</f>
        <v>8.89</v>
      </c>
      <c r="G155" s="34">
        <f t="shared" ref="G155" ca="1" si="149">ROUNDUP(F155*3,0)</f>
        <v>27</v>
      </c>
      <c r="H155" s="37" t="str">
        <f t="shared" ref="H155" ca="1" si="150">IF(ISNUMBER(N155),codeEAN13(INT(N155/10)),"")</f>
        <v>8APASOG*ajagee+</v>
      </c>
      <c r="J155" s="18">
        <f t="shared" si="134"/>
        <v>73</v>
      </c>
      <c r="L155" s="7" t="str">
        <f ca="1">INDEX(INDIRECT(zoneFichierTraite),$J155+offsetInitialFichierTraite,1)</f>
        <v>'073</v>
      </c>
      <c r="M155" s="14">
        <f ca="1">INDEX(INDIRECT(zoneFichierTraite),$J155+offsetInitialFichierTraite,9)</f>
        <v>8.89</v>
      </c>
      <c r="N155" s="17">
        <f ca="1">INDEX(INDIRECT(zoneFichierTraite),$J155+offsetInitialFichierTraite,3)</f>
        <v>8050846090644</v>
      </c>
      <c r="O155" s="2" t="e">
        <f ca="1">MATCH(N155,INDIRECT(nomFichierEAN13Valmag &amp; "!A:A"),0)</f>
        <v>#N/A</v>
      </c>
      <c r="P155" s="2" t="e">
        <f ca="1">MATCH(R155,INDIRECT(nomFichierEAN13Valmag &amp; "!A:A"),0)</f>
        <v>#N/A</v>
      </c>
      <c r="Q155" s="2">
        <f ca="1">MATCH(LEFT(B155,14) &amp; "*",INDIRECT(nomFichierBaseCatalogue &amp; "!B:B"),0)</f>
        <v>985</v>
      </c>
      <c r="R155" s="17">
        <f ca="1">IFERROR(INDEX(INDIRECT(zoneFichierBaseCatalogue),Q155,1),"")</f>
        <v>8050846090644</v>
      </c>
      <c r="S155" s="2">
        <f ca="1">MATCH(B155,INDIRECT(nomFichierFiltreCatalogue &amp; "!B:B"),0)</f>
        <v>511</v>
      </c>
      <c r="T155" s="17"/>
    </row>
    <row r="156" spans="1:20" s="24" customFormat="1" ht="15.75" customHeight="1" x14ac:dyDescent="0.25">
      <c r="A156" s="30">
        <f ca="1">INDEX(INDIRECT(zoneFichierTraite),$J155+offsetInitialFichierTraite,2)</f>
        <v>99</v>
      </c>
      <c r="B156" s="29" t="str">
        <f ca="1">IFERROR(INDEX(INDIRECT(zoneFichierEAN13Valmag),$P155,3),"")</f>
        <v/>
      </c>
      <c r="C156" s="22" t="str">
        <f ca="1">IFERROR(INDEX(INDIRECT(zoneFichierEAN13Valmag),$O155,3),"")</f>
        <v/>
      </c>
      <c r="D156" s="23" t="str">
        <f ca="1">IFERROR(INDEX(INDIRECT(zoneFichierEAN13Valmag),$O155,4),"")</f>
        <v/>
      </c>
      <c r="E156" s="38" t="str">
        <f ca="1">IFERROR(INDEX(INDIRECT(zoneFichierFiltreCatalogue),S155,3),"")</f>
        <v>p128-1-01</v>
      </c>
      <c r="F156" s="23"/>
      <c r="G156" s="21"/>
      <c r="H156" s="39" t="str">
        <f ca="1">IFERROR(INDEX(INDIRECT(zoneFichierFiltreCatalogue),S155,6),"")</f>
        <v>fall 2019 presentation_/catalogo fall 19.txt</v>
      </c>
      <c r="R156" s="25"/>
      <c r="S156" s="25"/>
    </row>
    <row r="157" spans="1:20" ht="39" customHeight="1" thickBot="1" x14ac:dyDescent="0.65">
      <c r="A157" s="11" t="str">
        <f ca="1">INDEX(INDIRECT(zoneFichierTraite),$J157+offsetInitialFichierTraite,6)</f>
        <v>UNICA</v>
      </c>
      <c r="B157" s="7" t="str">
        <f ca="1">INDEX(INDIRECT(zoneFichierTraite),$J157+offsetInitialFichierTraite,4)</f>
        <v>OBAGC534-ECSC9-137</v>
      </c>
      <c r="C157" s="31" t="str">
        <f ca="1">INDEX(INDIRECT(zoneFichierTraite),$J157+offsetInitialFichierTraite,5)</f>
        <v>FERMETURE Ã€ BANDEAU AVEC BOUCLE O BAG GLAM EN FAUX CUIR IMPRIME ATHLEISURE</v>
      </c>
      <c r="D157" s="32" t="str">
        <f ca="1">INDEX(INDIRECT(zoneFichierTraite),$J157+offsetInitialFichierTraite,13)</f>
        <v>bluette</v>
      </c>
      <c r="E157" s="35">
        <f ca="1">INDEX(INDIRECT(zoneFichierTraite),$J157+offsetInitialFichierTraite,7)</f>
        <v>1</v>
      </c>
      <c r="F157" s="33">
        <f ca="1">INDEX(INDIRECT(zoneFichierTraite),$J157+offsetInitialFichierTraite,8)</f>
        <v>8.89</v>
      </c>
      <c r="G157" s="34">
        <f t="shared" ref="G157" ca="1" si="151">ROUNDUP(F157*3,0)</f>
        <v>27</v>
      </c>
      <c r="H157" s="37" t="str">
        <f t="shared" ref="H157" ca="1" si="152">IF(ISNUMBER(N157),codeEAN13(INT(N157/10)),"")</f>
        <v>8APASOG*ajagfb+</v>
      </c>
      <c r="J157" s="18">
        <f t="shared" si="134"/>
        <v>74</v>
      </c>
      <c r="L157" s="7" t="str">
        <f ca="1">INDEX(INDIRECT(zoneFichierTraite),$J157+offsetInitialFichierTraite,1)</f>
        <v>'074</v>
      </c>
      <c r="M157" s="14">
        <f ca="1">INDEX(INDIRECT(zoneFichierTraite),$J157+offsetInitialFichierTraite,9)</f>
        <v>8.89</v>
      </c>
      <c r="N157" s="17">
        <f ca="1">INDEX(INDIRECT(zoneFichierTraite),$J157+offsetInitialFichierTraite,3)</f>
        <v>8050846090651</v>
      </c>
      <c r="O157" s="2" t="e">
        <f ca="1">MATCH(N157,INDIRECT(nomFichierEAN13Valmag &amp; "!A:A"),0)</f>
        <v>#N/A</v>
      </c>
      <c r="P157" s="2" t="e">
        <f ca="1">MATCH(R157,INDIRECT(nomFichierEAN13Valmag &amp; "!A:A"),0)</f>
        <v>#N/A</v>
      </c>
      <c r="Q157" s="2">
        <f ca="1">MATCH(LEFT(B157,14) &amp; "*",INDIRECT(nomFichierBaseCatalogue &amp; "!B:B"),0)</f>
        <v>985</v>
      </c>
      <c r="R157" s="17">
        <f ca="1">IFERROR(INDEX(INDIRECT(zoneFichierBaseCatalogue),Q157,1),"")</f>
        <v>8050846090644</v>
      </c>
      <c r="S157" s="2">
        <f ca="1">MATCH(B157,INDIRECT(nomFichierFiltreCatalogue &amp; "!B:B"),0)</f>
        <v>512</v>
      </c>
      <c r="T157" s="17"/>
    </row>
    <row r="158" spans="1:20" s="24" customFormat="1" ht="15.75" customHeight="1" x14ac:dyDescent="0.25">
      <c r="A158" s="30">
        <f ca="1">INDEX(INDIRECT(zoneFichierTraite),$J157+offsetInitialFichierTraite,2)</f>
        <v>114</v>
      </c>
      <c r="B158" s="29" t="str">
        <f ca="1">IFERROR(INDEX(INDIRECT(zoneFichierEAN13Valmag),$P157,3),"")</f>
        <v/>
      </c>
      <c r="C158" s="22" t="str">
        <f ca="1">IFERROR(INDEX(INDIRECT(zoneFichierEAN13Valmag),$O157,3),"")</f>
        <v/>
      </c>
      <c r="D158" s="23" t="str">
        <f ca="1">IFERROR(INDEX(INDIRECT(zoneFichierEAN13Valmag),$O157,4),"")</f>
        <v/>
      </c>
      <c r="E158" s="38" t="str">
        <f ca="1">IFERROR(INDEX(INDIRECT(zoneFichierFiltreCatalogue),S157,3),"")</f>
        <v>p128-1-02</v>
      </c>
      <c r="F158" s="23"/>
      <c r="G158" s="21"/>
      <c r="H158" s="39" t="str">
        <f ca="1">IFERROR(INDEX(INDIRECT(zoneFichierFiltreCatalogue),S157,6),"")</f>
        <v>fall 2019 presentation_/catalogo fall 19.txt</v>
      </c>
      <c r="R158" s="25"/>
      <c r="S158" s="25"/>
    </row>
    <row r="159" spans="1:20" ht="39" customHeight="1" thickBot="1" x14ac:dyDescent="0.65">
      <c r="A159" s="11" t="str">
        <f ca="1">INDEX(INDIRECT(zoneFichierTraite),$J159+offsetInitialFichierTraite,6)</f>
        <v>UNICA</v>
      </c>
      <c r="B159" s="7" t="str">
        <f ca="1">INDEX(INDIRECT(zoneFichierTraite),$J159+offsetInitialFichierTraite,4)</f>
        <v>OBAGC534-ECSD1-615</v>
      </c>
      <c r="C159" s="31" t="str">
        <f ca="1">INDEX(INDIRECT(zoneFichierTraite),$J159+offsetInitialFichierTraite,5)</f>
        <v>FERMETURE Ã€ BANDEAU AVEC BOUCLE O BAG GLAM EN FAUX CUIR IMPRIME FLEURS GEOMETRIQUES</v>
      </c>
      <c r="D159" s="32" t="str">
        <f ca="1">INDEX(INDIRECT(zoneFichierTraite),$J159+offsetInitialFichierTraite,13)</f>
        <v>military</v>
      </c>
      <c r="E159" s="35">
        <f ca="1">INDEX(INDIRECT(zoneFichierTraite),$J159+offsetInitialFichierTraite,7)</f>
        <v>1</v>
      </c>
      <c r="F159" s="33">
        <f ca="1">INDEX(INDIRECT(zoneFichierTraite),$J159+offsetInitialFichierTraite,8)</f>
        <v>10</v>
      </c>
      <c r="G159" s="34">
        <f t="shared" ref="G159" ca="1" si="153">ROUNDUP(F159*3,0)</f>
        <v>30</v>
      </c>
      <c r="H159" s="37" t="str">
        <f t="shared" ref="H159" ca="1" si="154">IF(ISNUMBER(N159),codeEAN13(INT(N159/10)),"")</f>
        <v>8APASOG*ajagca+</v>
      </c>
      <c r="J159" s="18">
        <f t="shared" si="134"/>
        <v>75</v>
      </c>
      <c r="L159" s="7" t="str">
        <f ca="1">INDEX(INDIRECT(zoneFichierTraite),$J159+offsetInitialFichierTraite,1)</f>
        <v>'075</v>
      </c>
      <c r="M159" s="14">
        <f ca="1">INDEX(INDIRECT(zoneFichierTraite),$J159+offsetInitialFichierTraite,9)</f>
        <v>10</v>
      </c>
      <c r="N159" s="17">
        <f ca="1">INDEX(INDIRECT(zoneFichierTraite),$J159+offsetInitialFichierTraite,3)</f>
        <v>8050846090620</v>
      </c>
      <c r="O159" s="2" t="e">
        <f ca="1">MATCH(N159,INDIRECT(nomFichierEAN13Valmag &amp; "!A:A"),0)</f>
        <v>#N/A</v>
      </c>
      <c r="P159" s="2" t="e">
        <f ca="1">MATCH(R159,INDIRECT(nomFichierEAN13Valmag &amp; "!A:A"),0)</f>
        <v>#N/A</v>
      </c>
      <c r="Q159" s="2">
        <f ca="1">MATCH(LEFT(B159,14) &amp; "*",INDIRECT(nomFichierBaseCatalogue &amp; "!B:B"),0)</f>
        <v>987</v>
      </c>
      <c r="R159" s="17">
        <f ca="1">IFERROR(INDEX(INDIRECT(zoneFichierBaseCatalogue),Q159,1),"")</f>
        <v>8050846090620</v>
      </c>
      <c r="S159" s="2">
        <f ca="1">MATCH(B159,INDIRECT(nomFichierFiltreCatalogue &amp; "!B:B"),0)</f>
        <v>515</v>
      </c>
      <c r="T159" s="17"/>
    </row>
    <row r="160" spans="1:20" s="24" customFormat="1" ht="15.75" customHeight="1" x14ac:dyDescent="0.25">
      <c r="A160" s="30">
        <f ca="1">INDEX(INDIRECT(zoneFichierTraite),$J159+offsetInitialFichierTraite,2)</f>
        <v>2</v>
      </c>
      <c r="B160" s="29" t="str">
        <f ca="1">IFERROR(INDEX(INDIRECT(zoneFichierEAN13Valmag),$P159,3),"")</f>
        <v/>
      </c>
      <c r="C160" s="22" t="str">
        <f ca="1">IFERROR(INDEX(INDIRECT(zoneFichierEAN13Valmag),$O159,3),"")</f>
        <v/>
      </c>
      <c r="D160" s="23" t="str">
        <f ca="1">IFERROR(INDEX(INDIRECT(zoneFichierEAN13Valmag),$O159,4),"")</f>
        <v/>
      </c>
      <c r="E160" s="38" t="str">
        <f ca="1">IFERROR(INDEX(INDIRECT(zoneFichierFiltreCatalogue),S159,3),"")</f>
        <v>p129-1-01</v>
      </c>
      <c r="F160" s="23"/>
      <c r="G160" s="21"/>
      <c r="H160" s="39" t="str">
        <f ca="1">IFERROR(INDEX(INDIRECT(zoneFichierFiltreCatalogue),S159,6),"")</f>
        <v>fall 2019 presentation_/catalogo fall 19.txt</v>
      </c>
      <c r="R160" s="25"/>
      <c r="S160" s="25"/>
    </row>
    <row r="161" spans="1:20" ht="39" customHeight="1" thickBot="1" x14ac:dyDescent="0.65">
      <c r="A161" s="11" t="str">
        <f ca="1">INDEX(INDIRECT(zoneFichierTraite),$J161+offsetInitialFichierTraite,6)</f>
        <v>UNICA</v>
      </c>
      <c r="B161" s="7" t="str">
        <f ca="1">INDEX(INDIRECT(zoneFichierTraite),$J161+offsetInitialFichierTraite,4)</f>
        <v>OBAGC534-ECSD2-227</v>
      </c>
      <c r="C161" s="31" t="str">
        <f ca="1">INDEX(INDIRECT(zoneFichierTraite),$J161+offsetInitialFichierTraite,5)</f>
        <v>FERMETURE Ã€ BANDEAU AVEC BOUCLE O BAG GLAM EN FAUX CUIR IMPRIME GEOMETRIC LILY</v>
      </c>
      <c r="D161" s="32" t="str">
        <f ca="1">INDEX(INDIRECT(zoneFichierTraite),$J161+offsetInitialFichierTraite,13)</f>
        <v>bianco/nero</v>
      </c>
      <c r="E161" s="35">
        <f ca="1">INDEX(INDIRECT(zoneFichierTraite),$J161+offsetInitialFichierTraite,7)</f>
        <v>1</v>
      </c>
      <c r="F161" s="33">
        <f ca="1">INDEX(INDIRECT(zoneFichierTraite),$J161+offsetInitialFichierTraite,8)</f>
        <v>10</v>
      </c>
      <c r="G161" s="34">
        <f t="shared" ref="G161" ca="1" si="155">ROUNDUP(F161*3,0)</f>
        <v>30</v>
      </c>
      <c r="H161" s="37" t="str">
        <f t="shared" ref="H161" ca="1" si="156">IF(ISNUMBER(N161),codeEAN13(INT(N161/10)),"")</f>
        <v>8APASOG*ajafcb+</v>
      </c>
      <c r="J161" s="18">
        <f t="shared" si="134"/>
        <v>76</v>
      </c>
      <c r="L161" s="7" t="str">
        <f ca="1">INDEX(INDIRECT(zoneFichierTraite),$J161+offsetInitialFichierTraite,1)</f>
        <v>'076</v>
      </c>
      <c r="M161" s="14">
        <f ca="1">INDEX(INDIRECT(zoneFichierTraite),$J161+offsetInitialFichierTraite,9)</f>
        <v>10</v>
      </c>
      <c r="N161" s="17">
        <f ca="1">INDEX(INDIRECT(zoneFichierTraite),$J161+offsetInitialFichierTraite,3)</f>
        <v>8050846090521</v>
      </c>
      <c r="O161" s="2" t="e">
        <f ca="1">MATCH(N161,INDIRECT(nomFichierEAN13Valmag &amp; "!A:A"),0)</f>
        <v>#N/A</v>
      </c>
      <c r="P161" s="2" t="e">
        <f ca="1">MATCH(R161,INDIRECT(nomFichierEAN13Valmag &amp; "!A:A"),0)</f>
        <v>#N/A</v>
      </c>
      <c r="Q161" s="2">
        <f ca="1">MATCH(LEFT(B161,14) &amp; "*",INDIRECT(nomFichierBaseCatalogue &amp; "!B:B"),0)</f>
        <v>988</v>
      </c>
      <c r="R161" s="17">
        <f ca="1">IFERROR(INDEX(INDIRECT(zoneFichierBaseCatalogue),Q161,1),"")</f>
        <v>8050846090521</v>
      </c>
      <c r="S161" s="2">
        <f ca="1">MATCH(B161,INDIRECT(nomFichierFiltreCatalogue &amp; "!B:B"),0)</f>
        <v>516</v>
      </c>
      <c r="T161" s="17"/>
    </row>
    <row r="162" spans="1:20" s="24" customFormat="1" ht="15.75" customHeight="1" x14ac:dyDescent="0.25">
      <c r="A162" s="30">
        <f ca="1">INDEX(INDIRECT(zoneFichierTraite),$J161+offsetInitialFichierTraite,2)</f>
        <v>211</v>
      </c>
      <c r="B162" s="29" t="str">
        <f ca="1">IFERROR(INDEX(INDIRECT(zoneFichierEAN13Valmag),$P161,3),"")</f>
        <v/>
      </c>
      <c r="C162" s="22" t="str">
        <f ca="1">IFERROR(INDEX(INDIRECT(zoneFichierEAN13Valmag),$O161,3),"")</f>
        <v/>
      </c>
      <c r="D162" s="23" t="str">
        <f ca="1">IFERROR(INDEX(INDIRECT(zoneFichierEAN13Valmag),$O161,4),"")</f>
        <v/>
      </c>
      <c r="E162" s="38" t="str">
        <f ca="1">IFERROR(INDEX(INDIRECT(zoneFichierFiltreCatalogue),S161,3),"")</f>
        <v>p129-2-01</v>
      </c>
      <c r="F162" s="23"/>
      <c r="G162" s="21"/>
      <c r="H162" s="39" t="str">
        <f ca="1">IFERROR(INDEX(INDIRECT(zoneFichierFiltreCatalogue),S161,6),"")</f>
        <v>fall 2019 presentation_/catalogo fall 19.txt</v>
      </c>
      <c r="R162" s="25"/>
      <c r="S162" s="25"/>
    </row>
    <row r="163" spans="1:20" ht="39" customHeight="1" thickBot="1" x14ac:dyDescent="0.65">
      <c r="A163" s="11" t="str">
        <f ca="1">INDEX(INDIRECT(zoneFichierTraite),$J163+offsetInitialFichierTraite,6)</f>
        <v>UNICA</v>
      </c>
      <c r="B163" s="7" t="str">
        <f ca="1">INDEX(INDIRECT(zoneFichierTraite),$J163+offsetInitialFichierTraite,4)</f>
        <v>OBAGC534-ECSD6-615</v>
      </c>
      <c r="C163" s="31" t="str">
        <f ca="1">INDEX(INDIRECT(zoneFichierTraite),$J163+offsetInitialFichierTraite,5)</f>
        <v>FERMETURE Ã€ BANDEAU AVEC BOUCLE O BAG GLAM EN FAUX CUIR IMPRIME DIANTHUS</v>
      </c>
      <c r="D163" s="32" t="str">
        <f ca="1">INDEX(INDIRECT(zoneFichierTraite),$J163+offsetInitialFichierTraite,13)</f>
        <v>military</v>
      </c>
      <c r="E163" s="35">
        <f ca="1">INDEX(INDIRECT(zoneFichierTraite),$J163+offsetInitialFichierTraite,7)</f>
        <v>1</v>
      </c>
      <c r="F163" s="33">
        <f ca="1">INDEX(INDIRECT(zoneFichierTraite),$J163+offsetInitialFichierTraite,8)</f>
        <v>10</v>
      </c>
      <c r="G163" s="34">
        <f t="shared" ref="G163" ca="1" si="157">ROUNDUP(F163*3,0)</f>
        <v>30</v>
      </c>
      <c r="H163" s="37" t="str">
        <f t="shared" ref="H163" ca="1" si="158">IF(ISNUMBER(N163),codeEAN13(INT(N163/10)),"")</f>
        <v>8APASOG*ajagdh+</v>
      </c>
      <c r="J163" s="18">
        <f t="shared" si="134"/>
        <v>77</v>
      </c>
      <c r="L163" s="7" t="str">
        <f ca="1">INDEX(INDIRECT(zoneFichierTraite),$J163+offsetInitialFichierTraite,1)</f>
        <v>'077</v>
      </c>
      <c r="M163" s="14">
        <f ca="1">INDEX(INDIRECT(zoneFichierTraite),$J163+offsetInitialFichierTraite,9)</f>
        <v>10</v>
      </c>
      <c r="N163" s="17">
        <f ca="1">INDEX(INDIRECT(zoneFichierTraite),$J163+offsetInitialFichierTraite,3)</f>
        <v>8050846090637</v>
      </c>
      <c r="O163" s="2" t="e">
        <f ca="1">MATCH(N163,INDIRECT(nomFichierEAN13Valmag &amp; "!A:A"),0)</f>
        <v>#N/A</v>
      </c>
      <c r="P163" s="2" t="e">
        <f ca="1">MATCH(R163,INDIRECT(nomFichierEAN13Valmag &amp; "!A:A"),0)</f>
        <v>#N/A</v>
      </c>
      <c r="Q163" s="2">
        <f ca="1">MATCH(LEFT(B163,14) &amp; "*",INDIRECT(nomFichierBaseCatalogue &amp; "!B:B"),0)</f>
        <v>989</v>
      </c>
      <c r="R163" s="17">
        <f ca="1">IFERROR(INDEX(INDIRECT(zoneFichierBaseCatalogue),Q163,1),"")</f>
        <v>8050846090637</v>
      </c>
      <c r="S163" s="2">
        <f ca="1">MATCH(B163,INDIRECT(nomFichierFiltreCatalogue &amp; "!B:B"),0)</f>
        <v>517</v>
      </c>
      <c r="T163" s="17"/>
    </row>
    <row r="164" spans="1:20" s="24" customFormat="1" ht="15.75" customHeight="1" x14ac:dyDescent="0.25">
      <c r="A164" s="30">
        <f ca="1">INDEX(INDIRECT(zoneFichierTraite),$J163+offsetInitialFichierTraite,2)</f>
        <v>203</v>
      </c>
      <c r="B164" s="29" t="str">
        <f ca="1">IFERROR(INDEX(INDIRECT(zoneFichierEAN13Valmag),$P163,3),"")</f>
        <v/>
      </c>
      <c r="C164" s="22" t="str">
        <f ca="1">IFERROR(INDEX(INDIRECT(zoneFichierEAN13Valmag),$O163,3),"")</f>
        <v/>
      </c>
      <c r="D164" s="23" t="str">
        <f ca="1">IFERROR(INDEX(INDIRECT(zoneFichierEAN13Valmag),$O163,4),"")</f>
        <v/>
      </c>
      <c r="E164" s="38" t="str">
        <f ca="1">IFERROR(INDEX(INDIRECT(zoneFichierFiltreCatalogue),S163,3),"")</f>
        <v>p130-1-01</v>
      </c>
      <c r="F164" s="23"/>
      <c r="G164" s="21"/>
      <c r="H164" s="39" t="str">
        <f ca="1">IFERROR(INDEX(INDIRECT(zoneFichierFiltreCatalogue),S163,6),"")</f>
        <v>fall 2019 presentation_/catalogo fall 19.txt</v>
      </c>
      <c r="R164" s="25"/>
      <c r="S164" s="25"/>
    </row>
    <row r="165" spans="1:20" ht="39" customHeight="1" thickBot="1" x14ac:dyDescent="0.65">
      <c r="A165" s="11" t="str">
        <f ca="1">INDEX(INDIRECT(zoneFichierTraite),$J165+offsetInitialFichierTraite,6)</f>
        <v>UNICA</v>
      </c>
      <c r="B165" s="7" t="str">
        <f ca="1">INDEX(INDIRECT(zoneFichierTraite),$J165+offsetInitialFichierTraite,4)</f>
        <v>OBAGP006-ECSD2-227</v>
      </c>
      <c r="C165" s="31" t="str">
        <f ca="1">INDEX(INDIRECT(zoneFichierTraite),$J165+offsetInitialFichierTraite,5)</f>
        <v>RABAT O POCKET EN FAUX CUIR IMPRIME GEOMETRIC LILY</v>
      </c>
      <c r="D165" s="32" t="str">
        <f ca="1">INDEX(INDIRECT(zoneFichierTraite),$J165+offsetInitialFichierTraite,13)</f>
        <v>bianco/nero</v>
      </c>
      <c r="E165" s="35">
        <f ca="1">INDEX(INDIRECT(zoneFichierTraite),$J165+offsetInitialFichierTraite,7)</f>
        <v>2</v>
      </c>
      <c r="F165" s="33">
        <f ca="1">INDEX(INDIRECT(zoneFichierTraite),$J165+offsetInitialFichierTraite,8)</f>
        <v>11.85</v>
      </c>
      <c r="G165" s="34">
        <f t="shared" ref="G165" ca="1" si="159">ROUNDUP(F165*3,0)</f>
        <v>36</v>
      </c>
      <c r="H165" s="37" t="str">
        <f t="shared" ref="H165" ca="1" si="160">IF(ISNUMBER(N165),codeEAN13(INT(N165/10)),"")</f>
        <v>8APASOG*ajcabd+</v>
      </c>
      <c r="J165" s="18">
        <f t="shared" si="134"/>
        <v>78</v>
      </c>
      <c r="L165" s="7" t="str">
        <f ca="1">INDEX(INDIRECT(zoneFichierTraite),$J165+offsetInitialFichierTraite,1)</f>
        <v>'078</v>
      </c>
      <c r="M165" s="14">
        <f ca="1">INDEX(INDIRECT(zoneFichierTraite),$J165+offsetInitialFichierTraite,9)</f>
        <v>23.7</v>
      </c>
      <c r="N165" s="17">
        <f ca="1">INDEX(INDIRECT(zoneFichierTraite),$J165+offsetInitialFichierTraite,3)</f>
        <v>8050846092013</v>
      </c>
      <c r="O165" s="2" t="e">
        <f ca="1">MATCH(N165,INDIRECT(nomFichierEAN13Valmag &amp; "!A:A"),0)</f>
        <v>#N/A</v>
      </c>
      <c r="P165" s="2" t="e">
        <f ca="1">MATCH(R165,INDIRECT(nomFichierEAN13Valmag &amp; "!A:A"),0)</f>
        <v>#N/A</v>
      </c>
      <c r="Q165" s="2">
        <f ca="1">MATCH(LEFT(B165,14) &amp; "*",INDIRECT(nomFichierBaseCatalogue &amp; "!B:B"),0)</f>
        <v>999</v>
      </c>
      <c r="R165" s="17">
        <f ca="1">IFERROR(INDEX(INDIRECT(zoneFichierBaseCatalogue),Q165,1),"")</f>
        <v>8050846092013</v>
      </c>
      <c r="S165" s="2">
        <f ca="1">MATCH(B165,INDIRECT(nomFichierFiltreCatalogue &amp; "!B:B"),0)</f>
        <v>456</v>
      </c>
      <c r="T165" s="17"/>
    </row>
    <row r="166" spans="1:20" s="24" customFormat="1" ht="15.75" customHeight="1" x14ac:dyDescent="0.25">
      <c r="A166" s="30">
        <f ca="1">INDEX(INDIRECT(zoneFichierTraite),$J165+offsetInitialFichierTraite,2)</f>
        <v>149</v>
      </c>
      <c r="B166" s="29" t="str">
        <f ca="1">IFERROR(INDEX(INDIRECT(zoneFichierEAN13Valmag),$P165,3),"")</f>
        <v/>
      </c>
      <c r="C166" s="22" t="str">
        <f ca="1">IFERROR(INDEX(INDIRECT(zoneFichierEAN13Valmag),$O165,3),"")</f>
        <v/>
      </c>
      <c r="D166" s="23" t="str">
        <f ca="1">IFERROR(INDEX(INDIRECT(zoneFichierEAN13Valmag),$O165,4),"")</f>
        <v/>
      </c>
      <c r="E166" s="38" t="str">
        <f ca="1">IFERROR(INDEX(INDIRECT(zoneFichierFiltreCatalogue),S165,3),"")</f>
        <v>p110-1-01</v>
      </c>
      <c r="F166" s="23"/>
      <c r="G166" s="21"/>
      <c r="H166" s="39" t="str">
        <f ca="1">IFERROR(INDEX(INDIRECT(zoneFichierFiltreCatalogue),S165,6),"")</f>
        <v>fall 2019 presentation_/catalogo fall 19.txt</v>
      </c>
      <c r="R166" s="25"/>
      <c r="S166" s="25"/>
    </row>
    <row r="167" spans="1:20" ht="39" customHeight="1" thickBot="1" x14ac:dyDescent="0.65">
      <c r="A167" s="11" t="str">
        <f ca="1">INDEX(INDIRECT(zoneFichierTraite),$J167+offsetInitialFichierTraite,6)</f>
        <v>UNICA</v>
      </c>
      <c r="B167" s="7" t="str">
        <f ca="1">INDEX(INDIRECT(zoneFichierTraite),$J167+offsetInitialFichierTraite,4)</f>
        <v>OBAGP006-ECSD6-615</v>
      </c>
      <c r="C167" s="31" t="str">
        <f ca="1">INDEX(INDIRECT(zoneFichierTraite),$J167+offsetInitialFichierTraite,5)</f>
        <v>RABAT O POCKET EN FAUX CUIR IMPRIME DIANTHUS</v>
      </c>
      <c r="D167" s="32" t="str">
        <f ca="1">INDEX(INDIRECT(zoneFichierTraite),$J167+offsetInitialFichierTraite,13)</f>
        <v>military</v>
      </c>
      <c r="E167" s="35">
        <f ca="1">INDEX(INDIRECT(zoneFichierTraite),$J167+offsetInitialFichierTraite,7)</f>
        <v>2</v>
      </c>
      <c r="F167" s="33">
        <f ca="1">INDEX(INDIRECT(zoneFichierTraite),$J167+offsetInitialFichierTraite,8)</f>
        <v>11.85</v>
      </c>
      <c r="G167" s="34">
        <f t="shared" ref="G167" ca="1" si="161">ROUNDUP(F167*3,0)</f>
        <v>36</v>
      </c>
      <c r="H167" s="37" t="str">
        <f t="shared" ref="H167" ca="1" si="162">IF(ISNUMBER(N167),codeEAN13(INT(N167/10)),"")</f>
        <v>8APASOG*ajbjjd+</v>
      </c>
      <c r="J167" s="18">
        <f t="shared" si="134"/>
        <v>79</v>
      </c>
      <c r="L167" s="7" t="str">
        <f ca="1">INDEX(INDIRECT(zoneFichierTraite),$J167+offsetInitialFichierTraite,1)</f>
        <v>'079</v>
      </c>
      <c r="M167" s="14">
        <f ca="1">INDEX(INDIRECT(zoneFichierTraite),$J167+offsetInitialFichierTraite,9)</f>
        <v>23.7</v>
      </c>
      <c r="N167" s="17">
        <f ca="1">INDEX(INDIRECT(zoneFichierTraite),$J167+offsetInitialFichierTraite,3)</f>
        <v>8050846091993</v>
      </c>
      <c r="O167" s="2" t="e">
        <f ca="1">MATCH(N167,INDIRECT(nomFichierEAN13Valmag &amp; "!A:A"),0)</f>
        <v>#N/A</v>
      </c>
      <c r="P167" s="2" t="e">
        <f ca="1">MATCH(R167,INDIRECT(nomFichierEAN13Valmag &amp; "!A:A"),0)</f>
        <v>#N/A</v>
      </c>
      <c r="Q167" s="2">
        <f ca="1">MATCH(LEFT(B167,14) &amp; "*",INDIRECT(nomFichierBaseCatalogue &amp; "!B:B"),0)</f>
        <v>1000</v>
      </c>
      <c r="R167" s="17">
        <f ca="1">IFERROR(INDEX(INDIRECT(zoneFichierBaseCatalogue),Q167,1),"")</f>
        <v>8050846091993</v>
      </c>
      <c r="S167" s="2">
        <f ca="1">MATCH(B167,INDIRECT(nomFichierFiltreCatalogue &amp; "!B:B"),0)</f>
        <v>457</v>
      </c>
      <c r="T167" s="17"/>
    </row>
    <row r="168" spans="1:20" s="24" customFormat="1" ht="15.75" customHeight="1" x14ac:dyDescent="0.25">
      <c r="A168" s="30">
        <f ca="1">INDEX(INDIRECT(zoneFichierTraite),$J167+offsetInitialFichierTraite,2)</f>
        <v>115</v>
      </c>
      <c r="B168" s="29" t="str">
        <f ca="1">IFERROR(INDEX(INDIRECT(zoneFichierEAN13Valmag),$P167,3),"")</f>
        <v/>
      </c>
      <c r="C168" s="22" t="str">
        <f ca="1">IFERROR(INDEX(INDIRECT(zoneFichierEAN13Valmag),$O167,3),"")</f>
        <v/>
      </c>
      <c r="D168" s="23" t="str">
        <f ca="1">IFERROR(INDEX(INDIRECT(zoneFichierEAN13Valmag),$O167,4),"")</f>
        <v/>
      </c>
      <c r="E168" s="38" t="str">
        <f ca="1">IFERROR(INDEX(INDIRECT(zoneFichierFiltreCatalogue),S167,3),"")</f>
        <v>p110-2-01</v>
      </c>
      <c r="F168" s="23"/>
      <c r="G168" s="21"/>
      <c r="H168" s="39" t="str">
        <f ca="1">IFERROR(INDEX(INDIRECT(zoneFichierFiltreCatalogue),S167,6),"")</f>
        <v>fall 2019 presentation_/catalogo fall 19.txt</v>
      </c>
      <c r="R168" s="25"/>
      <c r="S168" s="25"/>
    </row>
    <row r="169" spans="1:20" ht="39" customHeight="1" thickBot="1" x14ac:dyDescent="0.65">
      <c r="A169" s="11" t="str">
        <f ca="1">INDEX(INDIRECT(zoneFichierTraite),$J169+offsetInitialFichierTraite,6)</f>
        <v>UNICA</v>
      </c>
      <c r="B169" s="7" t="str">
        <f ca="1">INDEX(INDIRECT(zoneFichierTraite),$J169+offsetInitialFichierTraite,4)</f>
        <v>OBAGP006-FAS09-067</v>
      </c>
      <c r="C169" s="31" t="str">
        <f ca="1">INDEX(INDIRECT(zoneFichierTraite),$J169+offsetInitialFichierTraite,5)</f>
        <v>RABAT O POCKET EN FAUSSE FOURRURE LAPIN REX</v>
      </c>
      <c r="D169" s="32" t="str">
        <f ca="1">INDEX(INDIRECT(zoneFichierTraite),$J169+offsetInitialFichierTraite,13)</f>
        <v>phard</v>
      </c>
      <c r="E169" s="35">
        <f ca="1">INDEX(INDIRECT(zoneFichierTraite),$J169+offsetInitialFichierTraite,7)</f>
        <v>2</v>
      </c>
      <c r="F169" s="33">
        <f ca="1">INDEX(INDIRECT(zoneFichierTraite),$J169+offsetInitialFichierTraite,8)</f>
        <v>18</v>
      </c>
      <c r="G169" s="34">
        <f t="shared" ref="G169" ca="1" si="163">ROUNDUP(F169*3,0)</f>
        <v>54</v>
      </c>
      <c r="H169" s="37" t="str">
        <f t="shared" ref="H169" ca="1" si="164">IF(ISNUMBER(N169),codeEAN13(INT(N169/10)),"")</f>
        <v>8APGKTJ*bhhfef+</v>
      </c>
      <c r="J169" s="18">
        <f t="shared" si="134"/>
        <v>80</v>
      </c>
      <c r="L169" s="7" t="str">
        <f ca="1">INDEX(INDIRECT(zoneFichierTraite),$J169+offsetInitialFichierTraite,1)</f>
        <v>'080</v>
      </c>
      <c r="M169" s="14">
        <f ca="1">INDEX(INDIRECT(zoneFichierTraite),$J169+offsetInitialFichierTraite,9)</f>
        <v>36</v>
      </c>
      <c r="N169" s="17">
        <f ca="1">INDEX(INDIRECT(zoneFichierTraite),$J169+offsetInitialFichierTraite,3)</f>
        <v>8056099177545</v>
      </c>
      <c r="O169" s="2">
        <f ca="1">MATCH(N169,INDIRECT(nomFichierEAN13Valmag &amp; "!A:A"),0)</f>
        <v>6129</v>
      </c>
      <c r="P169" s="2" t="e">
        <f ca="1">MATCH(R169,INDIRECT(nomFichierEAN13Valmag &amp; "!A:A"),0)</f>
        <v>#N/A</v>
      </c>
      <c r="Q169" s="2">
        <f ca="1">MATCH(LEFT(B169,14) &amp; "*",INDIRECT(nomFichierBaseCatalogue &amp; "!B:B"),0)</f>
        <v>1001</v>
      </c>
      <c r="R169" s="17">
        <f ca="1">IFERROR(INDEX(INDIRECT(zoneFichierBaseCatalogue),Q169,1),"")</f>
        <v>8050846043268</v>
      </c>
      <c r="S169" s="2">
        <f ca="1">MATCH(B169,INDIRECT(nomFichierFiltreCatalogue &amp; "!B:B"),0)</f>
        <v>464</v>
      </c>
      <c r="T169" s="17"/>
    </row>
    <row r="170" spans="1:20" s="24" customFormat="1" ht="15.75" customHeight="1" x14ac:dyDescent="0.25">
      <c r="A170" s="30">
        <f ca="1">INDEX(INDIRECT(zoneFichierTraite),$J169+offsetInitialFichierTraite,2)</f>
        <v>134</v>
      </c>
      <c r="B170" s="29" t="str">
        <f ca="1">IFERROR(INDEX(INDIRECT(zoneFichierEAN13Valmag),$P169,3),"")</f>
        <v/>
      </c>
      <c r="C170" s="22" t="str">
        <f ca="1">IFERROR(INDEX(INDIRECT(zoneFichierEAN13Valmag),$O169,3),"")</f>
        <v xml:space="preserve">FLAPECOFOU      </v>
      </c>
      <c r="D170" s="23" t="str">
        <f ca="1">IFERROR(INDEX(INDIRECT(zoneFichierEAN13Valmag),$O169,4),"")</f>
        <v>LAPHA</v>
      </c>
      <c r="E170" s="38" t="str">
        <f ca="1">IFERROR(INDEX(INDIRECT(zoneFichierFiltreCatalogue),S169,3),"")</f>
        <v>p112-1-05</v>
      </c>
      <c r="F170" s="23"/>
      <c r="G170" s="21"/>
      <c r="H170" s="39" t="str">
        <f ca="1">IFERROR(INDEX(INDIRECT(zoneFichierFiltreCatalogue),S169,6),"")</f>
        <v>fall 2019 presentation_/catalogo fall 19.txt</v>
      </c>
      <c r="R170" s="25"/>
      <c r="S170" s="25"/>
    </row>
    <row r="171" spans="1:20" ht="39" customHeight="1" thickBot="1" x14ac:dyDescent="0.65">
      <c r="A171" s="11" t="str">
        <f ca="1">INDEX(INDIRECT(zoneFichierTraite),$J171+offsetInitialFichierTraite,6)</f>
        <v>UNICA</v>
      </c>
      <c r="B171" s="7" t="str">
        <f ca="1">INDEX(INDIRECT(zoneFichierTraite),$J171+offsetInitialFichierTraite,4)</f>
        <v>OBAGP006-FAS09-615</v>
      </c>
      <c r="C171" s="31" t="str">
        <f ca="1">INDEX(INDIRECT(zoneFichierTraite),$J171+offsetInitialFichierTraite,5)</f>
        <v>RABAT O POCKET EN FAUSSE FOURRURE LAPIN REX</v>
      </c>
      <c r="D171" s="32" t="str">
        <f ca="1">INDEX(INDIRECT(zoneFichierTraite),$J171+offsetInitialFichierTraite,13)</f>
        <v>military</v>
      </c>
      <c r="E171" s="35">
        <f ca="1">INDEX(INDIRECT(zoneFichierTraite),$J171+offsetInitialFichierTraite,7)</f>
        <v>2</v>
      </c>
      <c r="F171" s="33">
        <f ca="1">INDEX(INDIRECT(zoneFichierTraite),$J171+offsetInitialFichierTraite,8)</f>
        <v>18</v>
      </c>
      <c r="G171" s="34">
        <f t="shared" ref="G171" ca="1" si="165">ROUNDUP(F171*3,0)</f>
        <v>54</v>
      </c>
      <c r="H171" s="37" t="str">
        <f t="shared" ref="H171" ca="1" si="166">IF(ISNUMBER(N171),codeEAN13(INT(N171/10)),"")</f>
        <v>8APASOG*ajeiii+</v>
      </c>
      <c r="J171" s="18">
        <f t="shared" si="134"/>
        <v>81</v>
      </c>
      <c r="L171" s="7" t="str">
        <f ca="1">INDEX(INDIRECT(zoneFichierTraite),$J171+offsetInitialFichierTraite,1)</f>
        <v>'081</v>
      </c>
      <c r="M171" s="14">
        <f ca="1">INDEX(INDIRECT(zoneFichierTraite),$J171+offsetInitialFichierTraite,9)</f>
        <v>36</v>
      </c>
      <c r="N171" s="17">
        <f ca="1">INDEX(INDIRECT(zoneFichierTraite),$J171+offsetInitialFichierTraite,3)</f>
        <v>8050846094888</v>
      </c>
      <c r="O171" s="2" t="e">
        <f ca="1">MATCH(N171,INDIRECT(nomFichierEAN13Valmag &amp; "!A:A"),0)</f>
        <v>#N/A</v>
      </c>
      <c r="P171" s="2" t="e">
        <f ca="1">MATCH(R171,INDIRECT(nomFichierEAN13Valmag &amp; "!A:A"),0)</f>
        <v>#N/A</v>
      </c>
      <c r="Q171" s="2">
        <f ca="1">MATCH(LEFT(B171,14) &amp; "*",INDIRECT(nomFichierBaseCatalogue &amp; "!B:B"),0)</f>
        <v>1001</v>
      </c>
      <c r="R171" s="17">
        <f ca="1">IFERROR(INDEX(INDIRECT(zoneFichierBaseCatalogue),Q171,1),"")</f>
        <v>8050846043268</v>
      </c>
      <c r="S171" s="2">
        <f ca="1">MATCH(B171,INDIRECT(nomFichierFiltreCatalogue &amp; "!B:B"),0)</f>
        <v>460</v>
      </c>
      <c r="T171" s="17"/>
    </row>
    <row r="172" spans="1:20" s="24" customFormat="1" ht="15.75" customHeight="1" x14ac:dyDescent="0.25">
      <c r="A172" s="30">
        <f ca="1">INDEX(INDIRECT(zoneFichierTraite),$J171+offsetInitialFichierTraite,2)</f>
        <v>65</v>
      </c>
      <c r="B172" s="29" t="str">
        <f ca="1">IFERROR(INDEX(INDIRECT(zoneFichierEAN13Valmag),$P171,3),"")</f>
        <v/>
      </c>
      <c r="C172" s="22" t="str">
        <f ca="1">IFERROR(INDEX(INDIRECT(zoneFichierEAN13Valmag),$O171,3),"")</f>
        <v/>
      </c>
      <c r="D172" s="23" t="str">
        <f ca="1">IFERROR(INDEX(INDIRECT(zoneFichierEAN13Valmag),$O171,4),"")</f>
        <v/>
      </c>
      <c r="E172" s="38" t="str">
        <f ca="1">IFERROR(INDEX(INDIRECT(zoneFichierFiltreCatalogue),S171,3),"")</f>
        <v>p112-1-01</v>
      </c>
      <c r="F172" s="23"/>
      <c r="G172" s="21"/>
      <c r="H172" s="39" t="str">
        <f ca="1">IFERROR(INDEX(INDIRECT(zoneFichierFiltreCatalogue),S171,6),"")</f>
        <v>fall 2019 presentation_/catalogo fall 19.txt</v>
      </c>
      <c r="R172" s="25"/>
      <c r="S172" s="25"/>
    </row>
    <row r="173" spans="1:20" ht="39" customHeight="1" thickBot="1" x14ac:dyDescent="0.65">
      <c r="A173" s="11" t="str">
        <f ca="1">INDEX(INDIRECT(zoneFichierTraite),$J173+offsetInitialFichierTraite,6)</f>
        <v>UNICA</v>
      </c>
      <c r="B173" s="7" t="str">
        <f ca="1">INDEX(INDIRECT(zoneFichierTraite),$J173+offsetInitialFichierTraite,4)</f>
        <v>OBAGP006-TESBG-227</v>
      </c>
      <c r="C173" s="31" t="str">
        <f ca="1">INDEX(INDIRECT(zoneFichierTraite),$J173+offsetInitialFichierTraite,5)</f>
        <v>REVERS O POCKET EN TISSU PRINCE DE GALLES + FLEURS</v>
      </c>
      <c r="D173" s="32" t="str">
        <f ca="1">INDEX(INDIRECT(zoneFichierTraite),$J173+offsetInitialFichierTraite,13)</f>
        <v>bianco/nero</v>
      </c>
      <c r="E173" s="35">
        <f ca="1">INDEX(INDIRECT(zoneFichierTraite),$J173+offsetInitialFichierTraite,7)</f>
        <v>2</v>
      </c>
      <c r="F173" s="33">
        <f ca="1">INDEX(INDIRECT(zoneFichierTraite),$J173+offsetInitialFichierTraite,8)</f>
        <v>12.59</v>
      </c>
      <c r="G173" s="34">
        <f t="shared" ref="G173" ca="1" si="167">ROUNDUP(F173*3,0)</f>
        <v>38</v>
      </c>
      <c r="H173" s="37" t="str">
        <f t="shared" ref="H173" ca="1" si="168">IF(ISNUMBER(N173),codeEAN13(INT(N173/10)),"")</f>
        <v>8APASOG*ajcbed+</v>
      </c>
      <c r="J173" s="18">
        <f t="shared" si="134"/>
        <v>82</v>
      </c>
      <c r="L173" s="7" t="str">
        <f ca="1">INDEX(INDIRECT(zoneFichierTraite),$J173+offsetInitialFichierTraite,1)</f>
        <v>'082</v>
      </c>
      <c r="M173" s="14">
        <f ca="1">INDEX(INDIRECT(zoneFichierTraite),$J173+offsetInitialFichierTraite,9)</f>
        <v>25.18</v>
      </c>
      <c r="N173" s="17">
        <f ca="1">INDEX(INDIRECT(zoneFichierTraite),$J173+offsetInitialFichierTraite,3)</f>
        <v>8050846092143</v>
      </c>
      <c r="O173" s="2" t="e">
        <f ca="1">MATCH(N173,INDIRECT(nomFichierEAN13Valmag &amp; "!A:A"),0)</f>
        <v>#N/A</v>
      </c>
      <c r="P173" s="2" t="e">
        <f ca="1">MATCH(R173,INDIRECT(nomFichierEAN13Valmag &amp; "!A:A"),0)</f>
        <v>#N/A</v>
      </c>
      <c r="Q173" s="2">
        <f ca="1">MATCH(LEFT(B173,14) &amp; "*",INDIRECT(nomFichierBaseCatalogue &amp; "!B:B"),0)</f>
        <v>1011</v>
      </c>
      <c r="R173" s="17">
        <f ca="1">IFERROR(INDEX(INDIRECT(zoneFichierBaseCatalogue),Q173,1),"")</f>
        <v>8050846092143</v>
      </c>
      <c r="S173" s="2">
        <f ca="1">MATCH(B173,INDIRECT(nomFichierFiltreCatalogue &amp; "!B:B"),0)</f>
        <v>459</v>
      </c>
      <c r="T173" s="17"/>
    </row>
    <row r="174" spans="1:20" s="24" customFormat="1" ht="15.75" customHeight="1" x14ac:dyDescent="0.25">
      <c r="A174" s="30">
        <f ca="1">INDEX(INDIRECT(zoneFichierTraite),$J173+offsetInitialFichierTraite,2)</f>
        <v>78</v>
      </c>
      <c r="B174" s="29" t="str">
        <f ca="1">IFERROR(INDEX(INDIRECT(zoneFichierEAN13Valmag),$P173,3),"")</f>
        <v/>
      </c>
      <c r="C174" s="22" t="str">
        <f ca="1">IFERROR(INDEX(INDIRECT(zoneFichierEAN13Valmag),$O173,3),"")</f>
        <v/>
      </c>
      <c r="D174" s="23" t="str">
        <f ca="1">IFERROR(INDEX(INDIRECT(zoneFichierEAN13Valmag),$O173,4),"")</f>
        <v/>
      </c>
      <c r="E174" s="38" t="str">
        <f ca="1">IFERROR(INDEX(INDIRECT(zoneFichierFiltreCatalogue),S173,3),"")</f>
        <v>p111-2-01</v>
      </c>
      <c r="F174" s="23"/>
      <c r="G174" s="21"/>
      <c r="H174" s="39" t="str">
        <f ca="1">IFERROR(INDEX(INDIRECT(zoneFichierFiltreCatalogue),S173,6),"")</f>
        <v>fall 2019 presentation_/catalogo fall 19.txt</v>
      </c>
      <c r="R174" s="25"/>
      <c r="S174" s="25"/>
    </row>
    <row r="175" spans="1:20" ht="39" customHeight="1" thickBot="1" x14ac:dyDescent="0.65">
      <c r="A175" s="11" t="str">
        <f ca="1">INDEX(INDIRECT(zoneFichierTraite),$J175+offsetInitialFichierTraite,6)</f>
        <v>UNICA</v>
      </c>
      <c r="B175" s="7" t="str">
        <f ca="1">INDEX(INDIRECT(zoneFichierTraite),$J175+offsetInitialFichierTraite,4)</f>
        <v>OBAGP034-ECSC3-615</v>
      </c>
      <c r="C175" s="31" t="str">
        <f ca="1">INDEX(INDIRECT(zoneFichierTraite),$J175+offsetInitialFichierTraite,5)</f>
        <v>RABAT O BAG GLAM EN FAUX CUIR SUÃˆDE + CLOUS</v>
      </c>
      <c r="D175" s="32" t="str">
        <f ca="1">INDEX(INDIRECT(zoneFichierTraite),$J175+offsetInitialFichierTraite,13)</f>
        <v>military</v>
      </c>
      <c r="E175" s="35">
        <f ca="1">INDEX(INDIRECT(zoneFichierTraite),$J175+offsetInitialFichierTraite,7)</f>
        <v>1</v>
      </c>
      <c r="F175" s="33">
        <f ca="1">INDEX(INDIRECT(zoneFichierTraite),$J175+offsetInitialFichierTraite,8)</f>
        <v>16.670000000000002</v>
      </c>
      <c r="G175" s="34">
        <f t="shared" ref="G175" ca="1" si="169">ROUNDUP(F175*3,0)</f>
        <v>51</v>
      </c>
      <c r="H175" s="37" t="str">
        <f t="shared" ref="H175" ca="1" si="170">IF(ISNUMBER(N175),codeEAN13(INT(N175/10)),"")</f>
        <v>8APASOG*ajafah+</v>
      </c>
      <c r="J175" s="18">
        <f t="shared" si="134"/>
        <v>83</v>
      </c>
      <c r="L175" s="7" t="str">
        <f ca="1">INDEX(INDIRECT(zoneFichierTraite),$J175+offsetInitialFichierTraite,1)</f>
        <v>'083</v>
      </c>
      <c r="M175" s="14">
        <f ca="1">INDEX(INDIRECT(zoneFichierTraite),$J175+offsetInitialFichierTraite,9)</f>
        <v>16.670000000000002</v>
      </c>
      <c r="N175" s="17">
        <f ca="1">INDEX(INDIRECT(zoneFichierTraite),$J175+offsetInitialFichierTraite,3)</f>
        <v>8050846090507</v>
      </c>
      <c r="O175" s="2" t="e">
        <f ca="1">MATCH(N175,INDIRECT(nomFichierEAN13Valmag &amp; "!A:A"),0)</f>
        <v>#N/A</v>
      </c>
      <c r="P175" s="2" t="e">
        <f ca="1">MATCH(R175,INDIRECT(nomFichierEAN13Valmag &amp; "!A:A"),0)</f>
        <v>#N/A</v>
      </c>
      <c r="Q175" s="2">
        <f ca="1">MATCH(LEFT(B175,14) &amp; "*",INDIRECT(nomFichierBaseCatalogue &amp; "!B:B"),0)</f>
        <v>1024</v>
      </c>
      <c r="R175" s="17">
        <f ca="1">IFERROR(INDEX(INDIRECT(zoneFichierBaseCatalogue),Q175,1),"")</f>
        <v>8050846090491</v>
      </c>
      <c r="S175" s="2">
        <f ca="1">MATCH(B175,INDIRECT(nomFichierFiltreCatalogue &amp; "!B:B"),0)</f>
        <v>483</v>
      </c>
      <c r="T175" s="17"/>
    </row>
    <row r="176" spans="1:20" s="24" customFormat="1" ht="15.75" customHeight="1" x14ac:dyDescent="0.25">
      <c r="A176" s="30">
        <f ca="1">INDEX(INDIRECT(zoneFichierTraite),$J175+offsetInitialFichierTraite,2)</f>
        <v>30</v>
      </c>
      <c r="B176" s="29" t="str">
        <f ca="1">IFERROR(INDEX(INDIRECT(zoneFichierEAN13Valmag),$P175,3),"")</f>
        <v/>
      </c>
      <c r="C176" s="22" t="str">
        <f ca="1">IFERROR(INDEX(INDIRECT(zoneFichierEAN13Valmag),$O175,3),"")</f>
        <v/>
      </c>
      <c r="D176" s="23" t="str">
        <f ca="1">IFERROR(INDEX(INDIRECT(zoneFichierEAN13Valmag),$O175,4),"")</f>
        <v/>
      </c>
      <c r="E176" s="38" t="str">
        <f ca="1">IFERROR(INDEX(INDIRECT(zoneFichierFiltreCatalogue),S175,3),"")</f>
        <v>p116-1-02</v>
      </c>
      <c r="F176" s="23"/>
      <c r="G176" s="21"/>
      <c r="H176" s="39" t="str">
        <f ca="1">IFERROR(INDEX(INDIRECT(zoneFichierFiltreCatalogue),S175,6),"")</f>
        <v>fall 2019 presentation_/catalogo fall 19.txt</v>
      </c>
      <c r="R176" s="25"/>
      <c r="S176" s="25"/>
    </row>
    <row r="177" spans="1:20" ht="39" customHeight="1" thickBot="1" x14ac:dyDescent="0.65">
      <c r="A177" s="11" t="str">
        <f ca="1">INDEX(INDIRECT(zoneFichierTraite),$J177+offsetInitialFichierTraite,6)</f>
        <v>UNICA</v>
      </c>
      <c r="B177" s="7" t="str">
        <f ca="1">INDEX(INDIRECT(zoneFichierTraite),$J177+offsetInitialFichierTraite,4)</f>
        <v>OBAGP034-ECSC4-055</v>
      </c>
      <c r="C177" s="31" t="str">
        <f ca="1">INDEX(INDIRECT(zoneFichierTraite),$J177+offsetInitialFichierTraite,5)</f>
        <v>RABAT O BAG GLAM EN FAUX CUIR EFFET GRIFFE + CLOUS</v>
      </c>
      <c r="D177" s="32" t="str">
        <f ca="1">INDEX(INDIRECT(zoneFichierTraite),$J177+offsetInitialFichierTraite,13)</f>
        <v>nero</v>
      </c>
      <c r="E177" s="35">
        <f ca="1">INDEX(INDIRECT(zoneFichierTraite),$J177+offsetInitialFichierTraite,7)</f>
        <v>1</v>
      </c>
      <c r="F177" s="33">
        <f ca="1">INDEX(INDIRECT(zoneFichierTraite),$J177+offsetInitialFichierTraite,8)</f>
        <v>16.670000000000002</v>
      </c>
      <c r="G177" s="34">
        <f t="shared" ref="G177" ca="1" si="171">ROUNDUP(F177*3,0)</f>
        <v>51</v>
      </c>
      <c r="H177" s="37" t="str">
        <f t="shared" ref="H177" ca="1" si="172">IF(ISNUMBER(N177),codeEAN13(INT(N177/10)),"")</f>
        <v>8APASOG*ajaefd+</v>
      </c>
      <c r="J177" s="18">
        <f t="shared" si="134"/>
        <v>84</v>
      </c>
      <c r="L177" s="7" t="str">
        <f ca="1">INDEX(INDIRECT(zoneFichierTraite),$J177+offsetInitialFichierTraite,1)</f>
        <v>'084</v>
      </c>
      <c r="M177" s="14">
        <f ca="1">INDEX(INDIRECT(zoneFichierTraite),$J177+offsetInitialFichierTraite,9)</f>
        <v>16.670000000000002</v>
      </c>
      <c r="N177" s="17">
        <f ca="1">INDEX(INDIRECT(zoneFichierTraite),$J177+offsetInitialFichierTraite,3)</f>
        <v>8050846090453</v>
      </c>
      <c r="O177" s="2" t="e">
        <f ca="1">MATCH(N177,INDIRECT(nomFichierEAN13Valmag &amp; "!A:A"),0)</f>
        <v>#N/A</v>
      </c>
      <c r="P177" s="2" t="e">
        <f ca="1">MATCH(R177,INDIRECT(nomFichierEAN13Valmag &amp; "!A:A"),0)</f>
        <v>#N/A</v>
      </c>
      <c r="Q177" s="2">
        <f ca="1">MATCH(LEFT(B177,14) &amp; "*",INDIRECT(nomFichierBaseCatalogue &amp; "!B:B"),0)</f>
        <v>1026</v>
      </c>
      <c r="R177" s="17">
        <f ca="1">IFERROR(INDEX(INDIRECT(zoneFichierBaseCatalogue),Q177,1),"")</f>
        <v>8050846090453</v>
      </c>
      <c r="S177" s="2">
        <f ca="1">MATCH(B177,INDIRECT(nomFichierFiltreCatalogue &amp; "!B:B"),0)</f>
        <v>484</v>
      </c>
      <c r="T177" s="17"/>
    </row>
    <row r="178" spans="1:20" s="24" customFormat="1" ht="15.75" customHeight="1" x14ac:dyDescent="0.25">
      <c r="A178" s="30">
        <f ca="1">INDEX(INDIRECT(zoneFichierTraite),$J177+offsetInitialFichierTraite,2)</f>
        <v>165</v>
      </c>
      <c r="B178" s="29" t="str">
        <f ca="1">IFERROR(INDEX(INDIRECT(zoneFichierEAN13Valmag),$P177,3),"")</f>
        <v/>
      </c>
      <c r="C178" s="22" t="str">
        <f ca="1">IFERROR(INDEX(INDIRECT(zoneFichierEAN13Valmag),$O177,3),"")</f>
        <v/>
      </c>
      <c r="D178" s="23" t="str">
        <f ca="1">IFERROR(INDEX(INDIRECT(zoneFichierEAN13Valmag),$O177,4),"")</f>
        <v/>
      </c>
      <c r="E178" s="38" t="str">
        <f ca="1">IFERROR(INDEX(INDIRECT(zoneFichierFiltreCatalogue),S177,3),"")</f>
        <v>p116-2-01</v>
      </c>
      <c r="F178" s="23"/>
      <c r="G178" s="21"/>
      <c r="H178" s="39" t="str">
        <f ca="1">IFERROR(INDEX(INDIRECT(zoneFichierFiltreCatalogue),S177,6),"")</f>
        <v>fall 2019 presentation_/catalogo fall 19.txt</v>
      </c>
      <c r="R178" s="25"/>
      <c r="S178" s="25"/>
    </row>
    <row r="179" spans="1:20" ht="39" customHeight="1" thickBot="1" x14ac:dyDescent="0.65">
      <c r="A179" s="11" t="str">
        <f ca="1">INDEX(INDIRECT(zoneFichierTraite),$J179+offsetInitialFichierTraite,6)</f>
        <v>UNICA</v>
      </c>
      <c r="B179" s="7" t="str">
        <f ca="1">INDEX(INDIRECT(zoneFichierTraite),$J179+offsetInitialFichierTraite,4)</f>
        <v>OBAGP034-ECSC4-371</v>
      </c>
      <c r="C179" s="31" t="str">
        <f ca="1">INDEX(INDIRECT(zoneFichierTraite),$J179+offsetInitialFichierTraite,5)</f>
        <v>RABAT O BAG GLAM EN FAUX CUIR EFFET GRIFFE + CLOUS</v>
      </c>
      <c r="D179" s="32" t="str">
        <f ca="1">INDEX(INDIRECT(zoneFichierTraite),$J179+offsetInitialFichierTraite,13)</f>
        <v>latte</v>
      </c>
      <c r="E179" s="35">
        <f ca="1">INDEX(INDIRECT(zoneFichierTraite),$J179+offsetInitialFichierTraite,7)</f>
        <v>1</v>
      </c>
      <c r="F179" s="33">
        <f ca="1">INDEX(INDIRECT(zoneFichierTraite),$J179+offsetInitialFichierTraite,8)</f>
        <v>16.670000000000002</v>
      </c>
      <c r="G179" s="34">
        <f t="shared" ref="G179" ca="1" si="173">ROUNDUP(F179*3,0)</f>
        <v>51</v>
      </c>
      <c r="H179" s="37" t="str">
        <f t="shared" ref="H179" ca="1" si="174">IF(ISNUMBER(N179),codeEAN13(INT(N179/10)),"")</f>
        <v>8APASOG*ajaedj+</v>
      </c>
      <c r="J179" s="18">
        <f t="shared" si="134"/>
        <v>85</v>
      </c>
      <c r="L179" s="7" t="str">
        <f ca="1">INDEX(INDIRECT(zoneFichierTraite),$J179+offsetInitialFichierTraite,1)</f>
        <v>'085</v>
      </c>
      <c r="M179" s="14">
        <f ca="1">INDEX(INDIRECT(zoneFichierTraite),$J179+offsetInitialFichierTraite,9)</f>
        <v>16.670000000000002</v>
      </c>
      <c r="N179" s="17">
        <f ca="1">INDEX(INDIRECT(zoneFichierTraite),$J179+offsetInitialFichierTraite,3)</f>
        <v>8050846090439</v>
      </c>
      <c r="O179" s="2" t="e">
        <f ca="1">MATCH(N179,INDIRECT(nomFichierEAN13Valmag &amp; "!A:A"),0)</f>
        <v>#N/A</v>
      </c>
      <c r="P179" s="2" t="e">
        <f ca="1">MATCH(R179,INDIRECT(nomFichierEAN13Valmag &amp; "!A:A"),0)</f>
        <v>#N/A</v>
      </c>
      <c r="Q179" s="2">
        <f ca="1">MATCH(LEFT(B179,14) &amp; "*",INDIRECT(nomFichierBaseCatalogue &amp; "!B:B"),0)</f>
        <v>1026</v>
      </c>
      <c r="R179" s="17">
        <f ca="1">IFERROR(INDEX(INDIRECT(zoneFichierBaseCatalogue),Q179,1),"")</f>
        <v>8050846090453</v>
      </c>
      <c r="S179" s="2">
        <f ca="1">MATCH(B179,INDIRECT(nomFichierFiltreCatalogue &amp; "!B:B"),0)</f>
        <v>485</v>
      </c>
      <c r="T179" s="17"/>
    </row>
    <row r="180" spans="1:20" s="24" customFormat="1" ht="15.75" customHeight="1" x14ac:dyDescent="0.25">
      <c r="A180" s="30">
        <f ca="1">INDEX(INDIRECT(zoneFichierTraite),$J179+offsetInitialFichierTraite,2)</f>
        <v>3</v>
      </c>
      <c r="B180" s="29" t="str">
        <f ca="1">IFERROR(INDEX(INDIRECT(zoneFichierEAN13Valmag),$P179,3),"")</f>
        <v/>
      </c>
      <c r="C180" s="22" t="str">
        <f ca="1">IFERROR(INDEX(INDIRECT(zoneFichierEAN13Valmag),$O179,3),"")</f>
        <v/>
      </c>
      <c r="D180" s="23" t="str">
        <f ca="1">IFERROR(INDEX(INDIRECT(zoneFichierEAN13Valmag),$O179,4),"")</f>
        <v/>
      </c>
      <c r="E180" s="38" t="str">
        <f ca="1">IFERROR(INDEX(INDIRECT(zoneFichierFiltreCatalogue),S179,3),"")</f>
        <v>p116-2-02</v>
      </c>
      <c r="F180" s="23"/>
      <c r="G180" s="21"/>
      <c r="H180" s="39" t="str">
        <f ca="1">IFERROR(INDEX(INDIRECT(zoneFichierFiltreCatalogue),S179,6),"")</f>
        <v>fall 2019 presentation_/catalogo fall 19.txt</v>
      </c>
      <c r="R180" s="25"/>
      <c r="S180" s="25"/>
    </row>
    <row r="181" spans="1:20" ht="39" customHeight="1" thickBot="1" x14ac:dyDescent="0.65">
      <c r="A181" s="11" t="str">
        <f ca="1">INDEX(INDIRECT(zoneFichierTraite),$J181+offsetInitialFichierTraite,6)</f>
        <v>UNICA</v>
      </c>
      <c r="B181" s="7" t="str">
        <f ca="1">INDEX(INDIRECT(zoneFichierTraite),$J181+offsetInitialFichierTraite,4)</f>
        <v>OBAGP034-ECSD1-615</v>
      </c>
      <c r="C181" s="31" t="str">
        <f ca="1">INDEX(INDIRECT(zoneFichierTraite),$J181+offsetInitialFichierTraite,5)</f>
        <v>RABAT O BAG GLAM EN FAUX CUIR IMPRIME FLEURS GEOMETRIQUES</v>
      </c>
      <c r="D181" s="32" t="str">
        <f ca="1">INDEX(INDIRECT(zoneFichierTraite),$J181+offsetInitialFichierTraite,13)</f>
        <v>military</v>
      </c>
      <c r="E181" s="35">
        <f ca="1">INDEX(INDIRECT(zoneFichierTraite),$J181+offsetInitialFichierTraite,7)</f>
        <v>1</v>
      </c>
      <c r="F181" s="33">
        <f ca="1">INDEX(INDIRECT(zoneFichierTraite),$J181+offsetInitialFichierTraite,8)</f>
        <v>15.56</v>
      </c>
      <c r="G181" s="34">
        <f t="shared" ref="G181" ca="1" si="175">ROUNDUP(F181*3,0)</f>
        <v>47</v>
      </c>
      <c r="H181" s="37" t="str">
        <f t="shared" ref="H181" ca="1" si="176">IF(ISNUMBER(N181),codeEAN13(INT(N181/10)),"")</f>
        <v>8APASOG*ajaeeg+</v>
      </c>
      <c r="J181" s="18">
        <f t="shared" si="134"/>
        <v>86</v>
      </c>
      <c r="L181" s="7" t="str">
        <f ca="1">INDEX(INDIRECT(zoneFichierTraite),$J181+offsetInitialFichierTraite,1)</f>
        <v>'086</v>
      </c>
      <c r="M181" s="14">
        <f ca="1">INDEX(INDIRECT(zoneFichierTraite),$J181+offsetInitialFichierTraite,9)</f>
        <v>15.56</v>
      </c>
      <c r="N181" s="17">
        <f ca="1">INDEX(INDIRECT(zoneFichierTraite),$J181+offsetInitialFichierTraite,3)</f>
        <v>8050846090446</v>
      </c>
      <c r="O181" s="2" t="e">
        <f ca="1">MATCH(N181,INDIRECT(nomFichierEAN13Valmag &amp; "!A:A"),0)</f>
        <v>#N/A</v>
      </c>
      <c r="P181" s="2" t="e">
        <f ca="1">MATCH(R181,INDIRECT(nomFichierEAN13Valmag &amp; "!A:A"),0)</f>
        <v>#N/A</v>
      </c>
      <c r="Q181" s="2">
        <f ca="1">MATCH(LEFT(B181,14) &amp; "*",INDIRECT(nomFichierBaseCatalogue &amp; "!B:B"),0)</f>
        <v>1028</v>
      </c>
      <c r="R181" s="17">
        <f ca="1">IFERROR(INDEX(INDIRECT(zoneFichierBaseCatalogue),Q181,1),"")</f>
        <v>8050846090446</v>
      </c>
      <c r="S181" s="2">
        <f ca="1">MATCH(B181,INDIRECT(nomFichierFiltreCatalogue &amp; "!B:B"),0)</f>
        <v>486</v>
      </c>
      <c r="T181" s="17"/>
    </row>
    <row r="182" spans="1:20" s="24" customFormat="1" ht="15.75" customHeight="1" x14ac:dyDescent="0.25">
      <c r="A182" s="30">
        <f ca="1">INDEX(INDIRECT(zoneFichierTraite),$J181+offsetInitialFichierTraite,2)</f>
        <v>151</v>
      </c>
      <c r="B182" s="29" t="str">
        <f ca="1">IFERROR(INDEX(INDIRECT(zoneFichierEAN13Valmag),$P181,3),"")</f>
        <v/>
      </c>
      <c r="C182" s="22" t="str">
        <f ca="1">IFERROR(INDEX(INDIRECT(zoneFichierEAN13Valmag),$O181,3),"")</f>
        <v/>
      </c>
      <c r="D182" s="23" t="str">
        <f ca="1">IFERROR(INDEX(INDIRECT(zoneFichierEAN13Valmag),$O181,4),"")</f>
        <v/>
      </c>
      <c r="E182" s="38" t="str">
        <f ca="1">IFERROR(INDEX(INDIRECT(zoneFichierFiltreCatalogue),S181,3),"")</f>
        <v>p117-1-01</v>
      </c>
      <c r="F182" s="23"/>
      <c r="G182" s="21"/>
      <c r="H182" s="39" t="str">
        <f ca="1">IFERROR(INDEX(INDIRECT(zoneFichierFiltreCatalogue),S181,6),"")</f>
        <v>fall 2019 presentation_/catalogo fall 19.txt</v>
      </c>
      <c r="R182" s="25"/>
      <c r="S182" s="25"/>
    </row>
    <row r="183" spans="1:20" ht="39" customHeight="1" thickBot="1" x14ac:dyDescent="0.65">
      <c r="A183" s="11" t="str">
        <f ca="1">INDEX(INDIRECT(zoneFichierTraite),$J183+offsetInitialFichierTraite,6)</f>
        <v>UNICA</v>
      </c>
      <c r="B183" s="7" t="str">
        <f ca="1">INDEX(INDIRECT(zoneFichierTraite),$J183+offsetInitialFichierTraite,4)</f>
        <v>OBAGP034-ECSD2-227</v>
      </c>
      <c r="C183" s="31" t="str">
        <f ca="1">INDEX(INDIRECT(zoneFichierTraite),$J183+offsetInitialFichierTraite,5)</f>
        <v>RABAT O BAG GLAM EN FAUX CUIR IMPRIME GEOMETRIC LILY</v>
      </c>
      <c r="D183" s="32" t="str">
        <f ca="1">INDEX(INDIRECT(zoneFichierTraite),$J183+offsetInitialFichierTraite,13)</f>
        <v>bianco/nero</v>
      </c>
      <c r="E183" s="35">
        <f ca="1">INDEX(INDIRECT(zoneFichierTraite),$J183+offsetInitialFichierTraite,7)</f>
        <v>1</v>
      </c>
      <c r="F183" s="33">
        <f ca="1">INDEX(INDIRECT(zoneFichierTraite),$J183+offsetInitialFichierTraite,8)</f>
        <v>15.56</v>
      </c>
      <c r="G183" s="34">
        <f t="shared" ref="G183" ca="1" si="177">ROUNDUP(F183*3,0)</f>
        <v>47</v>
      </c>
      <c r="H183" s="37" t="str">
        <f t="shared" ref="H183" ca="1" si="178">IF(ISNUMBER(N183),codeEAN13(INT(N183/10)),"")</f>
        <v>8APASOG*ajadhi+</v>
      </c>
      <c r="J183" s="18">
        <f t="shared" si="134"/>
        <v>87</v>
      </c>
      <c r="L183" s="7" t="str">
        <f ca="1">INDEX(INDIRECT(zoneFichierTraite),$J183+offsetInitialFichierTraite,1)</f>
        <v>'087</v>
      </c>
      <c r="M183" s="14">
        <f ca="1">INDEX(INDIRECT(zoneFichierTraite),$J183+offsetInitialFichierTraite,9)</f>
        <v>15.56</v>
      </c>
      <c r="N183" s="17">
        <f ca="1">INDEX(INDIRECT(zoneFichierTraite),$J183+offsetInitialFichierTraite,3)</f>
        <v>8050846090378</v>
      </c>
      <c r="O183" s="2" t="e">
        <f ca="1">MATCH(N183,INDIRECT(nomFichierEAN13Valmag &amp; "!A:A"),0)</f>
        <v>#N/A</v>
      </c>
      <c r="P183" s="2" t="e">
        <f ca="1">MATCH(R183,INDIRECT(nomFichierEAN13Valmag &amp; "!A:A"),0)</f>
        <v>#N/A</v>
      </c>
      <c r="Q183" s="2">
        <f ca="1">MATCH(LEFT(B183,14) &amp; "*",INDIRECT(nomFichierBaseCatalogue &amp; "!B:B"),0)</f>
        <v>1029</v>
      </c>
      <c r="R183" s="17">
        <f ca="1">IFERROR(INDEX(INDIRECT(zoneFichierBaseCatalogue),Q183,1),"")</f>
        <v>8050846090378</v>
      </c>
      <c r="S183" s="2">
        <f ca="1">MATCH(B183,INDIRECT(nomFichierFiltreCatalogue &amp; "!B:B"),0)</f>
        <v>487</v>
      </c>
      <c r="T183" s="17"/>
    </row>
    <row r="184" spans="1:20" s="24" customFormat="1" ht="15.75" customHeight="1" x14ac:dyDescent="0.25">
      <c r="A184" s="30">
        <f ca="1">INDEX(INDIRECT(zoneFichierTraite),$J183+offsetInitialFichierTraite,2)</f>
        <v>17</v>
      </c>
      <c r="B184" s="29" t="str">
        <f ca="1">IFERROR(INDEX(INDIRECT(zoneFichierEAN13Valmag),$P183,3),"")</f>
        <v/>
      </c>
      <c r="C184" s="22" t="str">
        <f ca="1">IFERROR(INDEX(INDIRECT(zoneFichierEAN13Valmag),$O183,3),"")</f>
        <v/>
      </c>
      <c r="D184" s="23" t="str">
        <f ca="1">IFERROR(INDEX(INDIRECT(zoneFichierEAN13Valmag),$O183,4),"")</f>
        <v/>
      </c>
      <c r="E184" s="38" t="str">
        <f ca="1">IFERROR(INDEX(INDIRECT(zoneFichierFiltreCatalogue),S183,3),"")</f>
        <v>p117-2-01</v>
      </c>
      <c r="F184" s="23"/>
      <c r="G184" s="21"/>
      <c r="H184" s="39" t="str">
        <f ca="1">IFERROR(INDEX(INDIRECT(zoneFichierFiltreCatalogue),S183,6),"")</f>
        <v>fall 2019 presentation_/catalogo fall 19.txt</v>
      </c>
      <c r="R184" s="25"/>
      <c r="S184" s="25"/>
    </row>
    <row r="185" spans="1:20" ht="39" customHeight="1" thickBot="1" x14ac:dyDescent="0.65">
      <c r="A185" s="11" t="str">
        <f ca="1">INDEX(INDIRECT(zoneFichierTraite),$J185+offsetInitialFichierTraite,6)</f>
        <v>UNICA</v>
      </c>
      <c r="B185" s="7" t="str">
        <f ca="1">INDEX(INDIRECT(zoneFichierTraite),$J185+offsetInitialFichierTraite,4)</f>
        <v>OBAGP034-ECSD4-227</v>
      </c>
      <c r="C185" s="31" t="str">
        <f ca="1">INDEX(INDIRECT(zoneFichierTraite),$J185+offsetInitialFichierTraite,5)</f>
        <v>RABAT O BAG GLAM EN FAUX CUIR IMPRIME MARIGOLD 3D</v>
      </c>
      <c r="D185" s="32" t="str">
        <f ca="1">INDEX(INDIRECT(zoneFichierTraite),$J185+offsetInitialFichierTraite,13)</f>
        <v>bianco/nero</v>
      </c>
      <c r="E185" s="35">
        <f ca="1">INDEX(INDIRECT(zoneFichierTraite),$J185+offsetInitialFichierTraite,7)</f>
        <v>1</v>
      </c>
      <c r="F185" s="33">
        <f ca="1">INDEX(INDIRECT(zoneFichierTraite),$J185+offsetInitialFichierTraite,8)</f>
        <v>20</v>
      </c>
      <c r="G185" s="34">
        <f t="shared" ref="G185" ca="1" si="179">ROUNDUP(F185*3,0)</f>
        <v>60</v>
      </c>
      <c r="H185" s="37" t="str">
        <f t="shared" ref="H185" ca="1" si="180">IF(ISNUMBER(N185),codeEAN13(INT(N185/10)),"")</f>
        <v>8APASOG*ajaecc+</v>
      </c>
      <c r="J185" s="18">
        <f t="shared" si="134"/>
        <v>88</v>
      </c>
      <c r="L185" s="7" t="str">
        <f ca="1">INDEX(INDIRECT(zoneFichierTraite),$J185+offsetInitialFichierTraite,1)</f>
        <v>'088</v>
      </c>
      <c r="M185" s="14">
        <f ca="1">INDEX(INDIRECT(zoneFichierTraite),$J185+offsetInitialFichierTraite,9)</f>
        <v>20</v>
      </c>
      <c r="N185" s="17">
        <f ca="1">INDEX(INDIRECT(zoneFichierTraite),$J185+offsetInitialFichierTraite,3)</f>
        <v>8050846090422</v>
      </c>
      <c r="O185" s="2" t="e">
        <f ca="1">MATCH(N185,INDIRECT(nomFichierEAN13Valmag &amp; "!A:A"),0)</f>
        <v>#N/A</v>
      </c>
      <c r="P185" s="2" t="e">
        <f ca="1">MATCH(R185,INDIRECT(nomFichierEAN13Valmag &amp; "!A:A"),0)</f>
        <v>#N/A</v>
      </c>
      <c r="Q185" s="2">
        <f ca="1">MATCH(LEFT(B185,14) &amp; "*",INDIRECT(nomFichierBaseCatalogue &amp; "!B:B"),0)</f>
        <v>1030</v>
      </c>
      <c r="R185" s="17">
        <f ca="1">IFERROR(INDEX(INDIRECT(zoneFichierBaseCatalogue),Q185,1),"")</f>
        <v>8050846090422</v>
      </c>
      <c r="S185" s="2">
        <f ca="1">MATCH(B185,INDIRECT(nomFichierFiltreCatalogue &amp; "!B:B"),0)</f>
        <v>488</v>
      </c>
      <c r="T185" s="17"/>
    </row>
    <row r="186" spans="1:20" s="24" customFormat="1" ht="15.75" customHeight="1" x14ac:dyDescent="0.25">
      <c r="A186" s="30">
        <f ca="1">INDEX(INDIRECT(zoneFichierTraite),$J185+offsetInitialFichierTraite,2)</f>
        <v>47</v>
      </c>
      <c r="B186" s="29" t="str">
        <f ca="1">IFERROR(INDEX(INDIRECT(zoneFichierEAN13Valmag),$P185,3),"")</f>
        <v/>
      </c>
      <c r="C186" s="22" t="str">
        <f ca="1">IFERROR(INDEX(INDIRECT(zoneFichierEAN13Valmag),$O185,3),"")</f>
        <v/>
      </c>
      <c r="D186" s="23" t="str">
        <f ca="1">IFERROR(INDEX(INDIRECT(zoneFichierEAN13Valmag),$O185,4),"")</f>
        <v/>
      </c>
      <c r="E186" s="38" t="str">
        <f ca="1">IFERROR(INDEX(INDIRECT(zoneFichierFiltreCatalogue),S185,3),"")</f>
        <v>p118-1-01</v>
      </c>
      <c r="F186" s="23"/>
      <c r="G186" s="21"/>
      <c r="H186" s="39" t="str">
        <f ca="1">IFERROR(INDEX(INDIRECT(zoneFichierFiltreCatalogue),S185,6),"")</f>
        <v>fall 2019 presentation_/catalogo fall 19.txt</v>
      </c>
      <c r="R186" s="25"/>
      <c r="S186" s="25"/>
    </row>
    <row r="187" spans="1:20" ht="39" customHeight="1" thickBot="1" x14ac:dyDescent="0.65">
      <c r="A187" s="11" t="str">
        <f ca="1">INDEX(INDIRECT(zoneFichierTraite),$J187+offsetInitialFichierTraite,6)</f>
        <v>UNICA</v>
      </c>
      <c r="B187" s="7" t="str">
        <f ca="1">INDEX(INDIRECT(zoneFichierTraite),$J187+offsetInitialFichierTraite,4)</f>
        <v>OBAGP106-ECSC4-227</v>
      </c>
      <c r="C187" s="31" t="str">
        <f ca="1">INDEX(INDIRECT(zoneFichierTraite),$J187+offsetInitialFichierTraite,5)</f>
        <v>RABAT AVEC BANDEAU O POCKET EN FAUX CUIR EFFET GRIFFE + CLOUS</v>
      </c>
      <c r="D187" s="32" t="str">
        <f ca="1">INDEX(INDIRECT(zoneFichierTraite),$J187+offsetInitialFichierTraite,13)</f>
        <v>bianco/nero</v>
      </c>
      <c r="E187" s="35">
        <f ca="1">INDEX(INDIRECT(zoneFichierTraite),$J187+offsetInitialFichierTraite,7)</f>
        <v>2</v>
      </c>
      <c r="F187" s="33">
        <f ca="1">INDEX(INDIRECT(zoneFichierTraite),$J187+offsetInitialFichierTraite,8)</f>
        <v>15.56</v>
      </c>
      <c r="G187" s="34">
        <f t="shared" ref="G187" ca="1" si="181">ROUNDUP(F187*3,0)</f>
        <v>47</v>
      </c>
      <c r="H187" s="37" t="str">
        <f t="shared" ref="H187" ca="1" si="182">IF(ISNUMBER(N187),codeEAN13(INT(N187/10)),"")</f>
        <v>8APASOG*ajcaca+</v>
      </c>
      <c r="J187" s="18">
        <f t="shared" si="134"/>
        <v>89</v>
      </c>
      <c r="L187" s="7" t="str">
        <f ca="1">INDEX(INDIRECT(zoneFichierTraite),$J187+offsetInitialFichierTraite,1)</f>
        <v>'089</v>
      </c>
      <c r="M187" s="14">
        <f ca="1">INDEX(INDIRECT(zoneFichierTraite),$J187+offsetInitialFichierTraite,9)</f>
        <v>31.12</v>
      </c>
      <c r="N187" s="17">
        <f ca="1">INDEX(INDIRECT(zoneFichierTraite),$J187+offsetInitialFichierTraite,3)</f>
        <v>8050846092020</v>
      </c>
      <c r="O187" s="2" t="e">
        <f ca="1">MATCH(N187,INDIRECT(nomFichierEAN13Valmag &amp; "!A:A"),0)</f>
        <v>#N/A</v>
      </c>
      <c r="P187" s="2" t="e">
        <f ca="1">MATCH(R187,INDIRECT(nomFichierEAN13Valmag &amp; "!A:A"),0)</f>
        <v>#N/A</v>
      </c>
      <c r="Q187" s="2">
        <f ca="1">MATCH(LEFT(B187,14) &amp; "*",INDIRECT(nomFichierBaseCatalogue &amp; "!B:B"),0)</f>
        <v>1031</v>
      </c>
      <c r="R187" s="17">
        <f ca="1">IFERROR(INDEX(INDIRECT(zoneFichierBaseCatalogue),Q187,1),"")</f>
        <v>8050846092020</v>
      </c>
      <c r="S187" s="2">
        <f ca="1">MATCH(B187,INDIRECT(nomFichierFiltreCatalogue &amp; "!B:B"),0)</f>
        <v>467</v>
      </c>
      <c r="T187" s="17"/>
    </row>
    <row r="188" spans="1:20" s="24" customFormat="1" ht="15.75" customHeight="1" x14ac:dyDescent="0.25">
      <c r="A188" s="30">
        <f ca="1">INDEX(INDIRECT(zoneFichierTraite),$J187+offsetInitialFichierTraite,2)</f>
        <v>69</v>
      </c>
      <c r="B188" s="29" t="str">
        <f ca="1">IFERROR(INDEX(INDIRECT(zoneFichierEAN13Valmag),$P187,3),"")</f>
        <v/>
      </c>
      <c r="C188" s="22" t="str">
        <f ca="1">IFERROR(INDEX(INDIRECT(zoneFichierEAN13Valmag),$O187,3),"")</f>
        <v/>
      </c>
      <c r="D188" s="23" t="str">
        <f ca="1">IFERROR(INDEX(INDIRECT(zoneFichierEAN13Valmag),$O187,4),"")</f>
        <v/>
      </c>
      <c r="E188" s="38" t="str">
        <f ca="1">IFERROR(INDEX(INDIRECT(zoneFichierFiltreCatalogue),S187,3),"")</f>
        <v>p113-1-01</v>
      </c>
      <c r="F188" s="23"/>
      <c r="G188" s="21"/>
      <c r="H188" s="39" t="str">
        <f ca="1">IFERROR(INDEX(INDIRECT(zoneFichierFiltreCatalogue),S187,6),"")</f>
        <v>fall 2019 presentation_/catalogo fall 19.txt</v>
      </c>
      <c r="R188" s="25"/>
      <c r="S188" s="25"/>
    </row>
    <row r="189" spans="1:20" ht="39" customHeight="1" thickBot="1" x14ac:dyDescent="0.65">
      <c r="A189" s="11" t="str">
        <f ca="1">INDEX(INDIRECT(zoneFichierTraite),$J189+offsetInitialFichierTraite,6)</f>
        <v>UNICA</v>
      </c>
      <c r="B189" s="7" t="str">
        <f ca="1">INDEX(INDIRECT(zoneFichierTraite),$J189+offsetInitialFichierTraite,4)</f>
        <v>OBAGP134-ECSC4-227</v>
      </c>
      <c r="C189" s="31" t="str">
        <f ca="1">INDEX(INDIRECT(zoneFichierTraite),$J189+offsetInitialFichierTraite,5)</f>
        <v>RABAT AVEC BANDEAU O BAG GLAM EN FAUX CUIR EFFET GRIFFE + CLOUS</v>
      </c>
      <c r="D189" s="32" t="str">
        <f ca="1">INDEX(INDIRECT(zoneFichierTraite),$J189+offsetInitialFichierTraite,13)</f>
        <v>bianco/nero</v>
      </c>
      <c r="E189" s="35">
        <f ca="1">INDEX(INDIRECT(zoneFichierTraite),$J189+offsetInitialFichierTraite,7)</f>
        <v>2</v>
      </c>
      <c r="F189" s="33">
        <f ca="1">INDEX(INDIRECT(zoneFichierTraite),$J189+offsetInitialFichierTraite,8)</f>
        <v>20</v>
      </c>
      <c r="G189" s="34">
        <f t="shared" ref="G189" ca="1" si="183">ROUNDUP(F189*3,0)</f>
        <v>60</v>
      </c>
      <c r="H189" s="37" t="str">
        <f t="shared" ref="H189" ca="1" si="184">IF(ISNUMBER(N189),codeEAN13(INT(N189/10)),"")</f>
        <v>8APASOG*ajaega+</v>
      </c>
      <c r="J189" s="18">
        <f t="shared" si="134"/>
        <v>90</v>
      </c>
      <c r="L189" s="7" t="str">
        <f ca="1">INDEX(INDIRECT(zoneFichierTraite),$J189+offsetInitialFichierTraite,1)</f>
        <v>'090</v>
      </c>
      <c r="M189" s="14">
        <f ca="1">INDEX(INDIRECT(zoneFichierTraite),$J189+offsetInitialFichierTraite,9)</f>
        <v>40</v>
      </c>
      <c r="N189" s="17">
        <f ca="1">INDEX(INDIRECT(zoneFichierTraite),$J189+offsetInitialFichierTraite,3)</f>
        <v>8050846090460</v>
      </c>
      <c r="O189" s="2" t="e">
        <f ca="1">MATCH(N189,INDIRECT(nomFichierEAN13Valmag &amp; "!A:A"),0)</f>
        <v>#N/A</v>
      </c>
      <c r="P189" s="2" t="e">
        <f ca="1">MATCH(R189,INDIRECT(nomFichierEAN13Valmag &amp; "!A:A"),0)</f>
        <v>#N/A</v>
      </c>
      <c r="Q189" s="2">
        <f ca="1">MATCH(LEFT(B189,14) &amp; "*",INDIRECT(nomFichierBaseCatalogue &amp; "!B:B"),0)</f>
        <v>1032</v>
      </c>
      <c r="R189" s="17">
        <f ca="1">IFERROR(INDEX(INDIRECT(zoneFichierBaseCatalogue),Q189,1),"")</f>
        <v>8050846090460</v>
      </c>
      <c r="S189" s="2">
        <f ca="1">MATCH(B189,INDIRECT(nomFichierFiltreCatalogue &amp; "!B:B"),0)</f>
        <v>489</v>
      </c>
      <c r="T189" s="17"/>
    </row>
    <row r="190" spans="1:20" s="24" customFormat="1" ht="15.75" customHeight="1" x14ac:dyDescent="0.25">
      <c r="A190" s="30">
        <f ca="1">INDEX(INDIRECT(zoneFichierTraite),$J189+offsetInitialFichierTraite,2)</f>
        <v>137</v>
      </c>
      <c r="B190" s="29" t="str">
        <f ca="1">IFERROR(INDEX(INDIRECT(zoneFichierEAN13Valmag),$P189,3),"")</f>
        <v/>
      </c>
      <c r="C190" s="22" t="str">
        <f ca="1">IFERROR(INDEX(INDIRECT(zoneFichierEAN13Valmag),$O189,3),"")</f>
        <v/>
      </c>
      <c r="D190" s="23" t="str">
        <f ca="1">IFERROR(INDEX(INDIRECT(zoneFichierEAN13Valmag),$O189,4),"")</f>
        <v/>
      </c>
      <c r="E190" s="38" t="str">
        <f ca="1">IFERROR(INDEX(INDIRECT(zoneFichierFiltreCatalogue),S189,3),"")</f>
        <v>p118-2-01</v>
      </c>
      <c r="F190" s="23"/>
      <c r="G190" s="21"/>
      <c r="H190" s="39" t="str">
        <f ca="1">IFERROR(INDEX(INDIRECT(zoneFichierFiltreCatalogue),S189,6),"")</f>
        <v>fall 2019 presentation_/catalogo fall 19.txt</v>
      </c>
      <c r="R190" s="25"/>
      <c r="S190" s="25"/>
    </row>
    <row r="191" spans="1:20" ht="39" customHeight="1" thickBot="1" x14ac:dyDescent="0.65">
      <c r="A191" s="11" t="str">
        <f ca="1">INDEX(INDIRECT(zoneFichierTraite),$J191+offsetInitialFichierTraite,6)</f>
        <v>UNICA</v>
      </c>
      <c r="B191" s="7" t="str">
        <f ca="1">INDEX(INDIRECT(zoneFichierTraite),$J191+offsetInitialFichierTraite,4)</f>
        <v>OBAGP206-ECS03-067</v>
      </c>
      <c r="C191" s="31" t="str">
        <f ca="1">INDEX(INDIRECT(zoneFichierTraite),$J191+offsetInitialFichierTraite,5)</f>
        <v>RABAT AVEC BOUCLE O POCKET EN FAUX CUIR SUÃˆDE</v>
      </c>
      <c r="D191" s="32" t="str">
        <f ca="1">INDEX(INDIRECT(zoneFichierTraite),$J191+offsetInitialFichierTraite,13)</f>
        <v>phard</v>
      </c>
      <c r="E191" s="35">
        <f ca="1">INDEX(INDIRECT(zoneFichierTraite),$J191+offsetInitialFichierTraite,7)</f>
        <v>2</v>
      </c>
      <c r="F191" s="33">
        <f ca="1">INDEX(INDIRECT(zoneFichierTraite),$J191+offsetInitialFichierTraite,8)</f>
        <v>12.59</v>
      </c>
      <c r="G191" s="34">
        <f t="shared" ref="G191" ca="1" si="185">ROUNDUP(F191*3,0)</f>
        <v>38</v>
      </c>
      <c r="H191" s="37" t="str">
        <f t="shared" ref="H191" ca="1" si="186">IF(ISNUMBER(N191),codeEAN13(INT(N191/10)),"")</f>
        <v>8APASOG*ajcagi+</v>
      </c>
      <c r="J191" s="18">
        <f t="shared" si="134"/>
        <v>91</v>
      </c>
      <c r="L191" s="7" t="str">
        <f ca="1">INDEX(INDIRECT(zoneFichierTraite),$J191+offsetInitialFichierTraite,1)</f>
        <v>'091</v>
      </c>
      <c r="M191" s="14">
        <f ca="1">INDEX(INDIRECT(zoneFichierTraite),$J191+offsetInitialFichierTraite,9)</f>
        <v>25.18</v>
      </c>
      <c r="N191" s="17">
        <f ca="1">INDEX(INDIRECT(zoneFichierTraite),$J191+offsetInitialFichierTraite,3)</f>
        <v>8050846092068</v>
      </c>
      <c r="O191" s="2" t="e">
        <f ca="1">MATCH(N191,INDIRECT(nomFichierEAN13Valmag &amp; "!A:A"),0)</f>
        <v>#N/A</v>
      </c>
      <c r="P191" s="2" t="e">
        <f ca="1">MATCH(R191,INDIRECT(nomFichierEAN13Valmag &amp; "!A:A"),0)</f>
        <v>#N/A</v>
      </c>
      <c r="Q191" s="2">
        <f ca="1">MATCH(LEFT(B191,14) &amp; "*",INDIRECT(nomFichierBaseCatalogue &amp; "!B:B"),0)</f>
        <v>1033</v>
      </c>
      <c r="R191" s="17">
        <f ca="1">IFERROR(INDEX(INDIRECT(zoneFichierBaseCatalogue),Q191,1),"")</f>
        <v>8050846092068</v>
      </c>
      <c r="S191" s="2">
        <f ca="1">MATCH(B191,INDIRECT(nomFichierFiltreCatalogue &amp; "!B:B"),0)</f>
        <v>470</v>
      </c>
      <c r="T191" s="17"/>
    </row>
    <row r="192" spans="1:20" s="24" customFormat="1" ht="15.75" customHeight="1" x14ac:dyDescent="0.25">
      <c r="A192" s="30">
        <f ca="1">INDEX(INDIRECT(zoneFichierTraite),$J191+offsetInitialFichierTraite,2)</f>
        <v>42</v>
      </c>
      <c r="B192" s="29" t="str">
        <f ca="1">IFERROR(INDEX(INDIRECT(zoneFichierEAN13Valmag),$P191,3),"")</f>
        <v/>
      </c>
      <c r="C192" s="22" t="str">
        <f ca="1">IFERROR(INDEX(INDIRECT(zoneFichierEAN13Valmag),$O191,3),"")</f>
        <v/>
      </c>
      <c r="D192" s="23" t="str">
        <f ca="1">IFERROR(INDEX(INDIRECT(zoneFichierEAN13Valmag),$O191,4),"")</f>
        <v/>
      </c>
      <c r="E192" s="38" t="str">
        <f ca="1">IFERROR(INDEX(INDIRECT(zoneFichierFiltreCatalogue),S191,3),"")</f>
        <v>p114-1-01</v>
      </c>
      <c r="F192" s="23"/>
      <c r="G192" s="21"/>
      <c r="H192" s="39" t="str">
        <f ca="1">IFERROR(INDEX(INDIRECT(zoneFichierFiltreCatalogue),S191,6),"")</f>
        <v>fall 2019 presentation_/catalogo fall 19.txt</v>
      </c>
      <c r="R192" s="25"/>
      <c r="S192" s="25"/>
    </row>
    <row r="193" spans="1:20" ht="39" customHeight="1" thickBot="1" x14ac:dyDescent="0.65">
      <c r="A193" s="11" t="str">
        <f ca="1">INDEX(INDIRECT(zoneFichierTraite),$J193+offsetInitialFichierTraite,6)</f>
        <v>UNICA</v>
      </c>
      <c r="B193" s="7" t="str">
        <f ca="1">INDEX(INDIRECT(zoneFichierTraite),$J193+offsetInitialFichierTraite,4)</f>
        <v>OBAGP206-ECS03-615</v>
      </c>
      <c r="C193" s="31" t="str">
        <f ca="1">INDEX(INDIRECT(zoneFichierTraite),$J193+offsetInitialFichierTraite,5)</f>
        <v>RABAT AVEC BOUCLE O POCKET EN FAUX CUIR SUÃˆDE</v>
      </c>
      <c r="D193" s="32" t="str">
        <f ca="1">INDEX(INDIRECT(zoneFichierTraite),$J193+offsetInitialFichierTraite,13)</f>
        <v>military</v>
      </c>
      <c r="E193" s="35">
        <f ca="1">INDEX(INDIRECT(zoneFichierTraite),$J193+offsetInitialFichierTraite,7)</f>
        <v>2</v>
      </c>
      <c r="F193" s="33">
        <f ca="1">INDEX(INDIRECT(zoneFichierTraite),$J193+offsetInitialFichierTraite,8)</f>
        <v>12.59</v>
      </c>
      <c r="G193" s="34">
        <f t="shared" ref="G193" ca="1" si="187">ROUNDUP(F193*3,0)</f>
        <v>38</v>
      </c>
      <c r="H193" s="37" t="str">
        <f t="shared" ref="H193" ca="1" si="188">IF(ISNUMBER(N193),codeEAN13(INT(N193/10)),"")</f>
        <v>8APASOG*ajcafb+</v>
      </c>
      <c r="J193" s="18">
        <f t="shared" si="134"/>
        <v>92</v>
      </c>
      <c r="L193" s="7" t="str">
        <f ca="1">INDEX(INDIRECT(zoneFichierTraite),$J193+offsetInitialFichierTraite,1)</f>
        <v>'092</v>
      </c>
      <c r="M193" s="14">
        <f ca="1">INDEX(INDIRECT(zoneFichierTraite),$J193+offsetInitialFichierTraite,9)</f>
        <v>25.18</v>
      </c>
      <c r="N193" s="17">
        <f ca="1">INDEX(INDIRECT(zoneFichierTraite),$J193+offsetInitialFichierTraite,3)</f>
        <v>8050846092051</v>
      </c>
      <c r="O193" s="2" t="e">
        <f ca="1">MATCH(N193,INDIRECT(nomFichierEAN13Valmag &amp; "!A:A"),0)</f>
        <v>#N/A</v>
      </c>
      <c r="P193" s="2" t="e">
        <f ca="1">MATCH(R193,INDIRECT(nomFichierEAN13Valmag &amp; "!A:A"),0)</f>
        <v>#N/A</v>
      </c>
      <c r="Q193" s="2">
        <f ca="1">MATCH(LEFT(B193,14) &amp; "*",INDIRECT(nomFichierBaseCatalogue &amp; "!B:B"),0)</f>
        <v>1033</v>
      </c>
      <c r="R193" s="17">
        <f ca="1">IFERROR(INDEX(INDIRECT(zoneFichierBaseCatalogue),Q193,1),"")</f>
        <v>8050846092068</v>
      </c>
      <c r="S193" s="2">
        <f ca="1">MATCH(B193,INDIRECT(nomFichierFiltreCatalogue &amp; "!B:B"),0)</f>
        <v>471</v>
      </c>
      <c r="T193" s="17"/>
    </row>
    <row r="194" spans="1:20" s="24" customFormat="1" ht="15.75" customHeight="1" x14ac:dyDescent="0.25">
      <c r="A194" s="30">
        <f ca="1">INDEX(INDIRECT(zoneFichierTraite),$J193+offsetInitialFichierTraite,2)</f>
        <v>66</v>
      </c>
      <c r="B194" s="29" t="str">
        <f ca="1">IFERROR(INDEX(INDIRECT(zoneFichierEAN13Valmag),$P193,3),"")</f>
        <v/>
      </c>
      <c r="C194" s="22" t="str">
        <f ca="1">IFERROR(INDEX(INDIRECT(zoneFichierEAN13Valmag),$O193,3),"")</f>
        <v/>
      </c>
      <c r="D194" s="23" t="str">
        <f ca="1">IFERROR(INDEX(INDIRECT(zoneFichierEAN13Valmag),$O193,4),"")</f>
        <v/>
      </c>
      <c r="E194" s="38" t="str">
        <f ca="1">IFERROR(INDEX(INDIRECT(zoneFichierFiltreCatalogue),S193,3),"")</f>
        <v>p114-1-02</v>
      </c>
      <c r="F194" s="23"/>
      <c r="G194" s="21"/>
      <c r="H194" s="39" t="str">
        <f ca="1">IFERROR(INDEX(INDIRECT(zoneFichierFiltreCatalogue),S193,6),"")</f>
        <v>fall 2019 presentation_/catalogo fall 19.txt</v>
      </c>
      <c r="R194" s="25"/>
      <c r="S194" s="25"/>
    </row>
    <row r="195" spans="1:20" ht="39" customHeight="1" thickBot="1" x14ac:dyDescent="0.65">
      <c r="A195" s="11" t="str">
        <f ca="1">INDEX(INDIRECT(zoneFichierTraite),$J195+offsetInitialFichierTraite,6)</f>
        <v>UNICA</v>
      </c>
      <c r="B195" s="7" t="str">
        <f ca="1">INDEX(INDIRECT(zoneFichierTraite),$J195+offsetInitialFichierTraite,4)</f>
        <v>OBAGP206-ECS29-017</v>
      </c>
      <c r="C195" s="31" t="str">
        <f ca="1">INDEX(INDIRECT(zoneFichierTraite),$J195+offsetInitialFichierTraite,5)</f>
        <v>RABAT AVEC BOUCLE O POCKET EN FAUX CUIR IMPRIME COCO</v>
      </c>
      <c r="D195" s="32" t="str">
        <f ca="1">INDEX(INDIRECT(zoneFichierTraite),$J195+offsetInitialFichierTraite,13)</f>
        <v>blu navy</v>
      </c>
      <c r="E195" s="35">
        <f ca="1">INDEX(INDIRECT(zoneFichierTraite),$J195+offsetInitialFichierTraite,7)</f>
        <v>2</v>
      </c>
      <c r="F195" s="33">
        <f ca="1">INDEX(INDIRECT(zoneFichierTraite),$J195+offsetInitialFichierTraite,8)</f>
        <v>13.33</v>
      </c>
      <c r="G195" s="34">
        <f t="shared" ref="G195" ca="1" si="189">ROUNDUP(F195*3,0)</f>
        <v>40</v>
      </c>
      <c r="H195" s="37" t="str">
        <f t="shared" ref="H195" ca="1" si="190">IF(ISNUMBER(N195),codeEAN13(INT(N195/10)),"")</f>
        <v>8APASOG*ajcadh+</v>
      </c>
      <c r="J195" s="18">
        <f t="shared" si="134"/>
        <v>93</v>
      </c>
      <c r="L195" s="7" t="str">
        <f ca="1">INDEX(INDIRECT(zoneFichierTraite),$J195+offsetInitialFichierTraite,1)</f>
        <v>'093</v>
      </c>
      <c r="M195" s="14">
        <f ca="1">INDEX(INDIRECT(zoneFichierTraite),$J195+offsetInitialFichierTraite,9)</f>
        <v>26.66</v>
      </c>
      <c r="N195" s="17">
        <f ca="1">INDEX(INDIRECT(zoneFichierTraite),$J195+offsetInitialFichierTraite,3)</f>
        <v>8050846092037</v>
      </c>
      <c r="O195" s="2" t="e">
        <f ca="1">MATCH(N195,INDIRECT(nomFichierEAN13Valmag &amp; "!A:A"),0)</f>
        <v>#N/A</v>
      </c>
      <c r="P195" s="2" t="e">
        <f ca="1">MATCH(R195,INDIRECT(nomFichierEAN13Valmag &amp; "!A:A"),0)</f>
        <v>#N/A</v>
      </c>
      <c r="Q195" s="2">
        <f ca="1">MATCH(LEFT(B195,14) &amp; "*",INDIRECT(nomFichierBaseCatalogue &amp; "!B:B"),0)</f>
        <v>1035</v>
      </c>
      <c r="R195" s="17">
        <f ca="1">IFERROR(INDEX(INDIRECT(zoneFichierBaseCatalogue),Q195,1),"")</f>
        <v>8050846092037</v>
      </c>
      <c r="S195" s="2">
        <f ca="1">MATCH(B195,INDIRECT(nomFichierFiltreCatalogue &amp; "!B:B"),0)</f>
        <v>472</v>
      </c>
      <c r="T195" s="17"/>
    </row>
    <row r="196" spans="1:20" s="24" customFormat="1" ht="15.75" customHeight="1" x14ac:dyDescent="0.25">
      <c r="A196" s="30">
        <f ca="1">INDEX(INDIRECT(zoneFichierTraite),$J195+offsetInitialFichierTraite,2)</f>
        <v>26</v>
      </c>
      <c r="B196" s="29" t="str">
        <f ca="1">IFERROR(INDEX(INDIRECT(zoneFichierEAN13Valmag),$P195,3),"")</f>
        <v/>
      </c>
      <c r="C196" s="22" t="str">
        <f ca="1">IFERROR(INDEX(INDIRECT(zoneFichierEAN13Valmag),$O195,3),"")</f>
        <v/>
      </c>
      <c r="D196" s="23" t="str">
        <f ca="1">IFERROR(INDEX(INDIRECT(zoneFichierEAN13Valmag),$O195,4),"")</f>
        <v/>
      </c>
      <c r="E196" s="38" t="str">
        <f ca="1">IFERROR(INDEX(INDIRECT(zoneFichierFiltreCatalogue),S195,3),"")</f>
        <v>p114-2-01</v>
      </c>
      <c r="F196" s="23"/>
      <c r="G196" s="21"/>
      <c r="H196" s="39" t="str">
        <f ca="1">IFERROR(INDEX(INDIRECT(zoneFichierFiltreCatalogue),S195,6),"")</f>
        <v>fall 2019 presentation_/catalogo fall 19.txt</v>
      </c>
      <c r="R196" s="25"/>
      <c r="S196" s="25"/>
    </row>
    <row r="197" spans="1:20" ht="39" customHeight="1" thickBot="1" x14ac:dyDescent="0.65">
      <c r="A197" s="11" t="str">
        <f ca="1">INDEX(INDIRECT(zoneFichierTraite),$J197+offsetInitialFichierTraite,6)</f>
        <v>UNICA</v>
      </c>
      <c r="B197" s="7" t="str">
        <f ca="1">INDEX(INDIRECT(zoneFichierTraite),$J197+offsetInitialFichierTraite,4)</f>
        <v>OBAGP206-ECS29-084</v>
      </c>
      <c r="C197" s="31" t="str">
        <f ca="1">INDEX(INDIRECT(zoneFichierTraite),$J197+offsetInitialFichierTraite,5)</f>
        <v>RABAT AVEC BOUCLE O POCKET EN FAUX CUIR IMPRIME COCO</v>
      </c>
      <c r="D197" s="32" t="str">
        <f ca="1">INDEX(INDIRECT(zoneFichierTraite),$J197+offsetInitialFichierTraite,13)</f>
        <v>testa di moro</v>
      </c>
      <c r="E197" s="35">
        <f ca="1">INDEX(INDIRECT(zoneFichierTraite),$J197+offsetInitialFichierTraite,7)</f>
        <v>2</v>
      </c>
      <c r="F197" s="33">
        <f ca="1">INDEX(INDIRECT(zoneFichierTraite),$J197+offsetInitialFichierTraite,8)</f>
        <v>13.33</v>
      </c>
      <c r="G197" s="34">
        <f t="shared" ref="G197" ca="1" si="191">ROUNDUP(F197*3,0)</f>
        <v>40</v>
      </c>
      <c r="H197" s="37" t="str">
        <f t="shared" ref="H197" ca="1" si="192">IF(ISNUMBER(N197),codeEAN13(INT(N197/10)),"")</f>
        <v>8APASOG*ajcaee+</v>
      </c>
      <c r="J197" s="18">
        <f t="shared" si="134"/>
        <v>94</v>
      </c>
      <c r="L197" s="7" t="str">
        <f ca="1">INDEX(INDIRECT(zoneFichierTraite),$J197+offsetInitialFichierTraite,1)</f>
        <v>'094</v>
      </c>
      <c r="M197" s="14">
        <f ca="1">INDEX(INDIRECT(zoneFichierTraite),$J197+offsetInitialFichierTraite,9)</f>
        <v>26.66</v>
      </c>
      <c r="N197" s="17">
        <f ca="1">INDEX(INDIRECT(zoneFichierTraite),$J197+offsetInitialFichierTraite,3)</f>
        <v>8050846092044</v>
      </c>
      <c r="O197" s="2" t="e">
        <f ca="1">MATCH(N197,INDIRECT(nomFichierEAN13Valmag &amp; "!A:A"),0)</f>
        <v>#N/A</v>
      </c>
      <c r="P197" s="2" t="e">
        <f ca="1">MATCH(R197,INDIRECT(nomFichierEAN13Valmag &amp; "!A:A"),0)</f>
        <v>#N/A</v>
      </c>
      <c r="Q197" s="2">
        <f ca="1">MATCH(LEFT(B197,14) &amp; "*",INDIRECT(nomFichierBaseCatalogue &amp; "!B:B"),0)</f>
        <v>1035</v>
      </c>
      <c r="R197" s="17">
        <f ca="1">IFERROR(INDEX(INDIRECT(zoneFichierBaseCatalogue),Q197,1),"")</f>
        <v>8050846092037</v>
      </c>
      <c r="S197" s="2">
        <f ca="1">MATCH(B197,INDIRECT(nomFichierFiltreCatalogue &amp; "!B:B"),0)</f>
        <v>473</v>
      </c>
      <c r="T197" s="17"/>
    </row>
    <row r="198" spans="1:20" s="24" customFormat="1" ht="15.75" customHeight="1" x14ac:dyDescent="0.25">
      <c r="A198" s="30">
        <f ca="1">INDEX(INDIRECT(zoneFichierTraite),$J197+offsetInitialFichierTraite,2)</f>
        <v>100</v>
      </c>
      <c r="B198" s="29" t="str">
        <f ca="1">IFERROR(INDEX(INDIRECT(zoneFichierEAN13Valmag),$P197,3),"")</f>
        <v/>
      </c>
      <c r="C198" s="22" t="str">
        <f ca="1">IFERROR(INDEX(INDIRECT(zoneFichierEAN13Valmag),$O197,3),"")</f>
        <v/>
      </c>
      <c r="D198" s="23" t="str">
        <f ca="1">IFERROR(INDEX(INDIRECT(zoneFichierEAN13Valmag),$O197,4),"")</f>
        <v/>
      </c>
      <c r="E198" s="38" t="str">
        <f ca="1">IFERROR(INDEX(INDIRECT(zoneFichierFiltreCatalogue),S197,3),"")</f>
        <v>p114-2-02</v>
      </c>
      <c r="F198" s="23"/>
      <c r="G198" s="21"/>
      <c r="H198" s="39" t="str">
        <f ca="1">IFERROR(INDEX(INDIRECT(zoneFichierFiltreCatalogue),S197,6),"")</f>
        <v>fall 2019 presentation_/catalogo fall 19.txt</v>
      </c>
      <c r="R198" s="25"/>
      <c r="S198" s="25"/>
    </row>
    <row r="199" spans="1:20" ht="39" customHeight="1" thickBot="1" x14ac:dyDescent="0.65">
      <c r="A199" s="11" t="str">
        <f ca="1">INDEX(INDIRECT(zoneFichierTraite),$J199+offsetInitialFichierTraite,6)</f>
        <v>UNICA</v>
      </c>
      <c r="B199" s="7" t="str">
        <f ca="1">INDEX(INDIRECT(zoneFichierTraite),$J199+offsetInitialFichierTraite,4)</f>
        <v>OBAGPA06-ECSC8-055</v>
      </c>
      <c r="C199" s="31" t="str">
        <f ca="1">INDEX(INDIRECT(zoneFichierTraite),$J199+offsetInitialFichierTraite,5)</f>
        <v>RABAT TOURNIQUET O POCKET EN FAUX CUIR ACTIVE STRIPES</v>
      </c>
      <c r="D199" s="32" t="str">
        <f ca="1">INDEX(INDIRECT(zoneFichierTraite),$J199+offsetInitialFichierTraite,13)</f>
        <v>nero</v>
      </c>
      <c r="E199" s="35">
        <f ca="1">INDEX(INDIRECT(zoneFichierTraite),$J199+offsetInitialFichierTraite,7)</f>
        <v>2</v>
      </c>
      <c r="F199" s="33">
        <f ca="1">INDEX(INDIRECT(zoneFichierTraite),$J199+offsetInitialFichierTraite,8)</f>
        <v>11.85</v>
      </c>
      <c r="G199" s="34">
        <f t="shared" ref="G199" ca="1" si="193">ROUNDUP(F199*3,0)</f>
        <v>36</v>
      </c>
      <c r="H199" s="37" t="str">
        <f t="shared" ref="H199" ca="1" si="194">IF(ISNUMBER(N199),codeEAN13(INT(N199/10)),"")</f>
        <v>8APASOG*ajcajj+</v>
      </c>
      <c r="J199" s="18">
        <f t="shared" si="134"/>
        <v>95</v>
      </c>
      <c r="L199" s="7" t="str">
        <f ca="1">INDEX(INDIRECT(zoneFichierTraite),$J199+offsetInitialFichierTraite,1)</f>
        <v>'095</v>
      </c>
      <c r="M199" s="14">
        <f ca="1">INDEX(INDIRECT(zoneFichierTraite),$J199+offsetInitialFichierTraite,9)</f>
        <v>23.7</v>
      </c>
      <c r="N199" s="17">
        <f ca="1">INDEX(INDIRECT(zoneFichierTraite),$J199+offsetInitialFichierTraite,3)</f>
        <v>8050846092099</v>
      </c>
      <c r="O199" s="2" t="e">
        <f ca="1">MATCH(N199,INDIRECT(nomFichierEAN13Valmag &amp; "!A:A"),0)</f>
        <v>#N/A</v>
      </c>
      <c r="P199" s="2" t="e">
        <f ca="1">MATCH(R199,INDIRECT(nomFichierEAN13Valmag &amp; "!A:A"),0)</f>
        <v>#N/A</v>
      </c>
      <c r="Q199" s="2">
        <f ca="1">MATCH(LEFT(B199,14) &amp; "*",INDIRECT(nomFichierBaseCatalogue &amp; "!B:B"),0)</f>
        <v>1037</v>
      </c>
      <c r="R199" s="17">
        <f ca="1">IFERROR(INDEX(INDIRECT(zoneFichierBaseCatalogue),Q199,1),"")</f>
        <v>8050846092099</v>
      </c>
      <c r="S199" s="2">
        <f ca="1">MATCH(B199,INDIRECT(nomFichierFiltreCatalogue &amp; "!B:B"),0)</f>
        <v>468</v>
      </c>
      <c r="T199" s="17"/>
    </row>
    <row r="200" spans="1:20" s="24" customFormat="1" ht="15.75" customHeight="1" x14ac:dyDescent="0.25">
      <c r="A200" s="30">
        <f ca="1">INDEX(INDIRECT(zoneFichierTraite),$J199+offsetInitialFichierTraite,2)</f>
        <v>166</v>
      </c>
      <c r="B200" s="29" t="str">
        <f ca="1">IFERROR(INDEX(INDIRECT(zoneFichierEAN13Valmag),$P199,3),"")</f>
        <v/>
      </c>
      <c r="C200" s="22" t="str">
        <f ca="1">IFERROR(INDEX(INDIRECT(zoneFichierEAN13Valmag),$O199,3),"")</f>
        <v/>
      </c>
      <c r="D200" s="23" t="str">
        <f ca="1">IFERROR(INDEX(INDIRECT(zoneFichierEAN13Valmag),$O199,4),"")</f>
        <v/>
      </c>
      <c r="E200" s="38" t="str">
        <f ca="1">IFERROR(INDEX(INDIRECT(zoneFichierFiltreCatalogue),S199,3),"")</f>
        <v>p113-2-01</v>
      </c>
      <c r="F200" s="23"/>
      <c r="G200" s="21"/>
      <c r="H200" s="39" t="str">
        <f ca="1">IFERROR(INDEX(INDIRECT(zoneFichierFiltreCatalogue),S199,6),"")</f>
        <v>fall 2019 presentation_/catalogo fall 19.txt</v>
      </c>
      <c r="R200" s="25"/>
      <c r="S200" s="25"/>
    </row>
    <row r="201" spans="1:20" ht="39" customHeight="1" thickBot="1" x14ac:dyDescent="0.65">
      <c r="A201" s="11" t="str">
        <f ca="1">INDEX(INDIRECT(zoneFichierTraite),$J201+offsetInitialFichierTraite,6)</f>
        <v>UNICA</v>
      </c>
      <c r="B201" s="7" t="str">
        <f ca="1">INDEX(INDIRECT(zoneFichierTraite),$J201+offsetInitialFichierTraite,4)</f>
        <v>OBAGPA06-ECSC8-137</v>
      </c>
      <c r="C201" s="31" t="str">
        <f ca="1">INDEX(INDIRECT(zoneFichierTraite),$J201+offsetInitialFichierTraite,5)</f>
        <v>RABAT TOURNIQUET O POCKET EN FAUX CUIR ACTIVE STRIPES</v>
      </c>
      <c r="D201" s="32" t="str">
        <f ca="1">INDEX(INDIRECT(zoneFichierTraite),$J201+offsetInitialFichierTraite,13)</f>
        <v>bluette</v>
      </c>
      <c r="E201" s="35">
        <f ca="1">INDEX(INDIRECT(zoneFichierTraite),$J201+offsetInitialFichierTraite,7)</f>
        <v>2</v>
      </c>
      <c r="F201" s="33">
        <f ca="1">INDEX(INDIRECT(zoneFichierTraite),$J201+offsetInitialFichierTraite,8)</f>
        <v>11.85</v>
      </c>
      <c r="G201" s="34">
        <f t="shared" ref="G201" ca="1" si="195">ROUNDUP(F201*3,0)</f>
        <v>36</v>
      </c>
      <c r="H201" s="37" t="str">
        <f t="shared" ref="H201" ca="1" si="196">IF(ISNUMBER(N201),codeEAN13(INT(N201/10)),"")</f>
        <v>8APASOG*ajcaic+</v>
      </c>
      <c r="J201" s="18">
        <f t="shared" si="134"/>
        <v>96</v>
      </c>
      <c r="L201" s="7" t="str">
        <f ca="1">INDEX(INDIRECT(zoneFichierTraite),$J201+offsetInitialFichierTraite,1)</f>
        <v>'096</v>
      </c>
      <c r="M201" s="14">
        <f ca="1">INDEX(INDIRECT(zoneFichierTraite),$J201+offsetInitialFichierTraite,9)</f>
        <v>23.7</v>
      </c>
      <c r="N201" s="17">
        <f ca="1">INDEX(INDIRECT(zoneFichierTraite),$J201+offsetInitialFichierTraite,3)</f>
        <v>8050846092082</v>
      </c>
      <c r="O201" s="2" t="e">
        <f ca="1">MATCH(N201,INDIRECT(nomFichierEAN13Valmag &amp; "!A:A"),0)</f>
        <v>#N/A</v>
      </c>
      <c r="P201" s="2" t="e">
        <f ca="1">MATCH(R201,INDIRECT(nomFichierEAN13Valmag &amp; "!A:A"),0)</f>
        <v>#N/A</v>
      </c>
      <c r="Q201" s="2">
        <f ca="1">MATCH(LEFT(B201,14) &amp; "*",INDIRECT(nomFichierBaseCatalogue &amp; "!B:B"),0)</f>
        <v>1037</v>
      </c>
      <c r="R201" s="17">
        <f ca="1">IFERROR(INDEX(INDIRECT(zoneFichierBaseCatalogue),Q201,1),"")</f>
        <v>8050846092099</v>
      </c>
      <c r="S201" s="2">
        <f ca="1">MATCH(B201,INDIRECT(nomFichierFiltreCatalogue &amp; "!B:B"),0)</f>
        <v>469</v>
      </c>
      <c r="T201" s="17"/>
    </row>
    <row r="202" spans="1:20" s="24" customFormat="1" ht="15.75" customHeight="1" x14ac:dyDescent="0.25">
      <c r="A202" s="30">
        <f ca="1">INDEX(INDIRECT(zoneFichierTraite),$J201+offsetInitialFichierTraite,2)</f>
        <v>150</v>
      </c>
      <c r="B202" s="29" t="str">
        <f ca="1">IFERROR(INDEX(INDIRECT(zoneFichierEAN13Valmag),$P201,3),"")</f>
        <v/>
      </c>
      <c r="C202" s="22" t="str">
        <f ca="1">IFERROR(INDEX(INDIRECT(zoneFichierEAN13Valmag),$O201,3),"")</f>
        <v/>
      </c>
      <c r="D202" s="23" t="str">
        <f ca="1">IFERROR(INDEX(INDIRECT(zoneFichierEAN13Valmag),$O201,4),"")</f>
        <v/>
      </c>
      <c r="E202" s="38" t="str">
        <f ca="1">IFERROR(INDEX(INDIRECT(zoneFichierFiltreCatalogue),S201,3),"")</f>
        <v>p113-2-02</v>
      </c>
      <c r="F202" s="23"/>
      <c r="G202" s="21"/>
      <c r="H202" s="39" t="str">
        <f ca="1">IFERROR(INDEX(INDIRECT(zoneFichierFiltreCatalogue),S201,6),"")</f>
        <v>fall 2019 presentation_/catalogo fall 19.txt</v>
      </c>
      <c r="R202" s="25"/>
      <c r="S202" s="25"/>
    </row>
    <row r="203" spans="1:20" ht="39" customHeight="1" thickBot="1" x14ac:dyDescent="0.65">
      <c r="A203" s="11" t="str">
        <f ca="1">INDEX(INDIRECT(zoneFichierTraite),$J203+offsetInitialFichierTraite,6)</f>
        <v>UNICA</v>
      </c>
      <c r="B203" s="7" t="str">
        <f ca="1">INDEX(INDIRECT(zoneFichierTraite),$J203+offsetInitialFichierTraite,4)</f>
        <v>OBAGPB34-ECS29-017</v>
      </c>
      <c r="C203" s="31" t="str">
        <f ca="1">INDEX(INDIRECT(zoneFichierTraite),$J203+offsetInitialFichierTraite,5)</f>
        <v>RABAT BASIC O BAG GLAM EN FAUX CUIR IMPRIME COCO</v>
      </c>
      <c r="D203" s="32" t="str">
        <f ca="1">INDEX(INDIRECT(zoneFichierTraite),$J203+offsetInitialFichierTraite,13)</f>
        <v>blu navy</v>
      </c>
      <c r="E203" s="35">
        <f ca="1">INDEX(INDIRECT(zoneFichierTraite),$J203+offsetInitialFichierTraite,7)</f>
        <v>1</v>
      </c>
      <c r="F203" s="33">
        <f ca="1">INDEX(INDIRECT(zoneFichierTraite),$J203+offsetInitialFichierTraite,8)</f>
        <v>12.59</v>
      </c>
      <c r="G203" s="34">
        <f t="shared" ref="G203" ca="1" si="197">ROUNDUP(F203*3,0)</f>
        <v>38</v>
      </c>
      <c r="H203" s="37" t="str">
        <f t="shared" ref="H203" ca="1" si="198">IF(ISNUMBER(N203),codeEAN13(INT(N203/10)),"")</f>
        <v>8APASOG*ajaeie+</v>
      </c>
      <c r="J203" s="18">
        <f t="shared" ref="J203:J265" si="199">J201+1</f>
        <v>97</v>
      </c>
      <c r="L203" s="7" t="str">
        <f ca="1">INDEX(INDIRECT(zoneFichierTraite),$J203+offsetInitialFichierTraite,1)</f>
        <v>'097</v>
      </c>
      <c r="M203" s="14">
        <f ca="1">INDEX(INDIRECT(zoneFichierTraite),$J203+offsetInitialFichierTraite,9)</f>
        <v>12.59</v>
      </c>
      <c r="N203" s="17">
        <f ca="1">INDEX(INDIRECT(zoneFichierTraite),$J203+offsetInitialFichierTraite,3)</f>
        <v>8050846090484</v>
      </c>
      <c r="O203" s="2" t="e">
        <f ca="1">MATCH(N203,INDIRECT(nomFichierEAN13Valmag &amp; "!A:A"),0)</f>
        <v>#N/A</v>
      </c>
      <c r="P203" s="2" t="e">
        <f ca="1">MATCH(R203,INDIRECT(nomFichierEAN13Valmag &amp; "!A:A"),0)</f>
        <v>#N/A</v>
      </c>
      <c r="Q203" s="2">
        <f ca="1">MATCH(LEFT(B203,14) &amp; "*",INDIRECT(nomFichierBaseCatalogue &amp; "!B:B"),0)</f>
        <v>1068</v>
      </c>
      <c r="R203" s="17">
        <f ca="1">IFERROR(INDEX(INDIRECT(zoneFichierBaseCatalogue),Q203,1),"")</f>
        <v>8050846090484</v>
      </c>
      <c r="S203" s="2">
        <f ca="1">MATCH(B203,INDIRECT(nomFichierFiltreCatalogue &amp; "!B:B"),0)</f>
        <v>494</v>
      </c>
      <c r="T203" s="17"/>
    </row>
    <row r="204" spans="1:20" s="24" customFormat="1" ht="15.75" customHeight="1" x14ac:dyDescent="0.25">
      <c r="A204" s="30">
        <f ca="1">INDEX(INDIRECT(zoneFichierTraite),$J203+offsetInitialFichierTraite,2)</f>
        <v>21</v>
      </c>
      <c r="B204" s="29" t="str">
        <f ca="1">IFERROR(INDEX(INDIRECT(zoneFichierEAN13Valmag),$P203,3),"")</f>
        <v/>
      </c>
      <c r="C204" s="22" t="str">
        <f ca="1">IFERROR(INDEX(INDIRECT(zoneFichierEAN13Valmag),$O203,3),"")</f>
        <v/>
      </c>
      <c r="D204" s="23" t="str">
        <f ca="1">IFERROR(INDEX(INDIRECT(zoneFichierEAN13Valmag),$O203,4),"")</f>
        <v/>
      </c>
      <c r="E204" s="38" t="str">
        <f ca="1">IFERROR(INDEX(INDIRECT(zoneFichierFiltreCatalogue),S203,3),"")</f>
        <v>p120-1-01</v>
      </c>
      <c r="F204" s="23"/>
      <c r="G204" s="21"/>
      <c r="H204" s="39" t="str">
        <f ca="1">IFERROR(INDEX(INDIRECT(zoneFichierFiltreCatalogue),S203,6),"")</f>
        <v>fall 2019 presentation_/catalogo fall 19.txt</v>
      </c>
      <c r="R204" s="25"/>
      <c r="S204" s="25"/>
    </row>
    <row r="205" spans="1:20" ht="39" customHeight="1" thickBot="1" x14ac:dyDescent="0.65">
      <c r="A205" s="11" t="str">
        <f ca="1">INDEX(INDIRECT(zoneFichierTraite),$J205+offsetInitialFichierTraite,6)</f>
        <v>UNICA</v>
      </c>
      <c r="B205" s="7" t="str">
        <f ca="1">INDEX(INDIRECT(zoneFichierTraite),$J205+offsetInitialFichierTraite,4)</f>
        <v>OBAGPB34-ECS29-084</v>
      </c>
      <c r="C205" s="31" t="str">
        <f ca="1">INDEX(INDIRECT(zoneFichierTraite),$J205+offsetInitialFichierTraite,5)</f>
        <v>RABAT BASIC O BAG GLAM EN FAUX CUIR IMPRIME COCO</v>
      </c>
      <c r="D205" s="32" t="str">
        <f ca="1">INDEX(INDIRECT(zoneFichierTraite),$J205+offsetInitialFichierTraite,13)</f>
        <v>testa di moro</v>
      </c>
      <c r="E205" s="35">
        <f ca="1">INDEX(INDIRECT(zoneFichierTraite),$J205+offsetInitialFichierTraite,7)</f>
        <v>1</v>
      </c>
      <c r="F205" s="33">
        <f ca="1">INDEX(INDIRECT(zoneFichierTraite),$J205+offsetInitialFichierTraite,8)</f>
        <v>12.59</v>
      </c>
      <c r="G205" s="34">
        <f t="shared" ref="G205" ca="1" si="200">ROUNDUP(F205*3,0)</f>
        <v>38</v>
      </c>
      <c r="H205" s="37" t="str">
        <f t="shared" ref="H205" ca="1" si="201">IF(ISNUMBER(N205),codeEAN13(INT(N205/10)),"")</f>
        <v>8APASOG*ajaehh+</v>
      </c>
      <c r="J205" s="18">
        <f t="shared" si="199"/>
        <v>98</v>
      </c>
      <c r="L205" s="7" t="str">
        <f ca="1">INDEX(INDIRECT(zoneFichierTraite),$J205+offsetInitialFichierTraite,1)</f>
        <v>'098</v>
      </c>
      <c r="M205" s="14">
        <f ca="1">INDEX(INDIRECT(zoneFichierTraite),$J205+offsetInitialFichierTraite,9)</f>
        <v>12.59</v>
      </c>
      <c r="N205" s="17">
        <f ca="1">INDEX(INDIRECT(zoneFichierTraite),$J205+offsetInitialFichierTraite,3)</f>
        <v>8050846090477</v>
      </c>
      <c r="O205" s="2" t="e">
        <f ca="1">MATCH(N205,INDIRECT(nomFichierEAN13Valmag &amp; "!A:A"),0)</f>
        <v>#N/A</v>
      </c>
      <c r="P205" s="2" t="e">
        <f ca="1">MATCH(R205,INDIRECT(nomFichierEAN13Valmag &amp; "!A:A"),0)</f>
        <v>#N/A</v>
      </c>
      <c r="Q205" s="2">
        <f ca="1">MATCH(LEFT(B205,14) &amp; "*",INDIRECT(nomFichierBaseCatalogue &amp; "!B:B"),0)</f>
        <v>1068</v>
      </c>
      <c r="R205" s="17">
        <f ca="1">IFERROR(INDEX(INDIRECT(zoneFichierBaseCatalogue),Q205,1),"")</f>
        <v>8050846090484</v>
      </c>
      <c r="S205" s="2">
        <f ca="1">MATCH(B205,INDIRECT(nomFichierFiltreCatalogue &amp; "!B:B"),0)</f>
        <v>495</v>
      </c>
      <c r="T205" s="17"/>
    </row>
    <row r="206" spans="1:20" s="24" customFormat="1" ht="15.75" customHeight="1" x14ac:dyDescent="0.25">
      <c r="A206" s="30">
        <f ca="1">INDEX(INDIRECT(zoneFichierTraite),$J205+offsetInitialFichierTraite,2)</f>
        <v>105</v>
      </c>
      <c r="B206" s="29" t="str">
        <f ca="1">IFERROR(INDEX(INDIRECT(zoneFichierEAN13Valmag),$P205,3),"")</f>
        <v/>
      </c>
      <c r="C206" s="22" t="str">
        <f ca="1">IFERROR(INDEX(INDIRECT(zoneFichierEAN13Valmag),$O205,3),"")</f>
        <v/>
      </c>
      <c r="D206" s="23" t="str">
        <f ca="1">IFERROR(INDEX(INDIRECT(zoneFichierEAN13Valmag),$O205,4),"")</f>
        <v/>
      </c>
      <c r="E206" s="38" t="str">
        <f ca="1">IFERROR(INDEX(INDIRECT(zoneFichierFiltreCatalogue),S205,3),"")</f>
        <v>p120-1-02</v>
      </c>
      <c r="F206" s="23"/>
      <c r="G206" s="21"/>
      <c r="H206" s="39" t="str">
        <f ca="1">IFERROR(INDEX(INDIRECT(zoneFichierFiltreCatalogue),S205,6),"")</f>
        <v>fall 2019 presentation_/catalogo fall 19.txt</v>
      </c>
      <c r="R206" s="25"/>
      <c r="S206" s="25"/>
    </row>
    <row r="207" spans="1:20" ht="39" customHeight="1" thickBot="1" x14ac:dyDescent="0.65">
      <c r="A207" s="11" t="str">
        <f ca="1">INDEX(INDIRECT(zoneFichierTraite),$J207+offsetInitialFichierTraite,6)</f>
        <v>UNICA</v>
      </c>
      <c r="B207" s="7" t="str">
        <f ca="1">INDEX(INDIRECT(zoneFichierTraite),$J207+offsetInitialFichierTraite,4)</f>
        <v>OBAGPB34-ECSD5-137</v>
      </c>
      <c r="C207" s="31" t="str">
        <f ca="1">INDEX(INDIRECT(zoneFichierTraite),$J207+offsetInitialFichierTraite,5)</f>
        <v>RABAT BASIC O BAG GLAM EN FAUX CUIR IMPRIME PATCH ACTIVE</v>
      </c>
      <c r="D207" s="32" t="str">
        <f ca="1">INDEX(INDIRECT(zoneFichierTraite),$J207+offsetInitialFichierTraite,13)</f>
        <v>bluette</v>
      </c>
      <c r="E207" s="35">
        <f ca="1">INDEX(INDIRECT(zoneFichierTraite),$J207+offsetInitialFichierTraite,7)</f>
        <v>1</v>
      </c>
      <c r="F207" s="33">
        <f ca="1">INDEX(INDIRECT(zoneFichierTraite),$J207+offsetInitialFichierTraite,8)</f>
        <v>13.33</v>
      </c>
      <c r="G207" s="34">
        <f t="shared" ref="G207" ca="1" si="202">ROUNDUP(F207*3,0)</f>
        <v>40</v>
      </c>
      <c r="H207" s="37" t="str">
        <f t="shared" ref="H207" ca="1" si="203">IF(ISNUMBER(N207),codeEAN13(INT(N207/10)),"")</f>
        <v>8APASOG*ajaeai+</v>
      </c>
      <c r="J207" s="18">
        <f t="shared" si="199"/>
        <v>99</v>
      </c>
      <c r="L207" s="7" t="str">
        <f ca="1">INDEX(INDIRECT(zoneFichierTraite),$J207+offsetInitialFichierTraite,1)</f>
        <v>'099</v>
      </c>
      <c r="M207" s="14">
        <f ca="1">INDEX(INDIRECT(zoneFichierTraite),$J207+offsetInitialFichierTraite,9)</f>
        <v>13.33</v>
      </c>
      <c r="N207" s="17">
        <f ca="1">INDEX(INDIRECT(zoneFichierTraite),$J207+offsetInitialFichierTraite,3)</f>
        <v>8050846090408</v>
      </c>
      <c r="O207" s="2" t="e">
        <f ca="1">MATCH(N207,INDIRECT(nomFichierEAN13Valmag &amp; "!A:A"),0)</f>
        <v>#N/A</v>
      </c>
      <c r="P207" s="2" t="e">
        <f ca="1">MATCH(R207,INDIRECT(nomFichierEAN13Valmag &amp; "!A:A"),0)</f>
        <v>#N/A</v>
      </c>
      <c r="Q207" s="2">
        <f ca="1">MATCH(LEFT(B207,14) &amp; "*",INDIRECT(nomFichierBaseCatalogue &amp; "!B:B"),0)</f>
        <v>1071</v>
      </c>
      <c r="R207" s="17">
        <f ca="1">IFERROR(INDEX(INDIRECT(zoneFichierBaseCatalogue),Q207,1),"")</f>
        <v>8050846090408</v>
      </c>
      <c r="S207" s="2">
        <f ca="1">MATCH(B207,INDIRECT(nomFichierFiltreCatalogue &amp; "!B:B"),0)</f>
        <v>490</v>
      </c>
      <c r="T207" s="17"/>
    </row>
    <row r="208" spans="1:20" s="24" customFormat="1" ht="15.75" customHeight="1" x14ac:dyDescent="0.25">
      <c r="A208" s="30">
        <f ca="1">INDEX(INDIRECT(zoneFichierTraite),$J207+offsetInitialFichierTraite,2)</f>
        <v>120</v>
      </c>
      <c r="B208" s="29" t="str">
        <f ca="1">IFERROR(INDEX(INDIRECT(zoneFichierEAN13Valmag),$P207,3),"")</f>
        <v/>
      </c>
      <c r="C208" s="22" t="str">
        <f ca="1">IFERROR(INDEX(INDIRECT(zoneFichierEAN13Valmag),$O207,3),"")</f>
        <v/>
      </c>
      <c r="D208" s="23" t="str">
        <f ca="1">IFERROR(INDEX(INDIRECT(zoneFichierEAN13Valmag),$O207,4),"")</f>
        <v/>
      </c>
      <c r="E208" s="38" t="str">
        <f ca="1">IFERROR(INDEX(INDIRECT(zoneFichierFiltreCatalogue),S207,3),"")</f>
        <v>p119-1-01</v>
      </c>
      <c r="F208" s="23"/>
      <c r="G208" s="21"/>
      <c r="H208" s="39" t="str">
        <f ca="1">IFERROR(INDEX(INDIRECT(zoneFichierFiltreCatalogue),S207,6),"")</f>
        <v>fall 2019 presentation_/catalogo fall 19.txt</v>
      </c>
      <c r="R208" s="25"/>
      <c r="S208" s="25"/>
    </row>
    <row r="209" spans="1:20" ht="39" customHeight="1" thickBot="1" x14ac:dyDescent="0.65">
      <c r="A209" s="11" t="str">
        <f ca="1">INDEX(INDIRECT(zoneFichierTraite),$J209+offsetInitialFichierTraite,6)</f>
        <v>UNICA</v>
      </c>
      <c r="B209" s="7" t="str">
        <f ca="1">INDEX(INDIRECT(zoneFichierTraite),$J209+offsetInitialFichierTraite,4)</f>
        <v>OBAGPB34-ECSD5-371</v>
      </c>
      <c r="C209" s="31" t="str">
        <f ca="1">INDEX(INDIRECT(zoneFichierTraite),$J209+offsetInitialFichierTraite,5)</f>
        <v>RABAT BASIC O BAG GLAM EN FAUX CUIR IMPRIME PATCH ACTIVE</v>
      </c>
      <c r="D209" s="32" t="str">
        <f ca="1">INDEX(INDIRECT(zoneFichierTraite),$J209+offsetInitialFichierTraite,13)</f>
        <v>latte</v>
      </c>
      <c r="E209" s="35">
        <f ca="1">INDEX(INDIRECT(zoneFichierTraite),$J209+offsetInitialFichierTraite,7)</f>
        <v>1</v>
      </c>
      <c r="F209" s="33">
        <f ca="1">INDEX(INDIRECT(zoneFichierTraite),$J209+offsetInitialFichierTraite,8)</f>
        <v>13.33</v>
      </c>
      <c r="G209" s="34">
        <f t="shared" ref="G209" ca="1" si="204">ROUNDUP(F209*3,0)</f>
        <v>40</v>
      </c>
      <c r="H209" s="37" t="str">
        <f t="shared" ref="H209" ca="1" si="205">IF(ISNUMBER(N209),codeEAN13(INT(N209/10)),"")</f>
        <v>8APASOG*ajaebf+</v>
      </c>
      <c r="J209" s="18">
        <f t="shared" si="199"/>
        <v>100</v>
      </c>
      <c r="L209" s="7" t="str">
        <f ca="1">INDEX(INDIRECT(zoneFichierTraite),$J209+offsetInitialFichierTraite,1)</f>
        <v>'100</v>
      </c>
      <c r="M209" s="14">
        <f ca="1">INDEX(INDIRECT(zoneFichierTraite),$J209+offsetInitialFichierTraite,9)</f>
        <v>13.33</v>
      </c>
      <c r="N209" s="17">
        <f ca="1">INDEX(INDIRECT(zoneFichierTraite),$J209+offsetInitialFichierTraite,3)</f>
        <v>8050846090415</v>
      </c>
      <c r="O209" s="2" t="e">
        <f ca="1">MATCH(N209,INDIRECT(nomFichierEAN13Valmag &amp; "!A:A"),0)</f>
        <v>#N/A</v>
      </c>
      <c r="P209" s="2" t="e">
        <f ca="1">MATCH(R209,INDIRECT(nomFichierEAN13Valmag &amp; "!A:A"),0)</f>
        <v>#N/A</v>
      </c>
      <c r="Q209" s="2">
        <f ca="1">MATCH(LEFT(B209,14) &amp; "*",INDIRECT(nomFichierBaseCatalogue &amp; "!B:B"),0)</f>
        <v>1071</v>
      </c>
      <c r="R209" s="17">
        <f ca="1">IFERROR(INDEX(INDIRECT(zoneFichierBaseCatalogue),Q209,1),"")</f>
        <v>8050846090408</v>
      </c>
      <c r="S209" s="2">
        <f ca="1">MATCH(B209,INDIRECT(nomFichierFiltreCatalogue &amp; "!B:B"),0)</f>
        <v>491</v>
      </c>
      <c r="T209" s="17"/>
    </row>
    <row r="210" spans="1:20" s="24" customFormat="1" ht="15.75" customHeight="1" x14ac:dyDescent="0.25">
      <c r="A210" s="30">
        <f ca="1">INDEX(INDIRECT(zoneFichierTraite),$J209+offsetInitialFichierTraite,2)</f>
        <v>18</v>
      </c>
      <c r="B210" s="29" t="str">
        <f ca="1">IFERROR(INDEX(INDIRECT(zoneFichierEAN13Valmag),$P209,3),"")</f>
        <v/>
      </c>
      <c r="C210" s="22" t="str">
        <f ca="1">IFERROR(INDEX(INDIRECT(zoneFichierEAN13Valmag),$O209,3),"")</f>
        <v/>
      </c>
      <c r="D210" s="23" t="str">
        <f ca="1">IFERROR(INDEX(INDIRECT(zoneFichierEAN13Valmag),$O209,4),"")</f>
        <v/>
      </c>
      <c r="E210" s="38" t="str">
        <f ca="1">IFERROR(INDEX(INDIRECT(zoneFichierFiltreCatalogue),S209,3),"")</f>
        <v>p119-1-02</v>
      </c>
      <c r="F210" s="23"/>
      <c r="G210" s="21"/>
      <c r="H210" s="39" t="str">
        <f ca="1">IFERROR(INDEX(INDIRECT(zoneFichierFiltreCatalogue),S209,6),"")</f>
        <v>fall 2019 presentation_/catalogo fall 19.txt</v>
      </c>
      <c r="R210" s="25"/>
      <c r="S210" s="25"/>
    </row>
    <row r="211" spans="1:20" ht="39" customHeight="1" thickBot="1" x14ac:dyDescent="0.65">
      <c r="A211" s="11" t="str">
        <f ca="1">INDEX(INDIRECT(zoneFichierTraite),$J211+offsetInitialFichierTraite,6)</f>
        <v>UNICA</v>
      </c>
      <c r="B211" s="7" t="str">
        <f ca="1">INDEX(INDIRECT(zoneFichierTraite),$J211+offsetInitialFichierTraite,4)</f>
        <v>OBAGPC48-ECSE2-017</v>
      </c>
      <c r="C211" s="31" t="str">
        <f ca="1">INDEX(INDIRECT(zoneFichierTraite),$J211+offsetInitialFichierTraite,5)</f>
        <v>RABAT AVEC CHAINE O BAG SHEEN EN FAUX CUIR EFFET GRIFFE ARABESQUE</v>
      </c>
      <c r="D211" s="32" t="str">
        <f ca="1">INDEX(INDIRECT(zoneFichierTraite),$J211+offsetInitialFichierTraite,13)</f>
        <v>blu navy</v>
      </c>
      <c r="E211" s="35">
        <f ca="1">INDEX(INDIRECT(zoneFichierTraite),$J211+offsetInitialFichierTraite,7)</f>
        <v>1</v>
      </c>
      <c r="F211" s="33">
        <f ca="1">INDEX(INDIRECT(zoneFichierTraite),$J211+offsetInitialFichierTraite,8)</f>
        <v>20</v>
      </c>
      <c r="G211" s="34">
        <f t="shared" ref="G211" ca="1" si="206">ROUNDUP(F211*3,0)</f>
        <v>60</v>
      </c>
      <c r="H211" s="37" t="str">
        <f t="shared" ref="H211" ca="1" si="207">IF(ISNUMBER(N211),codeEAN13(INT(N211/10)),"")</f>
        <v>8APASOG*ajicjj+</v>
      </c>
      <c r="J211" s="18">
        <f t="shared" si="199"/>
        <v>101</v>
      </c>
      <c r="L211" s="7" t="str">
        <f ca="1">INDEX(INDIRECT(zoneFichierTraite),$J211+offsetInitialFichierTraite,1)</f>
        <v>'101</v>
      </c>
      <c r="M211" s="14">
        <f ca="1">INDEX(INDIRECT(zoneFichierTraite),$J211+offsetInitialFichierTraite,9)</f>
        <v>20</v>
      </c>
      <c r="N211" s="17">
        <f ca="1">INDEX(INDIRECT(zoneFichierTraite),$J211+offsetInitialFichierTraite,3)</f>
        <v>8050846098299</v>
      </c>
      <c r="O211" s="2" t="e">
        <f ca="1">MATCH(N211,INDIRECT(nomFichierEAN13Valmag &amp; "!A:A"),0)</f>
        <v>#N/A</v>
      </c>
      <c r="P211" s="2" t="e">
        <f ca="1">MATCH(R211,INDIRECT(nomFichierEAN13Valmag &amp; "!A:A"),0)</f>
        <v>#N/A</v>
      </c>
      <c r="Q211" s="2">
        <f ca="1">MATCH(LEFT(B211,14) &amp; "*",INDIRECT(nomFichierBaseCatalogue &amp; "!B:B"),0)</f>
        <v>1083</v>
      </c>
      <c r="R211" s="17">
        <f ca="1">IFERROR(INDEX(INDIRECT(zoneFichierBaseCatalogue),Q211,1),"")</f>
        <v>8050846098299</v>
      </c>
      <c r="S211" s="2">
        <f ca="1">MATCH(B211,INDIRECT(nomFichierFiltreCatalogue &amp; "!B:B"),0)</f>
        <v>497</v>
      </c>
      <c r="T211" s="17"/>
    </row>
    <row r="212" spans="1:20" s="24" customFormat="1" ht="15.75" customHeight="1" x14ac:dyDescent="0.25">
      <c r="A212" s="30">
        <f ca="1">INDEX(INDIRECT(zoneFichierTraite),$J211+offsetInitialFichierTraite,2)</f>
        <v>169</v>
      </c>
      <c r="B212" s="29" t="str">
        <f ca="1">IFERROR(INDEX(INDIRECT(zoneFichierEAN13Valmag),$P211,3),"")</f>
        <v/>
      </c>
      <c r="C212" s="22" t="str">
        <f ca="1">IFERROR(INDEX(INDIRECT(zoneFichierEAN13Valmag),$O211,3),"")</f>
        <v/>
      </c>
      <c r="D212" s="23" t="str">
        <f ca="1">IFERROR(INDEX(INDIRECT(zoneFichierEAN13Valmag),$O211,4),"")</f>
        <v/>
      </c>
      <c r="E212" s="38" t="str">
        <f ca="1">IFERROR(INDEX(INDIRECT(zoneFichierFiltreCatalogue),S211,3),"")</f>
        <v>p121-2-01</v>
      </c>
      <c r="F212" s="23"/>
      <c r="G212" s="21"/>
      <c r="H212" s="39" t="str">
        <f ca="1">IFERROR(INDEX(INDIRECT(zoneFichierFiltreCatalogue),S211,6),"")</f>
        <v>fall 2019 presentation_/catalogo fall 19.txt</v>
      </c>
      <c r="R212" s="25"/>
      <c r="S212" s="25"/>
    </row>
    <row r="213" spans="1:20" ht="39" customHeight="1" thickBot="1" x14ac:dyDescent="0.65">
      <c r="A213" s="11" t="str">
        <f ca="1">INDEX(INDIRECT(zoneFichierTraite),$J213+offsetInitialFichierTraite,6)</f>
        <v>UNICA</v>
      </c>
      <c r="B213" s="7" t="str">
        <f ca="1">INDEX(INDIRECT(zoneFichierTraite),$J213+offsetInitialFichierTraite,4)</f>
        <v>OBAGPC48-ECSE3-055</v>
      </c>
      <c r="C213" s="31" t="str">
        <f ca="1">INDEX(INDIRECT(zoneFichierTraite),$J213+offsetInitialFichierTraite,5)</f>
        <v>RABAT AVEC CHAINE O BAG SHEEN EN FAUX CUIR EFFET GRIFFE ORCHIDEE</v>
      </c>
      <c r="D213" s="32" t="str">
        <f ca="1">INDEX(INDIRECT(zoneFichierTraite),$J213+offsetInitialFichierTraite,13)</f>
        <v>nero</v>
      </c>
      <c r="E213" s="35">
        <f ca="1">INDEX(INDIRECT(zoneFichierTraite),$J213+offsetInitialFichierTraite,7)</f>
        <v>1</v>
      </c>
      <c r="F213" s="33">
        <f ca="1">INDEX(INDIRECT(zoneFichierTraite),$J213+offsetInitialFichierTraite,8)</f>
        <v>20</v>
      </c>
      <c r="G213" s="34">
        <f t="shared" ref="G213" ca="1" si="208">ROUNDUP(F213*3,0)</f>
        <v>60</v>
      </c>
      <c r="H213" s="37" t="str">
        <f t="shared" ref="H213" ca="1" si="209">IF(ISNUMBER(N213),codeEAN13(INT(N213/10)),"")</f>
        <v>8APASOG*ajjgbg+</v>
      </c>
      <c r="J213" s="18">
        <f t="shared" si="199"/>
        <v>102</v>
      </c>
      <c r="L213" s="7" t="str">
        <f ca="1">INDEX(INDIRECT(zoneFichierTraite),$J213+offsetInitialFichierTraite,1)</f>
        <v>'102</v>
      </c>
      <c r="M213" s="14">
        <f ca="1">INDEX(INDIRECT(zoneFichierTraite),$J213+offsetInitialFichierTraite,9)</f>
        <v>20</v>
      </c>
      <c r="N213" s="17">
        <f ca="1">INDEX(INDIRECT(zoneFichierTraite),$J213+offsetInitialFichierTraite,3)</f>
        <v>8050846099616</v>
      </c>
      <c r="O213" s="2" t="e">
        <f ca="1">MATCH(N213,INDIRECT(nomFichierEAN13Valmag &amp; "!A:A"),0)</f>
        <v>#N/A</v>
      </c>
      <c r="P213" s="2" t="e">
        <f ca="1">MATCH(R213,INDIRECT(nomFichierEAN13Valmag &amp; "!A:A"),0)</f>
        <v>#N/A</v>
      </c>
      <c r="Q213" s="2">
        <f ca="1">MATCH(LEFT(B213,14) &amp; "*",INDIRECT(nomFichierBaseCatalogue &amp; "!B:B"),0)</f>
        <v>1084</v>
      </c>
      <c r="R213" s="17">
        <f ca="1">IFERROR(INDEX(INDIRECT(zoneFichierBaseCatalogue),Q213,1),"")</f>
        <v>8050846099616</v>
      </c>
      <c r="S213" s="2">
        <f ca="1">MATCH(B213,INDIRECT(nomFichierFiltreCatalogue &amp; "!B:B"),0)</f>
        <v>496</v>
      </c>
      <c r="T213" s="17"/>
    </row>
    <row r="214" spans="1:20" s="24" customFormat="1" ht="15.75" customHeight="1" x14ac:dyDescent="0.25">
      <c r="A214" s="30">
        <f ca="1">INDEX(INDIRECT(zoneFichierTraite),$J213+offsetInitialFichierTraite,2)</f>
        <v>51</v>
      </c>
      <c r="B214" s="29" t="str">
        <f ca="1">IFERROR(INDEX(INDIRECT(zoneFichierEAN13Valmag),$P213,3),"")</f>
        <v/>
      </c>
      <c r="C214" s="22" t="str">
        <f ca="1">IFERROR(INDEX(INDIRECT(zoneFichierEAN13Valmag),$O213,3),"")</f>
        <v/>
      </c>
      <c r="D214" s="23" t="str">
        <f ca="1">IFERROR(INDEX(INDIRECT(zoneFichierEAN13Valmag),$O213,4),"")</f>
        <v/>
      </c>
      <c r="E214" s="38" t="str">
        <f ca="1">IFERROR(INDEX(INDIRECT(zoneFichierFiltreCatalogue),S213,3),"")</f>
        <v>p121-1-01</v>
      </c>
      <c r="F214" s="23"/>
      <c r="G214" s="21"/>
      <c r="H214" s="39" t="str">
        <f ca="1">IFERROR(INDEX(INDIRECT(zoneFichierFiltreCatalogue),S213,6),"")</f>
        <v>fall 2019 presentation_/catalogo fall 19.txt</v>
      </c>
      <c r="R214" s="25"/>
      <c r="S214" s="25"/>
    </row>
    <row r="215" spans="1:20" ht="39" customHeight="1" thickBot="1" x14ac:dyDescent="0.65">
      <c r="A215" s="11" t="str">
        <f ca="1">INDEX(INDIRECT(zoneFichierTraite),$J215+offsetInitialFichierTraite,6)</f>
        <v>UNICA</v>
      </c>
      <c r="B215" s="7" t="str">
        <f ca="1">INDEX(INDIRECT(zoneFichierTraite),$J215+offsetInitialFichierTraite,4)</f>
        <v>OBAGPF34-ECSC9-055</v>
      </c>
      <c r="C215" s="31" t="str">
        <f ca="1">INDEX(INDIRECT(zoneFichierTraite),$J215+offsetInitialFichierTraite,5)</f>
        <v>RABAT TROUE Ã€ BANDEAU O BAG GLAM EN FAUX CUIR IMPRIME ATHLEISURE</v>
      </c>
      <c r="D215" s="32" t="str">
        <f ca="1">INDEX(INDIRECT(zoneFichierTraite),$J215+offsetInitialFichierTraite,13)</f>
        <v>nero</v>
      </c>
      <c r="E215" s="35">
        <f ca="1">INDEX(INDIRECT(zoneFichierTraite),$J215+offsetInitialFichierTraite,7)</f>
        <v>1</v>
      </c>
      <c r="F215" s="33">
        <f ca="1">INDEX(INDIRECT(zoneFichierTraite),$J215+offsetInitialFichierTraite,8)</f>
        <v>20</v>
      </c>
      <c r="G215" s="34">
        <f t="shared" ref="G215" ca="1" si="210">ROUNDUP(F215*3,0)</f>
        <v>60</v>
      </c>
      <c r="H215" s="37" t="str">
        <f t="shared" ref="H215" ca="1" si="211">IF(ISNUMBER(N215),codeEAN13(INT(N215/10)),"")</f>
        <v>8APASOG*ajadif+</v>
      </c>
      <c r="J215" s="18">
        <f t="shared" si="199"/>
        <v>103</v>
      </c>
      <c r="L215" s="7" t="str">
        <f ca="1">INDEX(INDIRECT(zoneFichierTraite),$J215+offsetInitialFichierTraite,1)</f>
        <v>'103</v>
      </c>
      <c r="M215" s="14">
        <f ca="1">INDEX(INDIRECT(zoneFichierTraite),$J215+offsetInitialFichierTraite,9)</f>
        <v>20</v>
      </c>
      <c r="N215" s="17">
        <f ca="1">INDEX(INDIRECT(zoneFichierTraite),$J215+offsetInitialFichierTraite,3)</f>
        <v>8050846090385</v>
      </c>
      <c r="O215" s="2" t="e">
        <f ca="1">MATCH(N215,INDIRECT(nomFichierEAN13Valmag &amp; "!A:A"),0)</f>
        <v>#N/A</v>
      </c>
      <c r="P215" s="2" t="e">
        <f ca="1">MATCH(R215,INDIRECT(nomFichierEAN13Valmag &amp; "!A:A"),0)</f>
        <v>#N/A</v>
      </c>
      <c r="Q215" s="2">
        <f ca="1">MATCH(LEFT(B215,14) &amp; "*",INDIRECT(nomFichierBaseCatalogue &amp; "!B:B"),0)</f>
        <v>1093</v>
      </c>
      <c r="R215" s="17">
        <f ca="1">IFERROR(INDEX(INDIRECT(zoneFichierBaseCatalogue),Q215,1),"")</f>
        <v>8050846090385</v>
      </c>
      <c r="S215" s="2">
        <f ca="1">MATCH(B215,INDIRECT(nomFichierFiltreCatalogue &amp; "!B:B"),0)</f>
        <v>492</v>
      </c>
      <c r="T215" s="17"/>
    </row>
    <row r="216" spans="1:20" s="24" customFormat="1" ht="15.75" customHeight="1" x14ac:dyDescent="0.25">
      <c r="A216" s="30">
        <f ca="1">INDEX(INDIRECT(zoneFichierTraite),$J215+offsetInitialFichierTraite,2)</f>
        <v>194</v>
      </c>
      <c r="B216" s="29" t="str">
        <f ca="1">IFERROR(INDEX(INDIRECT(zoneFichierEAN13Valmag),$P215,3),"")</f>
        <v/>
      </c>
      <c r="C216" s="22" t="str">
        <f ca="1">IFERROR(INDEX(INDIRECT(zoneFichierEAN13Valmag),$O215,3),"")</f>
        <v/>
      </c>
      <c r="D216" s="23" t="str">
        <f ca="1">IFERROR(INDEX(INDIRECT(zoneFichierEAN13Valmag),$O215,4),"")</f>
        <v/>
      </c>
      <c r="E216" s="38" t="str">
        <f ca="1">IFERROR(INDEX(INDIRECT(zoneFichierFiltreCatalogue),S215,3),"")</f>
        <v>p119-2-01</v>
      </c>
      <c r="F216" s="23"/>
      <c r="G216" s="21"/>
      <c r="H216" s="39" t="str">
        <f ca="1">IFERROR(INDEX(INDIRECT(zoneFichierFiltreCatalogue),S215,6),"")</f>
        <v>fall 2019 presentation_/catalogo fall 19.txt</v>
      </c>
      <c r="R216" s="25"/>
      <c r="S216" s="25"/>
    </row>
    <row r="217" spans="1:20" ht="39" customHeight="1" thickBot="1" x14ac:dyDescent="0.65">
      <c r="A217" s="11" t="str">
        <f ca="1">INDEX(INDIRECT(zoneFichierTraite),$J217+offsetInitialFichierTraite,6)</f>
        <v>UNICA</v>
      </c>
      <c r="B217" s="7" t="str">
        <f ca="1">INDEX(INDIRECT(zoneFichierTraite),$J217+offsetInitialFichierTraite,4)</f>
        <v>OBAGPF34-ECSC9-137</v>
      </c>
      <c r="C217" s="31" t="str">
        <f ca="1">INDEX(INDIRECT(zoneFichierTraite),$J217+offsetInitialFichierTraite,5)</f>
        <v>RABAT TROUE Ã€ BANDEAU O BAG GLAM EN FAUX CUIR IMPRIME ATHLEISURE</v>
      </c>
      <c r="D217" s="32" t="str">
        <f ca="1">INDEX(INDIRECT(zoneFichierTraite),$J217+offsetInitialFichierTraite,13)</f>
        <v>bluette</v>
      </c>
      <c r="E217" s="35">
        <f ca="1">INDEX(INDIRECT(zoneFichierTraite),$J217+offsetInitialFichierTraite,7)</f>
        <v>1</v>
      </c>
      <c r="F217" s="33">
        <f ca="1">INDEX(INDIRECT(zoneFichierTraite),$J217+offsetInitialFichierTraite,8)</f>
        <v>20</v>
      </c>
      <c r="G217" s="34">
        <f t="shared" ref="G217" ca="1" si="212">ROUNDUP(F217*3,0)</f>
        <v>60</v>
      </c>
      <c r="H217" s="37" t="str">
        <f t="shared" ref="H217" ca="1" si="213">IF(ISNUMBER(N217),codeEAN13(INT(N217/10)),"")</f>
        <v>8APASOG*ajadjc+</v>
      </c>
      <c r="J217" s="18">
        <f t="shared" si="199"/>
        <v>104</v>
      </c>
      <c r="L217" s="7" t="str">
        <f ca="1">INDEX(INDIRECT(zoneFichierTraite),$J217+offsetInitialFichierTraite,1)</f>
        <v>'104</v>
      </c>
      <c r="M217" s="14">
        <f ca="1">INDEX(INDIRECT(zoneFichierTraite),$J217+offsetInitialFichierTraite,9)</f>
        <v>20</v>
      </c>
      <c r="N217" s="17">
        <f ca="1">INDEX(INDIRECT(zoneFichierTraite),$J217+offsetInitialFichierTraite,3)</f>
        <v>8050846090392</v>
      </c>
      <c r="O217" s="2" t="e">
        <f ca="1">MATCH(N217,INDIRECT(nomFichierEAN13Valmag &amp; "!A:A"),0)</f>
        <v>#N/A</v>
      </c>
      <c r="P217" s="2" t="e">
        <f ca="1">MATCH(R217,INDIRECT(nomFichierEAN13Valmag &amp; "!A:A"),0)</f>
        <v>#N/A</v>
      </c>
      <c r="Q217" s="2">
        <f ca="1">MATCH(LEFT(B217,14) &amp; "*",INDIRECT(nomFichierBaseCatalogue &amp; "!B:B"),0)</f>
        <v>1093</v>
      </c>
      <c r="R217" s="17">
        <f ca="1">IFERROR(INDEX(INDIRECT(zoneFichierBaseCatalogue),Q217,1),"")</f>
        <v>8050846090385</v>
      </c>
      <c r="S217" s="2">
        <f ca="1">MATCH(B217,INDIRECT(nomFichierFiltreCatalogue &amp; "!B:B"),0)</f>
        <v>493</v>
      </c>
      <c r="T217" s="17"/>
    </row>
    <row r="218" spans="1:20" s="24" customFormat="1" ht="15.75" customHeight="1" x14ac:dyDescent="0.25">
      <c r="A218" s="30">
        <f ca="1">INDEX(INDIRECT(zoneFichierTraite),$J217+offsetInitialFichierTraite,2)</f>
        <v>106</v>
      </c>
      <c r="B218" s="29" t="str">
        <f ca="1">IFERROR(INDEX(INDIRECT(zoneFichierEAN13Valmag),$P217,3),"")</f>
        <v/>
      </c>
      <c r="C218" s="22" t="str">
        <f ca="1">IFERROR(INDEX(INDIRECT(zoneFichierEAN13Valmag),$O217,3),"")</f>
        <v/>
      </c>
      <c r="D218" s="23" t="str">
        <f ca="1">IFERROR(INDEX(INDIRECT(zoneFichierEAN13Valmag),$O217,4),"")</f>
        <v/>
      </c>
      <c r="E218" s="38" t="str">
        <f ca="1">IFERROR(INDEX(INDIRECT(zoneFichierFiltreCatalogue),S217,3),"")</f>
        <v>p119-2-02</v>
      </c>
      <c r="F218" s="23"/>
      <c r="G218" s="21"/>
      <c r="H218" s="39" t="str">
        <f ca="1">IFERROR(INDEX(INDIRECT(zoneFichierFiltreCatalogue),S217,6),"")</f>
        <v>fall 2019 presentation_/catalogo fall 19.txt</v>
      </c>
      <c r="R218" s="25"/>
      <c r="S218" s="25"/>
    </row>
    <row r="219" spans="1:20" ht="39" customHeight="1" thickBot="1" x14ac:dyDescent="0.65">
      <c r="A219" s="11" t="str">
        <f ca="1">INDEX(INDIRECT(zoneFichierTraite),$J219+offsetInitialFichierTraite,6)</f>
        <v>UNICA</v>
      </c>
      <c r="B219" s="7" t="str">
        <f ca="1">INDEX(INDIRECT(zoneFichierTraite),$J219+offsetInitialFichierTraite,4)</f>
        <v>OBAGPK06-ECS00-076</v>
      </c>
      <c r="C219" s="31" t="str">
        <f ca="1">INDEX(INDIRECT(zoneFichierTraite),$J219+offsetInitialFichierTraite,5)</f>
        <v>RABAT EN CARTABLE O POCKET EN FAUX CUIR</v>
      </c>
      <c r="D219" s="32" t="str">
        <f ca="1">INDEX(INDIRECT(zoneFichierTraite),$J219+offsetInitialFichierTraite,13)</f>
        <v>rosso</v>
      </c>
      <c r="E219" s="35">
        <f ca="1">INDEX(INDIRECT(zoneFichierTraite),$J219+offsetInitialFichierTraite,7)</f>
        <v>2</v>
      </c>
      <c r="F219" s="33">
        <f ca="1">INDEX(INDIRECT(zoneFichierTraite),$J219+offsetInitialFichierTraite,8)</f>
        <v>13.33</v>
      </c>
      <c r="G219" s="34">
        <f t="shared" ref="G219" ca="1" si="214">ROUNDUP(F219*3,0)</f>
        <v>40</v>
      </c>
      <c r="H219" s="37" t="str">
        <f t="shared" ref="H219" ca="1" si="215">IF(ISNUMBER(N219),codeEAN13(INT(N219/10)),"")</f>
        <v>8APASOG*ajcbcj+</v>
      </c>
      <c r="J219" s="18">
        <f t="shared" si="199"/>
        <v>105</v>
      </c>
      <c r="L219" s="7" t="str">
        <f ca="1">INDEX(INDIRECT(zoneFichierTraite),$J219+offsetInitialFichierTraite,1)</f>
        <v>'105</v>
      </c>
      <c r="M219" s="14">
        <f ca="1">INDEX(INDIRECT(zoneFichierTraite),$J219+offsetInitialFichierTraite,9)</f>
        <v>26.66</v>
      </c>
      <c r="N219" s="17">
        <f ca="1">INDEX(INDIRECT(zoneFichierTraite),$J219+offsetInitialFichierTraite,3)</f>
        <v>8050846092129</v>
      </c>
      <c r="O219" s="2" t="e">
        <f ca="1">MATCH(N219,INDIRECT(nomFichierEAN13Valmag &amp; "!A:A"),0)</f>
        <v>#N/A</v>
      </c>
      <c r="P219" s="2" t="e">
        <f ca="1">MATCH(R219,INDIRECT(nomFichierEAN13Valmag &amp; "!A:A"),0)</f>
        <v>#N/A</v>
      </c>
      <c r="Q219" s="2">
        <f ca="1">MATCH(LEFT(B219,14) &amp; "*",INDIRECT(nomFichierBaseCatalogue &amp; "!B:B"),0)</f>
        <v>1095</v>
      </c>
      <c r="R219" s="17">
        <f ca="1">IFERROR(INDEX(INDIRECT(zoneFichierBaseCatalogue),Q219,1),"")</f>
        <v>8050846092129</v>
      </c>
      <c r="S219" s="2">
        <f ca="1">MATCH(B219,INDIRECT(nomFichierFiltreCatalogue &amp; "!B:B"),0)</f>
        <v>478</v>
      </c>
      <c r="T219" s="17"/>
    </row>
    <row r="220" spans="1:20" s="24" customFormat="1" ht="15.75" customHeight="1" x14ac:dyDescent="0.25">
      <c r="A220" s="30">
        <f ca="1">INDEX(INDIRECT(zoneFichierTraite),$J219+offsetInitialFichierTraite,2)</f>
        <v>112</v>
      </c>
      <c r="B220" s="29" t="str">
        <f ca="1">IFERROR(INDEX(INDIRECT(zoneFichierEAN13Valmag),$P219,3),"")</f>
        <v/>
      </c>
      <c r="C220" s="22" t="str">
        <f ca="1">IFERROR(INDEX(INDIRECT(zoneFichierEAN13Valmag),$O219,3),"")</f>
        <v/>
      </c>
      <c r="D220" s="23" t="str">
        <f ca="1">IFERROR(INDEX(INDIRECT(zoneFichierEAN13Valmag),$O219,4),"")</f>
        <v/>
      </c>
      <c r="E220" s="38" t="str">
        <f ca="1">IFERROR(INDEX(INDIRECT(zoneFichierFiltreCatalogue),S219,3),"")</f>
        <v>p115-2-01</v>
      </c>
      <c r="F220" s="23"/>
      <c r="G220" s="21"/>
      <c r="H220" s="39" t="str">
        <f ca="1">IFERROR(INDEX(INDIRECT(zoneFichierFiltreCatalogue),S219,6),"")</f>
        <v>fall 2019 presentation_/catalogo fall 19.txt</v>
      </c>
      <c r="R220" s="25"/>
      <c r="S220" s="25"/>
    </row>
    <row r="221" spans="1:20" ht="39" customHeight="1" thickBot="1" x14ac:dyDescent="0.65">
      <c r="A221" s="11" t="str">
        <f ca="1">INDEX(INDIRECT(zoneFichierTraite),$J221+offsetInitialFichierTraite,6)</f>
        <v>UNICA</v>
      </c>
      <c r="B221" s="7" t="str">
        <f ca="1">INDEX(INDIRECT(zoneFichierTraite),$J221+offsetInitialFichierTraite,4)</f>
        <v>OBAGPK06-ECS00-144</v>
      </c>
      <c r="C221" s="31" t="str">
        <f ca="1">INDEX(INDIRECT(zoneFichierTraite),$J221+offsetInitialFichierTraite,5)</f>
        <v>RABAT EN CARTABLE O POCKET EN FAUX CUIR</v>
      </c>
      <c r="D221" s="32" t="str">
        <f ca="1">INDEX(INDIRECT(zoneFichierTraite),$J221+offsetInitialFichierTraite,13)</f>
        <v>ginestra</v>
      </c>
      <c r="E221" s="35">
        <f ca="1">INDEX(INDIRECT(zoneFichierTraite),$J221+offsetInitialFichierTraite,7)</f>
        <v>2</v>
      </c>
      <c r="F221" s="33">
        <f ca="1">INDEX(INDIRECT(zoneFichierTraite),$J221+offsetInitialFichierTraite,8)</f>
        <v>13.33</v>
      </c>
      <c r="G221" s="34">
        <f t="shared" ref="G221" ca="1" si="216">ROUNDUP(F221*3,0)</f>
        <v>40</v>
      </c>
      <c r="H221" s="37" t="str">
        <f t="shared" ref="H221" ca="1" si="217">IF(ISNUMBER(N221),codeEAN13(INT(N221/10)),"")</f>
        <v>8APASOG*ajcbaf+</v>
      </c>
      <c r="J221" s="18">
        <f t="shared" si="199"/>
        <v>106</v>
      </c>
      <c r="L221" s="7" t="str">
        <f ca="1">INDEX(INDIRECT(zoneFichierTraite),$J221+offsetInitialFichierTraite,1)</f>
        <v>'106</v>
      </c>
      <c r="M221" s="14">
        <f ca="1">INDEX(INDIRECT(zoneFichierTraite),$J221+offsetInitialFichierTraite,9)</f>
        <v>26.66</v>
      </c>
      <c r="N221" s="17">
        <f ca="1">INDEX(INDIRECT(zoneFichierTraite),$J221+offsetInitialFichierTraite,3)</f>
        <v>8050846092105</v>
      </c>
      <c r="O221" s="2" t="e">
        <f ca="1">MATCH(N221,INDIRECT(nomFichierEAN13Valmag &amp; "!A:A"),0)</f>
        <v>#N/A</v>
      </c>
      <c r="P221" s="2" t="e">
        <f ca="1">MATCH(R221,INDIRECT(nomFichierEAN13Valmag &amp; "!A:A"),0)</f>
        <v>#N/A</v>
      </c>
      <c r="Q221" s="2">
        <f ca="1">MATCH(LEFT(B221,14) &amp; "*",INDIRECT(nomFichierBaseCatalogue &amp; "!B:B"),0)</f>
        <v>1095</v>
      </c>
      <c r="R221" s="17">
        <f ca="1">IFERROR(INDEX(INDIRECT(zoneFichierBaseCatalogue),Q221,1),"")</f>
        <v>8050846092129</v>
      </c>
      <c r="S221" s="2">
        <f ca="1">MATCH(B221,INDIRECT(nomFichierFiltreCatalogue &amp; "!B:B"),0)</f>
        <v>481</v>
      </c>
      <c r="T221" s="17"/>
    </row>
    <row r="222" spans="1:20" s="24" customFormat="1" ht="15.75" customHeight="1" x14ac:dyDescent="0.25">
      <c r="A222" s="30">
        <f ca="1">INDEX(INDIRECT(zoneFichierTraite),$J221+offsetInitialFichierTraite,2)</f>
        <v>143</v>
      </c>
      <c r="B222" s="29" t="str">
        <f ca="1">IFERROR(INDEX(INDIRECT(zoneFichierEAN13Valmag),$P221,3),"")</f>
        <v/>
      </c>
      <c r="C222" s="22" t="str">
        <f ca="1">IFERROR(INDEX(INDIRECT(zoneFichierEAN13Valmag),$O221,3),"")</f>
        <v/>
      </c>
      <c r="D222" s="23" t="str">
        <f ca="1">IFERROR(INDEX(INDIRECT(zoneFichierEAN13Valmag),$O221,4),"")</f>
        <v/>
      </c>
      <c r="E222" s="38" t="str">
        <f ca="1">IFERROR(INDEX(INDIRECT(zoneFichierFiltreCatalogue),S221,3),"")</f>
        <v>p115-2-04</v>
      </c>
      <c r="F222" s="23"/>
      <c r="G222" s="21"/>
      <c r="H222" s="39" t="str">
        <f ca="1">IFERROR(INDEX(INDIRECT(zoneFichierFiltreCatalogue),S221,6),"")</f>
        <v>fall 2019 presentation_/catalogo fall 19.txt</v>
      </c>
      <c r="R222" s="25"/>
      <c r="S222" s="25"/>
    </row>
    <row r="223" spans="1:20" ht="39" customHeight="1" thickBot="1" x14ac:dyDescent="0.65">
      <c r="A223" s="11" t="str">
        <f ca="1">INDEX(INDIRECT(zoneFichierTraite),$J223+offsetInitialFichierTraite,6)</f>
        <v>UNICA</v>
      </c>
      <c r="B223" s="7" t="str">
        <f ca="1">INDEX(INDIRECT(zoneFichierTraite),$J223+offsetInitialFichierTraite,4)</f>
        <v>OBAGS001-TESBG-227</v>
      </c>
      <c r="C223" s="31" t="str">
        <f ca="1">INDEX(INDIRECT(zoneFichierTraite),$J223+offsetInitialFichierTraite,5)</f>
        <v>POCHETTE INTERIEURE FERMETURE ECLAIR O BAG MINI EN TISSU PRINCE DE GALLES+ FLEURS</v>
      </c>
      <c r="D223" s="32" t="str">
        <f ca="1">INDEX(INDIRECT(zoneFichierTraite),$J223+offsetInitialFichierTraite,13)</f>
        <v>bianco/nero</v>
      </c>
      <c r="E223" s="35">
        <f ca="1">INDEX(INDIRECT(zoneFichierTraite),$J223+offsetInitialFichierTraite,7)</f>
        <v>2</v>
      </c>
      <c r="F223" s="33">
        <f ca="1">INDEX(INDIRECT(zoneFichierTraite),$J223+offsetInitialFichierTraite,8)</f>
        <v>13.33</v>
      </c>
      <c r="G223" s="34">
        <f t="shared" ref="G223" ca="1" si="218">ROUNDUP(F223*3,0)</f>
        <v>40</v>
      </c>
      <c r="H223" s="37" t="str">
        <f t="shared" ref="H223" ca="1" si="219">IF(ISNUMBER(N223),codeEAN13(INT(N223/10)),"")</f>
        <v>8APASOG*ajacaa+</v>
      </c>
      <c r="J223" s="18">
        <f t="shared" si="199"/>
        <v>107</v>
      </c>
      <c r="L223" s="7" t="str">
        <f ca="1">INDEX(INDIRECT(zoneFichierTraite),$J223+offsetInitialFichierTraite,1)</f>
        <v>'107</v>
      </c>
      <c r="M223" s="14">
        <f ca="1">INDEX(INDIRECT(zoneFichierTraite),$J223+offsetInitialFichierTraite,9)</f>
        <v>26.66</v>
      </c>
      <c r="N223" s="17">
        <f ca="1">INDEX(INDIRECT(zoneFichierTraite),$J223+offsetInitialFichierTraite,3)</f>
        <v>8050846090200</v>
      </c>
      <c r="O223" s="2" t="e">
        <f ca="1">MATCH(N223,INDIRECT(nomFichierEAN13Valmag &amp; "!A:A"),0)</f>
        <v>#N/A</v>
      </c>
      <c r="P223" s="2" t="e">
        <f ca="1">MATCH(R223,INDIRECT(nomFichierEAN13Valmag &amp; "!A:A"),0)</f>
        <v>#N/A</v>
      </c>
      <c r="Q223" s="2">
        <f ca="1">MATCH(LEFT(B223,14) &amp; "*",INDIRECT(nomFichierBaseCatalogue &amp; "!B:B"),0)</f>
        <v>1136</v>
      </c>
      <c r="R223" s="17">
        <f ca="1">IFERROR(INDEX(INDIRECT(zoneFichierBaseCatalogue),Q223,1),"")</f>
        <v>8050846090200</v>
      </c>
      <c r="S223" s="2">
        <f ca="1">MATCH(B223,INDIRECT(nomFichierFiltreCatalogue &amp; "!B:B"),0)</f>
        <v>372</v>
      </c>
      <c r="T223" s="17"/>
    </row>
    <row r="224" spans="1:20" s="24" customFormat="1" ht="15.75" customHeight="1" x14ac:dyDescent="0.25">
      <c r="A224" s="30">
        <f ca="1">INDEX(INDIRECT(zoneFichierTraite),$J223+offsetInitialFichierTraite,2)</f>
        <v>159</v>
      </c>
      <c r="B224" s="29" t="str">
        <f ca="1">IFERROR(INDEX(INDIRECT(zoneFichierEAN13Valmag),$P223,3),"")</f>
        <v/>
      </c>
      <c r="C224" s="22" t="str">
        <f ca="1">IFERROR(INDEX(INDIRECT(zoneFichierEAN13Valmag),$O223,3),"")</f>
        <v/>
      </c>
      <c r="D224" s="23" t="str">
        <f ca="1">IFERROR(INDEX(INDIRECT(zoneFichierEAN13Valmag),$O223,4),"")</f>
        <v/>
      </c>
      <c r="E224" s="38" t="str">
        <f ca="1">IFERROR(INDEX(INDIRECT(zoneFichierFiltreCatalogue),S223,3),"")</f>
        <v>p084-1-01</v>
      </c>
      <c r="F224" s="23"/>
      <c r="G224" s="21"/>
      <c r="H224" s="39" t="str">
        <f ca="1">IFERROR(INDEX(INDIRECT(zoneFichierFiltreCatalogue),S223,6),"")</f>
        <v>fall 2019 presentation_/catalogo fall 19.txt</v>
      </c>
      <c r="R224" s="25"/>
      <c r="S224" s="25"/>
    </row>
    <row r="225" spans="1:20" ht="39" customHeight="1" thickBot="1" x14ac:dyDescent="0.65">
      <c r="A225" s="11" t="str">
        <f ca="1">INDEX(INDIRECT(zoneFichierTraite),$J225+offsetInitialFichierTraite,6)</f>
        <v>UNICA</v>
      </c>
      <c r="B225" s="7" t="str">
        <f ca="1">INDEX(INDIRECT(zoneFichierTraite),$J225+offsetInitialFichierTraite,4)</f>
        <v>OBAGS001-TESBK-055</v>
      </c>
      <c r="C225" s="31" t="str">
        <f ca="1">INDEX(INDIRECT(zoneFichierTraite),$J225+offsetInitialFichierTraite,5)</f>
        <v>POCHETTE INTERIEURE FERMETURE ECLAIR O BAG EN TISSU DOUDOUNE Ã€ CHEVRONS</v>
      </c>
      <c r="D225" s="32" t="str">
        <f ca="1">INDEX(INDIRECT(zoneFichierTraite),$J225+offsetInitialFichierTraite,13)</f>
        <v>nero</v>
      </c>
      <c r="E225" s="35">
        <f ca="1">INDEX(INDIRECT(zoneFichierTraite),$J225+offsetInitialFichierTraite,7)</f>
        <v>2</v>
      </c>
      <c r="F225" s="33">
        <f ca="1">INDEX(INDIRECT(zoneFichierTraite),$J225+offsetInitialFichierTraite,8)</f>
        <v>11.85</v>
      </c>
      <c r="G225" s="34">
        <f t="shared" ref="G225" ca="1" si="220">ROUNDUP(F225*3,0)</f>
        <v>36</v>
      </c>
      <c r="H225" s="37" t="str">
        <f t="shared" ref="H225" ca="1" si="221">IF(ISNUMBER(N225),codeEAN13(INT(N225/10)),"")</f>
        <v>8APASOG*ajaadd+</v>
      </c>
      <c r="J225" s="18">
        <f t="shared" si="199"/>
        <v>108</v>
      </c>
      <c r="L225" s="7" t="str">
        <f ca="1">INDEX(INDIRECT(zoneFichierTraite),$J225+offsetInitialFichierTraite,1)</f>
        <v>'108</v>
      </c>
      <c r="M225" s="14">
        <f ca="1">INDEX(INDIRECT(zoneFichierTraite),$J225+offsetInitialFichierTraite,9)</f>
        <v>23.7</v>
      </c>
      <c r="N225" s="17">
        <f ca="1">INDEX(INDIRECT(zoneFichierTraite),$J225+offsetInitialFichierTraite,3)</f>
        <v>8050846090033</v>
      </c>
      <c r="O225" s="2" t="e">
        <f ca="1">MATCH(N225,INDIRECT(nomFichierEAN13Valmag &amp; "!A:A"),0)</f>
        <v>#N/A</v>
      </c>
      <c r="P225" s="2" t="e">
        <f ca="1">MATCH(R225,INDIRECT(nomFichierEAN13Valmag &amp; "!A:A"),0)</f>
        <v>#N/A</v>
      </c>
      <c r="Q225" s="2">
        <f ca="1">MATCH(LEFT(B225,14) &amp; "*",INDIRECT(nomFichierBaseCatalogue &amp; "!B:B"),0)</f>
        <v>1137</v>
      </c>
      <c r="R225" s="17">
        <f ca="1">IFERROR(INDEX(INDIRECT(zoneFichierBaseCatalogue),Q225,1),"")</f>
        <v>8050846090033</v>
      </c>
      <c r="S225" s="2">
        <f ca="1">MATCH(B225,INDIRECT(nomFichierFiltreCatalogue &amp; "!B:B"),0)</f>
        <v>373</v>
      </c>
      <c r="T225" s="17"/>
    </row>
    <row r="226" spans="1:20" s="24" customFormat="1" ht="15.75" customHeight="1" x14ac:dyDescent="0.25">
      <c r="A226" s="30">
        <f ca="1">INDEX(INDIRECT(zoneFichierTraite),$J225+offsetInitialFichierTraite,2)</f>
        <v>215</v>
      </c>
      <c r="B226" s="29" t="str">
        <f ca="1">IFERROR(INDEX(INDIRECT(zoneFichierEAN13Valmag),$P225,3),"")</f>
        <v/>
      </c>
      <c r="C226" s="22" t="str">
        <f ca="1">IFERROR(INDEX(INDIRECT(zoneFichierEAN13Valmag),$O225,3),"")</f>
        <v/>
      </c>
      <c r="D226" s="23" t="str">
        <f ca="1">IFERROR(INDEX(INDIRECT(zoneFichierEAN13Valmag),$O225,4),"")</f>
        <v/>
      </c>
      <c r="E226" s="38" t="str">
        <f ca="1">IFERROR(INDEX(INDIRECT(zoneFichierFiltreCatalogue),S225,3),"")</f>
        <v>p084-2-01</v>
      </c>
      <c r="F226" s="23"/>
      <c r="G226" s="21"/>
      <c r="H226" s="39" t="str">
        <f ca="1">IFERROR(INDEX(INDIRECT(zoneFichierFiltreCatalogue),S225,6),"")</f>
        <v>fall 2019 presentation_/catalogo fall 19.txt</v>
      </c>
      <c r="R226" s="25"/>
      <c r="S226" s="25"/>
    </row>
    <row r="227" spans="1:20" ht="39" customHeight="1" thickBot="1" x14ac:dyDescent="0.65">
      <c r="A227" s="11" t="str">
        <f ca="1">INDEX(INDIRECT(zoneFichierTraite),$J227+offsetInitialFichierTraite,6)</f>
        <v>UNICA</v>
      </c>
      <c r="B227" s="7" t="str">
        <f ca="1">INDEX(INDIRECT(zoneFichierTraite),$J227+offsetInitialFichierTraite,4)</f>
        <v>OBAGS001-TESBK-137</v>
      </c>
      <c r="C227" s="31" t="str">
        <f ca="1">INDEX(INDIRECT(zoneFichierTraite),$J227+offsetInitialFichierTraite,5)</f>
        <v>POCHETTE INTERIEURE FERMETURE ECLAIR O BAG EN TISSU DOUDOUNE Ã€ CHEVRONS</v>
      </c>
      <c r="D227" s="32" t="str">
        <f ca="1">INDEX(INDIRECT(zoneFichierTraite),$J227+offsetInitialFichierTraite,13)</f>
        <v>bluette</v>
      </c>
      <c r="E227" s="35">
        <f ca="1">INDEX(INDIRECT(zoneFichierTraite),$J227+offsetInitialFichierTraite,7)</f>
        <v>2</v>
      </c>
      <c r="F227" s="33">
        <f ca="1">INDEX(INDIRECT(zoneFichierTraite),$J227+offsetInitialFichierTraite,8)</f>
        <v>11.85</v>
      </c>
      <c r="G227" s="34">
        <f t="shared" ref="G227" ca="1" si="222">ROUNDUP(F227*3,0)</f>
        <v>36</v>
      </c>
      <c r="H227" s="37" t="str">
        <f t="shared" ref="H227" ca="1" si="223">IF(ISNUMBER(N227),codeEAN13(INT(N227/10)),"")</f>
        <v>8APASOG*ajaacg+</v>
      </c>
      <c r="J227" s="18">
        <f t="shared" si="199"/>
        <v>109</v>
      </c>
      <c r="L227" s="7" t="str">
        <f ca="1">INDEX(INDIRECT(zoneFichierTraite),$J227+offsetInitialFichierTraite,1)</f>
        <v>'109</v>
      </c>
      <c r="M227" s="14">
        <f ca="1">INDEX(INDIRECT(zoneFichierTraite),$J227+offsetInitialFichierTraite,9)</f>
        <v>23.7</v>
      </c>
      <c r="N227" s="17">
        <f ca="1">INDEX(INDIRECT(zoneFichierTraite),$J227+offsetInitialFichierTraite,3)</f>
        <v>8050846090026</v>
      </c>
      <c r="O227" s="2" t="e">
        <f ca="1">MATCH(N227,INDIRECT(nomFichierEAN13Valmag &amp; "!A:A"),0)</f>
        <v>#N/A</v>
      </c>
      <c r="P227" s="2" t="e">
        <f ca="1">MATCH(R227,INDIRECT(nomFichierEAN13Valmag &amp; "!A:A"),0)</f>
        <v>#N/A</v>
      </c>
      <c r="Q227" s="2">
        <f ca="1">MATCH(LEFT(B227,14) &amp; "*",INDIRECT(nomFichierBaseCatalogue &amp; "!B:B"),0)</f>
        <v>1137</v>
      </c>
      <c r="R227" s="17">
        <f ca="1">IFERROR(INDEX(INDIRECT(zoneFichierBaseCatalogue),Q227,1),"")</f>
        <v>8050846090033</v>
      </c>
      <c r="S227" s="2">
        <f ca="1">MATCH(B227,INDIRECT(nomFichierFiltreCatalogue &amp; "!B:B"),0)</f>
        <v>374</v>
      </c>
      <c r="T227" s="17"/>
    </row>
    <row r="228" spans="1:20" s="24" customFormat="1" ht="15.75" customHeight="1" x14ac:dyDescent="0.25">
      <c r="A228" s="30">
        <f ca="1">INDEX(INDIRECT(zoneFichierTraite),$J227+offsetInitialFichierTraite,2)</f>
        <v>43</v>
      </c>
      <c r="B228" s="29" t="str">
        <f ca="1">IFERROR(INDEX(INDIRECT(zoneFichierEAN13Valmag),$P227,3),"")</f>
        <v/>
      </c>
      <c r="C228" s="22" t="str">
        <f ca="1">IFERROR(INDEX(INDIRECT(zoneFichierEAN13Valmag),$O227,3),"")</f>
        <v/>
      </c>
      <c r="D228" s="23" t="str">
        <f ca="1">IFERROR(INDEX(INDIRECT(zoneFichierEAN13Valmag),$O227,4),"")</f>
        <v/>
      </c>
      <c r="E228" s="38" t="str">
        <f ca="1">IFERROR(INDEX(INDIRECT(zoneFichierFiltreCatalogue),S227,3),"")</f>
        <v>p084-2-02</v>
      </c>
      <c r="F228" s="23"/>
      <c r="G228" s="21"/>
      <c r="H228" s="39" t="str">
        <f ca="1">IFERROR(INDEX(INDIRECT(zoneFichierFiltreCatalogue),S227,6),"")</f>
        <v>fall 2019 presentation_/catalogo fall 19.txt</v>
      </c>
      <c r="R228" s="25"/>
      <c r="S228" s="25"/>
    </row>
    <row r="229" spans="1:20" ht="39" customHeight="1" thickBot="1" x14ac:dyDescent="0.65">
      <c r="A229" s="11" t="str">
        <f ca="1">INDEX(INDIRECT(zoneFichierTraite),$J229+offsetInitialFichierTraite,6)</f>
        <v>UNICA</v>
      </c>
      <c r="B229" s="7" t="str">
        <f ca="1">INDEX(INDIRECT(zoneFichierTraite),$J229+offsetInitialFichierTraite,4)</f>
        <v>OBAGS001-TESD5-067</v>
      </c>
      <c r="C229" s="31" t="str">
        <f ca="1">INDEX(INDIRECT(zoneFichierTraite),$J229+offsetInitialFichierTraite,5)</f>
        <v>POCHETTE INTERIEURE FERMETURE ECLAIR O BAG EN MICROFIBRE COULEUR UNIE</v>
      </c>
      <c r="D229" s="32" t="str">
        <f ca="1">INDEX(INDIRECT(zoneFichierTraite),$J229+offsetInitialFichierTraite,13)</f>
        <v>phard</v>
      </c>
      <c r="E229" s="35">
        <f ca="1">INDEX(INDIRECT(zoneFichierTraite),$J229+offsetInitialFichierTraite,7)</f>
        <v>2</v>
      </c>
      <c r="F229" s="33">
        <f ca="1">INDEX(INDIRECT(zoneFichierTraite),$J229+offsetInitialFichierTraite,8)</f>
        <v>10.8</v>
      </c>
      <c r="G229" s="34">
        <f t="shared" ref="G229" ca="1" si="224">ROUNDUP(F229*3,0)</f>
        <v>33</v>
      </c>
      <c r="H229" s="37" t="str">
        <f t="shared" ref="H229" ca="1" si="225">IF(ISNUMBER(N229),codeEAN13(INT(N229/10)),"")</f>
        <v>8APASOG*ajaaac+</v>
      </c>
      <c r="J229" s="18">
        <f t="shared" si="199"/>
        <v>110</v>
      </c>
      <c r="L229" s="7" t="str">
        <f ca="1">INDEX(INDIRECT(zoneFichierTraite),$J229+offsetInitialFichierTraite,1)</f>
        <v>'110</v>
      </c>
      <c r="M229" s="14">
        <f ca="1">INDEX(INDIRECT(zoneFichierTraite),$J229+offsetInitialFichierTraite,9)</f>
        <v>21.6</v>
      </c>
      <c r="N229" s="17">
        <f ca="1">INDEX(INDIRECT(zoneFichierTraite),$J229+offsetInitialFichierTraite,3)</f>
        <v>8050846090002</v>
      </c>
      <c r="O229" s="2" t="e">
        <f ca="1">MATCH(N229,INDIRECT(nomFichierEAN13Valmag &amp; "!A:A"),0)</f>
        <v>#N/A</v>
      </c>
      <c r="P229" s="2">
        <f ca="1">MATCH(R229,INDIRECT(nomFichierEAN13Valmag &amp; "!A:A"),0)</f>
        <v>5127</v>
      </c>
      <c r="Q229" s="2">
        <f ca="1">MATCH(LEFT(B229,14) &amp; "*",INDIRECT(nomFichierBaseCatalogue &amp; "!B:B"),0)</f>
        <v>1141</v>
      </c>
      <c r="R229" s="17">
        <f ca="1">IFERROR(INDEX(INDIRECT(zoneFichierBaseCatalogue),Q229,1),"")</f>
        <v>8050846013506</v>
      </c>
      <c r="S229" s="2">
        <f ca="1">MATCH(B229,INDIRECT(nomFichierFiltreCatalogue &amp; "!B:B"),0)</f>
        <v>370</v>
      </c>
      <c r="T229" s="17"/>
    </row>
    <row r="230" spans="1:20" s="24" customFormat="1" ht="15.75" customHeight="1" x14ac:dyDescent="0.25">
      <c r="A230" s="30">
        <f ca="1">INDEX(INDIRECT(zoneFichierTraite),$J229+offsetInitialFichierTraite,2)</f>
        <v>88</v>
      </c>
      <c r="B230" s="29" t="str">
        <f ca="1">IFERROR(INDEX(INDIRECT(zoneFichierEAN13Valmag),$P229,3),"")</f>
        <v xml:space="preserve">CANVAS          </v>
      </c>
      <c r="C230" s="22" t="str">
        <f ca="1">IFERROR(INDEX(INDIRECT(zoneFichierEAN13Valmag),$O229,3),"")</f>
        <v/>
      </c>
      <c r="D230" s="23" t="str">
        <f ca="1">IFERROR(INDEX(INDIRECT(zoneFichierEAN13Valmag),$O229,4),"")</f>
        <v/>
      </c>
      <c r="E230" s="38" t="str">
        <f ca="1">IFERROR(INDEX(INDIRECT(zoneFichierFiltreCatalogue),S229,3),"")</f>
        <v>p082-2-06</v>
      </c>
      <c r="F230" s="23"/>
      <c r="G230" s="21"/>
      <c r="H230" s="39" t="str">
        <f ca="1">IFERROR(INDEX(INDIRECT(zoneFichierFiltreCatalogue),S229,6),"")</f>
        <v>fall 2019 presentation_/catalogo fall 19.txt</v>
      </c>
      <c r="R230" s="25"/>
      <c r="S230" s="25"/>
    </row>
    <row r="231" spans="1:20" ht="39" customHeight="1" thickBot="1" x14ac:dyDescent="0.65">
      <c r="A231" s="11" t="str">
        <f ca="1">INDEX(INDIRECT(zoneFichierTraite),$J231+offsetInitialFichierTraite,6)</f>
        <v>UNICA</v>
      </c>
      <c r="B231" s="7" t="str">
        <f ca="1">INDEX(INDIRECT(zoneFichierTraite),$J231+offsetInitialFichierTraite,4)</f>
        <v>OBAGS001-TESD5-615</v>
      </c>
      <c r="C231" s="31" t="str">
        <f ca="1">INDEX(INDIRECT(zoneFichierTraite),$J231+offsetInitialFichierTraite,5)</f>
        <v>POCHETTE INTERIEURE FERMETURE ECLAIR O BAG EN MICROFIBRE COULEUR UNIE</v>
      </c>
      <c r="D231" s="32" t="str">
        <f ca="1">INDEX(INDIRECT(zoneFichierTraite),$J231+offsetInitialFichierTraite,13)</f>
        <v>military</v>
      </c>
      <c r="E231" s="35">
        <f ca="1">INDEX(INDIRECT(zoneFichierTraite),$J231+offsetInitialFichierTraite,7)</f>
        <v>2</v>
      </c>
      <c r="F231" s="33">
        <f ca="1">INDEX(INDIRECT(zoneFichierTraite),$J231+offsetInitialFichierTraite,8)</f>
        <v>10.8</v>
      </c>
      <c r="G231" s="34">
        <f t="shared" ref="G231" ca="1" si="226">ROUNDUP(F231*3,0)</f>
        <v>33</v>
      </c>
      <c r="H231" s="37" t="str">
        <f t="shared" ref="H231" ca="1" si="227">IF(ISNUMBER(N231),codeEAN13(INT(N231/10)),"")</f>
        <v>8APASOG*aijjja+</v>
      </c>
      <c r="J231" s="18">
        <f t="shared" si="199"/>
        <v>111</v>
      </c>
      <c r="L231" s="7" t="str">
        <f ca="1">INDEX(INDIRECT(zoneFichierTraite),$J231+offsetInitialFichierTraite,1)</f>
        <v>'111</v>
      </c>
      <c r="M231" s="14">
        <f ca="1">INDEX(INDIRECT(zoneFichierTraite),$J231+offsetInitialFichierTraite,9)</f>
        <v>21.6</v>
      </c>
      <c r="N231" s="17">
        <f ca="1">INDEX(INDIRECT(zoneFichierTraite),$J231+offsetInitialFichierTraite,3)</f>
        <v>8050846089990</v>
      </c>
      <c r="O231" s="2" t="e">
        <f ca="1">MATCH(N231,INDIRECT(nomFichierEAN13Valmag &amp; "!A:A"),0)</f>
        <v>#N/A</v>
      </c>
      <c r="P231" s="2">
        <f ca="1">MATCH(R231,INDIRECT(nomFichierEAN13Valmag &amp; "!A:A"),0)</f>
        <v>5127</v>
      </c>
      <c r="Q231" s="2">
        <f ca="1">MATCH(LEFT(B231,14) &amp; "*",INDIRECT(nomFichierBaseCatalogue &amp; "!B:B"),0)</f>
        <v>1141</v>
      </c>
      <c r="R231" s="17">
        <f ca="1">IFERROR(INDEX(INDIRECT(zoneFichierBaseCatalogue),Q231,1),"")</f>
        <v>8050846013506</v>
      </c>
      <c r="S231" s="2">
        <f ca="1">MATCH(B231,INDIRECT(nomFichierFiltreCatalogue &amp; "!B:B"),0)</f>
        <v>371</v>
      </c>
      <c r="T231" s="17"/>
    </row>
    <row r="232" spans="1:20" s="24" customFormat="1" ht="15.75" customHeight="1" x14ac:dyDescent="0.25">
      <c r="A232" s="30">
        <f ca="1">INDEX(INDIRECT(zoneFichierTraite),$J231+offsetInitialFichierTraite,2)</f>
        <v>129</v>
      </c>
      <c r="B232" s="29" t="str">
        <f ca="1">IFERROR(INDEX(INDIRECT(zoneFichierEAN13Valmag),$P231,3),"")</f>
        <v xml:space="preserve">CANVAS          </v>
      </c>
      <c r="C232" s="22" t="str">
        <f ca="1">IFERROR(INDEX(INDIRECT(zoneFichierEAN13Valmag),$O231,3),"")</f>
        <v/>
      </c>
      <c r="D232" s="23" t="str">
        <f ca="1">IFERROR(INDEX(INDIRECT(zoneFichierEAN13Valmag),$O231,4),"")</f>
        <v/>
      </c>
      <c r="E232" s="38" t="str">
        <f ca="1">IFERROR(INDEX(INDIRECT(zoneFichierFiltreCatalogue),S231,3),"")</f>
        <v>p082-2-07</v>
      </c>
      <c r="F232" s="23"/>
      <c r="G232" s="21"/>
      <c r="H232" s="39" t="str">
        <f ca="1">IFERROR(INDEX(INDIRECT(zoneFichierFiltreCatalogue),S231,6),"")</f>
        <v>fall 2019 presentation_/catalogo fall 19.txt</v>
      </c>
      <c r="R232" s="25"/>
      <c r="S232" s="25"/>
    </row>
    <row r="233" spans="1:20" ht="39" customHeight="1" thickBot="1" x14ac:dyDescent="0.65">
      <c r="A233" s="11" t="str">
        <f ca="1">INDEX(INDIRECT(zoneFichierTraite),$J233+offsetInitialFichierTraite,6)</f>
        <v>UNICA</v>
      </c>
      <c r="B233" s="7" t="str">
        <f ca="1">INDEX(INDIRECT(zoneFichierTraite),$J233+offsetInitialFichierTraite,4)</f>
        <v>OBAGS002-TES01-008</v>
      </c>
      <c r="C233" s="31" t="str">
        <f ca="1">INDEX(INDIRECT(zoneFichierTraite),$J233+offsetInitialFichierTraite,5)</f>
        <v>POCHETTE INTERIEURE FERMETURE ECLAIR O BAG MINI EN TISSU CANVAS</v>
      </c>
      <c r="D233" s="32" t="str">
        <f ca="1">INDEX(INDIRECT(zoneFichierTraite),$J233+offsetInitialFichierTraite,13)</f>
        <v>bianco</v>
      </c>
      <c r="E233" s="35">
        <f ca="1">INDEX(INDIRECT(zoneFichierTraite),$J233+offsetInitialFichierTraite,7)</f>
        <v>3</v>
      </c>
      <c r="F233" s="33">
        <f ca="1">INDEX(INDIRECT(zoneFichierTraite),$J233+offsetInitialFichierTraite,8)</f>
        <v>7.08</v>
      </c>
      <c r="G233" s="34">
        <f t="shared" ref="G233" ca="1" si="228">ROUNDUP(F233*3,0)</f>
        <v>22</v>
      </c>
      <c r="H233" s="37" t="str">
        <f t="shared" ref="H233" ca="1" si="229">IF(ISNUMBER(N233),codeEAN13(INT(N233/10)),"")</f>
        <v>8APAOPA*cbaged+</v>
      </c>
      <c r="J233" s="18">
        <f t="shared" si="199"/>
        <v>112</v>
      </c>
      <c r="L233" s="7" t="str">
        <f ca="1">INDEX(INDIRECT(zoneFichierTraite),$J233+offsetInitialFichierTraite,1)</f>
        <v>'112</v>
      </c>
      <c r="M233" s="14">
        <f ca="1">INDEX(INDIRECT(zoneFichierTraite),$J233+offsetInitialFichierTraite,9)</f>
        <v>21.24</v>
      </c>
      <c r="N233" s="17">
        <f ca="1">INDEX(INDIRECT(zoneFichierTraite),$J233+offsetInitialFichierTraite,3)</f>
        <v>8050450210643</v>
      </c>
      <c r="O233" s="2">
        <f ca="1">MATCH(N233,INDIRECT(nomFichierEAN13Valmag &amp; "!A:A"),0)</f>
        <v>7035</v>
      </c>
      <c r="P233" s="2">
        <f ca="1">MATCH(R233,INDIRECT(nomFichierEAN13Valmag &amp; "!A:A"),0)</f>
        <v>7035</v>
      </c>
      <c r="Q233" s="2">
        <f ca="1">MATCH(LEFT(B233,14) &amp; "*",INDIRECT(nomFichierBaseCatalogue &amp; "!B:B"),0)</f>
        <v>1148</v>
      </c>
      <c r="R233" s="17">
        <f ca="1">IFERROR(INDEX(INDIRECT(zoneFichierBaseCatalogue),Q233,1),"")</f>
        <v>8050450210643</v>
      </c>
      <c r="S233" s="2">
        <f ca="1">MATCH(B233,INDIRECT(nomFichierFiltreCatalogue &amp; "!B:B"),0)</f>
        <v>388</v>
      </c>
      <c r="T233" s="17"/>
    </row>
    <row r="234" spans="1:20" s="24" customFormat="1" ht="15.75" customHeight="1" x14ac:dyDescent="0.25">
      <c r="A234" s="30">
        <f ca="1">INDEX(INDIRECT(zoneFichierTraite),$J233+offsetInitialFichierTraite,2)</f>
        <v>34</v>
      </c>
      <c r="B234" s="29" t="str">
        <f ca="1">IFERROR(INDEX(INDIRECT(zoneFichierEAN13Valmag),$P233,3),"")</f>
        <v xml:space="preserve">MINICANVAS      </v>
      </c>
      <c r="C234" s="22" t="str">
        <f ca="1">IFERROR(INDEX(INDIRECT(zoneFichierEAN13Valmag),$O233,3),"")</f>
        <v xml:space="preserve">MINICANVAS      </v>
      </c>
      <c r="D234" s="23" t="str">
        <f ca="1">IFERROR(INDEX(INDIRECT(zoneFichierEAN13Valmag),$O233,4),"")</f>
        <v>WHITE</v>
      </c>
      <c r="E234" s="38" t="str">
        <f ca="1">IFERROR(INDEX(INDIRECT(zoneFichierFiltreCatalogue),S233,3),"")</f>
        <v>p089-1-02</v>
      </c>
      <c r="F234" s="23"/>
      <c r="G234" s="21"/>
      <c r="H234" s="39" t="str">
        <f ca="1">IFERROR(INDEX(INDIRECT(zoneFichierFiltreCatalogue),S233,6),"")</f>
        <v>fall 2019 presentation_/catalogo fall 19.txt</v>
      </c>
      <c r="R234" s="25"/>
      <c r="S234" s="25"/>
    </row>
    <row r="235" spans="1:20" ht="39" customHeight="1" thickBot="1" x14ac:dyDescent="0.65">
      <c r="A235" s="11" t="str">
        <f ca="1">INDEX(INDIRECT(zoneFichierTraite),$J235+offsetInitialFichierTraite,6)</f>
        <v>UNICA</v>
      </c>
      <c r="B235" s="7" t="str">
        <f ca="1">INDEX(INDIRECT(zoneFichierTraite),$J235+offsetInitialFichierTraite,4)</f>
        <v>OBAGS002-TES01-009</v>
      </c>
      <c r="C235" s="31" t="str">
        <f ca="1">INDEX(INDIRECT(zoneFichierTraite),$J235+offsetInitialFichierTraite,5)</f>
        <v>POCHETTE INTERIEURE FERMETURE ECLAIR O BAG MINI EN TISSU CANVAS</v>
      </c>
      <c r="D235" s="32" t="str">
        <f ca="1">INDEX(INDIRECT(zoneFichierTraite),$J235+offsetInitialFichierTraite,13)</f>
        <v>blu</v>
      </c>
      <c r="E235" s="35">
        <f ca="1">INDEX(INDIRECT(zoneFichierTraite),$J235+offsetInitialFichierTraite,7)</f>
        <v>3</v>
      </c>
      <c r="F235" s="33">
        <f ca="1">INDEX(INDIRECT(zoneFichierTraite),$J235+offsetInitialFichierTraite,8)</f>
        <v>7.08</v>
      </c>
      <c r="G235" s="34">
        <f t="shared" ref="G235" ca="1" si="230">ROUNDUP(F235*3,0)</f>
        <v>22</v>
      </c>
      <c r="H235" s="37" t="str">
        <f t="shared" ref="H235" ca="1" si="231">IF(ISNUMBER(N235),codeEAN13(INT(N235/10)),"")</f>
        <v>8APITSD*fjifae+</v>
      </c>
      <c r="J235" s="18">
        <f t="shared" si="199"/>
        <v>113</v>
      </c>
      <c r="L235" s="7" t="str">
        <f ca="1">INDEX(INDIRECT(zoneFichierTraite),$J235+offsetInitialFichierTraite,1)</f>
        <v>'113</v>
      </c>
      <c r="M235" s="14">
        <f ca="1">INDEX(INDIRECT(zoneFichierTraite),$J235+offsetInitialFichierTraite,9)</f>
        <v>21.24</v>
      </c>
      <c r="N235" s="17">
        <f ca="1">INDEX(INDIRECT(zoneFichierTraite),$J235+offsetInitialFichierTraite,3)</f>
        <v>8058983598504</v>
      </c>
      <c r="O235" s="2">
        <f ca="1">MATCH(N235,INDIRECT(nomFichierEAN13Valmag &amp; "!A:A"),0)</f>
        <v>6798</v>
      </c>
      <c r="P235" s="2">
        <f ca="1">MATCH(R235,INDIRECT(nomFichierEAN13Valmag &amp; "!A:A"),0)</f>
        <v>7035</v>
      </c>
      <c r="Q235" s="2">
        <f ca="1">MATCH(LEFT(B235,14) &amp; "*",INDIRECT(nomFichierBaseCatalogue &amp; "!B:B"),0)</f>
        <v>1148</v>
      </c>
      <c r="R235" s="17">
        <f ca="1">IFERROR(INDEX(INDIRECT(zoneFichierBaseCatalogue),Q235,1),"")</f>
        <v>8050450210643</v>
      </c>
      <c r="S235" s="2">
        <f ca="1">MATCH(B235,INDIRECT(nomFichierFiltreCatalogue &amp; "!B:B"),0)</f>
        <v>390</v>
      </c>
      <c r="T235" s="17"/>
    </row>
    <row r="236" spans="1:20" s="24" customFormat="1" ht="15.75" customHeight="1" x14ac:dyDescent="0.25">
      <c r="A236" s="30">
        <f ca="1">INDEX(INDIRECT(zoneFichierTraite),$J235+offsetInitialFichierTraite,2)</f>
        <v>160</v>
      </c>
      <c r="B236" s="29" t="str">
        <f ca="1">IFERROR(INDEX(INDIRECT(zoneFichierEAN13Valmag),$P235,3),"")</f>
        <v xml:space="preserve">MINICANVAS      </v>
      </c>
      <c r="C236" s="22" t="str">
        <f ca="1">IFERROR(INDEX(INDIRECT(zoneFichierEAN13Valmag),$O235,3),"")</f>
        <v xml:space="preserve">MINICANVAS      </v>
      </c>
      <c r="D236" s="23" t="str">
        <f ca="1">IFERROR(INDEX(INDIRECT(zoneFichierEAN13Valmag),$O235,4),"")</f>
        <v xml:space="preserve">BLUE </v>
      </c>
      <c r="E236" s="38" t="str">
        <f ca="1">IFERROR(INDEX(INDIRECT(zoneFichierFiltreCatalogue),S235,3),"")</f>
        <v>p089-1-04</v>
      </c>
      <c r="F236" s="23"/>
      <c r="G236" s="21"/>
      <c r="H236" s="39" t="str">
        <f ca="1">IFERROR(INDEX(INDIRECT(zoneFichierFiltreCatalogue),S235,6),"")</f>
        <v>fall 2019 presentation_/catalogo fall 19.txt</v>
      </c>
      <c r="R236" s="25"/>
      <c r="S236" s="25"/>
    </row>
    <row r="237" spans="1:20" ht="39" customHeight="1" thickBot="1" x14ac:dyDescent="0.65">
      <c r="A237" s="11" t="str">
        <f ca="1">INDEX(INDIRECT(zoneFichierTraite),$J237+offsetInitialFichierTraite,6)</f>
        <v>UNICA</v>
      </c>
      <c r="B237" s="7" t="str">
        <f ca="1">INDEX(INDIRECT(zoneFichierTraite),$J237+offsetInitialFichierTraite,4)</f>
        <v>OBAGS002-TES01-054</v>
      </c>
      <c r="C237" s="31" t="str">
        <f ca="1">INDEX(INDIRECT(zoneFichierTraite),$J237+offsetInitialFichierTraite,5)</f>
        <v>POCHETTE INTERIEURE FERMETURE ECLAIR O BAG MINI EN TISSU CANVAS</v>
      </c>
      <c r="D237" s="32" t="str">
        <f ca="1">INDEX(INDIRECT(zoneFichierTraite),$J237+offsetInitialFichierTraite,13)</f>
        <v>naturale</v>
      </c>
      <c r="E237" s="35">
        <f ca="1">INDEX(INDIRECT(zoneFichierTraite),$J237+offsetInitialFichierTraite,7)</f>
        <v>4</v>
      </c>
      <c r="F237" s="33">
        <f ca="1">INDEX(INDIRECT(zoneFichierTraite),$J237+offsetInitialFichierTraite,8)</f>
        <v>7.08</v>
      </c>
      <c r="G237" s="34">
        <f t="shared" ref="G237" ca="1" si="232">ROUNDUP(F237*3,0)</f>
        <v>22</v>
      </c>
      <c r="H237" s="37" t="str">
        <f t="shared" ref="H237" ca="1" si="233">IF(ISNUMBER(N237),codeEAN13(INT(N237/10)),"")</f>
        <v>8APAOPA*cbagdg+</v>
      </c>
      <c r="J237" s="18">
        <f t="shared" si="199"/>
        <v>114</v>
      </c>
      <c r="L237" s="7" t="str">
        <f ca="1">INDEX(INDIRECT(zoneFichierTraite),$J237+offsetInitialFichierTraite,1)</f>
        <v>'114</v>
      </c>
      <c r="M237" s="14">
        <f ca="1">INDEX(INDIRECT(zoneFichierTraite),$J237+offsetInitialFichierTraite,9)</f>
        <v>28.32</v>
      </c>
      <c r="N237" s="17">
        <f ca="1">INDEX(INDIRECT(zoneFichierTraite),$J237+offsetInitialFichierTraite,3)</f>
        <v>8050450210636</v>
      </c>
      <c r="O237" s="2">
        <f ca="1">MATCH(N237,INDIRECT(nomFichierEAN13Valmag &amp; "!A:A"),0)</f>
        <v>6933</v>
      </c>
      <c r="P237" s="2">
        <f ca="1">MATCH(R237,INDIRECT(nomFichierEAN13Valmag &amp; "!A:A"),0)</f>
        <v>7035</v>
      </c>
      <c r="Q237" s="2">
        <f ca="1">MATCH(LEFT(B237,14) &amp; "*",INDIRECT(nomFichierBaseCatalogue &amp; "!B:B"),0)</f>
        <v>1148</v>
      </c>
      <c r="R237" s="17">
        <f ca="1">IFERROR(INDEX(INDIRECT(zoneFichierBaseCatalogue),Q237,1),"")</f>
        <v>8050450210643</v>
      </c>
      <c r="S237" s="2">
        <f ca="1">MATCH(B237,INDIRECT(nomFichierFiltreCatalogue &amp; "!B:B"),0)</f>
        <v>391</v>
      </c>
      <c r="T237" s="17"/>
    </row>
    <row r="238" spans="1:20" s="24" customFormat="1" ht="15.75" customHeight="1" x14ac:dyDescent="0.25">
      <c r="A238" s="30">
        <f ca="1">INDEX(INDIRECT(zoneFichierTraite),$J237+offsetInitialFichierTraite,2)</f>
        <v>70</v>
      </c>
      <c r="B238" s="29" t="str">
        <f ca="1">IFERROR(INDEX(INDIRECT(zoneFichierEAN13Valmag),$P237,3),"")</f>
        <v xml:space="preserve">MINICANVAS      </v>
      </c>
      <c r="C238" s="22" t="str">
        <f ca="1">IFERROR(INDEX(INDIRECT(zoneFichierEAN13Valmag),$O237,3),"")</f>
        <v xml:space="preserve">MINICANVAS      </v>
      </c>
      <c r="D238" s="23" t="str">
        <f ca="1">IFERROR(INDEX(INDIRECT(zoneFichierEAN13Valmag),$O237,4),"")</f>
        <v>NATUR</v>
      </c>
      <c r="E238" s="38" t="str">
        <f ca="1">IFERROR(INDEX(INDIRECT(zoneFichierFiltreCatalogue),S237,3),"")</f>
        <v>p089-1-05</v>
      </c>
      <c r="F238" s="23"/>
      <c r="G238" s="21"/>
      <c r="H238" s="39" t="str">
        <f ca="1">IFERROR(INDEX(INDIRECT(zoneFichierFiltreCatalogue),S237,6),"")</f>
        <v>fall 2019 presentation_/catalogo fall 19.txt</v>
      </c>
      <c r="R238" s="25"/>
      <c r="S238" s="25"/>
    </row>
    <row r="239" spans="1:20" ht="39" customHeight="1" thickBot="1" x14ac:dyDescent="0.65">
      <c r="A239" s="11" t="str">
        <f ca="1">INDEX(INDIRECT(zoneFichierTraite),$J239+offsetInitialFichierTraite,6)</f>
        <v>UNICA</v>
      </c>
      <c r="B239" s="7" t="str">
        <f ca="1">INDEX(INDIRECT(zoneFichierTraite),$J239+offsetInitialFichierTraite,4)</f>
        <v>OBAGS002-TES01-055</v>
      </c>
      <c r="C239" s="31" t="str">
        <f ca="1">INDEX(INDIRECT(zoneFichierTraite),$J239+offsetInitialFichierTraite,5)</f>
        <v>POCHETTE INTERIEURE FERMETURE ECLAIR O BAG MINI EN TISSU CANVAS</v>
      </c>
      <c r="D239" s="32" t="str">
        <f ca="1">INDEX(INDIRECT(zoneFichierTraite),$J239+offsetInitialFichierTraite,13)</f>
        <v>nero</v>
      </c>
      <c r="E239" s="35">
        <f ca="1">INDEX(INDIRECT(zoneFichierTraite),$J239+offsetInitialFichierTraite,7)</f>
        <v>4</v>
      </c>
      <c r="F239" s="33">
        <f ca="1">INDEX(INDIRECT(zoneFichierTraite),$J239+offsetInitialFichierTraite,8)</f>
        <v>7.08</v>
      </c>
      <c r="G239" s="34">
        <f t="shared" ref="G239" ca="1" si="234">ROUNDUP(F239*3,0)</f>
        <v>22</v>
      </c>
      <c r="H239" s="37" t="str">
        <f t="shared" ref="H239" ca="1" si="235">IF(ISNUMBER(N239),codeEAN13(INT(N239/10)),"")</f>
        <v>8APAOPA*cbagcj+</v>
      </c>
      <c r="J239" s="18">
        <f t="shared" si="199"/>
        <v>115</v>
      </c>
      <c r="L239" s="7" t="str">
        <f ca="1">INDEX(INDIRECT(zoneFichierTraite),$J239+offsetInitialFichierTraite,1)</f>
        <v>'115</v>
      </c>
      <c r="M239" s="14">
        <f ca="1">INDEX(INDIRECT(zoneFichierTraite),$J239+offsetInitialFichierTraite,9)</f>
        <v>28.32</v>
      </c>
      <c r="N239" s="17">
        <f ca="1">INDEX(INDIRECT(zoneFichierTraite),$J239+offsetInitialFichierTraite,3)</f>
        <v>8050450210629</v>
      </c>
      <c r="O239" s="2">
        <f ca="1">MATCH(N239,INDIRECT(nomFichierEAN13Valmag &amp; "!A:A"),0)</f>
        <v>6797</v>
      </c>
      <c r="P239" s="2">
        <f ca="1">MATCH(R239,INDIRECT(nomFichierEAN13Valmag &amp; "!A:A"),0)</f>
        <v>7035</v>
      </c>
      <c r="Q239" s="2">
        <f ca="1">MATCH(LEFT(B239,14) &amp; "*",INDIRECT(nomFichierBaseCatalogue &amp; "!B:B"),0)</f>
        <v>1148</v>
      </c>
      <c r="R239" s="17">
        <f ca="1">IFERROR(INDEX(INDIRECT(zoneFichierBaseCatalogue),Q239,1),"")</f>
        <v>8050450210643</v>
      </c>
      <c r="S239" s="2">
        <f ca="1">MATCH(B239,INDIRECT(nomFichierFiltreCatalogue &amp; "!B:B"),0)</f>
        <v>389</v>
      </c>
      <c r="T239" s="17"/>
    </row>
    <row r="240" spans="1:20" s="24" customFormat="1" ht="15.75" customHeight="1" x14ac:dyDescent="0.25">
      <c r="A240" s="30">
        <f ca="1">INDEX(INDIRECT(zoneFichierTraite),$J239+offsetInitialFichierTraite,2)</f>
        <v>101</v>
      </c>
      <c r="B240" s="29" t="str">
        <f ca="1">IFERROR(INDEX(INDIRECT(zoneFichierEAN13Valmag),$P239,3),"")</f>
        <v xml:space="preserve">MINICANVAS      </v>
      </c>
      <c r="C240" s="22" t="str">
        <f ca="1">IFERROR(INDEX(INDIRECT(zoneFichierEAN13Valmag),$O239,3),"")</f>
        <v xml:space="preserve">MINICANVAS      </v>
      </c>
      <c r="D240" s="23" t="str">
        <f ca="1">IFERROR(INDEX(INDIRECT(zoneFichierEAN13Valmag),$O239,4),"")</f>
        <v>BLACK</v>
      </c>
      <c r="E240" s="38" t="str">
        <f ca="1">IFERROR(INDEX(INDIRECT(zoneFichierFiltreCatalogue),S239,3),"")</f>
        <v>p089-1-03</v>
      </c>
      <c r="F240" s="23"/>
      <c r="G240" s="21"/>
      <c r="H240" s="39" t="str">
        <f ca="1">IFERROR(INDEX(INDIRECT(zoneFichierFiltreCatalogue),S239,6),"")</f>
        <v>fall 2019 presentation_/catalogo fall 19.txt</v>
      </c>
      <c r="R240" s="25"/>
      <c r="S240" s="25"/>
    </row>
    <row r="241" spans="1:20" ht="39" customHeight="1" thickBot="1" x14ac:dyDescent="0.65">
      <c r="A241" s="11" t="str">
        <f ca="1">INDEX(INDIRECT(zoneFichierTraite),$J241+offsetInitialFichierTraite,6)</f>
        <v>UNICA</v>
      </c>
      <c r="B241" s="7" t="str">
        <f ca="1">INDEX(INDIRECT(zoneFichierTraite),$J241+offsetInitialFichierTraite,4)</f>
        <v>OBAGS002-TESBG-227</v>
      </c>
      <c r="C241" s="31" t="str">
        <f ca="1">INDEX(INDIRECT(zoneFichierTraite),$J241+offsetInitialFichierTraite,5)</f>
        <v>POCHETTE INTERIEURE FERMETURE ECLAIR O BAG MINI EN TISSU PRINCE DE GALLES+ FLEURS</v>
      </c>
      <c r="D241" s="32" t="str">
        <f ca="1">INDEX(INDIRECT(zoneFichierTraite),$J241+offsetInitialFichierTraite,13)</f>
        <v>bianco/nero</v>
      </c>
      <c r="E241" s="35">
        <f ca="1">INDEX(INDIRECT(zoneFichierTraite),$J241+offsetInitialFichierTraite,7)</f>
        <v>2</v>
      </c>
      <c r="F241" s="33">
        <f ca="1">INDEX(INDIRECT(zoneFichierTraite),$J241+offsetInitialFichierTraite,8)</f>
        <v>13.33</v>
      </c>
      <c r="G241" s="34">
        <f t="shared" ref="G241" ca="1" si="236">ROUNDUP(F241*3,0)</f>
        <v>40</v>
      </c>
      <c r="H241" s="37" t="str">
        <f t="shared" ref="H241" ca="1" si="237">IF(ISNUMBER(N241),codeEAN13(INT(N241/10)),"")</f>
        <v>8APASOG*ajajhc+</v>
      </c>
      <c r="J241" s="18">
        <f t="shared" si="199"/>
        <v>116</v>
      </c>
      <c r="L241" s="7" t="str">
        <f ca="1">INDEX(INDIRECT(zoneFichierTraite),$J241+offsetInitialFichierTraite,1)</f>
        <v>'116</v>
      </c>
      <c r="M241" s="14">
        <f ca="1">INDEX(INDIRECT(zoneFichierTraite),$J241+offsetInitialFichierTraite,9)</f>
        <v>26.66</v>
      </c>
      <c r="N241" s="17">
        <f ca="1">INDEX(INDIRECT(zoneFichierTraite),$J241+offsetInitialFichierTraite,3)</f>
        <v>8050846090972</v>
      </c>
      <c r="O241" s="2" t="e">
        <f ca="1">MATCH(N241,INDIRECT(nomFichierEAN13Valmag &amp; "!A:A"),0)</f>
        <v>#N/A</v>
      </c>
      <c r="P241" s="2" t="e">
        <f ca="1">MATCH(R241,INDIRECT(nomFichierEAN13Valmag &amp; "!A:A"),0)</f>
        <v>#N/A</v>
      </c>
      <c r="Q241" s="2">
        <f ca="1">MATCH(LEFT(B241,14) &amp; "*",INDIRECT(nomFichierBaseCatalogue &amp; "!B:B"),0)</f>
        <v>1166</v>
      </c>
      <c r="R241" s="17">
        <f ca="1">IFERROR(INDEX(INDIRECT(zoneFichierBaseCatalogue),Q241,1),"")</f>
        <v>8050846090972</v>
      </c>
      <c r="S241" s="2">
        <f ca="1">MATCH(B241,INDIRECT(nomFichierFiltreCatalogue &amp; "!B:B"),0)</f>
        <v>399</v>
      </c>
      <c r="T241" s="17"/>
    </row>
    <row r="242" spans="1:20" s="24" customFormat="1" ht="15.75" customHeight="1" x14ac:dyDescent="0.25">
      <c r="A242" s="30">
        <f ca="1">INDEX(INDIRECT(zoneFichierTraite),$J241+offsetInitialFichierTraite,2)</f>
        <v>155</v>
      </c>
      <c r="B242" s="29" t="str">
        <f ca="1">IFERROR(INDEX(INDIRECT(zoneFichierEAN13Valmag),$P241,3),"")</f>
        <v/>
      </c>
      <c r="C242" s="22" t="str">
        <f ca="1">IFERROR(INDEX(INDIRECT(zoneFichierEAN13Valmag),$O241,3),"")</f>
        <v/>
      </c>
      <c r="D242" s="23" t="str">
        <f ca="1">IFERROR(INDEX(INDIRECT(zoneFichierEAN13Valmag),$O241,4),"")</f>
        <v/>
      </c>
      <c r="E242" s="38" t="str">
        <f ca="1">IFERROR(INDEX(INDIRECT(zoneFichierFiltreCatalogue),S241,3),"")</f>
        <v>p091-1-01</v>
      </c>
      <c r="F242" s="23"/>
      <c r="G242" s="21"/>
      <c r="H242" s="39" t="str">
        <f ca="1">IFERROR(INDEX(INDIRECT(zoneFichierFiltreCatalogue),S241,6),"")</f>
        <v>fall 2019 presentation_/catalogo fall 19.txt</v>
      </c>
      <c r="R242" s="25"/>
      <c r="S242" s="25"/>
    </row>
    <row r="243" spans="1:20" ht="39" customHeight="1" thickBot="1" x14ac:dyDescent="0.65">
      <c r="A243" s="11" t="str">
        <f ca="1">INDEX(INDIRECT(zoneFichierTraite),$J243+offsetInitialFichierTraite,6)</f>
        <v>UNICA</v>
      </c>
      <c r="B243" s="7" t="str">
        <f ca="1">INDEX(INDIRECT(zoneFichierTraite),$J243+offsetInitialFichierTraite,4)</f>
        <v>OBAGS002-TESBK-055</v>
      </c>
      <c r="C243" s="31" t="str">
        <f ca="1">INDEX(INDIRECT(zoneFichierTraite),$J243+offsetInitialFichierTraite,5)</f>
        <v>POCHETTE INTERIEURE FERMETURE ECLAIR O BAG MINI EN TISSU DOUDOUNE Ã€ CHEVRONS</v>
      </c>
      <c r="D243" s="32" t="str">
        <f ca="1">INDEX(INDIRECT(zoneFichierTraite),$J243+offsetInitialFichierTraite,13)</f>
        <v>nero</v>
      </c>
      <c r="E243" s="35">
        <f ca="1">INDEX(INDIRECT(zoneFichierTraite),$J243+offsetInitialFichierTraite,7)</f>
        <v>2</v>
      </c>
      <c r="F243" s="33">
        <f ca="1">INDEX(INDIRECT(zoneFichierTraite),$J243+offsetInitialFichierTraite,8)</f>
        <v>11.85</v>
      </c>
      <c r="G243" s="34">
        <f t="shared" ref="G243" ca="1" si="238">ROUNDUP(F243*3,0)</f>
        <v>36</v>
      </c>
      <c r="H243" s="37" t="str">
        <f t="shared" ref="H243" ca="1" si="239">IF(ISNUMBER(N243),codeEAN13(INT(N243/10)),"")</f>
        <v>8APASOG*ajaidf+</v>
      </c>
      <c r="J243" s="18">
        <f t="shared" si="199"/>
        <v>117</v>
      </c>
      <c r="L243" s="7" t="str">
        <f ca="1">INDEX(INDIRECT(zoneFichierTraite),$J243+offsetInitialFichierTraite,1)</f>
        <v>'117</v>
      </c>
      <c r="M243" s="14">
        <f ca="1">INDEX(INDIRECT(zoneFichierTraite),$J243+offsetInitialFichierTraite,9)</f>
        <v>23.7</v>
      </c>
      <c r="N243" s="17">
        <f ca="1">INDEX(INDIRECT(zoneFichierTraite),$J243+offsetInitialFichierTraite,3)</f>
        <v>8050846090835</v>
      </c>
      <c r="O243" s="2" t="e">
        <f ca="1">MATCH(N243,INDIRECT(nomFichierEAN13Valmag &amp; "!A:A"),0)</f>
        <v>#N/A</v>
      </c>
      <c r="P243" s="2" t="e">
        <f ca="1">MATCH(R243,INDIRECT(nomFichierEAN13Valmag &amp; "!A:A"),0)</f>
        <v>#N/A</v>
      </c>
      <c r="Q243" s="2">
        <f ca="1">MATCH(LEFT(B243,14) &amp; "*",INDIRECT(nomFichierBaseCatalogue &amp; "!B:B"),0)</f>
        <v>1167</v>
      </c>
      <c r="R243" s="17">
        <f ca="1">IFERROR(INDEX(INDIRECT(zoneFichierBaseCatalogue),Q243,1),"")</f>
        <v>8050846090835</v>
      </c>
      <c r="S243" s="2">
        <f ca="1">MATCH(B243,INDIRECT(nomFichierFiltreCatalogue &amp; "!B:B"),0)</f>
        <v>400</v>
      </c>
      <c r="T243" s="17"/>
    </row>
    <row r="244" spans="1:20" s="24" customFormat="1" ht="15.75" customHeight="1" x14ac:dyDescent="0.25">
      <c r="A244" s="30">
        <f ca="1">INDEX(INDIRECT(zoneFichierTraite),$J243+offsetInitialFichierTraite,2)</f>
        <v>198</v>
      </c>
      <c r="B244" s="29" t="str">
        <f ca="1">IFERROR(INDEX(INDIRECT(zoneFichierEAN13Valmag),$P243,3),"")</f>
        <v/>
      </c>
      <c r="C244" s="22" t="str">
        <f ca="1">IFERROR(INDEX(INDIRECT(zoneFichierEAN13Valmag),$O243,3),"")</f>
        <v/>
      </c>
      <c r="D244" s="23" t="str">
        <f ca="1">IFERROR(INDEX(INDIRECT(zoneFichierEAN13Valmag),$O243,4),"")</f>
        <v/>
      </c>
      <c r="E244" s="38" t="str">
        <f ca="1">IFERROR(INDEX(INDIRECT(zoneFichierFiltreCatalogue),S243,3),"")</f>
        <v>p091-2-01</v>
      </c>
      <c r="F244" s="23"/>
      <c r="G244" s="21"/>
      <c r="H244" s="39" t="str">
        <f ca="1">IFERROR(INDEX(INDIRECT(zoneFichierFiltreCatalogue),S243,6),"")</f>
        <v>fall 2019 presentation_/catalogo fall 19.txt</v>
      </c>
      <c r="R244" s="25"/>
      <c r="S244" s="25"/>
    </row>
    <row r="245" spans="1:20" ht="39" customHeight="1" thickBot="1" x14ac:dyDescent="0.65">
      <c r="A245" s="11" t="str">
        <f ca="1">INDEX(INDIRECT(zoneFichierTraite),$J245+offsetInitialFichierTraite,6)</f>
        <v>UNICA</v>
      </c>
      <c r="B245" s="7" t="str">
        <f ca="1">INDEX(INDIRECT(zoneFichierTraite),$J245+offsetInitialFichierTraite,4)</f>
        <v>OBAGS002-TESBK-137</v>
      </c>
      <c r="C245" s="31" t="str">
        <f ca="1">INDEX(INDIRECT(zoneFichierTraite),$J245+offsetInitialFichierTraite,5)</f>
        <v>POCHETTE INTERIEURE FERMETURE ECLAIR O BAG MINI EN TISSU DOUDOUNE Ã€ CHEVRONS</v>
      </c>
      <c r="D245" s="32" t="str">
        <f ca="1">INDEX(INDIRECT(zoneFichierTraite),$J245+offsetInitialFichierTraite,13)</f>
        <v>bluette</v>
      </c>
      <c r="E245" s="35">
        <f ca="1">INDEX(INDIRECT(zoneFichierTraite),$J245+offsetInitialFichierTraite,7)</f>
        <v>2</v>
      </c>
      <c r="F245" s="33">
        <f ca="1">INDEX(INDIRECT(zoneFichierTraite),$J245+offsetInitialFichierTraite,8)</f>
        <v>11.85</v>
      </c>
      <c r="G245" s="34">
        <f t="shared" ref="G245" ca="1" si="240">ROUNDUP(F245*3,0)</f>
        <v>36</v>
      </c>
      <c r="H245" s="37" t="str">
        <f t="shared" ref="H245" ca="1" si="241">IF(ISNUMBER(N245),codeEAN13(INT(N245/10)),"")</f>
        <v>8APASOG*ajaici+</v>
      </c>
      <c r="J245" s="18">
        <f t="shared" si="199"/>
        <v>118</v>
      </c>
      <c r="L245" s="7" t="str">
        <f ca="1">INDEX(INDIRECT(zoneFichierTraite),$J245+offsetInitialFichierTraite,1)</f>
        <v>'118</v>
      </c>
      <c r="M245" s="14">
        <f ca="1">INDEX(INDIRECT(zoneFichierTraite),$J245+offsetInitialFichierTraite,9)</f>
        <v>23.7</v>
      </c>
      <c r="N245" s="17">
        <f ca="1">INDEX(INDIRECT(zoneFichierTraite),$J245+offsetInitialFichierTraite,3)</f>
        <v>8050846090828</v>
      </c>
      <c r="O245" s="2" t="e">
        <f ca="1">MATCH(N245,INDIRECT(nomFichierEAN13Valmag &amp; "!A:A"),0)</f>
        <v>#N/A</v>
      </c>
      <c r="P245" s="2" t="e">
        <f ca="1">MATCH(R245,INDIRECT(nomFichierEAN13Valmag &amp; "!A:A"),0)</f>
        <v>#N/A</v>
      </c>
      <c r="Q245" s="2">
        <f ca="1">MATCH(LEFT(B245,14) &amp; "*",INDIRECT(nomFichierBaseCatalogue &amp; "!B:B"),0)</f>
        <v>1167</v>
      </c>
      <c r="R245" s="17">
        <f ca="1">IFERROR(INDEX(INDIRECT(zoneFichierBaseCatalogue),Q245,1),"")</f>
        <v>8050846090835</v>
      </c>
      <c r="S245" s="2">
        <f ca="1">MATCH(B245,INDIRECT(nomFichierFiltreCatalogue &amp; "!B:B"),0)</f>
        <v>401</v>
      </c>
      <c r="T245" s="17"/>
    </row>
    <row r="246" spans="1:20" s="24" customFormat="1" ht="15.75" customHeight="1" x14ac:dyDescent="0.25">
      <c r="A246" s="30">
        <f ca="1">INDEX(INDIRECT(zoneFichierTraite),$J245+offsetInitialFichierTraite,2)</f>
        <v>79</v>
      </c>
      <c r="B246" s="29" t="str">
        <f ca="1">IFERROR(INDEX(INDIRECT(zoneFichierEAN13Valmag),$P245,3),"")</f>
        <v/>
      </c>
      <c r="C246" s="22" t="str">
        <f ca="1">IFERROR(INDEX(INDIRECT(zoneFichierEAN13Valmag),$O245,3),"")</f>
        <v/>
      </c>
      <c r="D246" s="23" t="str">
        <f ca="1">IFERROR(INDEX(INDIRECT(zoneFichierEAN13Valmag),$O245,4),"")</f>
        <v/>
      </c>
      <c r="E246" s="38" t="str">
        <f ca="1">IFERROR(INDEX(INDIRECT(zoneFichierFiltreCatalogue),S245,3),"")</f>
        <v>p091-2-02</v>
      </c>
      <c r="F246" s="23"/>
      <c r="G246" s="21"/>
      <c r="H246" s="39" t="str">
        <f ca="1">IFERROR(INDEX(INDIRECT(zoneFichierFiltreCatalogue),S245,6),"")</f>
        <v>fall 2019 presentation_/catalogo fall 19.txt</v>
      </c>
      <c r="R246" s="25"/>
      <c r="S246" s="25"/>
    </row>
    <row r="247" spans="1:20" ht="39" customHeight="1" thickBot="1" x14ac:dyDescent="0.65">
      <c r="A247" s="11" t="str">
        <f ca="1">INDEX(INDIRECT(zoneFichierTraite),$J247+offsetInitialFichierTraite,6)</f>
        <v>UNICA</v>
      </c>
      <c r="B247" s="7" t="str">
        <f ca="1">INDEX(INDIRECT(zoneFichierTraite),$J247+offsetInitialFichierTraite,4)</f>
        <v>OBAGS002-TESD5-067</v>
      </c>
      <c r="C247" s="31" t="str">
        <f ca="1">INDEX(INDIRECT(zoneFichierTraite),$J247+offsetInitialFichierTraite,5)</f>
        <v>POCHETTE INTERIEURE FERMETURE ECLAIR O BAG MINI EN MICROFIBRE COULEUR UNIE</v>
      </c>
      <c r="D247" s="32" t="str">
        <f ca="1">INDEX(INDIRECT(zoneFichierTraite),$J247+offsetInitialFichierTraite,13)</f>
        <v>phard</v>
      </c>
      <c r="E247" s="35">
        <f ca="1">INDEX(INDIRECT(zoneFichierTraite),$J247+offsetInitialFichierTraite,7)</f>
        <v>2</v>
      </c>
      <c r="F247" s="33">
        <f ca="1">INDEX(INDIRECT(zoneFichierTraite),$J247+offsetInitialFichierTraite,8)</f>
        <v>10.8</v>
      </c>
      <c r="G247" s="34">
        <f t="shared" ref="G247" ca="1" si="242">ROUNDUP(F247*3,0)</f>
        <v>33</v>
      </c>
      <c r="H247" s="37" t="str">
        <f t="shared" ref="H247" ca="1" si="243">IF(ISNUMBER(N247),codeEAN13(INT(N247/10)),"")</f>
        <v>8APASOG*ajaiae+</v>
      </c>
      <c r="J247" s="18">
        <f t="shared" si="199"/>
        <v>119</v>
      </c>
      <c r="L247" s="7" t="str">
        <f ca="1">INDEX(INDIRECT(zoneFichierTraite),$J247+offsetInitialFichierTraite,1)</f>
        <v>'119</v>
      </c>
      <c r="M247" s="14">
        <f ca="1">INDEX(INDIRECT(zoneFichierTraite),$J247+offsetInitialFichierTraite,9)</f>
        <v>21.6</v>
      </c>
      <c r="N247" s="17">
        <f ca="1">INDEX(INDIRECT(zoneFichierTraite),$J247+offsetInitialFichierTraite,3)</f>
        <v>8050846090804</v>
      </c>
      <c r="O247" s="2" t="e">
        <f ca="1">MATCH(N247,INDIRECT(nomFichierEAN13Valmag &amp; "!A:A"),0)</f>
        <v>#N/A</v>
      </c>
      <c r="P247" s="2">
        <f ca="1">MATCH(R247,INDIRECT(nomFichierEAN13Valmag &amp; "!A:A"),0)</f>
        <v>6914</v>
      </c>
      <c r="Q247" s="2">
        <f ca="1">MATCH(LEFT(B247,14) &amp; "*",INDIRECT(nomFichierBaseCatalogue &amp; "!B:B"),0)</f>
        <v>1171</v>
      </c>
      <c r="R247" s="17">
        <f ca="1">IFERROR(INDEX(INDIRECT(zoneFichierBaseCatalogue),Q247,1),"")</f>
        <v>8050846013520</v>
      </c>
      <c r="S247" s="2">
        <f ca="1">MATCH(B247,INDIRECT(nomFichierFiltreCatalogue &amp; "!B:B"),0)</f>
        <v>396</v>
      </c>
      <c r="T247" s="17"/>
    </row>
    <row r="248" spans="1:20" s="24" customFormat="1" ht="15.75" customHeight="1" x14ac:dyDescent="0.25">
      <c r="A248" s="30">
        <f ca="1">INDEX(INDIRECT(zoneFichierTraite),$J247+offsetInitialFichierTraite,2)</f>
        <v>8</v>
      </c>
      <c r="B248" s="29" t="str">
        <f ca="1">IFERROR(INDEX(INDIRECT(zoneFichierEAN13Valmag),$P247,3),"")</f>
        <v xml:space="preserve">MINICANVAS      </v>
      </c>
      <c r="C248" s="22" t="str">
        <f ca="1">IFERROR(INDEX(INDIRECT(zoneFichierEAN13Valmag),$O247,3),"")</f>
        <v/>
      </c>
      <c r="D248" s="23" t="str">
        <f ca="1">IFERROR(INDEX(INDIRECT(zoneFichierEAN13Valmag),$O247,4),"")</f>
        <v/>
      </c>
      <c r="E248" s="38" t="str">
        <f ca="1">IFERROR(INDEX(INDIRECT(zoneFichierFiltreCatalogue),S247,3),"")</f>
        <v>p089-2-05</v>
      </c>
      <c r="F248" s="23"/>
      <c r="G248" s="21"/>
      <c r="H248" s="39" t="str">
        <f ca="1">IFERROR(INDEX(INDIRECT(zoneFichierFiltreCatalogue),S247,6),"")</f>
        <v>fall 2019 presentation_/catalogo fall 19.txt</v>
      </c>
      <c r="R248" s="25"/>
      <c r="S248" s="25"/>
    </row>
    <row r="249" spans="1:20" ht="39" customHeight="1" thickBot="1" x14ac:dyDescent="0.65">
      <c r="A249" s="11" t="str">
        <f ca="1">INDEX(INDIRECT(zoneFichierTraite),$J249+offsetInitialFichierTraite,6)</f>
        <v>UNICA</v>
      </c>
      <c r="B249" s="7" t="str">
        <f ca="1">INDEX(INDIRECT(zoneFichierTraite),$J249+offsetInitialFichierTraite,4)</f>
        <v>OBAGS002-TESD5-615</v>
      </c>
      <c r="C249" s="31" t="str">
        <f ca="1">INDEX(INDIRECT(zoneFichierTraite),$J249+offsetInitialFichierTraite,5)</f>
        <v>POCHETTE INTERIEURE FERMETURE ECLAIR O BAG MINI EN MICROFIBRE COULEUR UNIE</v>
      </c>
      <c r="D249" s="32" t="str">
        <f ca="1">INDEX(INDIRECT(zoneFichierTraite),$J249+offsetInitialFichierTraite,13)</f>
        <v>military</v>
      </c>
      <c r="E249" s="35">
        <f ca="1">INDEX(INDIRECT(zoneFichierTraite),$J249+offsetInitialFichierTraite,7)</f>
        <v>2</v>
      </c>
      <c r="F249" s="33">
        <f ca="1">INDEX(INDIRECT(zoneFichierTraite),$J249+offsetInitialFichierTraite,8)</f>
        <v>10.8</v>
      </c>
      <c r="G249" s="34">
        <f t="shared" ref="G249" ca="1" si="244">ROUNDUP(F249*3,0)</f>
        <v>33</v>
      </c>
      <c r="H249" s="37" t="str">
        <f t="shared" ref="H249" ca="1" si="245">IF(ISNUMBER(N249),codeEAN13(INT(N249/10)),"")</f>
        <v>8APASOG*ajahji+</v>
      </c>
      <c r="J249" s="18">
        <f t="shared" si="199"/>
        <v>120</v>
      </c>
      <c r="L249" s="7" t="str">
        <f ca="1">INDEX(INDIRECT(zoneFichierTraite),$J249+offsetInitialFichierTraite,1)</f>
        <v>'120</v>
      </c>
      <c r="M249" s="14">
        <f ca="1">INDEX(INDIRECT(zoneFichierTraite),$J249+offsetInitialFichierTraite,9)</f>
        <v>21.6</v>
      </c>
      <c r="N249" s="17">
        <f ca="1">INDEX(INDIRECT(zoneFichierTraite),$J249+offsetInitialFichierTraite,3)</f>
        <v>8050846090798</v>
      </c>
      <c r="O249" s="2" t="e">
        <f ca="1">MATCH(N249,INDIRECT(nomFichierEAN13Valmag &amp; "!A:A"),0)</f>
        <v>#N/A</v>
      </c>
      <c r="P249" s="2">
        <f ca="1">MATCH(R249,INDIRECT(nomFichierEAN13Valmag &amp; "!A:A"),0)</f>
        <v>6914</v>
      </c>
      <c r="Q249" s="2">
        <f ca="1">MATCH(LEFT(B249,14) &amp; "*",INDIRECT(nomFichierBaseCatalogue &amp; "!B:B"),0)</f>
        <v>1171</v>
      </c>
      <c r="R249" s="17">
        <f ca="1">IFERROR(INDEX(INDIRECT(zoneFichierBaseCatalogue),Q249,1),"")</f>
        <v>8050846013520</v>
      </c>
      <c r="S249" s="2">
        <f ca="1">MATCH(B249,INDIRECT(nomFichierFiltreCatalogue &amp; "!B:B"),0)</f>
        <v>397</v>
      </c>
      <c r="T249" s="17"/>
    </row>
    <row r="250" spans="1:20" s="24" customFormat="1" ht="15.75" customHeight="1" x14ac:dyDescent="0.25">
      <c r="A250" s="30">
        <f ca="1">INDEX(INDIRECT(zoneFichierTraite),$J249+offsetInitialFichierTraite,2)</f>
        <v>144</v>
      </c>
      <c r="B250" s="29" t="str">
        <f ca="1">IFERROR(INDEX(INDIRECT(zoneFichierEAN13Valmag),$P249,3),"")</f>
        <v xml:space="preserve">MINICANVAS      </v>
      </c>
      <c r="C250" s="22" t="str">
        <f ca="1">IFERROR(INDEX(INDIRECT(zoneFichierEAN13Valmag),$O249,3),"")</f>
        <v/>
      </c>
      <c r="D250" s="23" t="str">
        <f ca="1">IFERROR(INDEX(INDIRECT(zoneFichierEAN13Valmag),$O249,4),"")</f>
        <v/>
      </c>
      <c r="E250" s="38" t="str">
        <f ca="1">IFERROR(INDEX(INDIRECT(zoneFichierFiltreCatalogue),S249,3),"")</f>
        <v>p089-2-06</v>
      </c>
      <c r="F250" s="23"/>
      <c r="G250" s="21"/>
      <c r="H250" s="39" t="str">
        <f ca="1">IFERROR(INDEX(INDIRECT(zoneFichierFiltreCatalogue),S249,6),"")</f>
        <v>fall 2019 presentation_/catalogo fall 19.txt</v>
      </c>
      <c r="R250" s="25"/>
      <c r="S250" s="25"/>
    </row>
    <row r="251" spans="1:20" ht="39" customHeight="1" thickBot="1" x14ac:dyDescent="0.65">
      <c r="A251" s="11" t="str">
        <f ca="1">INDEX(INDIRECT(zoneFichierTraite),$J251+offsetInitialFichierTraite,6)</f>
        <v>UNICA</v>
      </c>
      <c r="B251" s="7" t="str">
        <f ca="1">INDEX(INDIRECT(zoneFichierTraite),$J251+offsetInitialFichierTraite,4)</f>
        <v>OBAGS033-TESBG-227</v>
      </c>
      <c r="C251" s="31" t="str">
        <f ca="1">INDEX(INDIRECT(zoneFichierTraite),$J251+offsetInitialFichierTraite,5)</f>
        <v>POCHETTE INTERIEURE FERMETURE ECLAIR O BAG URBAN EN TISSU PRINCE DE GALLES+ FLEURS</v>
      </c>
      <c r="D251" s="32" t="str">
        <f ca="1">INDEX(INDIRECT(zoneFichierTraite),$J251+offsetInitialFichierTraite,13)</f>
        <v>CodeBarre</v>
      </c>
      <c r="E251" s="35">
        <f ca="1">INDEX(INDIRECT(zoneFichierTraite),$J251+offsetInitialFichierTraite,7)</f>
        <v>2</v>
      </c>
      <c r="F251" s="33">
        <f ca="1">INDEX(INDIRECT(zoneFichierTraite),$J251+offsetInitialFichierTraite,8)</f>
        <v>14.81</v>
      </c>
      <c r="G251" s="34">
        <f t="shared" ref="G251" ca="1" si="246">ROUNDUP(F251*3,0)</f>
        <v>45</v>
      </c>
      <c r="H251" s="37" t="str">
        <f t="shared" ref="H251" ca="1" si="247">IF(ISNUMBER(N251),codeEAN13(INT(N251/10)),"")</f>
        <v/>
      </c>
      <c r="J251" s="18">
        <f t="shared" si="199"/>
        <v>121</v>
      </c>
      <c r="L251" s="7" t="str">
        <f ca="1">INDEX(INDIRECT(zoneFichierTraite),$J251+offsetInitialFichierTraite,1)</f>
        <v>'121</v>
      </c>
      <c r="M251" s="14">
        <f ca="1">INDEX(INDIRECT(zoneFichierTraite),$J251+offsetInitialFichierTraite,9)</f>
        <v>29.62</v>
      </c>
      <c r="N251" s="17" t="str">
        <f ca="1">INDEX(INDIRECT(zoneFichierTraite),$J251+offsetInitialFichierTraite,3)</f>
        <v>CodeBarre</v>
      </c>
      <c r="O251" s="2" t="e">
        <f ca="1">MATCH(N251,INDIRECT(nomFichierEAN13Valmag &amp; "!A:A"),0)</f>
        <v>#N/A</v>
      </c>
      <c r="P251" s="2" t="e">
        <f ca="1">MATCH(R251,INDIRECT(nomFichierEAN13Valmag &amp; "!A:A"),0)</f>
        <v>#N/A</v>
      </c>
      <c r="Q251" s="2" t="e">
        <f ca="1">MATCH(LEFT(B251,14) &amp; "*",INDIRECT(nomFichierBaseCatalogue &amp; "!B:B"),0)</f>
        <v>#N/A</v>
      </c>
      <c r="R251" s="17" t="str">
        <f ca="1">IFERROR(INDEX(INDIRECT(zoneFichierBaseCatalogue),Q251,1),"")</f>
        <v/>
      </c>
      <c r="S251" s="2" t="e">
        <f ca="1">MATCH(B251,INDIRECT(nomFichierFiltreCatalogue &amp; "!B:B"),0)</f>
        <v>#N/A</v>
      </c>
      <c r="T251" s="17"/>
    </row>
    <row r="252" spans="1:20" s="24" customFormat="1" ht="15.75" customHeight="1" x14ac:dyDescent="0.25">
      <c r="A252" s="30">
        <f ca="1">INDEX(INDIRECT(zoneFichierTraite),$J251+offsetInitialFichierTraite,2)</f>
        <v>4</v>
      </c>
      <c r="B252" s="29" t="str">
        <f ca="1">IFERROR(INDEX(INDIRECT(zoneFichierEAN13Valmag),$P251,3),"")</f>
        <v/>
      </c>
      <c r="C252" s="22" t="str">
        <f ca="1">IFERROR(INDEX(INDIRECT(zoneFichierEAN13Valmag),$O251,3),"")</f>
        <v/>
      </c>
      <c r="D252" s="23" t="str">
        <f ca="1">IFERROR(INDEX(INDIRECT(zoneFichierEAN13Valmag),$O251,4),"")</f>
        <v/>
      </c>
      <c r="E252" s="38" t="str">
        <f ca="1">IFERROR(INDEX(INDIRECT(zoneFichierFiltreCatalogue),S251,3),"")</f>
        <v/>
      </c>
      <c r="F252" s="23"/>
      <c r="G252" s="21"/>
      <c r="H252" s="39" t="str">
        <f ca="1">IFERROR(INDEX(INDIRECT(zoneFichierFiltreCatalogue),S251,6),"")</f>
        <v/>
      </c>
      <c r="R252" s="25"/>
      <c r="S252" s="25"/>
    </row>
    <row r="253" spans="1:20" ht="39" customHeight="1" thickBot="1" x14ac:dyDescent="0.65">
      <c r="A253" s="11" t="str">
        <f ca="1">INDEX(INDIRECT(zoneFichierTraite),$J253+offsetInitialFichierTraite,6)</f>
        <v>UNICA</v>
      </c>
      <c r="B253" s="7" t="str">
        <f ca="1">INDEX(INDIRECT(zoneFichierTraite),$J253+offsetInitialFichierTraite,4)</f>
        <v>OBAGS033-TESBI-227</v>
      </c>
      <c r="C253" s="31" t="str">
        <f ca="1">INDEX(INDIRECT(zoneFichierTraite),$J253+offsetInitialFichierTraite,5)</f>
        <v>POCHETTE INTERIEURE FERMETURE ECLAIR O BAG URBAN EN TISSU MARBLE</v>
      </c>
      <c r="D253" s="32" t="str">
        <f ca="1">INDEX(INDIRECT(zoneFichierTraite),$J253+offsetInitialFichierTraite,13)</f>
        <v>bianco/nero</v>
      </c>
      <c r="E253" s="35">
        <f ca="1">INDEX(INDIRECT(zoneFichierTraite),$J253+offsetInitialFichierTraite,7)</f>
        <v>2</v>
      </c>
      <c r="F253" s="33">
        <f ca="1">INDEX(INDIRECT(zoneFichierTraite),$J253+offsetInitialFichierTraite,8)</f>
        <v>13.33</v>
      </c>
      <c r="G253" s="34">
        <f t="shared" ref="G253" ca="1" si="248">ROUNDUP(F253*3,0)</f>
        <v>40</v>
      </c>
      <c r="H253" s="37" t="str">
        <f t="shared" ref="H253" ca="1" si="249">IF(ISNUMBER(N253),codeEAN13(INT(N253/10)),"")</f>
        <v>8APASOG*ajbjdb+</v>
      </c>
      <c r="J253" s="18">
        <f t="shared" si="199"/>
        <v>122</v>
      </c>
      <c r="L253" s="7" t="str">
        <f ca="1">INDEX(INDIRECT(zoneFichierTraite),$J253+offsetInitialFichierTraite,1)</f>
        <v>'122</v>
      </c>
      <c r="M253" s="14">
        <f ca="1">INDEX(INDIRECT(zoneFichierTraite),$J253+offsetInitialFichierTraite,9)</f>
        <v>26.66</v>
      </c>
      <c r="N253" s="17">
        <f ca="1">INDEX(INDIRECT(zoneFichierTraite),$J253+offsetInitialFichierTraite,3)</f>
        <v>8050846091931</v>
      </c>
      <c r="O253" s="2" t="e">
        <f ca="1">MATCH(N253,INDIRECT(nomFichierEAN13Valmag &amp; "!A:A"),0)</f>
        <v>#N/A</v>
      </c>
      <c r="P253" s="2" t="e">
        <f ca="1">MATCH(R253,INDIRECT(nomFichierEAN13Valmag &amp; "!A:A"),0)</f>
        <v>#N/A</v>
      </c>
      <c r="Q253" s="2">
        <f ca="1">MATCH(LEFT(B253,14) &amp; "*",INDIRECT(nomFichierBaseCatalogue &amp; "!B:B"),0)</f>
        <v>1205</v>
      </c>
      <c r="R253" s="17">
        <f ca="1">IFERROR(INDEX(INDIRECT(zoneFichierBaseCatalogue),Q253,1),"")</f>
        <v>8050846091931</v>
      </c>
      <c r="S253" s="2">
        <f ca="1">MATCH(B253,INDIRECT(nomFichierFiltreCatalogue &amp; "!B:B"),0)</f>
        <v>420</v>
      </c>
      <c r="T253" s="17"/>
    </row>
    <row r="254" spans="1:20" s="24" customFormat="1" ht="15.75" customHeight="1" x14ac:dyDescent="0.25">
      <c r="A254" s="30">
        <f ca="1">INDEX(INDIRECT(zoneFichierTraite),$J253+offsetInitialFichierTraite,2)</f>
        <v>170</v>
      </c>
      <c r="B254" s="29" t="str">
        <f ca="1">IFERROR(INDEX(INDIRECT(zoneFichierEAN13Valmag),$P253,3),"")</f>
        <v/>
      </c>
      <c r="C254" s="22" t="str">
        <f ca="1">IFERROR(INDEX(INDIRECT(zoneFichierEAN13Valmag),$O253,3),"")</f>
        <v/>
      </c>
      <c r="D254" s="23" t="str">
        <f ca="1">IFERROR(INDEX(INDIRECT(zoneFichierEAN13Valmag),$O253,4),"")</f>
        <v/>
      </c>
      <c r="E254" s="38" t="str">
        <f ca="1">IFERROR(INDEX(INDIRECT(zoneFichierFiltreCatalogue),S253,3),"")</f>
        <v>p096-1-01</v>
      </c>
      <c r="F254" s="23"/>
      <c r="G254" s="21"/>
      <c r="H254" s="39" t="str">
        <f ca="1">IFERROR(INDEX(INDIRECT(zoneFichierFiltreCatalogue),S253,6),"")</f>
        <v>fall 2019 presentation_/catalogo fall 19.txt</v>
      </c>
      <c r="R254" s="25"/>
      <c r="S254" s="25"/>
    </row>
    <row r="255" spans="1:20" ht="39" customHeight="1" thickBot="1" x14ac:dyDescent="0.65">
      <c r="A255" s="11" t="str">
        <f ca="1">INDEX(INDIRECT(zoneFichierTraite),$J255+offsetInitialFichierTraite,6)</f>
        <v>UNICA</v>
      </c>
      <c r="B255" s="7" t="str">
        <f ca="1">INDEX(INDIRECT(zoneFichierTraite),$J255+offsetInitialFichierTraite,4)</f>
        <v>OBAGS033-TESBK-055</v>
      </c>
      <c r="C255" s="31" t="str">
        <f ca="1">INDEX(INDIRECT(zoneFichierTraite),$J255+offsetInitialFichierTraite,5)</f>
        <v>POCHETTE INTERIEURE FERMETURE ECLAIR O BAG URBAN EN TISSU DOUDOUNE Ã€ CHEVRONS</v>
      </c>
      <c r="D255" s="32" t="str">
        <f ca="1">INDEX(INDIRECT(zoneFichierTraite),$J255+offsetInitialFichierTraite,13)</f>
        <v>nero</v>
      </c>
      <c r="E255" s="35">
        <f ca="1">INDEX(INDIRECT(zoneFichierTraite),$J255+offsetInitialFichierTraite,7)</f>
        <v>2</v>
      </c>
      <c r="F255" s="33">
        <f ca="1">INDEX(INDIRECT(zoneFichierTraite),$J255+offsetInitialFichierTraite,8)</f>
        <v>12.59</v>
      </c>
      <c r="G255" s="34">
        <f t="shared" ref="G255" ca="1" si="250">ROUNDUP(F255*3,0)</f>
        <v>38</v>
      </c>
      <c r="H255" s="37" t="str">
        <f t="shared" ref="H255" ca="1" si="251">IF(ISNUMBER(N255),codeEAN13(INT(N255/10)),"")</f>
        <v>8APASOG*ajbiab+</v>
      </c>
      <c r="J255" s="18">
        <f t="shared" si="199"/>
        <v>123</v>
      </c>
      <c r="L255" s="7" t="str">
        <f ca="1">INDEX(INDIRECT(zoneFichierTraite),$J255+offsetInitialFichierTraite,1)</f>
        <v>'123</v>
      </c>
      <c r="M255" s="14">
        <f ca="1">INDEX(INDIRECT(zoneFichierTraite),$J255+offsetInitialFichierTraite,9)</f>
        <v>25.18</v>
      </c>
      <c r="N255" s="17">
        <f ca="1">INDEX(INDIRECT(zoneFichierTraite),$J255+offsetInitialFichierTraite,3)</f>
        <v>8050846091801</v>
      </c>
      <c r="O255" s="2" t="e">
        <f ca="1">MATCH(N255,INDIRECT(nomFichierEAN13Valmag &amp; "!A:A"),0)</f>
        <v>#N/A</v>
      </c>
      <c r="P255" s="2" t="e">
        <f ca="1">MATCH(R255,INDIRECT(nomFichierEAN13Valmag &amp; "!A:A"),0)</f>
        <v>#N/A</v>
      </c>
      <c r="Q255" s="2">
        <f ca="1">MATCH(LEFT(B255,14) &amp; "*",INDIRECT(nomFichierBaseCatalogue &amp; "!B:B"),0)</f>
        <v>1206</v>
      </c>
      <c r="R255" s="17">
        <f ca="1">IFERROR(INDEX(INDIRECT(zoneFichierBaseCatalogue),Q255,1),"")</f>
        <v>8050846091801</v>
      </c>
      <c r="S255" s="2">
        <f ca="1">MATCH(B255,INDIRECT(nomFichierFiltreCatalogue &amp; "!B:B"),0)</f>
        <v>421</v>
      </c>
      <c r="T255" s="17"/>
    </row>
    <row r="256" spans="1:20" s="24" customFormat="1" ht="15.75" customHeight="1" x14ac:dyDescent="0.25">
      <c r="A256" s="30">
        <f ca="1">INDEX(INDIRECT(zoneFichierTraite),$J255+offsetInitialFichierTraite,2)</f>
        <v>52</v>
      </c>
      <c r="B256" s="29" t="str">
        <f ca="1">IFERROR(INDEX(INDIRECT(zoneFichierEAN13Valmag),$P255,3),"")</f>
        <v/>
      </c>
      <c r="C256" s="22" t="str">
        <f ca="1">IFERROR(INDEX(INDIRECT(zoneFichierEAN13Valmag),$O255,3),"")</f>
        <v/>
      </c>
      <c r="D256" s="23" t="str">
        <f ca="1">IFERROR(INDEX(INDIRECT(zoneFichierEAN13Valmag),$O255,4),"")</f>
        <v/>
      </c>
      <c r="E256" s="38" t="str">
        <f ca="1">IFERROR(INDEX(INDIRECT(zoneFichierFiltreCatalogue),S255,3),"")</f>
        <v>p096-2-01</v>
      </c>
      <c r="F256" s="23"/>
      <c r="G256" s="21"/>
      <c r="H256" s="39" t="str">
        <f ca="1">IFERROR(INDEX(INDIRECT(zoneFichierFiltreCatalogue),S255,6),"")</f>
        <v>fall 2019 presentation_/catalogo fall 19.txt</v>
      </c>
      <c r="R256" s="25"/>
      <c r="S256" s="25"/>
    </row>
    <row r="257" spans="1:20" ht="39" customHeight="1" thickBot="1" x14ac:dyDescent="0.65">
      <c r="A257" s="11" t="str">
        <f ca="1">INDEX(INDIRECT(zoneFichierTraite),$J257+offsetInitialFichierTraite,6)</f>
        <v>UNICA</v>
      </c>
      <c r="B257" s="7" t="str">
        <f ca="1">INDEX(INDIRECT(zoneFichierTraite),$J257+offsetInitialFichierTraite,4)</f>
        <v>OBAGS033-TESBK-137</v>
      </c>
      <c r="C257" s="31" t="str">
        <f ca="1">INDEX(INDIRECT(zoneFichierTraite),$J257+offsetInitialFichierTraite,5)</f>
        <v>POCHETTE INTERIEURE FERMETURE ECLAIR O BAG URBAN EN TISSU DOUDOUNE Ã€ CHEVRONS</v>
      </c>
      <c r="D257" s="32" t="str">
        <f ca="1">INDEX(INDIRECT(zoneFichierTraite),$J257+offsetInitialFichierTraite,13)</f>
        <v>bluette</v>
      </c>
      <c r="E257" s="35">
        <f ca="1">INDEX(INDIRECT(zoneFichierTraite),$J257+offsetInitialFichierTraite,7)</f>
        <v>2</v>
      </c>
      <c r="F257" s="33">
        <f ca="1">INDEX(INDIRECT(zoneFichierTraite),$J257+offsetInitialFichierTraite,8)</f>
        <v>12.59</v>
      </c>
      <c r="G257" s="34">
        <f t="shared" ref="G257" ca="1" si="252">ROUNDUP(F257*3,0)</f>
        <v>38</v>
      </c>
      <c r="H257" s="37" t="str">
        <f t="shared" ref="H257" ca="1" si="253">IF(ISNUMBER(N257),codeEAN13(INT(N257/10)),"")</f>
        <v>8APASOG*ajbhjf+</v>
      </c>
      <c r="J257" s="18">
        <f t="shared" si="199"/>
        <v>124</v>
      </c>
      <c r="L257" s="7" t="str">
        <f ca="1">INDEX(INDIRECT(zoneFichierTraite),$J257+offsetInitialFichierTraite,1)</f>
        <v>'124</v>
      </c>
      <c r="M257" s="14">
        <f ca="1">INDEX(INDIRECT(zoneFichierTraite),$J257+offsetInitialFichierTraite,9)</f>
        <v>25.18</v>
      </c>
      <c r="N257" s="17">
        <f ca="1">INDEX(INDIRECT(zoneFichierTraite),$J257+offsetInitialFichierTraite,3)</f>
        <v>8050846091795</v>
      </c>
      <c r="O257" s="2" t="e">
        <f ca="1">MATCH(N257,INDIRECT(nomFichierEAN13Valmag &amp; "!A:A"),0)</f>
        <v>#N/A</v>
      </c>
      <c r="P257" s="2" t="e">
        <f ca="1">MATCH(R257,INDIRECT(nomFichierEAN13Valmag &amp; "!A:A"),0)</f>
        <v>#N/A</v>
      </c>
      <c r="Q257" s="2">
        <f ca="1">MATCH(LEFT(B257,14) &amp; "*",INDIRECT(nomFichierBaseCatalogue &amp; "!B:B"),0)</f>
        <v>1206</v>
      </c>
      <c r="R257" s="17">
        <f ca="1">IFERROR(INDEX(INDIRECT(zoneFichierBaseCatalogue),Q257,1),"")</f>
        <v>8050846091801</v>
      </c>
      <c r="S257" s="2">
        <f ca="1">MATCH(B257,INDIRECT(nomFichierFiltreCatalogue &amp; "!B:B"),0)</f>
        <v>422</v>
      </c>
      <c r="T257" s="17"/>
    </row>
    <row r="258" spans="1:20" s="24" customFormat="1" ht="15.75" customHeight="1" x14ac:dyDescent="0.25">
      <c r="A258" s="30">
        <f ca="1">INDEX(INDIRECT(zoneFichierTraite),$J257+offsetInitialFichierTraite,2)</f>
        <v>171</v>
      </c>
      <c r="B258" s="29" t="str">
        <f ca="1">IFERROR(INDEX(INDIRECT(zoneFichierEAN13Valmag),$P257,3),"")</f>
        <v/>
      </c>
      <c r="C258" s="22" t="str">
        <f ca="1">IFERROR(INDEX(INDIRECT(zoneFichierEAN13Valmag),$O257,3),"")</f>
        <v/>
      </c>
      <c r="D258" s="23" t="str">
        <f ca="1">IFERROR(INDEX(INDIRECT(zoneFichierEAN13Valmag),$O257,4),"")</f>
        <v/>
      </c>
      <c r="E258" s="38" t="str">
        <f ca="1">IFERROR(INDEX(INDIRECT(zoneFichierFiltreCatalogue),S257,3),"")</f>
        <v>p096-2-02</v>
      </c>
      <c r="F258" s="23"/>
      <c r="G258" s="21"/>
      <c r="H258" s="39" t="str">
        <f ca="1">IFERROR(INDEX(INDIRECT(zoneFichierFiltreCatalogue),S257,6),"")</f>
        <v>fall 2019 presentation_/catalogo fall 19.txt</v>
      </c>
      <c r="R258" s="25"/>
      <c r="S258" s="25"/>
    </row>
    <row r="259" spans="1:20" ht="39" customHeight="1" thickBot="1" x14ac:dyDescent="0.65">
      <c r="A259" s="11" t="str">
        <f ca="1">INDEX(INDIRECT(zoneFichierTraite),$J259+offsetInitialFichierTraite,6)</f>
        <v>UNICA</v>
      </c>
      <c r="B259" s="7" t="str">
        <f ca="1">INDEX(INDIRECT(zoneFichierTraite),$J259+offsetInitialFichierTraite,4)</f>
        <v>OBAGS033-TESBN-615</v>
      </c>
      <c r="C259" s="31" t="str">
        <f ca="1">INDEX(INDIRECT(zoneFichierTraite),$J259+offsetInitialFichierTraite,5)</f>
        <v>POCHETTE INTERIEURE FERMETURE ECLAIR O BAG URBAN EN TISSU IMPRIME CHECK</v>
      </c>
      <c r="D259" s="32" t="str">
        <f ca="1">INDEX(INDIRECT(zoneFichierTraite),$J259+offsetInitialFichierTraite,13)</f>
        <v>military</v>
      </c>
      <c r="E259" s="35">
        <f ca="1">INDEX(INDIRECT(zoneFichierTraite),$J259+offsetInitialFichierTraite,7)</f>
        <v>2</v>
      </c>
      <c r="F259" s="33">
        <f ca="1">INDEX(INDIRECT(zoneFichierTraite),$J259+offsetInitialFichierTraite,8)</f>
        <v>14.81</v>
      </c>
      <c r="G259" s="34">
        <f t="shared" ref="G259" ca="1" si="254">ROUNDUP(F259*3,0)</f>
        <v>45</v>
      </c>
      <c r="H259" s="37" t="str">
        <f t="shared" ref="H259" ca="1" si="255">IF(ISNUMBER(N259),codeEAN13(INT(N259/10)),"")</f>
        <v>8APASOG*ajbjei+</v>
      </c>
      <c r="J259" s="18">
        <f t="shared" si="199"/>
        <v>125</v>
      </c>
      <c r="L259" s="7" t="str">
        <f ca="1">INDEX(INDIRECT(zoneFichierTraite),$J259+offsetInitialFichierTraite,1)</f>
        <v>'125</v>
      </c>
      <c r="M259" s="14">
        <f ca="1">INDEX(INDIRECT(zoneFichierTraite),$J259+offsetInitialFichierTraite,9)</f>
        <v>29.62</v>
      </c>
      <c r="N259" s="17">
        <f ca="1">INDEX(INDIRECT(zoneFichierTraite),$J259+offsetInitialFichierTraite,3)</f>
        <v>8050846091948</v>
      </c>
      <c r="O259" s="2" t="e">
        <f ca="1">MATCH(N259,INDIRECT(nomFichierEAN13Valmag &amp; "!A:A"),0)</f>
        <v>#N/A</v>
      </c>
      <c r="P259" s="2" t="e">
        <f ca="1">MATCH(R259,INDIRECT(nomFichierEAN13Valmag &amp; "!A:A"),0)</f>
        <v>#N/A</v>
      </c>
      <c r="Q259" s="2">
        <f ca="1">MATCH(LEFT(B259,14) &amp; "*",INDIRECT(nomFichierBaseCatalogue &amp; "!B:B"),0)</f>
        <v>1208</v>
      </c>
      <c r="R259" s="17">
        <f ca="1">IFERROR(INDEX(INDIRECT(zoneFichierBaseCatalogue),Q259,1),"")</f>
        <v>8050846091948</v>
      </c>
      <c r="S259" s="2">
        <f ca="1">MATCH(B259,INDIRECT(nomFichierFiltreCatalogue &amp; "!B:B"),0)</f>
        <v>423</v>
      </c>
      <c r="T259" s="17"/>
    </row>
    <row r="260" spans="1:20" s="24" customFormat="1" ht="15.75" customHeight="1" x14ac:dyDescent="0.25">
      <c r="A260" s="30">
        <f ca="1">INDEX(INDIRECT(zoneFichierTraite),$J259+offsetInitialFichierTraite,2)</f>
        <v>27</v>
      </c>
      <c r="B260" s="29" t="str">
        <f ca="1">IFERROR(INDEX(INDIRECT(zoneFichierEAN13Valmag),$P259,3),"")</f>
        <v/>
      </c>
      <c r="C260" s="22" t="str">
        <f ca="1">IFERROR(INDEX(INDIRECT(zoneFichierEAN13Valmag),$O259,3),"")</f>
        <v/>
      </c>
      <c r="D260" s="23" t="str">
        <f ca="1">IFERROR(INDEX(INDIRECT(zoneFichierEAN13Valmag),$O259,4),"")</f>
        <v/>
      </c>
      <c r="E260" s="38" t="str">
        <f ca="1">IFERROR(INDEX(INDIRECT(zoneFichierFiltreCatalogue),S259,3),"")</f>
        <v>p097-1-01</v>
      </c>
      <c r="F260" s="23"/>
      <c r="G260" s="21"/>
      <c r="H260" s="39" t="str">
        <f ca="1">IFERROR(INDEX(INDIRECT(zoneFichierFiltreCatalogue),S259,6),"")</f>
        <v>fall 2019 presentation_/catalogo fall 19.txt</v>
      </c>
      <c r="R260" s="25"/>
      <c r="S260" s="25"/>
    </row>
    <row r="261" spans="1:20" ht="39" customHeight="1" thickBot="1" x14ac:dyDescent="0.65">
      <c r="A261" s="11" t="str">
        <f ca="1">INDEX(INDIRECT(zoneFichierTraite),$J261+offsetInitialFichierTraite,6)</f>
        <v>UNICA</v>
      </c>
      <c r="B261" s="7" t="str">
        <f ca="1">INDEX(INDIRECT(zoneFichierTraite),$J261+offsetInitialFichierTraite,4)</f>
        <v>OBAGS033-TESD5-055</v>
      </c>
      <c r="C261" s="31" t="str">
        <f ca="1">INDEX(INDIRECT(zoneFichierTraite),$J261+offsetInitialFichierTraite,5)</f>
        <v>POCHETTE INTERIEURE FERMETURE ECLAIR O BAG URBAN EN MICROFIBRE COULEUR UNIE</v>
      </c>
      <c r="D261" s="32" t="str">
        <f ca="1">INDEX(INDIRECT(zoneFichierTraite),$J261+offsetInitialFichierTraite,13)</f>
        <v>nero</v>
      </c>
      <c r="E261" s="35">
        <f ca="1">INDEX(INDIRECT(zoneFichierTraite),$J261+offsetInitialFichierTraite,7)</f>
        <v>3</v>
      </c>
      <c r="F261" s="33">
        <f ca="1">INDEX(INDIRECT(zoneFichierTraite),$J261+offsetInitialFichierTraite,8)</f>
        <v>11.85</v>
      </c>
      <c r="G261" s="34">
        <f t="shared" ref="G261" ca="1" si="256">ROUNDUP(F261*3,0)</f>
        <v>36</v>
      </c>
      <c r="H261" s="37" t="str">
        <f t="shared" ref="H261" ca="1" si="257">IF(ISNUMBER(N261),codeEAN13(INT(N261/10)),"")</f>
        <v>8APASOG*aejjej+</v>
      </c>
      <c r="J261" s="18">
        <f t="shared" si="199"/>
        <v>126</v>
      </c>
      <c r="L261" s="7" t="str">
        <f ca="1">INDEX(INDIRECT(zoneFichierTraite),$J261+offsetInitialFichierTraite,1)</f>
        <v>'126</v>
      </c>
      <c r="M261" s="14">
        <f ca="1">INDEX(INDIRECT(zoneFichierTraite),$J261+offsetInitialFichierTraite,9)</f>
        <v>35.549999999999997</v>
      </c>
      <c r="N261" s="17">
        <f ca="1">INDEX(INDIRECT(zoneFichierTraite),$J261+offsetInitialFichierTraite,3)</f>
        <v>8050846049949</v>
      </c>
      <c r="O261" s="2" t="e">
        <f ca="1">MATCH(N261,INDIRECT(nomFichierEAN13Valmag &amp; "!A:A"),0)</f>
        <v>#N/A</v>
      </c>
      <c r="P261" s="2" t="e">
        <f ca="1">MATCH(R261,INDIRECT(nomFichierEAN13Valmag &amp; "!A:A"),0)</f>
        <v>#N/A</v>
      </c>
      <c r="Q261" s="2">
        <f ca="1">MATCH(LEFT(B261,14) &amp; "*",INDIRECT(nomFichierBaseCatalogue &amp; "!B:B"),0)</f>
        <v>1209</v>
      </c>
      <c r="R261" s="17">
        <f ca="1">IFERROR(INDEX(INDIRECT(zoneFichierBaseCatalogue),Q261,1),"")</f>
        <v>8050846044944</v>
      </c>
      <c r="S261" s="2">
        <f ca="1">MATCH(B261,INDIRECT(nomFichierFiltreCatalogue &amp; "!B:B"),0)</f>
        <v>416</v>
      </c>
      <c r="T261" s="17"/>
    </row>
    <row r="262" spans="1:20" s="24" customFormat="1" ht="15.75" customHeight="1" x14ac:dyDescent="0.25">
      <c r="A262" s="30">
        <f ca="1">INDEX(INDIRECT(zoneFichierTraite),$J261+offsetInitialFichierTraite,2)</f>
        <v>44</v>
      </c>
      <c r="B262" s="29" t="str">
        <f ca="1">IFERROR(INDEX(INDIRECT(zoneFichierEAN13Valmag),$P261,3),"")</f>
        <v/>
      </c>
      <c r="C262" s="22" t="str">
        <f ca="1">IFERROR(INDEX(INDIRECT(zoneFichierEAN13Valmag),$O261,3),"")</f>
        <v/>
      </c>
      <c r="D262" s="23" t="str">
        <f ca="1">IFERROR(INDEX(INDIRECT(zoneFichierEAN13Valmag),$O261,4),"")</f>
        <v/>
      </c>
      <c r="E262" s="38" t="str">
        <f ca="1">IFERROR(INDEX(INDIRECT(zoneFichierFiltreCatalogue),S261,3),"")</f>
        <v>p095-2-03</v>
      </c>
      <c r="F262" s="23"/>
      <c r="G262" s="21"/>
      <c r="H262" s="39" t="str">
        <f ca="1">IFERROR(INDEX(INDIRECT(zoneFichierFiltreCatalogue),S261,6),"")</f>
        <v>fall 2019 presentation_/catalogo fall 19.txt</v>
      </c>
      <c r="R262" s="25"/>
      <c r="S262" s="25"/>
    </row>
    <row r="263" spans="1:20" ht="39" customHeight="1" thickBot="1" x14ac:dyDescent="0.65">
      <c r="A263" s="11" t="str">
        <f ca="1">INDEX(INDIRECT(zoneFichierTraite),$J263+offsetInitialFichierTraite,6)</f>
        <v>UNICA</v>
      </c>
      <c r="B263" s="7" t="str">
        <f ca="1">INDEX(INDIRECT(zoneFichierTraite),$J263+offsetInitialFichierTraite,4)</f>
        <v>OBAGS033-TESD5-078</v>
      </c>
      <c r="C263" s="31" t="str">
        <f ca="1">INDEX(INDIRECT(zoneFichierTraite),$J263+offsetInitialFichierTraite,5)</f>
        <v>POCHETTE INTERIEURE FERMETURE ECLAIR O BAG URBAN EN MICROFIBRE COULEUR UNIE</v>
      </c>
      <c r="D263" s="32" t="str">
        <f ca="1">INDEX(INDIRECT(zoneFichierTraite),$J263+offsetInitialFichierTraite,13)</f>
        <v>sabbia</v>
      </c>
      <c r="E263" s="35">
        <f ca="1">INDEX(INDIRECT(zoneFichierTraite),$J263+offsetInitialFichierTraite,7)</f>
        <v>1</v>
      </c>
      <c r="F263" s="33">
        <f ca="1">INDEX(INDIRECT(zoneFichierTraite),$J263+offsetInitialFichierTraite,8)</f>
        <v>11.85</v>
      </c>
      <c r="G263" s="34">
        <f t="shared" ref="G263" ca="1" si="258">ROUNDUP(F263*3,0)</f>
        <v>36</v>
      </c>
      <c r="H263" s="37" t="str">
        <f t="shared" ref="H263" ca="1" si="259">IF(ISNUMBER(N263),codeEAN13(INT(N263/10)),"")</f>
        <v>8APASOG*ajbiih+</v>
      </c>
      <c r="J263" s="18">
        <f t="shared" si="199"/>
        <v>127</v>
      </c>
      <c r="L263" s="7" t="str">
        <f ca="1">INDEX(INDIRECT(zoneFichierTraite),$J263+offsetInitialFichierTraite,1)</f>
        <v>'127</v>
      </c>
      <c r="M263" s="14">
        <f ca="1">INDEX(INDIRECT(zoneFichierTraite),$J263+offsetInitialFichierTraite,9)</f>
        <v>11.85</v>
      </c>
      <c r="N263" s="17">
        <f ca="1">INDEX(INDIRECT(zoneFichierTraite),$J263+offsetInitialFichierTraite,3)</f>
        <v>8050846091887</v>
      </c>
      <c r="O263" s="2" t="e">
        <f ca="1">MATCH(N263,INDIRECT(nomFichierEAN13Valmag &amp; "!A:A"),0)</f>
        <v>#N/A</v>
      </c>
      <c r="P263" s="2" t="e">
        <f ca="1">MATCH(R263,INDIRECT(nomFichierEAN13Valmag &amp; "!A:A"),0)</f>
        <v>#N/A</v>
      </c>
      <c r="Q263" s="2">
        <f ca="1">MATCH(LEFT(B263,14) &amp; "*",INDIRECT(nomFichierBaseCatalogue &amp; "!B:B"),0)</f>
        <v>1209</v>
      </c>
      <c r="R263" s="17">
        <f ca="1">IFERROR(INDEX(INDIRECT(zoneFichierBaseCatalogue),Q263,1),"")</f>
        <v>8050846044944</v>
      </c>
      <c r="S263" s="2">
        <f ca="1">MATCH(B263,INDIRECT(nomFichierFiltreCatalogue &amp; "!B:B"),0)</f>
        <v>415</v>
      </c>
      <c r="T263" s="17"/>
    </row>
    <row r="264" spans="1:20" s="24" customFormat="1" ht="15.75" customHeight="1" x14ac:dyDescent="0.25">
      <c r="A264" s="30">
        <f ca="1">INDEX(INDIRECT(zoneFichierTraite),$J263+offsetInitialFichierTraite,2)</f>
        <v>113</v>
      </c>
      <c r="B264" s="29" t="str">
        <f ca="1">IFERROR(INDEX(INDIRECT(zoneFichierEAN13Valmag),$P263,3),"")</f>
        <v/>
      </c>
      <c r="C264" s="22" t="str">
        <f ca="1">IFERROR(INDEX(INDIRECT(zoneFichierEAN13Valmag),$O263,3),"")</f>
        <v/>
      </c>
      <c r="D264" s="23" t="str">
        <f ca="1">IFERROR(INDEX(INDIRECT(zoneFichierEAN13Valmag),$O263,4),"")</f>
        <v/>
      </c>
      <c r="E264" s="38" t="str">
        <f ca="1">IFERROR(INDEX(INDIRECT(zoneFichierFiltreCatalogue),S263,3),"")</f>
        <v>p095-2-02</v>
      </c>
      <c r="F264" s="23"/>
      <c r="G264" s="21"/>
      <c r="H264" s="39" t="str">
        <f ca="1">IFERROR(INDEX(INDIRECT(zoneFichierFiltreCatalogue),S263,6),"")</f>
        <v>fall 2019 presentation_/catalogo fall 19.txt</v>
      </c>
      <c r="R264" s="25"/>
      <c r="S264" s="25"/>
    </row>
    <row r="265" spans="1:20" ht="39" customHeight="1" thickBot="1" x14ac:dyDescent="0.65">
      <c r="A265" s="11" t="str">
        <f ca="1">INDEX(INDIRECT(zoneFichierTraite),$J265+offsetInitialFichierTraite,6)</f>
        <v>UNICA</v>
      </c>
      <c r="B265" s="7" t="str">
        <f ca="1">INDEX(INDIRECT(zoneFichierTraite),$J265+offsetInitialFichierTraite,4)</f>
        <v>OBAGS033-TESD5-615</v>
      </c>
      <c r="C265" s="31" t="str">
        <f ca="1">INDEX(INDIRECT(zoneFichierTraite),$J265+offsetInitialFichierTraite,5)</f>
        <v>POCHETTE INTERIEURE FERMETURE ECLAIR O BAG URBAN EN MICROFIBRE COULEUR UNIE</v>
      </c>
      <c r="D265" s="32" t="str">
        <f ca="1">INDEX(INDIRECT(zoneFichierTraite),$J265+offsetInitialFichierTraite,13)</f>
        <v>military</v>
      </c>
      <c r="E265" s="35">
        <f ca="1">INDEX(INDIRECT(zoneFichierTraite),$J265+offsetInitialFichierTraite,7)</f>
        <v>3</v>
      </c>
      <c r="F265" s="33">
        <f ca="1">INDEX(INDIRECT(zoneFichierTraite),$J265+offsetInitialFichierTraite,8)</f>
        <v>11.85</v>
      </c>
      <c r="G265" s="34">
        <f t="shared" ref="G265" ca="1" si="260">ROUNDUP(F265*3,0)</f>
        <v>36</v>
      </c>
      <c r="H265" s="37" t="str">
        <f t="shared" ref="H265" ca="1" si="261">IF(ISNUMBER(N265),codeEAN13(INT(N265/10)),"")</f>
        <v>8APASOG*ajbigd+</v>
      </c>
      <c r="J265" s="18">
        <f t="shared" si="199"/>
        <v>128</v>
      </c>
      <c r="L265" s="7" t="str">
        <f ca="1">INDEX(INDIRECT(zoneFichierTraite),$J265+offsetInitialFichierTraite,1)</f>
        <v>'128</v>
      </c>
      <c r="M265" s="14">
        <f ca="1">INDEX(INDIRECT(zoneFichierTraite),$J265+offsetInitialFichierTraite,9)</f>
        <v>35.549999999999997</v>
      </c>
      <c r="N265" s="17">
        <f ca="1">INDEX(INDIRECT(zoneFichierTraite),$J265+offsetInitialFichierTraite,3)</f>
        <v>8050846091863</v>
      </c>
      <c r="O265" s="2" t="e">
        <f ca="1">MATCH(N265,INDIRECT(nomFichierEAN13Valmag &amp; "!A:A"),0)</f>
        <v>#N/A</v>
      </c>
      <c r="P265" s="2" t="e">
        <f ca="1">MATCH(R265,INDIRECT(nomFichierEAN13Valmag &amp; "!A:A"),0)</f>
        <v>#N/A</v>
      </c>
      <c r="Q265" s="2">
        <f ca="1">MATCH(LEFT(B265,14) &amp; "*",INDIRECT(nomFichierBaseCatalogue &amp; "!B:B"),0)</f>
        <v>1209</v>
      </c>
      <c r="R265" s="17">
        <f ca="1">IFERROR(INDEX(INDIRECT(zoneFichierBaseCatalogue),Q265,1),"")</f>
        <v>8050846044944</v>
      </c>
      <c r="S265" s="2">
        <f ca="1">MATCH(B265,INDIRECT(nomFichierFiltreCatalogue &amp; "!B:B"),0)</f>
        <v>419</v>
      </c>
      <c r="T265" s="17"/>
    </row>
    <row r="266" spans="1:20" s="24" customFormat="1" ht="15.75" customHeight="1" x14ac:dyDescent="0.25">
      <c r="A266" s="30">
        <f ca="1">INDEX(INDIRECT(zoneFichierTraite),$J265+offsetInitialFichierTraite,2)</f>
        <v>185</v>
      </c>
      <c r="B266" s="29" t="str">
        <f ca="1">IFERROR(INDEX(INDIRECT(zoneFichierEAN13Valmag),$P265,3),"")</f>
        <v/>
      </c>
      <c r="C266" s="22" t="str">
        <f ca="1">IFERROR(INDEX(INDIRECT(zoneFichierEAN13Valmag),$O265,3),"")</f>
        <v/>
      </c>
      <c r="D266" s="23" t="str">
        <f ca="1">IFERROR(INDEX(INDIRECT(zoneFichierEAN13Valmag),$O265,4),"")</f>
        <v/>
      </c>
      <c r="E266" s="38" t="str">
        <f ca="1">IFERROR(INDEX(INDIRECT(zoneFichierFiltreCatalogue),S265,3),"")</f>
        <v>p095-2-06</v>
      </c>
      <c r="F266" s="23"/>
      <c r="G266" s="21"/>
      <c r="H266" s="39" t="str">
        <f ca="1">IFERROR(INDEX(INDIRECT(zoneFichierFiltreCatalogue),S265,6),"")</f>
        <v>fall 2019 presentation_/catalogo fall 19.txt</v>
      </c>
      <c r="R266" s="25"/>
      <c r="S266" s="25"/>
    </row>
    <row r="267" spans="1:20" ht="39" customHeight="1" thickBot="1" x14ac:dyDescent="0.65">
      <c r="A267" s="11" t="str">
        <f ca="1">INDEX(INDIRECT(zoneFichierTraite),$J267+offsetInitialFichierTraite,6)</f>
        <v>UNICA</v>
      </c>
      <c r="B267" s="7" t="str">
        <f ca="1">INDEX(INDIRECT(zoneFichierTraite),$J267+offsetInitialFichierTraite,4)</f>
        <v>OBAGS034-TESD5-009</v>
      </c>
      <c r="C267" s="31" t="str">
        <f ca="1">INDEX(INDIRECT(zoneFichierTraite),$J267+offsetInitialFichierTraite,5)</f>
        <v>POCHETTE INTERIEURE FERMETURE ECLAIR O BAG GLAM EN MICROFIBRE COULEUR UNIE</v>
      </c>
      <c r="D267" s="32" t="str">
        <f ca="1">INDEX(INDIRECT(zoneFichierTraite),$J267+offsetInitialFichierTraite,13)</f>
        <v>blu</v>
      </c>
      <c r="E267" s="35">
        <f ca="1">INDEX(INDIRECT(zoneFichierTraite),$J267+offsetInitialFichierTraite,7)</f>
        <v>2</v>
      </c>
      <c r="F267" s="33">
        <f ca="1">INDEX(INDIRECT(zoneFichierTraite),$J267+offsetInitialFichierTraite,8)</f>
        <v>10.74</v>
      </c>
      <c r="G267" s="34">
        <f t="shared" ref="G267" ca="1" si="262">ROUNDUP(F267*3,0)</f>
        <v>33</v>
      </c>
      <c r="H267" s="37" t="str">
        <f t="shared" ref="H267" ca="1" si="263">IF(ISNUMBER(N267),codeEAN13(INT(N267/10)),"")</f>
        <v>8APASOG*aedgfh+</v>
      </c>
      <c r="J267" s="18">
        <f t="shared" ref="J267:J329" si="264">J265+1</f>
        <v>129</v>
      </c>
      <c r="L267" s="7" t="str">
        <f ca="1">INDEX(INDIRECT(zoneFichierTraite),$J267+offsetInitialFichierTraite,1)</f>
        <v>'129</v>
      </c>
      <c r="M267" s="14">
        <f ca="1">INDEX(INDIRECT(zoneFichierTraite),$J267+offsetInitialFichierTraite,9)</f>
        <v>21.48</v>
      </c>
      <c r="N267" s="17">
        <f ca="1">INDEX(INDIRECT(zoneFichierTraite),$J267+offsetInitialFichierTraite,3)</f>
        <v>8050846043657</v>
      </c>
      <c r="O267" s="2" t="e">
        <f ca="1">MATCH(N267,INDIRECT(nomFichierEAN13Valmag &amp; "!A:A"),0)</f>
        <v>#N/A</v>
      </c>
      <c r="P267" s="2" t="e">
        <f ca="1">MATCH(R267,INDIRECT(nomFichierEAN13Valmag &amp; "!A:A"),0)</f>
        <v>#N/A</v>
      </c>
      <c r="Q267" s="2">
        <f ca="1">MATCH(LEFT(B267,14) &amp; "*",INDIRECT(nomFichierBaseCatalogue &amp; "!B:B"),0)</f>
        <v>1229</v>
      </c>
      <c r="R267" s="17">
        <f ca="1">IFERROR(INDEX(INDIRECT(zoneFichierBaseCatalogue),Q267,1),"")</f>
        <v>8050846043657</v>
      </c>
      <c r="S267" s="2">
        <f ca="1">MATCH(B267,INDIRECT(nomFichierFiltreCatalogue &amp; "!B:B"),0)</f>
        <v>435</v>
      </c>
      <c r="T267" s="17"/>
    </row>
    <row r="268" spans="1:20" s="24" customFormat="1" ht="15.75" customHeight="1" x14ac:dyDescent="0.25">
      <c r="A268" s="30">
        <f ca="1">INDEX(INDIRECT(zoneFichierTraite),$J267+offsetInitialFichierTraite,2)</f>
        <v>216</v>
      </c>
      <c r="B268" s="29" t="str">
        <f ca="1">IFERROR(INDEX(INDIRECT(zoneFichierEAN13Valmag),$P267,3),"")</f>
        <v/>
      </c>
      <c r="C268" s="22" t="str">
        <f ca="1">IFERROR(INDEX(INDIRECT(zoneFichierEAN13Valmag),$O267,3),"")</f>
        <v/>
      </c>
      <c r="D268" s="23" t="str">
        <f ca="1">IFERROR(INDEX(INDIRECT(zoneFichierEAN13Valmag),$O267,4),"")</f>
        <v/>
      </c>
      <c r="E268" s="38" t="str">
        <f ca="1">IFERROR(INDEX(INDIRECT(zoneFichierFiltreCatalogue),S267,3),"")</f>
        <v>p101-2-01</v>
      </c>
      <c r="F268" s="23"/>
      <c r="G268" s="21"/>
      <c r="H268" s="39" t="str">
        <f ca="1">IFERROR(INDEX(INDIRECT(zoneFichierFiltreCatalogue),S267,6),"")</f>
        <v>fall 2019 presentation_/catalogo fall 19.txt</v>
      </c>
      <c r="R268" s="25"/>
      <c r="S268" s="25"/>
    </row>
    <row r="269" spans="1:20" ht="39" customHeight="1" thickBot="1" x14ac:dyDescent="0.65">
      <c r="A269" s="11" t="str">
        <f ca="1">INDEX(INDIRECT(zoneFichierTraite),$J269+offsetInitialFichierTraite,6)</f>
        <v>UNICA</v>
      </c>
      <c r="B269" s="7" t="str">
        <f ca="1">INDEX(INDIRECT(zoneFichierTraite),$J269+offsetInitialFichierTraite,4)</f>
        <v>OBAGS034-TESD5-055</v>
      </c>
      <c r="C269" s="31" t="str">
        <f ca="1">INDEX(INDIRECT(zoneFichierTraite),$J269+offsetInitialFichierTraite,5)</f>
        <v>POCHETTE INTERIEURE FERMETURE ECLAIR O BAG GLAM EN MICROFIBRE COULEUR UNIE</v>
      </c>
      <c r="D269" s="32" t="str">
        <f ca="1">INDEX(INDIRECT(zoneFichierTraite),$J269+offsetInitialFichierTraite,13)</f>
        <v>nero</v>
      </c>
      <c r="E269" s="35">
        <f ca="1">INDEX(INDIRECT(zoneFichierTraite),$J269+offsetInitialFichierTraite,7)</f>
        <v>2</v>
      </c>
      <c r="F269" s="33">
        <f ca="1">INDEX(INDIRECT(zoneFichierTraite),$J269+offsetInitialFichierTraite,8)</f>
        <v>10.74</v>
      </c>
      <c r="G269" s="34">
        <f t="shared" ref="G269" ca="1" si="265">ROUNDUP(F269*3,0)</f>
        <v>33</v>
      </c>
      <c r="H269" s="37" t="str">
        <f t="shared" ref="H269" ca="1" si="266">IF(ISNUMBER(N269),codeEAN13(INT(N269/10)),"")</f>
        <v>8APASOG*aedjbg+</v>
      </c>
      <c r="J269" s="18">
        <f t="shared" si="264"/>
        <v>130</v>
      </c>
      <c r="L269" s="7" t="str">
        <f ca="1">INDEX(INDIRECT(zoneFichierTraite),$J269+offsetInitialFichierTraite,1)</f>
        <v>'130</v>
      </c>
      <c r="M269" s="14">
        <f ca="1">INDEX(INDIRECT(zoneFichierTraite),$J269+offsetInitialFichierTraite,9)</f>
        <v>21.48</v>
      </c>
      <c r="N269" s="17">
        <f ca="1">INDEX(INDIRECT(zoneFichierTraite),$J269+offsetInitialFichierTraite,3)</f>
        <v>8050846043916</v>
      </c>
      <c r="O269" s="2">
        <f ca="1">MATCH(N269,INDIRECT(nomFichierEAN13Valmag &amp; "!A:A"),0)</f>
        <v>4591</v>
      </c>
      <c r="P269" s="2" t="e">
        <f ca="1">MATCH(R269,INDIRECT(nomFichierEAN13Valmag &amp; "!A:A"),0)</f>
        <v>#N/A</v>
      </c>
      <c r="Q269" s="2">
        <f ca="1">MATCH(LEFT(B269,14) &amp; "*",INDIRECT(nomFichierBaseCatalogue &amp; "!B:B"),0)</f>
        <v>1229</v>
      </c>
      <c r="R269" s="17">
        <f ca="1">IFERROR(INDEX(INDIRECT(zoneFichierBaseCatalogue),Q269,1),"")</f>
        <v>8050846043657</v>
      </c>
      <c r="S269" s="2">
        <f ca="1">MATCH(B269,INDIRECT(nomFichierFiltreCatalogue &amp; "!B:B"),0)</f>
        <v>438</v>
      </c>
      <c r="T269" s="17"/>
    </row>
    <row r="270" spans="1:20" s="24" customFormat="1" ht="15.75" customHeight="1" x14ac:dyDescent="0.25">
      <c r="A270" s="30">
        <f ca="1">INDEX(INDIRECT(zoneFichierTraite),$J269+offsetInitialFichierTraite,2)</f>
        <v>19</v>
      </c>
      <c r="B270" s="29" t="str">
        <f ca="1">IFERROR(INDEX(INDIRECT(zoneFichierEAN13Valmag),$P269,3),"")</f>
        <v/>
      </c>
      <c r="C270" s="22" t="str">
        <f ca="1">IFERROR(INDEX(INDIRECT(zoneFichierEAN13Valmag),$O269,3),"")</f>
        <v xml:space="preserve">CANOGLAM        </v>
      </c>
      <c r="D270" s="23" t="str">
        <f ca="1">IFERROR(INDEX(INDIRECT(zoneFichierEAN13Valmag),$O269,4),"")</f>
        <v>MIBLA</v>
      </c>
      <c r="E270" s="38" t="str">
        <f ca="1">IFERROR(INDEX(INDIRECT(zoneFichierFiltreCatalogue),S269,3),"")</f>
        <v>p101-2-04</v>
      </c>
      <c r="F270" s="23"/>
      <c r="G270" s="21"/>
      <c r="H270" s="39" t="str">
        <f ca="1">IFERROR(INDEX(INDIRECT(zoneFichierFiltreCatalogue),S269,6),"")</f>
        <v>fall 2019 presentation_/catalogo fall 19.txt</v>
      </c>
      <c r="R270" s="25"/>
      <c r="S270" s="25"/>
    </row>
    <row r="271" spans="1:20" ht="39" customHeight="1" thickBot="1" x14ac:dyDescent="0.65">
      <c r="A271" s="11" t="str">
        <f ca="1">INDEX(INDIRECT(zoneFichierTraite),$J271+offsetInitialFichierTraite,6)</f>
        <v>UNICA</v>
      </c>
      <c r="B271" s="7" t="str">
        <f ca="1">INDEX(INDIRECT(zoneFichierTraite),$J271+offsetInitialFichierTraite,4)</f>
        <v>OBAGS034-TESD5-078</v>
      </c>
      <c r="C271" s="31" t="str">
        <f ca="1">INDEX(INDIRECT(zoneFichierTraite),$J271+offsetInitialFichierTraite,5)</f>
        <v>POCHETTE INTERIEURE FERMETURE ECLAIR O BAG GLAM EN MICROFIBRE COULEUR UNIE</v>
      </c>
      <c r="D271" s="32" t="str">
        <f ca="1">INDEX(INDIRECT(zoneFichierTraite),$J271+offsetInitialFichierTraite,13)</f>
        <v>sabbia</v>
      </c>
      <c r="E271" s="35">
        <f ca="1">INDEX(INDIRECT(zoneFichierTraite),$J271+offsetInitialFichierTraite,7)</f>
        <v>2</v>
      </c>
      <c r="F271" s="33">
        <f ca="1">INDEX(INDIRECT(zoneFichierTraite),$J271+offsetInitialFichierTraite,8)</f>
        <v>10.74</v>
      </c>
      <c r="G271" s="34">
        <f t="shared" ref="G271" ca="1" si="267">ROUNDUP(F271*3,0)</f>
        <v>33</v>
      </c>
      <c r="H271" s="37" t="str">
        <f t="shared" ref="H271" ca="1" si="268">IF(ISNUMBER(N271),codeEAN13(INT(N271/10)),"")</f>
        <v>8APASOG*ajafhg+</v>
      </c>
      <c r="J271" s="18">
        <f t="shared" si="264"/>
        <v>131</v>
      </c>
      <c r="L271" s="7" t="str">
        <f ca="1">INDEX(INDIRECT(zoneFichierTraite),$J271+offsetInitialFichierTraite,1)</f>
        <v>'131</v>
      </c>
      <c r="M271" s="14">
        <f ca="1">INDEX(INDIRECT(zoneFichierTraite),$J271+offsetInitialFichierTraite,9)</f>
        <v>21.48</v>
      </c>
      <c r="N271" s="17">
        <f ca="1">INDEX(INDIRECT(zoneFichierTraite),$J271+offsetInitialFichierTraite,3)</f>
        <v>8050846090576</v>
      </c>
      <c r="O271" s="2" t="e">
        <f ca="1">MATCH(N271,INDIRECT(nomFichierEAN13Valmag &amp; "!A:A"),0)</f>
        <v>#N/A</v>
      </c>
      <c r="P271" s="2" t="e">
        <f ca="1">MATCH(R271,INDIRECT(nomFichierEAN13Valmag &amp; "!A:A"),0)</f>
        <v>#N/A</v>
      </c>
      <c r="Q271" s="2">
        <f ca="1">MATCH(LEFT(B271,14) &amp; "*",INDIRECT(nomFichierBaseCatalogue &amp; "!B:B"),0)</f>
        <v>1229</v>
      </c>
      <c r="R271" s="17">
        <f ca="1">IFERROR(INDEX(INDIRECT(zoneFichierBaseCatalogue),Q271,1),"")</f>
        <v>8050846043657</v>
      </c>
      <c r="S271" s="2">
        <f ca="1">MATCH(B271,INDIRECT(nomFichierFiltreCatalogue &amp; "!B:B"),0)</f>
        <v>436</v>
      </c>
      <c r="T271" s="17"/>
    </row>
    <row r="272" spans="1:20" s="24" customFormat="1" ht="15.75" customHeight="1" x14ac:dyDescent="0.25">
      <c r="A272" s="30">
        <f ca="1">INDEX(INDIRECT(zoneFichierTraite),$J271+offsetInitialFichierTraite,2)</f>
        <v>174</v>
      </c>
      <c r="B272" s="29" t="str">
        <f ca="1">IFERROR(INDEX(INDIRECT(zoneFichierEAN13Valmag),$P271,3),"")</f>
        <v/>
      </c>
      <c r="C272" s="22" t="str">
        <f ca="1">IFERROR(INDEX(INDIRECT(zoneFichierEAN13Valmag),$O271,3),"")</f>
        <v/>
      </c>
      <c r="D272" s="23" t="str">
        <f ca="1">IFERROR(INDEX(INDIRECT(zoneFichierEAN13Valmag),$O271,4),"")</f>
        <v/>
      </c>
      <c r="E272" s="38" t="str">
        <f ca="1">IFERROR(INDEX(INDIRECT(zoneFichierFiltreCatalogue),S271,3),"")</f>
        <v>p101-2-02</v>
      </c>
      <c r="F272" s="23"/>
      <c r="G272" s="21"/>
      <c r="H272" s="39" t="str">
        <f ca="1">IFERROR(INDEX(INDIRECT(zoneFichierFiltreCatalogue),S271,6),"")</f>
        <v>fall 2019 presentation_/catalogo fall 19.txt</v>
      </c>
      <c r="R272" s="25"/>
      <c r="S272" s="25"/>
    </row>
    <row r="273" spans="1:20" ht="39" customHeight="1" thickBot="1" x14ac:dyDescent="0.65">
      <c r="A273" s="11" t="str">
        <f ca="1">INDEX(INDIRECT(zoneFichierTraite),$J273+offsetInitialFichierTraite,6)</f>
        <v>UNICA</v>
      </c>
      <c r="B273" s="7" t="str">
        <f ca="1">INDEX(INDIRECT(zoneFichierTraite),$J273+offsetInitialFichierTraite,4)</f>
        <v>OBAGS034-TESD5-371</v>
      </c>
      <c r="C273" s="31" t="str">
        <f ca="1">INDEX(INDIRECT(zoneFichierTraite),$J273+offsetInitialFichierTraite,5)</f>
        <v>POCHETTE INTERIEURE FERMETURE ECLAIR O BAG GLAM EN MICROFIBRE COULEUR UNIE</v>
      </c>
      <c r="D273" s="32" t="str">
        <f ca="1">INDEX(INDIRECT(zoneFichierTraite),$J273+offsetInitialFichierTraite,13)</f>
        <v>latte</v>
      </c>
      <c r="E273" s="35">
        <f ca="1">INDEX(INDIRECT(zoneFichierTraite),$J273+offsetInitialFichierTraite,7)</f>
        <v>2</v>
      </c>
      <c r="F273" s="33">
        <f ca="1">INDEX(INDIRECT(zoneFichierTraite),$J273+offsetInitialFichierTraite,8)</f>
        <v>10.74</v>
      </c>
      <c r="G273" s="34">
        <f t="shared" ref="G273" ca="1" si="269">ROUNDUP(F273*3,0)</f>
        <v>33</v>
      </c>
      <c r="H273" s="37" t="str">
        <f t="shared" ref="H273" ca="1" si="270">IF(ISNUMBER(N273),codeEAN13(INT(N273/10)),"")</f>
        <v>8APASOG*aifacc+</v>
      </c>
      <c r="J273" s="18">
        <f t="shared" si="264"/>
        <v>132</v>
      </c>
      <c r="L273" s="7" t="str">
        <f ca="1">INDEX(INDIRECT(zoneFichierTraite),$J273+offsetInitialFichierTraite,1)</f>
        <v>'132</v>
      </c>
      <c r="M273" s="14">
        <f ca="1">INDEX(INDIRECT(zoneFichierTraite),$J273+offsetInitialFichierTraite,9)</f>
        <v>21.48</v>
      </c>
      <c r="N273" s="17">
        <f ca="1">INDEX(INDIRECT(zoneFichierTraite),$J273+offsetInitialFichierTraite,3)</f>
        <v>8050846085022</v>
      </c>
      <c r="O273" s="2">
        <f ca="1">MATCH(N273,INDIRECT(nomFichierEAN13Valmag &amp; "!A:A"),0)</f>
        <v>4597</v>
      </c>
      <c r="P273" s="2" t="e">
        <f ca="1">MATCH(R273,INDIRECT(nomFichierEAN13Valmag &amp; "!A:A"),0)</f>
        <v>#N/A</v>
      </c>
      <c r="Q273" s="2">
        <f ca="1">MATCH(LEFT(B273,14) &amp; "*",INDIRECT(nomFichierBaseCatalogue &amp; "!B:B"),0)</f>
        <v>1229</v>
      </c>
      <c r="R273" s="17">
        <f ca="1">IFERROR(INDEX(INDIRECT(zoneFichierBaseCatalogue),Q273,1),"")</f>
        <v>8050846043657</v>
      </c>
      <c r="S273" s="2">
        <f ca="1">MATCH(B273,INDIRECT(nomFichierFiltreCatalogue &amp; "!B:B"),0)</f>
        <v>439</v>
      </c>
      <c r="T273" s="17"/>
    </row>
    <row r="274" spans="1:20" s="24" customFormat="1" ht="15.75" customHeight="1" x14ac:dyDescent="0.25">
      <c r="A274" s="30">
        <f ca="1">INDEX(INDIRECT(zoneFichierTraite),$J273+offsetInitialFichierTraite,2)</f>
        <v>124</v>
      </c>
      <c r="B274" s="29" t="str">
        <f ca="1">IFERROR(INDEX(INDIRECT(zoneFichierEAN13Valmag),$P273,3),"")</f>
        <v/>
      </c>
      <c r="C274" s="22" t="str">
        <f ca="1">IFERROR(INDEX(INDIRECT(zoneFichierEAN13Valmag),$O273,3),"")</f>
        <v xml:space="preserve">CANOGLAM        </v>
      </c>
      <c r="D274" s="23" t="str">
        <f ca="1">IFERROR(INDEX(INDIRECT(zoneFichierEAN13Valmag),$O273,4),"")</f>
        <v>MICLA</v>
      </c>
      <c r="E274" s="38" t="str">
        <f ca="1">IFERROR(INDEX(INDIRECT(zoneFichierFiltreCatalogue),S273,3),"")</f>
        <v>p101-2-05</v>
      </c>
      <c r="F274" s="23"/>
      <c r="G274" s="21"/>
      <c r="H274" s="39" t="str">
        <f ca="1">IFERROR(INDEX(INDIRECT(zoneFichierFiltreCatalogue),S273,6),"")</f>
        <v>fall 2019 presentation_/catalogo fall 19.txt</v>
      </c>
      <c r="R274" s="25"/>
      <c r="S274" s="25"/>
    </row>
    <row r="275" spans="1:20" ht="39" customHeight="1" thickBot="1" x14ac:dyDescent="0.65">
      <c r="A275" s="11" t="str">
        <f ca="1">INDEX(INDIRECT(zoneFichierTraite),$J275+offsetInitialFichierTraite,6)</f>
        <v>UNICA</v>
      </c>
      <c r="B275" s="7" t="str">
        <f ca="1">INDEX(INDIRECT(zoneFichierTraite),$J275+offsetInitialFichierTraite,4)</f>
        <v>OBAGS034-TESD5-615</v>
      </c>
      <c r="C275" s="31" t="str">
        <f ca="1">INDEX(INDIRECT(zoneFichierTraite),$J275+offsetInitialFichierTraite,5)</f>
        <v>POCHETTE INTERIEURE FERMETURE ECLAIR O BAG GLAM EN MICROFIBRE COULEUR UNIE</v>
      </c>
      <c r="D275" s="32" t="str">
        <f ca="1">INDEX(INDIRECT(zoneFichierTraite),$J275+offsetInitialFichierTraite,13)</f>
        <v>military</v>
      </c>
      <c r="E275" s="35">
        <f ca="1">INDEX(INDIRECT(zoneFichierTraite),$J275+offsetInitialFichierTraite,7)</f>
        <v>2</v>
      </c>
      <c r="F275" s="33">
        <f ca="1">INDEX(INDIRECT(zoneFichierTraite),$J275+offsetInitialFichierTraite,8)</f>
        <v>10.74</v>
      </c>
      <c r="G275" s="34">
        <f t="shared" ref="G275" ca="1" si="271">ROUNDUP(F275*3,0)</f>
        <v>33</v>
      </c>
      <c r="H275" s="37" t="str">
        <f t="shared" ref="H275" ca="1" si="272">IF(ISNUMBER(N275),codeEAN13(INT(N275/10)),"")</f>
        <v>8APASOG*ajaffc+</v>
      </c>
      <c r="J275" s="18">
        <f t="shared" si="264"/>
        <v>133</v>
      </c>
      <c r="L275" s="7" t="str">
        <f ca="1">INDEX(INDIRECT(zoneFichierTraite),$J275+offsetInitialFichierTraite,1)</f>
        <v>'133</v>
      </c>
      <c r="M275" s="14">
        <f ca="1">INDEX(INDIRECT(zoneFichierTraite),$J275+offsetInitialFichierTraite,9)</f>
        <v>21.48</v>
      </c>
      <c r="N275" s="17">
        <f ca="1">INDEX(INDIRECT(zoneFichierTraite),$J275+offsetInitialFichierTraite,3)</f>
        <v>8050846090552</v>
      </c>
      <c r="O275" s="2" t="e">
        <f ca="1">MATCH(N275,INDIRECT(nomFichierEAN13Valmag &amp; "!A:A"),0)</f>
        <v>#N/A</v>
      </c>
      <c r="P275" s="2" t="e">
        <f ca="1">MATCH(R275,INDIRECT(nomFichierEAN13Valmag &amp; "!A:A"),0)</f>
        <v>#N/A</v>
      </c>
      <c r="Q275" s="2">
        <f ca="1">MATCH(LEFT(B275,14) &amp; "*",INDIRECT(nomFichierBaseCatalogue &amp; "!B:B"),0)</f>
        <v>1229</v>
      </c>
      <c r="R275" s="17">
        <f ca="1">IFERROR(INDEX(INDIRECT(zoneFichierBaseCatalogue),Q275,1),"")</f>
        <v>8050846043657</v>
      </c>
      <c r="S275" s="2">
        <f ca="1">MATCH(B275,INDIRECT(nomFichierFiltreCatalogue &amp; "!B:B"),0)</f>
        <v>437</v>
      </c>
      <c r="T275" s="17"/>
    </row>
    <row r="276" spans="1:20" s="24" customFormat="1" ht="15.75" customHeight="1" x14ac:dyDescent="0.25">
      <c r="A276" s="30">
        <f ca="1">INDEX(INDIRECT(zoneFichierTraite),$J275+offsetInitialFichierTraite,2)</f>
        <v>20</v>
      </c>
      <c r="B276" s="29" t="str">
        <f ca="1">IFERROR(INDEX(INDIRECT(zoneFichierEAN13Valmag),$P275,3),"")</f>
        <v/>
      </c>
      <c r="C276" s="22" t="str">
        <f ca="1">IFERROR(INDEX(INDIRECT(zoneFichierEAN13Valmag),$O275,3),"")</f>
        <v/>
      </c>
      <c r="D276" s="23" t="str">
        <f ca="1">IFERROR(INDEX(INDIRECT(zoneFichierEAN13Valmag),$O275,4),"")</f>
        <v/>
      </c>
      <c r="E276" s="38" t="str">
        <f ca="1">IFERROR(INDEX(INDIRECT(zoneFichierFiltreCatalogue),S275,3),"")</f>
        <v>p101-2-03</v>
      </c>
      <c r="F276" s="23"/>
      <c r="G276" s="21"/>
      <c r="H276" s="39" t="str">
        <f ca="1">IFERROR(INDEX(INDIRECT(zoneFichierFiltreCatalogue),S275,6),"")</f>
        <v>fall 2019 presentation_/catalogo fall 19.txt</v>
      </c>
      <c r="R276" s="25"/>
      <c r="S276" s="25"/>
    </row>
    <row r="277" spans="1:20" ht="39" customHeight="1" thickBot="1" x14ac:dyDescent="0.65">
      <c r="A277" s="11" t="str">
        <f ca="1">INDEX(INDIRECT(zoneFichierTraite),$J277+offsetInitialFichierTraite,6)</f>
        <v>UNICA</v>
      </c>
      <c r="B277" s="7" t="str">
        <f ca="1">INDEX(INDIRECT(zoneFichierTraite),$J277+offsetInitialFichierTraite,4)</f>
        <v>OBAGS533-TESBF-076</v>
      </c>
      <c r="C277" s="31" t="str">
        <f ca="1">INDEX(INDIRECT(zoneFichierTraite),$J277+offsetInitialFichierTraite,5)</f>
        <v>POCHETTE INTERIEURE OVER O BAG URBAN EN TISSU CORDURA CONTRASTE</v>
      </c>
      <c r="D277" s="32" t="str">
        <f ca="1">INDEX(INDIRECT(zoneFichierTraite),$J277+offsetInitialFichierTraite,13)</f>
        <v>rosso</v>
      </c>
      <c r="E277" s="35">
        <f ca="1">INDEX(INDIRECT(zoneFichierTraite),$J277+offsetInitialFichierTraite,7)</f>
        <v>1</v>
      </c>
      <c r="F277" s="33">
        <f ca="1">INDEX(INDIRECT(zoneFichierTraite),$J277+offsetInitialFichierTraite,8)</f>
        <v>14.81</v>
      </c>
      <c r="G277" s="34">
        <f t="shared" ref="G277" ca="1" si="273">ROUNDUP(F277*3,0)</f>
        <v>45</v>
      </c>
      <c r="H277" s="37" t="str">
        <f t="shared" ref="H277" ca="1" si="274">IF(ISNUMBER(N277),codeEAN13(INT(N277/10)),"")</f>
        <v>8APASOG*ajbjaa+</v>
      </c>
      <c r="J277" s="18">
        <f t="shared" si="264"/>
        <v>134</v>
      </c>
      <c r="L277" s="7" t="str">
        <f ca="1">INDEX(INDIRECT(zoneFichierTraite),$J277+offsetInitialFichierTraite,1)</f>
        <v>'134</v>
      </c>
      <c r="M277" s="14">
        <f ca="1">INDEX(INDIRECT(zoneFichierTraite),$J277+offsetInitialFichierTraite,9)</f>
        <v>14.81</v>
      </c>
      <c r="N277" s="17">
        <f ca="1">INDEX(INDIRECT(zoneFichierTraite),$J277+offsetInitialFichierTraite,3)</f>
        <v>8050846091900</v>
      </c>
      <c r="O277" s="2" t="e">
        <f ca="1">MATCH(N277,INDIRECT(nomFichierEAN13Valmag &amp; "!A:A"),0)</f>
        <v>#N/A</v>
      </c>
      <c r="P277" s="2" t="e">
        <f ca="1">MATCH(R277,INDIRECT(nomFichierEAN13Valmag &amp; "!A:A"),0)</f>
        <v>#N/A</v>
      </c>
      <c r="Q277" s="2">
        <f ca="1">MATCH(LEFT(B277,14) &amp; "*",INDIRECT(nomFichierBaseCatalogue &amp; "!B:B"),0)</f>
        <v>1273</v>
      </c>
      <c r="R277" s="17">
        <f ca="1">IFERROR(INDEX(INDIRECT(zoneFichierBaseCatalogue),Q277,1),"")</f>
        <v>8050846091900</v>
      </c>
      <c r="S277" s="2">
        <f ca="1">MATCH(B277,INDIRECT(nomFichierFiltreCatalogue &amp; "!B:B"),0)</f>
        <v>424</v>
      </c>
      <c r="T277" s="17"/>
    </row>
    <row r="278" spans="1:20" s="24" customFormat="1" ht="15.75" customHeight="1" x14ac:dyDescent="0.25">
      <c r="A278" s="30">
        <f ca="1">INDEX(INDIRECT(zoneFichierTraite),$J277+offsetInitialFichierTraite,2)</f>
        <v>95</v>
      </c>
      <c r="B278" s="29" t="str">
        <f ca="1">IFERROR(INDEX(INDIRECT(zoneFichierEAN13Valmag),$P277,3),"")</f>
        <v/>
      </c>
      <c r="C278" s="22" t="str">
        <f ca="1">IFERROR(INDEX(INDIRECT(zoneFichierEAN13Valmag),$O277,3),"")</f>
        <v/>
      </c>
      <c r="D278" s="23" t="str">
        <f ca="1">IFERROR(INDEX(INDIRECT(zoneFichierEAN13Valmag),$O277,4),"")</f>
        <v/>
      </c>
      <c r="E278" s="38" t="str">
        <f ca="1">IFERROR(INDEX(INDIRECT(zoneFichierFiltreCatalogue),S277,3),"")</f>
        <v>p097-2-01</v>
      </c>
      <c r="F278" s="23"/>
      <c r="G278" s="21"/>
      <c r="H278" s="39" t="str">
        <f ca="1">IFERROR(INDEX(INDIRECT(zoneFichierFiltreCatalogue),S277,6),"")</f>
        <v>fall 2019 presentation_/catalogo fall 19.txt</v>
      </c>
      <c r="R278" s="25"/>
      <c r="S278" s="25"/>
    </row>
    <row r="279" spans="1:20" ht="39" customHeight="1" thickBot="1" x14ac:dyDescent="0.65">
      <c r="A279" s="11" t="str">
        <f ca="1">INDEX(INDIRECT(zoneFichierTraite),$J279+offsetInitialFichierTraite,6)</f>
        <v>UNICA</v>
      </c>
      <c r="B279" s="7" t="str">
        <f ca="1">INDEX(INDIRECT(zoneFichierTraite),$J279+offsetInitialFichierTraite,4)</f>
        <v>OBAGS533-TESBF-137</v>
      </c>
      <c r="C279" s="31" t="str">
        <f ca="1">INDEX(INDIRECT(zoneFichierTraite),$J279+offsetInitialFichierTraite,5)</f>
        <v>POCHETTE INTERIEURE OVER O BAG URBAN EN TISSU CORDURA CONTRASTE</v>
      </c>
      <c r="D279" s="32" t="str">
        <f ca="1">INDEX(INDIRECT(zoneFichierTraite),$J279+offsetInitialFichierTraite,13)</f>
        <v>bluette</v>
      </c>
      <c r="E279" s="35">
        <f ca="1">INDEX(INDIRECT(zoneFichierTraite),$J279+offsetInitialFichierTraite,7)</f>
        <v>1</v>
      </c>
      <c r="F279" s="33">
        <f ca="1">INDEX(INDIRECT(zoneFichierTraite),$J279+offsetInitialFichierTraite,8)</f>
        <v>14.81</v>
      </c>
      <c r="G279" s="34">
        <f t="shared" ref="G279" ca="1" si="275">ROUNDUP(F279*3,0)</f>
        <v>45</v>
      </c>
      <c r="H279" s="37" t="str">
        <f t="shared" ref="H279" ca="1" si="276">IF(ISNUMBER(N279),codeEAN13(INT(N279/10)),"")</f>
        <v>8APASOG*ajbjbh+</v>
      </c>
      <c r="J279" s="18">
        <f t="shared" si="264"/>
        <v>135</v>
      </c>
      <c r="L279" s="7" t="str">
        <f ca="1">INDEX(INDIRECT(zoneFichierTraite),$J279+offsetInitialFichierTraite,1)</f>
        <v>'135</v>
      </c>
      <c r="M279" s="14">
        <f ca="1">INDEX(INDIRECT(zoneFichierTraite),$J279+offsetInitialFichierTraite,9)</f>
        <v>14.81</v>
      </c>
      <c r="N279" s="17">
        <f ca="1">INDEX(INDIRECT(zoneFichierTraite),$J279+offsetInitialFichierTraite,3)</f>
        <v>8050846091917</v>
      </c>
      <c r="O279" s="2" t="e">
        <f ca="1">MATCH(N279,INDIRECT(nomFichierEAN13Valmag &amp; "!A:A"),0)</f>
        <v>#N/A</v>
      </c>
      <c r="P279" s="2" t="e">
        <f ca="1">MATCH(R279,INDIRECT(nomFichierEAN13Valmag &amp; "!A:A"),0)</f>
        <v>#N/A</v>
      </c>
      <c r="Q279" s="2">
        <f ca="1">MATCH(LEFT(B279,14) &amp; "*",INDIRECT(nomFichierBaseCatalogue &amp; "!B:B"),0)</f>
        <v>1273</v>
      </c>
      <c r="R279" s="17">
        <f ca="1">IFERROR(INDEX(INDIRECT(zoneFichierBaseCatalogue),Q279,1),"")</f>
        <v>8050846091900</v>
      </c>
      <c r="S279" s="2">
        <f ca="1">MATCH(B279,INDIRECT(nomFichierFiltreCatalogue &amp; "!B:B"),0)</f>
        <v>425</v>
      </c>
      <c r="T279" s="17"/>
    </row>
    <row r="280" spans="1:20" s="24" customFormat="1" ht="15.75" customHeight="1" x14ac:dyDescent="0.25">
      <c r="A280" s="30">
        <f ca="1">INDEX(INDIRECT(zoneFichierTraite),$J279+offsetInitialFichierTraite,2)</f>
        <v>161</v>
      </c>
      <c r="B280" s="29" t="str">
        <f ca="1">IFERROR(INDEX(INDIRECT(zoneFichierEAN13Valmag),$P279,3),"")</f>
        <v/>
      </c>
      <c r="C280" s="22" t="str">
        <f ca="1">IFERROR(INDEX(INDIRECT(zoneFichierEAN13Valmag),$O279,3),"")</f>
        <v/>
      </c>
      <c r="D280" s="23" t="str">
        <f ca="1">IFERROR(INDEX(INDIRECT(zoneFichierEAN13Valmag),$O279,4),"")</f>
        <v/>
      </c>
      <c r="E280" s="38" t="str">
        <f ca="1">IFERROR(INDEX(INDIRECT(zoneFichierFiltreCatalogue),S279,3),"")</f>
        <v>p097-2-02</v>
      </c>
      <c r="F280" s="23"/>
      <c r="G280" s="21"/>
      <c r="H280" s="39" t="str">
        <f ca="1">IFERROR(INDEX(INDIRECT(zoneFichierFiltreCatalogue),S279,6),"")</f>
        <v>fall 2019 presentation_/catalogo fall 19.txt</v>
      </c>
      <c r="R280" s="25"/>
      <c r="S280" s="25"/>
    </row>
    <row r="281" spans="1:20" ht="39" customHeight="1" thickBot="1" x14ac:dyDescent="0.65">
      <c r="A281" s="11" t="str">
        <f ca="1">INDEX(INDIRECT(zoneFichierTraite),$J281+offsetInitialFichierTraite,6)</f>
        <v>UNICA</v>
      </c>
      <c r="B281" s="7" t="str">
        <f ca="1">INDEX(INDIRECT(zoneFichierTraite),$J281+offsetInitialFichierTraite,4)</f>
        <v>OBAGS601-TESBB-615</v>
      </c>
      <c r="C281" s="31" t="str">
        <f ca="1">INDEX(INDIRECT(zoneFichierTraite),$J281+offsetInitialFichierTraite,5)</f>
        <v>POCHETTE INTERIEURE SWITCH O BAG EN TISSU IMPRIME DIANTHUS</v>
      </c>
      <c r="D281" s="32" t="str">
        <f ca="1">INDEX(INDIRECT(zoneFichierTraite),$J281+offsetInitialFichierTraite,13)</f>
        <v>military</v>
      </c>
      <c r="E281" s="35">
        <f ca="1">INDEX(INDIRECT(zoneFichierTraite),$J281+offsetInitialFichierTraite,7)</f>
        <v>2</v>
      </c>
      <c r="F281" s="33">
        <f ca="1">INDEX(INDIRECT(zoneFichierTraite),$J281+offsetInitialFichierTraite,8)</f>
        <v>13.33</v>
      </c>
      <c r="G281" s="34">
        <f t="shared" ref="G281" ca="1" si="277">ROUNDUP(F281*3,0)</f>
        <v>40</v>
      </c>
      <c r="H281" s="37" t="str">
        <f t="shared" ref="H281" ca="1" si="278">IF(ISNUMBER(N281),codeEAN13(INT(N281/10)),"")</f>
        <v>8APASOG*aijjid+</v>
      </c>
      <c r="J281" s="18">
        <f t="shared" si="264"/>
        <v>136</v>
      </c>
      <c r="L281" s="7" t="str">
        <f ca="1">INDEX(INDIRECT(zoneFichierTraite),$J281+offsetInitialFichierTraite,1)</f>
        <v>'136</v>
      </c>
      <c r="M281" s="14">
        <f ca="1">INDEX(INDIRECT(zoneFichierTraite),$J281+offsetInitialFichierTraite,9)</f>
        <v>26.66</v>
      </c>
      <c r="N281" s="17">
        <f ca="1">INDEX(INDIRECT(zoneFichierTraite),$J281+offsetInitialFichierTraite,3)</f>
        <v>8050846089983</v>
      </c>
      <c r="O281" s="2" t="e">
        <f ca="1">MATCH(N281,INDIRECT(nomFichierEAN13Valmag &amp; "!A:A"),0)</f>
        <v>#N/A</v>
      </c>
      <c r="P281" s="2" t="e">
        <f ca="1">MATCH(R281,INDIRECT(nomFichierEAN13Valmag &amp; "!A:A"),0)</f>
        <v>#N/A</v>
      </c>
      <c r="Q281" s="2">
        <f ca="1">MATCH(LEFT(B281,14) &amp; "*",INDIRECT(nomFichierBaseCatalogue &amp; "!B:B"),0)</f>
        <v>1282</v>
      </c>
      <c r="R281" s="17">
        <f ca="1">IFERROR(INDEX(INDIRECT(zoneFichierBaseCatalogue),Q281,1),"")</f>
        <v>8050846089983</v>
      </c>
      <c r="S281" s="2">
        <f ca="1">MATCH(B281,INDIRECT(nomFichierFiltreCatalogue &amp; "!B:B"),0)</f>
        <v>385</v>
      </c>
      <c r="T281" s="17"/>
    </row>
    <row r="282" spans="1:20" s="24" customFormat="1" ht="15.75" customHeight="1" x14ac:dyDescent="0.25">
      <c r="A282" s="30">
        <f ca="1">INDEX(INDIRECT(zoneFichierTraite),$J281+offsetInitialFichierTraite,2)</f>
        <v>138</v>
      </c>
      <c r="B282" s="29" t="str">
        <f ca="1">IFERROR(INDEX(INDIRECT(zoneFichierEAN13Valmag),$P281,3),"")</f>
        <v/>
      </c>
      <c r="C282" s="22" t="str">
        <f ca="1">IFERROR(INDEX(INDIRECT(zoneFichierEAN13Valmag),$O281,3),"")</f>
        <v/>
      </c>
      <c r="D282" s="23" t="str">
        <f ca="1">IFERROR(INDEX(INDIRECT(zoneFichierEAN13Valmag),$O281,4),"")</f>
        <v/>
      </c>
      <c r="E282" s="38" t="str">
        <f ca="1">IFERROR(INDEX(INDIRECT(zoneFichierFiltreCatalogue),S281,3),"")</f>
        <v>p088-1-01</v>
      </c>
      <c r="F282" s="23"/>
      <c r="G282" s="21"/>
      <c r="H282" s="39" t="str">
        <f ca="1">IFERROR(INDEX(INDIRECT(zoneFichierFiltreCatalogue),S281,6),"")</f>
        <v>fall 2019 presentation_/catalogo fall 19.txt</v>
      </c>
      <c r="R282" s="25"/>
      <c r="S282" s="25"/>
    </row>
    <row r="283" spans="1:20" ht="39" customHeight="1" thickBot="1" x14ac:dyDescent="0.65">
      <c r="A283" s="11" t="str">
        <f ca="1">INDEX(INDIRECT(zoneFichierTraite),$J283+offsetInitialFichierTraite,6)</f>
        <v>UNICA</v>
      </c>
      <c r="B283" s="7" t="str">
        <f ca="1">INDEX(INDIRECT(zoneFichierTraite),$J283+offsetInitialFichierTraite,4)</f>
        <v>OBAGS601-TESBD-227</v>
      </c>
      <c r="C283" s="31" t="str">
        <f ca="1">INDEX(INDIRECT(zoneFichierTraite),$J283+offsetInitialFichierTraite,5)</f>
        <v>POCHETTE INTERIEURE SWITCH O BAG EN TISSU CHECK EFFET LAINE</v>
      </c>
      <c r="D283" s="32" t="str">
        <f ca="1">INDEX(INDIRECT(zoneFichierTraite),$J283+offsetInitialFichierTraite,13)</f>
        <v>bianco/nero</v>
      </c>
      <c r="E283" s="35">
        <f ca="1">INDEX(INDIRECT(zoneFichierTraite),$J283+offsetInitialFichierTraite,7)</f>
        <v>2</v>
      </c>
      <c r="F283" s="33">
        <f ca="1">INDEX(INDIRECT(zoneFichierTraite),$J283+offsetInitialFichierTraite,8)</f>
        <v>11.85</v>
      </c>
      <c r="G283" s="34">
        <f t="shared" ref="G283" ca="1" si="279">ROUNDUP(F283*3,0)</f>
        <v>36</v>
      </c>
      <c r="H283" s="37" t="str">
        <f t="shared" ref="H283" ca="1" si="280">IF(ISNUMBER(N283),codeEAN13(INT(N283/10)),"")</f>
        <v>8APASOG*ajaahb+</v>
      </c>
      <c r="J283" s="18">
        <f t="shared" si="264"/>
        <v>137</v>
      </c>
      <c r="L283" s="7" t="str">
        <f ca="1">INDEX(INDIRECT(zoneFichierTraite),$J283+offsetInitialFichierTraite,1)</f>
        <v>'137</v>
      </c>
      <c r="M283" s="14">
        <f ca="1">INDEX(INDIRECT(zoneFichierTraite),$J283+offsetInitialFichierTraite,9)</f>
        <v>23.7</v>
      </c>
      <c r="N283" s="17">
        <f ca="1">INDEX(INDIRECT(zoneFichierTraite),$J283+offsetInitialFichierTraite,3)</f>
        <v>8050846090071</v>
      </c>
      <c r="O283" s="2" t="e">
        <f ca="1">MATCH(N283,INDIRECT(nomFichierEAN13Valmag &amp; "!A:A"),0)</f>
        <v>#N/A</v>
      </c>
      <c r="P283" s="2" t="e">
        <f ca="1">MATCH(R283,INDIRECT(nomFichierEAN13Valmag &amp; "!A:A"),0)</f>
        <v>#N/A</v>
      </c>
      <c r="Q283" s="2">
        <f ca="1">MATCH(LEFT(B283,14) &amp; "*",INDIRECT(nomFichierBaseCatalogue &amp; "!B:B"),0)</f>
        <v>1283</v>
      </c>
      <c r="R283" s="17">
        <f ca="1">IFERROR(INDEX(INDIRECT(zoneFichierBaseCatalogue),Q283,1),"")</f>
        <v>8050846090071</v>
      </c>
      <c r="S283" s="2">
        <f ca="1">MATCH(B283,INDIRECT(nomFichierFiltreCatalogue &amp; "!B:B"),0)</f>
        <v>386</v>
      </c>
      <c r="T283" s="17"/>
    </row>
    <row r="284" spans="1:20" s="24" customFormat="1" ht="15.75" customHeight="1" x14ac:dyDescent="0.25">
      <c r="A284" s="30">
        <f ca="1">INDEX(INDIRECT(zoneFichierTraite),$J283+offsetInitialFichierTraite,2)</f>
        <v>146</v>
      </c>
      <c r="B284" s="29" t="str">
        <f ca="1">IFERROR(INDEX(INDIRECT(zoneFichierEAN13Valmag),$P283,3),"")</f>
        <v/>
      </c>
      <c r="C284" s="22" t="str">
        <f ca="1">IFERROR(INDEX(INDIRECT(zoneFichierEAN13Valmag),$O283,3),"")</f>
        <v/>
      </c>
      <c r="D284" s="23" t="str">
        <f ca="1">IFERROR(INDEX(INDIRECT(zoneFichierEAN13Valmag),$O283,4),"")</f>
        <v/>
      </c>
      <c r="E284" s="38" t="str">
        <f ca="1">IFERROR(INDEX(INDIRECT(zoneFichierFiltreCatalogue),S283,3),"")</f>
        <v>p088-2-01</v>
      </c>
      <c r="F284" s="23"/>
      <c r="G284" s="21"/>
      <c r="H284" s="39" t="str">
        <f ca="1">IFERROR(INDEX(INDIRECT(zoneFichierFiltreCatalogue),S283,6),"")</f>
        <v>fall 2019 presentation_/catalogo fall 19.txt</v>
      </c>
      <c r="R284" s="25"/>
      <c r="S284" s="25"/>
    </row>
    <row r="285" spans="1:20" ht="39" customHeight="1" thickBot="1" x14ac:dyDescent="0.65">
      <c r="A285" s="11" t="str">
        <f ca="1">INDEX(INDIRECT(zoneFichierTraite),$J285+offsetInitialFichierTraite,6)</f>
        <v>UNICA</v>
      </c>
      <c r="B285" s="7" t="str">
        <f ca="1">INDEX(INDIRECT(zoneFichierTraite),$J285+offsetInitialFichierTraite,4)</f>
        <v>OBAGS601-TESBF-076</v>
      </c>
      <c r="C285" s="31" t="str">
        <f ca="1">INDEX(INDIRECT(zoneFichierTraite),$J285+offsetInitialFichierTraite,5)</f>
        <v>POCHETTE INTERIEURE SWITCH O BAG EN TISSU CORDURA CONTRASTE</v>
      </c>
      <c r="D285" s="32" t="str">
        <f ca="1">INDEX(INDIRECT(zoneFichierTraite),$J285+offsetInitialFichierTraite,13)</f>
        <v>rosso</v>
      </c>
      <c r="E285" s="35">
        <f ca="1">INDEX(INDIRECT(zoneFichierTraite),$J285+offsetInitialFichierTraite,7)</f>
        <v>2</v>
      </c>
      <c r="F285" s="33">
        <f ca="1">INDEX(INDIRECT(zoneFichierTraite),$J285+offsetInitialFichierTraite,8)</f>
        <v>11.85</v>
      </c>
      <c r="G285" s="34">
        <f t="shared" ref="G285" ca="1" si="281">ROUNDUP(F285*3,0)</f>
        <v>36</v>
      </c>
      <c r="H285" s="37" t="str">
        <f t="shared" ref="H285" ca="1" si="282">IF(ISNUMBER(N285),codeEAN13(INT(N285/10)),"")</f>
        <v>8APASOG*ajabih+</v>
      </c>
      <c r="J285" s="18">
        <f t="shared" si="264"/>
        <v>138</v>
      </c>
      <c r="L285" s="7" t="str">
        <f ca="1">INDEX(INDIRECT(zoneFichierTraite),$J285+offsetInitialFichierTraite,1)</f>
        <v>'138</v>
      </c>
      <c r="M285" s="14">
        <f ca="1">INDEX(INDIRECT(zoneFichierTraite),$J285+offsetInitialFichierTraite,9)</f>
        <v>23.7</v>
      </c>
      <c r="N285" s="17">
        <f ca="1">INDEX(INDIRECT(zoneFichierTraite),$J285+offsetInitialFichierTraite,3)</f>
        <v>8050846090187</v>
      </c>
      <c r="O285" s="2" t="e">
        <f ca="1">MATCH(N285,INDIRECT(nomFichierEAN13Valmag &amp; "!A:A"),0)</f>
        <v>#N/A</v>
      </c>
      <c r="P285" s="2" t="e">
        <f ca="1">MATCH(R285,INDIRECT(nomFichierEAN13Valmag &amp; "!A:A"),0)</f>
        <v>#N/A</v>
      </c>
      <c r="Q285" s="2">
        <f ca="1">MATCH(LEFT(B285,14) &amp; "*",INDIRECT(nomFichierBaseCatalogue &amp; "!B:B"),0)</f>
        <v>1284</v>
      </c>
      <c r="R285" s="17">
        <f ca="1">IFERROR(INDEX(INDIRECT(zoneFichierBaseCatalogue),Q285,1),"")</f>
        <v>8050846090187</v>
      </c>
      <c r="S285" s="2">
        <f ca="1">MATCH(B285,INDIRECT(nomFichierFiltreCatalogue &amp; "!B:B"),0)</f>
        <v>379</v>
      </c>
      <c r="T285" s="17"/>
    </row>
    <row r="286" spans="1:20" s="24" customFormat="1" ht="15.75" customHeight="1" x14ac:dyDescent="0.25">
      <c r="A286" s="30">
        <f ca="1">INDEX(INDIRECT(zoneFichierTraite),$J285+offsetInitialFichierTraite,2)</f>
        <v>195</v>
      </c>
      <c r="B286" s="29" t="str">
        <f ca="1">IFERROR(INDEX(INDIRECT(zoneFichierEAN13Valmag),$P285,3),"")</f>
        <v/>
      </c>
      <c r="C286" s="22" t="str">
        <f ca="1">IFERROR(INDEX(INDIRECT(zoneFichierEAN13Valmag),$O285,3),"")</f>
        <v/>
      </c>
      <c r="D286" s="23" t="str">
        <f ca="1">IFERROR(INDEX(INDIRECT(zoneFichierEAN13Valmag),$O285,4),"")</f>
        <v/>
      </c>
      <c r="E286" s="38" t="str">
        <f ca="1">IFERROR(INDEX(INDIRECT(zoneFichierFiltreCatalogue),S285,3),"")</f>
        <v>p086-1-01</v>
      </c>
      <c r="F286" s="23"/>
      <c r="G286" s="21"/>
      <c r="H286" s="39" t="str">
        <f ca="1">IFERROR(INDEX(INDIRECT(zoneFichierFiltreCatalogue),S285,6),"")</f>
        <v>fall 2019 presentation_/catalogo fall 19.txt</v>
      </c>
      <c r="R286" s="25"/>
      <c r="S286" s="25"/>
    </row>
    <row r="287" spans="1:20" ht="39" customHeight="1" thickBot="1" x14ac:dyDescent="0.65">
      <c r="A287" s="11" t="str">
        <f ca="1">INDEX(INDIRECT(zoneFichierTraite),$J287+offsetInitialFichierTraite,6)</f>
        <v>UNICA</v>
      </c>
      <c r="B287" s="7" t="str">
        <f ca="1">INDEX(INDIRECT(zoneFichierTraite),$J287+offsetInitialFichierTraite,4)</f>
        <v>OBAGS601-TESBF-137</v>
      </c>
      <c r="C287" s="31" t="str">
        <f ca="1">INDEX(INDIRECT(zoneFichierTraite),$J287+offsetInitialFichierTraite,5)</f>
        <v>POCHETTE INTERIEURE SWITCH O BAG EN TISSU CORDURA CONTRASTE</v>
      </c>
      <c r="D287" s="32" t="str">
        <f ca="1">INDEX(INDIRECT(zoneFichierTraite),$J287+offsetInitialFichierTraite,13)</f>
        <v>bluette</v>
      </c>
      <c r="E287" s="35">
        <f ca="1">INDEX(INDIRECT(zoneFichierTraite),$J287+offsetInitialFichierTraite,7)</f>
        <v>2</v>
      </c>
      <c r="F287" s="33">
        <f ca="1">INDEX(INDIRECT(zoneFichierTraite),$J287+offsetInitialFichierTraite,8)</f>
        <v>11.85</v>
      </c>
      <c r="G287" s="34">
        <f t="shared" ref="G287" ca="1" si="283">ROUNDUP(F287*3,0)</f>
        <v>36</v>
      </c>
      <c r="H287" s="37" t="str">
        <f t="shared" ref="H287" ca="1" si="284">IF(ISNUMBER(N287),codeEAN13(INT(N287/10)),"")</f>
        <v>8APASOG*ajabha+</v>
      </c>
      <c r="J287" s="18">
        <f t="shared" si="264"/>
        <v>139</v>
      </c>
      <c r="L287" s="7" t="str">
        <f ca="1">INDEX(INDIRECT(zoneFichierTraite),$J287+offsetInitialFichierTraite,1)</f>
        <v>'139</v>
      </c>
      <c r="M287" s="14">
        <f ca="1">INDEX(INDIRECT(zoneFichierTraite),$J287+offsetInitialFichierTraite,9)</f>
        <v>23.7</v>
      </c>
      <c r="N287" s="17">
        <f ca="1">INDEX(INDIRECT(zoneFichierTraite),$J287+offsetInitialFichierTraite,3)</f>
        <v>8050846090170</v>
      </c>
      <c r="O287" s="2" t="e">
        <f ca="1">MATCH(N287,INDIRECT(nomFichierEAN13Valmag &amp; "!A:A"),0)</f>
        <v>#N/A</v>
      </c>
      <c r="P287" s="2" t="e">
        <f ca="1">MATCH(R287,INDIRECT(nomFichierEAN13Valmag &amp; "!A:A"),0)</f>
        <v>#N/A</v>
      </c>
      <c r="Q287" s="2">
        <f ca="1">MATCH(LEFT(B287,14) &amp; "*",INDIRECT(nomFichierBaseCatalogue &amp; "!B:B"),0)</f>
        <v>1284</v>
      </c>
      <c r="R287" s="17">
        <f ca="1">IFERROR(INDEX(INDIRECT(zoneFichierBaseCatalogue),Q287,1),"")</f>
        <v>8050846090187</v>
      </c>
      <c r="S287" s="2">
        <f ca="1">MATCH(B287,INDIRECT(nomFichierFiltreCatalogue &amp; "!B:B"),0)</f>
        <v>380</v>
      </c>
      <c r="T287" s="17"/>
    </row>
    <row r="288" spans="1:20" s="24" customFormat="1" ht="15.75" customHeight="1" x14ac:dyDescent="0.25">
      <c r="A288" s="30">
        <f ca="1">INDEX(INDIRECT(zoneFichierTraite),$J287+offsetInitialFichierTraite,2)</f>
        <v>38</v>
      </c>
      <c r="B288" s="29" t="str">
        <f ca="1">IFERROR(INDEX(INDIRECT(zoneFichierEAN13Valmag),$P287,3),"")</f>
        <v/>
      </c>
      <c r="C288" s="22" t="str">
        <f ca="1">IFERROR(INDEX(INDIRECT(zoneFichierEAN13Valmag),$O287,3),"")</f>
        <v/>
      </c>
      <c r="D288" s="23" t="str">
        <f ca="1">IFERROR(INDEX(INDIRECT(zoneFichierEAN13Valmag),$O287,4),"")</f>
        <v/>
      </c>
      <c r="E288" s="38" t="str">
        <f ca="1">IFERROR(INDEX(INDIRECT(zoneFichierFiltreCatalogue),S287,3),"")</f>
        <v>p086-1-02</v>
      </c>
      <c r="F288" s="23"/>
      <c r="G288" s="21"/>
      <c r="H288" s="39" t="str">
        <f ca="1">IFERROR(INDEX(INDIRECT(zoneFichierFiltreCatalogue),S287,6),"")</f>
        <v>fall 2019 presentation_/catalogo fall 19.txt</v>
      </c>
      <c r="R288" s="25"/>
      <c r="S288" s="25"/>
    </row>
    <row r="289" spans="1:20" ht="39" customHeight="1" thickBot="1" x14ac:dyDescent="0.65">
      <c r="A289" s="11" t="str">
        <f ca="1">INDEX(INDIRECT(zoneFichierTraite),$J289+offsetInitialFichierTraite,6)</f>
        <v>UNICA</v>
      </c>
      <c r="B289" s="7" t="str">
        <f ca="1">INDEX(INDIRECT(zoneFichierTraite),$J289+offsetInitialFichierTraite,4)</f>
        <v>OBAGS601-TESBF-144</v>
      </c>
      <c r="C289" s="31" t="str">
        <f ca="1">INDEX(INDIRECT(zoneFichierTraite),$J289+offsetInitialFichierTraite,5)</f>
        <v>POCHETTE INTERIEURE SWITCH O BAG EN TISSU CORDURA CONTRASTE</v>
      </c>
      <c r="D289" s="32" t="str">
        <f ca="1">INDEX(INDIRECT(zoneFichierTraite),$J289+offsetInitialFichierTraite,13)</f>
        <v>ginestra</v>
      </c>
      <c r="E289" s="35">
        <f ca="1">INDEX(INDIRECT(zoneFichierTraite),$J289+offsetInitialFichierTraite,7)</f>
        <v>2</v>
      </c>
      <c r="F289" s="33">
        <f ca="1">INDEX(INDIRECT(zoneFichierTraite),$J289+offsetInitialFichierTraite,8)</f>
        <v>11.85</v>
      </c>
      <c r="G289" s="34">
        <f t="shared" ref="G289" ca="1" si="285">ROUNDUP(F289*3,0)</f>
        <v>36</v>
      </c>
      <c r="H289" s="37" t="str">
        <f t="shared" ref="H289" ca="1" si="286">IF(ISNUMBER(N289),codeEAN13(INT(N289/10)),"")</f>
        <v>8APASOG*ajabdc+</v>
      </c>
      <c r="J289" s="18">
        <f t="shared" si="264"/>
        <v>140</v>
      </c>
      <c r="L289" s="7" t="str">
        <f ca="1">INDEX(INDIRECT(zoneFichierTraite),$J289+offsetInitialFichierTraite,1)</f>
        <v>'140</v>
      </c>
      <c r="M289" s="14">
        <f ca="1">INDEX(INDIRECT(zoneFichierTraite),$J289+offsetInitialFichierTraite,9)</f>
        <v>23.7</v>
      </c>
      <c r="N289" s="17">
        <f ca="1">INDEX(INDIRECT(zoneFichierTraite),$J289+offsetInitialFichierTraite,3)</f>
        <v>8050846090132</v>
      </c>
      <c r="O289" s="2" t="e">
        <f ca="1">MATCH(N289,INDIRECT(nomFichierEAN13Valmag &amp; "!A:A"),0)</f>
        <v>#N/A</v>
      </c>
      <c r="P289" s="2" t="e">
        <f ca="1">MATCH(R289,INDIRECT(nomFichierEAN13Valmag &amp; "!A:A"),0)</f>
        <v>#N/A</v>
      </c>
      <c r="Q289" s="2">
        <f ca="1">MATCH(LEFT(B289,14) &amp; "*",INDIRECT(nomFichierBaseCatalogue &amp; "!B:B"),0)</f>
        <v>1284</v>
      </c>
      <c r="R289" s="17">
        <f ca="1">IFERROR(INDEX(INDIRECT(zoneFichierBaseCatalogue),Q289,1),"")</f>
        <v>8050846090187</v>
      </c>
      <c r="S289" s="2">
        <f ca="1">MATCH(B289,INDIRECT(nomFichierFiltreCatalogue &amp; "!B:B"),0)</f>
        <v>381</v>
      </c>
      <c r="T289" s="17"/>
    </row>
    <row r="290" spans="1:20" s="24" customFormat="1" ht="15.75" customHeight="1" x14ac:dyDescent="0.25">
      <c r="A290" s="30">
        <f ca="1">INDEX(INDIRECT(zoneFichierTraite),$J289+offsetInitialFichierTraite,2)</f>
        <v>217</v>
      </c>
      <c r="B290" s="29" t="str">
        <f ca="1">IFERROR(INDEX(INDIRECT(zoneFichierEAN13Valmag),$P289,3),"")</f>
        <v/>
      </c>
      <c r="C290" s="22" t="str">
        <f ca="1">IFERROR(INDEX(INDIRECT(zoneFichierEAN13Valmag),$O289,3),"")</f>
        <v/>
      </c>
      <c r="D290" s="23" t="str">
        <f ca="1">IFERROR(INDEX(INDIRECT(zoneFichierEAN13Valmag),$O289,4),"")</f>
        <v/>
      </c>
      <c r="E290" s="38" t="str">
        <f ca="1">IFERROR(INDEX(INDIRECT(zoneFichierFiltreCatalogue),S289,3),"")</f>
        <v>p086-1-03</v>
      </c>
      <c r="F290" s="23"/>
      <c r="G290" s="21"/>
      <c r="H290" s="39" t="str">
        <f ca="1">IFERROR(INDEX(INDIRECT(zoneFichierFiltreCatalogue),S289,6),"")</f>
        <v>fall 2019 presentation_/catalogo fall 19.txt</v>
      </c>
      <c r="R290" s="25"/>
      <c r="S290" s="25"/>
    </row>
    <row r="291" spans="1:20" ht="39" customHeight="1" thickBot="1" x14ac:dyDescent="0.65">
      <c r="A291" s="11" t="str">
        <f ca="1">INDEX(INDIRECT(zoneFichierTraite),$J291+offsetInitialFichierTraite,6)</f>
        <v>UNICA</v>
      </c>
      <c r="B291" s="7" t="str">
        <f ca="1">INDEX(INDIRECT(zoneFichierTraite),$J291+offsetInitialFichierTraite,4)</f>
        <v>OBAGS601-TESBH-017</v>
      </c>
      <c r="C291" s="31" t="str">
        <f ca="1">INDEX(INDIRECT(zoneFichierTraite),$J291+offsetInitialFichierTraite,5)</f>
        <v>POCHETTE INTERIEURE SWITCH O BAG EN TISSU JACQUARD MICRO FANTAISIE</v>
      </c>
      <c r="D291" s="32" t="str">
        <f ca="1">INDEX(INDIRECT(zoneFichierTraite),$J291+offsetInitialFichierTraite,13)</f>
        <v>blu navy</v>
      </c>
      <c r="E291" s="35">
        <f ca="1">INDEX(INDIRECT(zoneFichierTraite),$J291+offsetInitialFichierTraite,7)</f>
        <v>2</v>
      </c>
      <c r="F291" s="33">
        <f ca="1">INDEX(INDIRECT(zoneFichierTraite),$J291+offsetInitialFichierTraite,8)</f>
        <v>13.33</v>
      </c>
      <c r="G291" s="34">
        <f t="shared" ref="G291" ca="1" si="287">ROUNDUP(F291*3,0)</f>
        <v>40</v>
      </c>
      <c r="H291" s="37" t="str">
        <f t="shared" ref="H291" ca="1" si="288">IF(ISNUMBER(N291),codeEAN13(INT(N291/10)),"")</f>
        <v>8APASOG*aijjhg+</v>
      </c>
      <c r="J291" s="18">
        <f t="shared" si="264"/>
        <v>141</v>
      </c>
      <c r="L291" s="7" t="str">
        <f ca="1">INDEX(INDIRECT(zoneFichierTraite),$J291+offsetInitialFichierTraite,1)</f>
        <v>'141</v>
      </c>
      <c r="M291" s="14">
        <f ca="1">INDEX(INDIRECT(zoneFichierTraite),$J291+offsetInitialFichierTraite,9)</f>
        <v>26.66</v>
      </c>
      <c r="N291" s="17">
        <f ca="1">INDEX(INDIRECT(zoneFichierTraite),$J291+offsetInitialFichierTraite,3)</f>
        <v>8050846089976</v>
      </c>
      <c r="O291" s="2" t="e">
        <f ca="1">MATCH(N291,INDIRECT(nomFichierEAN13Valmag &amp; "!A:A"),0)</f>
        <v>#N/A</v>
      </c>
      <c r="P291" s="2" t="e">
        <f ca="1">MATCH(R291,INDIRECT(nomFichierEAN13Valmag &amp; "!A:A"),0)</f>
        <v>#N/A</v>
      </c>
      <c r="Q291" s="2">
        <f ca="1">MATCH(LEFT(B291,14) &amp; "*",INDIRECT(nomFichierBaseCatalogue &amp; "!B:B"),0)</f>
        <v>1287</v>
      </c>
      <c r="R291" s="17">
        <f ca="1">IFERROR(INDEX(INDIRECT(zoneFichierBaseCatalogue),Q291,1),"")</f>
        <v>8050846089976</v>
      </c>
      <c r="S291" s="2">
        <f ca="1">MATCH(B291,INDIRECT(nomFichierFiltreCatalogue &amp; "!B:B"),0)</f>
        <v>382</v>
      </c>
      <c r="T291" s="17"/>
    </row>
    <row r="292" spans="1:20" s="24" customFormat="1" ht="15.75" customHeight="1" x14ac:dyDescent="0.25">
      <c r="A292" s="30">
        <f ca="1">INDEX(INDIRECT(zoneFichierTraite),$J291+offsetInitialFichierTraite,2)</f>
        <v>176</v>
      </c>
      <c r="B292" s="29" t="str">
        <f ca="1">IFERROR(INDEX(INDIRECT(zoneFichierEAN13Valmag),$P291,3),"")</f>
        <v/>
      </c>
      <c r="C292" s="22" t="str">
        <f ca="1">IFERROR(INDEX(INDIRECT(zoneFichierEAN13Valmag),$O291,3),"")</f>
        <v/>
      </c>
      <c r="D292" s="23" t="str">
        <f ca="1">IFERROR(INDEX(INDIRECT(zoneFichierEAN13Valmag),$O291,4),"")</f>
        <v/>
      </c>
      <c r="E292" s="38" t="str">
        <f ca="1">IFERROR(INDEX(INDIRECT(zoneFichierFiltreCatalogue),S291,3),"")</f>
        <v>p086-2-01</v>
      </c>
      <c r="F292" s="23"/>
      <c r="G292" s="21"/>
      <c r="H292" s="39" t="str">
        <f ca="1">IFERROR(INDEX(INDIRECT(zoneFichierFiltreCatalogue),S291,6),"")</f>
        <v>fall 2019 presentation_/catalogo fall 19.txt</v>
      </c>
      <c r="R292" s="25"/>
      <c r="S292" s="25"/>
    </row>
    <row r="293" spans="1:20" ht="39" customHeight="1" thickBot="1" x14ac:dyDescent="0.65">
      <c r="A293" s="11" t="str">
        <f ca="1">INDEX(INDIRECT(zoneFichierTraite),$J293+offsetInitialFichierTraite,6)</f>
        <v>UNICA</v>
      </c>
      <c r="B293" s="7" t="str">
        <f ca="1">INDEX(INDIRECT(zoneFichierTraite),$J293+offsetInitialFichierTraite,4)</f>
        <v>OBAGS601-TESBM-227</v>
      </c>
      <c r="C293" s="31" t="str">
        <f ca="1">INDEX(INDIRECT(zoneFichierTraite),$J293+offsetInitialFichierTraite,5)</f>
        <v>POCHETTE INTERIEURE SWITCH O BAG EN TISSU IMPRIME GEOMETRIC LILY</v>
      </c>
      <c r="D293" s="32" t="str">
        <f ca="1">INDEX(INDIRECT(zoneFichierTraite),$J293+offsetInitialFichierTraite,13)</f>
        <v>bianco/nero</v>
      </c>
      <c r="E293" s="35">
        <f ca="1">INDEX(INDIRECT(zoneFichierTraite),$J293+offsetInitialFichierTraite,7)</f>
        <v>2</v>
      </c>
      <c r="F293" s="33">
        <f ca="1">INDEX(INDIRECT(zoneFichierTraite),$J293+offsetInitialFichierTraite,8)</f>
        <v>11.85</v>
      </c>
      <c r="G293" s="34">
        <f t="shared" ref="G293" ca="1" si="289">ROUNDUP(F293*3,0)</f>
        <v>36</v>
      </c>
      <c r="H293" s="37" t="str">
        <f t="shared" ref="H293" ca="1" si="290">IF(ISNUMBER(N293),codeEAN13(INT(N293/10)),"")</f>
        <v>8APASOG*ajacei+</v>
      </c>
      <c r="J293" s="18">
        <f t="shared" si="264"/>
        <v>142</v>
      </c>
      <c r="L293" s="7" t="str">
        <f ca="1">INDEX(INDIRECT(zoneFichierTraite),$J293+offsetInitialFichierTraite,1)</f>
        <v>'142</v>
      </c>
      <c r="M293" s="14">
        <f ca="1">INDEX(INDIRECT(zoneFichierTraite),$J293+offsetInitialFichierTraite,9)</f>
        <v>23.7</v>
      </c>
      <c r="N293" s="17">
        <f ca="1">INDEX(INDIRECT(zoneFichierTraite),$J293+offsetInitialFichierTraite,3)</f>
        <v>8050846090248</v>
      </c>
      <c r="O293" s="2" t="e">
        <f ca="1">MATCH(N293,INDIRECT(nomFichierEAN13Valmag &amp; "!A:A"),0)</f>
        <v>#N/A</v>
      </c>
      <c r="P293" s="2" t="e">
        <f ca="1">MATCH(R293,INDIRECT(nomFichierEAN13Valmag &amp; "!A:A"),0)</f>
        <v>#N/A</v>
      </c>
      <c r="Q293" s="2">
        <f ca="1">MATCH(LEFT(B293,14) &amp; "*",INDIRECT(nomFichierBaseCatalogue &amp; "!B:B"),0)</f>
        <v>1289</v>
      </c>
      <c r="R293" s="17">
        <f ca="1">IFERROR(INDEX(INDIRECT(zoneFichierBaseCatalogue),Q293,1),"")</f>
        <v>8050846090248</v>
      </c>
      <c r="S293" s="2">
        <f ca="1">MATCH(B293,INDIRECT(nomFichierFiltreCatalogue &amp; "!B:B"),0)</f>
        <v>384</v>
      </c>
      <c r="T293" s="17"/>
    </row>
    <row r="294" spans="1:20" s="24" customFormat="1" ht="15.75" customHeight="1" x14ac:dyDescent="0.25">
      <c r="A294" s="30">
        <f ca="1">INDEX(INDIRECT(zoneFichierTraite),$J293+offsetInitialFichierTraite,2)</f>
        <v>156</v>
      </c>
      <c r="B294" s="29" t="str">
        <f ca="1">IFERROR(INDEX(INDIRECT(zoneFichierEAN13Valmag),$P293,3),"")</f>
        <v/>
      </c>
      <c r="C294" s="22" t="str">
        <f ca="1">IFERROR(INDEX(INDIRECT(zoneFichierEAN13Valmag),$O293,3),"")</f>
        <v/>
      </c>
      <c r="D294" s="23" t="str">
        <f ca="1">IFERROR(INDEX(INDIRECT(zoneFichierEAN13Valmag),$O293,4),"")</f>
        <v/>
      </c>
      <c r="E294" s="38" t="str">
        <f ca="1">IFERROR(INDEX(INDIRECT(zoneFichierFiltreCatalogue),S293,3),"")</f>
        <v>p087-2-01</v>
      </c>
      <c r="F294" s="23"/>
      <c r="G294" s="21"/>
      <c r="H294" s="39" t="str">
        <f ca="1">IFERROR(INDEX(INDIRECT(zoneFichierFiltreCatalogue),S293,6),"")</f>
        <v>fall 2019 presentation_/catalogo fall 19.txt</v>
      </c>
      <c r="R294" s="25"/>
      <c r="S294" s="25"/>
    </row>
    <row r="295" spans="1:20" ht="39" customHeight="1" thickBot="1" x14ac:dyDescent="0.65">
      <c r="A295" s="11" t="str">
        <f ca="1">INDEX(INDIRECT(zoneFichierTraite),$J295+offsetInitialFichierTraite,6)</f>
        <v>UNICA</v>
      </c>
      <c r="B295" s="7" t="str">
        <f ca="1">INDEX(INDIRECT(zoneFichierTraite),$J295+offsetInitialFichierTraite,4)</f>
        <v>OBAGS602-TESBB-615</v>
      </c>
      <c r="C295" s="31" t="str">
        <f ca="1">INDEX(INDIRECT(zoneFichierTraite),$J295+offsetInitialFichierTraite,5)</f>
        <v>POCHETTE INTERIEURE SWITCH O BAG MINI EN TISSU IMPRIME DIANTHUS</v>
      </c>
      <c r="D295" s="32" t="str">
        <f ca="1">INDEX(INDIRECT(zoneFichierTraite),$J295+offsetInitialFichierTraite,13)</f>
        <v>military</v>
      </c>
      <c r="E295" s="35">
        <f ca="1">INDEX(INDIRECT(zoneFichierTraite),$J295+offsetInitialFichierTraite,7)</f>
        <v>2</v>
      </c>
      <c r="F295" s="33">
        <f ca="1">INDEX(INDIRECT(zoneFichierTraite),$J295+offsetInitialFichierTraite,8)</f>
        <v>13.33</v>
      </c>
      <c r="G295" s="34">
        <f t="shared" ref="G295" ca="1" si="291">ROUNDUP(F295*3,0)</f>
        <v>40</v>
      </c>
      <c r="H295" s="37" t="str">
        <f t="shared" ref="H295" ca="1" si="292">IF(ISNUMBER(N295),codeEAN13(INT(N295/10)),"")</f>
        <v>8APASOG*ajahib+</v>
      </c>
      <c r="J295" s="18">
        <f t="shared" si="264"/>
        <v>143</v>
      </c>
      <c r="L295" s="7" t="str">
        <f ca="1">INDEX(INDIRECT(zoneFichierTraite),$J295+offsetInitialFichierTraite,1)</f>
        <v>'143</v>
      </c>
      <c r="M295" s="14">
        <f ca="1">INDEX(INDIRECT(zoneFichierTraite),$J295+offsetInitialFichierTraite,9)</f>
        <v>26.66</v>
      </c>
      <c r="N295" s="17">
        <f ca="1">INDEX(INDIRECT(zoneFichierTraite),$J295+offsetInitialFichierTraite,3)</f>
        <v>8050846090781</v>
      </c>
      <c r="O295" s="2" t="e">
        <f ca="1">MATCH(N295,INDIRECT(nomFichierEAN13Valmag &amp; "!A:A"),0)</f>
        <v>#N/A</v>
      </c>
      <c r="P295" s="2" t="e">
        <f ca="1">MATCH(R295,INDIRECT(nomFichierEAN13Valmag &amp; "!A:A"),0)</f>
        <v>#N/A</v>
      </c>
      <c r="Q295" s="2">
        <f ca="1">MATCH(LEFT(B295,14) &amp; "*",INDIRECT(nomFichierBaseCatalogue &amp; "!B:B"),0)</f>
        <v>1304</v>
      </c>
      <c r="R295" s="17">
        <f ca="1">IFERROR(INDEX(INDIRECT(zoneFichierBaseCatalogue),Q295,1),"")</f>
        <v>8050846090781</v>
      </c>
      <c r="S295" s="2">
        <f ca="1">MATCH(B295,INDIRECT(nomFichierFiltreCatalogue &amp; "!B:B"),0)</f>
        <v>402</v>
      </c>
      <c r="T295" s="17"/>
    </row>
    <row r="296" spans="1:20" s="24" customFormat="1" ht="15.75" customHeight="1" x14ac:dyDescent="0.25">
      <c r="A296" s="30">
        <f ca="1">INDEX(INDIRECT(zoneFichierTraite),$J295+offsetInitialFichierTraite,2)</f>
        <v>180</v>
      </c>
      <c r="B296" s="29" t="str">
        <f ca="1">IFERROR(INDEX(INDIRECT(zoneFichierEAN13Valmag),$P295,3),"")</f>
        <v/>
      </c>
      <c r="C296" s="22" t="str">
        <f ca="1">IFERROR(INDEX(INDIRECT(zoneFichierEAN13Valmag),$O295,3),"")</f>
        <v/>
      </c>
      <c r="D296" s="23" t="str">
        <f ca="1">IFERROR(INDEX(INDIRECT(zoneFichierEAN13Valmag),$O295,4),"")</f>
        <v/>
      </c>
      <c r="E296" s="38" t="str">
        <f ca="1">IFERROR(INDEX(INDIRECT(zoneFichierFiltreCatalogue),S295,3),"")</f>
        <v>p092-1-01</v>
      </c>
      <c r="F296" s="23"/>
      <c r="G296" s="21"/>
      <c r="H296" s="39" t="str">
        <f ca="1">IFERROR(INDEX(INDIRECT(zoneFichierFiltreCatalogue),S295,6),"")</f>
        <v>fall 2019 presentation_/catalogo fall 19.txt</v>
      </c>
      <c r="R296" s="25"/>
      <c r="S296" s="25"/>
    </row>
    <row r="297" spans="1:20" ht="39" customHeight="1" thickBot="1" x14ac:dyDescent="0.65">
      <c r="A297" s="11" t="str">
        <f ca="1">INDEX(INDIRECT(zoneFichierTraite),$J297+offsetInitialFichierTraite,6)</f>
        <v>UNICA</v>
      </c>
      <c r="B297" s="7" t="str">
        <f ca="1">INDEX(INDIRECT(zoneFichierTraite),$J297+offsetInitialFichierTraite,4)</f>
        <v>OBAGS602-TESBD-227</v>
      </c>
      <c r="C297" s="31" t="str">
        <f ca="1">INDEX(INDIRECT(zoneFichierTraite),$J297+offsetInitialFichierTraite,5)</f>
        <v>POCHETTE INTERIEURE SWITCH O BAG MINI EN TISSU CHECK EFFET LAINE</v>
      </c>
      <c r="D297" s="32" t="str">
        <f ca="1">INDEX(INDIRECT(zoneFichierTraite),$J297+offsetInitialFichierTraite,13)</f>
        <v>bianco/nero</v>
      </c>
      <c r="E297" s="35">
        <f ca="1">INDEX(INDIRECT(zoneFichierTraite),$J297+offsetInitialFichierTraite,7)</f>
        <v>2</v>
      </c>
      <c r="F297" s="33">
        <f ca="1">INDEX(INDIRECT(zoneFichierTraite),$J297+offsetInitialFichierTraite,8)</f>
        <v>11.85</v>
      </c>
      <c r="G297" s="34">
        <f t="shared" ref="G297" ca="1" si="293">ROUNDUP(F297*3,0)</f>
        <v>36</v>
      </c>
      <c r="H297" s="37" t="str">
        <f t="shared" ref="H297" ca="1" si="294">IF(ISNUMBER(N297),codeEAN13(INT(N297/10)),"")</f>
        <v>8APASOG*ajaiec+</v>
      </c>
      <c r="J297" s="18">
        <f t="shared" si="264"/>
        <v>144</v>
      </c>
      <c r="L297" s="7" t="str">
        <f ca="1">INDEX(INDIRECT(zoneFichierTraite),$J297+offsetInitialFichierTraite,1)</f>
        <v>'144</v>
      </c>
      <c r="M297" s="14">
        <f ca="1">INDEX(INDIRECT(zoneFichierTraite),$J297+offsetInitialFichierTraite,9)</f>
        <v>23.7</v>
      </c>
      <c r="N297" s="17">
        <f ca="1">INDEX(INDIRECT(zoneFichierTraite),$J297+offsetInitialFichierTraite,3)</f>
        <v>8050846090842</v>
      </c>
      <c r="O297" s="2" t="e">
        <f ca="1">MATCH(N297,INDIRECT(nomFichierEAN13Valmag &amp; "!A:A"),0)</f>
        <v>#N/A</v>
      </c>
      <c r="P297" s="2" t="e">
        <f ca="1">MATCH(R297,INDIRECT(nomFichierEAN13Valmag &amp; "!A:A"),0)</f>
        <v>#N/A</v>
      </c>
      <c r="Q297" s="2">
        <f ca="1">MATCH(LEFT(B297,14) &amp; "*",INDIRECT(nomFichierBaseCatalogue &amp; "!B:B"),0)</f>
        <v>1305</v>
      </c>
      <c r="R297" s="17">
        <f ca="1">IFERROR(INDEX(INDIRECT(zoneFichierBaseCatalogue),Q297,1),"")</f>
        <v>8050846090842</v>
      </c>
      <c r="S297" s="2">
        <f ca="1">MATCH(B297,INDIRECT(nomFichierFiltreCatalogue &amp; "!B:B"),0)</f>
        <v>403</v>
      </c>
      <c r="T297" s="17"/>
    </row>
    <row r="298" spans="1:20" s="24" customFormat="1" ht="15.75" customHeight="1" x14ac:dyDescent="0.25">
      <c r="A298" s="30">
        <f ca="1">INDEX(INDIRECT(zoneFichierTraite),$J297+offsetInitialFichierTraite,2)</f>
        <v>107</v>
      </c>
      <c r="B298" s="29" t="str">
        <f ca="1">IFERROR(INDEX(INDIRECT(zoneFichierEAN13Valmag),$P297,3),"")</f>
        <v/>
      </c>
      <c r="C298" s="22" t="str">
        <f ca="1">IFERROR(INDEX(INDIRECT(zoneFichierEAN13Valmag),$O297,3),"")</f>
        <v/>
      </c>
      <c r="D298" s="23" t="str">
        <f ca="1">IFERROR(INDEX(INDIRECT(zoneFichierEAN13Valmag),$O297,4),"")</f>
        <v/>
      </c>
      <c r="E298" s="38" t="str">
        <f ca="1">IFERROR(INDEX(INDIRECT(zoneFichierFiltreCatalogue),S297,3),"")</f>
        <v>p092-2-01</v>
      </c>
      <c r="F298" s="23"/>
      <c r="G298" s="21"/>
      <c r="H298" s="39" t="str">
        <f ca="1">IFERROR(INDEX(INDIRECT(zoneFichierFiltreCatalogue),S297,6),"")</f>
        <v>fall 2019 presentation_/catalogo fall 19.txt</v>
      </c>
      <c r="R298" s="25"/>
      <c r="S298" s="25"/>
    </row>
    <row r="299" spans="1:20" ht="39" customHeight="1" thickBot="1" x14ac:dyDescent="0.65">
      <c r="A299" s="11" t="str">
        <f ca="1">INDEX(INDIRECT(zoneFichierTraite),$J299+offsetInitialFichierTraite,6)</f>
        <v>UNICA</v>
      </c>
      <c r="B299" s="7" t="str">
        <f ca="1">INDEX(INDIRECT(zoneFichierTraite),$J299+offsetInitialFichierTraite,4)</f>
        <v>OBAGS602-TESBF-076</v>
      </c>
      <c r="C299" s="31" t="str">
        <f ca="1">INDEX(INDIRECT(zoneFichierTraite),$J299+offsetInitialFichierTraite,5)</f>
        <v>POCHETTE INTERIEURE SWITCH O BAG MINI EN TISSU CORDURA CONTRASTE</v>
      </c>
      <c r="D299" s="32" t="str">
        <f ca="1">INDEX(INDIRECT(zoneFichierTraite),$J299+offsetInitialFichierTraite,13)</f>
        <v>rosso</v>
      </c>
      <c r="E299" s="35">
        <f ca="1">INDEX(INDIRECT(zoneFichierTraite),$J299+offsetInitialFichierTraite,7)</f>
        <v>2</v>
      </c>
      <c r="F299" s="33">
        <f ca="1">INDEX(INDIRECT(zoneFichierTraite),$J299+offsetInitialFichierTraite,8)</f>
        <v>11.85</v>
      </c>
      <c r="G299" s="34">
        <f t="shared" ref="G299" ca="1" si="295">ROUNDUP(F299*3,0)</f>
        <v>36</v>
      </c>
      <c r="H299" s="37" t="str">
        <f t="shared" ref="H299" ca="1" si="296">IF(ISNUMBER(N299),codeEAN13(INT(N299/10)),"")</f>
        <v>8APASOG*ajajfi+</v>
      </c>
      <c r="J299" s="18">
        <f t="shared" si="264"/>
        <v>145</v>
      </c>
      <c r="L299" s="7" t="str">
        <f ca="1">INDEX(INDIRECT(zoneFichierTraite),$J299+offsetInitialFichierTraite,1)</f>
        <v>'145</v>
      </c>
      <c r="M299" s="14">
        <f ca="1">INDEX(INDIRECT(zoneFichierTraite),$J299+offsetInitialFichierTraite,9)</f>
        <v>23.7</v>
      </c>
      <c r="N299" s="17">
        <f ca="1">INDEX(INDIRECT(zoneFichierTraite),$J299+offsetInitialFichierTraite,3)</f>
        <v>8050846090958</v>
      </c>
      <c r="O299" s="2" t="e">
        <f ca="1">MATCH(N299,INDIRECT(nomFichierEAN13Valmag &amp; "!A:A"),0)</f>
        <v>#N/A</v>
      </c>
      <c r="P299" s="2" t="e">
        <f ca="1">MATCH(R299,INDIRECT(nomFichierEAN13Valmag &amp; "!A:A"),0)</f>
        <v>#N/A</v>
      </c>
      <c r="Q299" s="2">
        <f ca="1">MATCH(LEFT(B299,14) &amp; "*",INDIRECT(nomFichierBaseCatalogue &amp; "!B:B"),0)</f>
        <v>1306</v>
      </c>
      <c r="R299" s="17">
        <f ca="1">IFERROR(INDEX(INDIRECT(zoneFichierBaseCatalogue),Q299,1),"")</f>
        <v>8050846090958</v>
      </c>
      <c r="S299" s="2">
        <f ca="1">MATCH(B299,INDIRECT(nomFichierFiltreCatalogue &amp; "!B:B"),0)</f>
        <v>404</v>
      </c>
      <c r="T299" s="17"/>
    </row>
    <row r="300" spans="1:20" s="24" customFormat="1" ht="15.75" customHeight="1" x14ac:dyDescent="0.25">
      <c r="A300" s="30">
        <f ca="1">INDEX(INDIRECT(zoneFichierTraite),$J299+offsetInitialFichierTraite,2)</f>
        <v>152</v>
      </c>
      <c r="B300" s="29" t="str">
        <f ca="1">IFERROR(INDEX(INDIRECT(zoneFichierEAN13Valmag),$P299,3),"")</f>
        <v/>
      </c>
      <c r="C300" s="22" t="str">
        <f ca="1">IFERROR(INDEX(INDIRECT(zoneFichierEAN13Valmag),$O299,3),"")</f>
        <v/>
      </c>
      <c r="D300" s="23" t="str">
        <f ca="1">IFERROR(INDEX(INDIRECT(zoneFichierEAN13Valmag),$O299,4),"")</f>
        <v/>
      </c>
      <c r="E300" s="38" t="str">
        <f ca="1">IFERROR(INDEX(INDIRECT(zoneFichierFiltreCatalogue),S299,3),"")</f>
        <v>p093-1-01</v>
      </c>
      <c r="F300" s="23"/>
      <c r="G300" s="21"/>
      <c r="H300" s="39" t="str">
        <f ca="1">IFERROR(INDEX(INDIRECT(zoneFichierFiltreCatalogue),S299,6),"")</f>
        <v>fall 2019 presentation_/catalogo fall 19.txt</v>
      </c>
      <c r="R300" s="25"/>
      <c r="S300" s="25"/>
    </row>
    <row r="301" spans="1:20" ht="39" customHeight="1" thickBot="1" x14ac:dyDescent="0.65">
      <c r="A301" s="11" t="str">
        <f ca="1">INDEX(INDIRECT(zoneFichierTraite),$J301+offsetInitialFichierTraite,6)</f>
        <v>UNICA</v>
      </c>
      <c r="B301" s="7" t="str">
        <f ca="1">INDEX(INDIRECT(zoneFichierTraite),$J301+offsetInitialFichierTraite,4)</f>
        <v>OBAGS602-TESBF-137</v>
      </c>
      <c r="C301" s="31" t="str">
        <f ca="1">INDEX(INDIRECT(zoneFichierTraite),$J301+offsetInitialFichierTraite,5)</f>
        <v>POCHETTE INTERIEURE SWITCH O BAG MINI EN TISSU CORDURA CONTRASTE</v>
      </c>
      <c r="D301" s="32" t="str">
        <f ca="1">INDEX(INDIRECT(zoneFichierTraite),$J301+offsetInitialFichierTraite,13)</f>
        <v>bluette</v>
      </c>
      <c r="E301" s="35">
        <f ca="1">INDEX(INDIRECT(zoneFichierTraite),$J301+offsetInitialFichierTraite,7)</f>
        <v>2</v>
      </c>
      <c r="F301" s="33">
        <f ca="1">INDEX(INDIRECT(zoneFichierTraite),$J301+offsetInitialFichierTraite,8)</f>
        <v>11.85</v>
      </c>
      <c r="G301" s="34">
        <f t="shared" ref="G301" ca="1" si="297">ROUNDUP(F301*3,0)</f>
        <v>36</v>
      </c>
      <c r="H301" s="37" t="str">
        <f t="shared" ref="H301" ca="1" si="298">IF(ISNUMBER(N301),codeEAN13(INT(N301/10)),"")</f>
        <v>8APASOG*ajajeb+</v>
      </c>
      <c r="J301" s="18">
        <f t="shared" si="264"/>
        <v>146</v>
      </c>
      <c r="L301" s="7" t="str">
        <f ca="1">INDEX(INDIRECT(zoneFichierTraite),$J301+offsetInitialFichierTraite,1)</f>
        <v>'146</v>
      </c>
      <c r="M301" s="14">
        <f ca="1">INDEX(INDIRECT(zoneFichierTraite),$J301+offsetInitialFichierTraite,9)</f>
        <v>23.7</v>
      </c>
      <c r="N301" s="17">
        <f ca="1">INDEX(INDIRECT(zoneFichierTraite),$J301+offsetInitialFichierTraite,3)</f>
        <v>8050846090941</v>
      </c>
      <c r="O301" s="2" t="e">
        <f ca="1">MATCH(N301,INDIRECT(nomFichierEAN13Valmag &amp; "!A:A"),0)</f>
        <v>#N/A</v>
      </c>
      <c r="P301" s="2" t="e">
        <f ca="1">MATCH(R301,INDIRECT(nomFichierEAN13Valmag &amp; "!A:A"),0)</f>
        <v>#N/A</v>
      </c>
      <c r="Q301" s="2">
        <f ca="1">MATCH(LEFT(B301,14) &amp; "*",INDIRECT(nomFichierBaseCatalogue &amp; "!B:B"),0)</f>
        <v>1306</v>
      </c>
      <c r="R301" s="17">
        <f ca="1">IFERROR(INDEX(INDIRECT(zoneFichierBaseCatalogue),Q301,1),"")</f>
        <v>8050846090958</v>
      </c>
      <c r="S301" s="2">
        <f ca="1">MATCH(B301,INDIRECT(nomFichierFiltreCatalogue &amp; "!B:B"),0)</f>
        <v>405</v>
      </c>
      <c r="T301" s="17"/>
    </row>
    <row r="302" spans="1:20" s="24" customFormat="1" ht="15.75" customHeight="1" x14ac:dyDescent="0.25">
      <c r="A302" s="30">
        <f ca="1">INDEX(INDIRECT(zoneFichierTraite),$J301+offsetInitialFichierTraite,2)</f>
        <v>35</v>
      </c>
      <c r="B302" s="29" t="str">
        <f ca="1">IFERROR(INDEX(INDIRECT(zoneFichierEAN13Valmag),$P301,3),"")</f>
        <v/>
      </c>
      <c r="C302" s="22" t="str">
        <f ca="1">IFERROR(INDEX(INDIRECT(zoneFichierEAN13Valmag),$O301,3),"")</f>
        <v/>
      </c>
      <c r="D302" s="23" t="str">
        <f ca="1">IFERROR(INDEX(INDIRECT(zoneFichierEAN13Valmag),$O301,4),"")</f>
        <v/>
      </c>
      <c r="E302" s="38" t="str">
        <f ca="1">IFERROR(INDEX(INDIRECT(zoneFichierFiltreCatalogue),S301,3),"")</f>
        <v>p093-1-02</v>
      </c>
      <c r="F302" s="23"/>
      <c r="G302" s="21"/>
      <c r="H302" s="39" t="str">
        <f ca="1">IFERROR(INDEX(INDIRECT(zoneFichierFiltreCatalogue),S301,6),"")</f>
        <v>fall 2019 presentation_/catalogo fall 19.txt</v>
      </c>
      <c r="R302" s="25"/>
      <c r="S302" s="25"/>
    </row>
    <row r="303" spans="1:20" ht="39" customHeight="1" thickBot="1" x14ac:dyDescent="0.65">
      <c r="A303" s="11" t="str">
        <f ca="1">INDEX(INDIRECT(zoneFichierTraite),$J303+offsetInitialFichierTraite,6)</f>
        <v>UNICA</v>
      </c>
      <c r="B303" s="7" t="str">
        <f ca="1">INDEX(INDIRECT(zoneFichierTraite),$J303+offsetInitialFichierTraite,4)</f>
        <v>OBAGS602-TESBF-144</v>
      </c>
      <c r="C303" s="31" t="str">
        <f ca="1">INDEX(INDIRECT(zoneFichierTraite),$J303+offsetInitialFichierTraite,5)</f>
        <v>POCHETTE INTERIEURE SWITCH O BAG MINI EN TISSU CORDURA CONTRASTE</v>
      </c>
      <c r="D303" s="32" t="str">
        <f ca="1">INDEX(INDIRECT(zoneFichierTraite),$J303+offsetInitialFichierTraite,13)</f>
        <v>ginestra</v>
      </c>
      <c r="E303" s="35">
        <f ca="1">INDEX(INDIRECT(zoneFichierTraite),$J303+offsetInitialFichierTraite,7)</f>
        <v>2</v>
      </c>
      <c r="F303" s="33">
        <f ca="1">INDEX(INDIRECT(zoneFichierTraite),$J303+offsetInitialFichierTraite,8)</f>
        <v>11.85</v>
      </c>
      <c r="G303" s="34">
        <f t="shared" ref="G303" ca="1" si="299">ROUNDUP(F303*3,0)</f>
        <v>36</v>
      </c>
      <c r="H303" s="37" t="str">
        <f t="shared" ref="H303" ca="1" si="300">IF(ISNUMBER(N303),codeEAN13(INT(N303/10)),"")</f>
        <v>8APASOG*ajajad+</v>
      </c>
      <c r="J303" s="18">
        <f t="shared" si="264"/>
        <v>147</v>
      </c>
      <c r="L303" s="7" t="str">
        <f ca="1">INDEX(INDIRECT(zoneFichierTraite),$J303+offsetInitialFichierTraite,1)</f>
        <v>'147</v>
      </c>
      <c r="M303" s="14">
        <f ca="1">INDEX(INDIRECT(zoneFichierTraite),$J303+offsetInitialFichierTraite,9)</f>
        <v>23.7</v>
      </c>
      <c r="N303" s="17">
        <f ca="1">INDEX(INDIRECT(zoneFichierTraite),$J303+offsetInitialFichierTraite,3)</f>
        <v>8050846090903</v>
      </c>
      <c r="O303" s="2" t="e">
        <f ca="1">MATCH(N303,INDIRECT(nomFichierEAN13Valmag &amp; "!A:A"),0)</f>
        <v>#N/A</v>
      </c>
      <c r="P303" s="2" t="e">
        <f ca="1">MATCH(R303,INDIRECT(nomFichierEAN13Valmag &amp; "!A:A"),0)</f>
        <v>#N/A</v>
      </c>
      <c r="Q303" s="2">
        <f ca="1">MATCH(LEFT(B303,14) &amp; "*",INDIRECT(nomFichierBaseCatalogue &amp; "!B:B"),0)</f>
        <v>1306</v>
      </c>
      <c r="R303" s="17">
        <f ca="1">IFERROR(INDEX(INDIRECT(zoneFichierBaseCatalogue),Q303,1),"")</f>
        <v>8050846090958</v>
      </c>
      <c r="S303" s="2">
        <f ca="1">MATCH(B303,INDIRECT(nomFichierFiltreCatalogue &amp; "!B:B"),0)</f>
        <v>406</v>
      </c>
      <c r="T303" s="17"/>
    </row>
    <row r="304" spans="1:20" s="24" customFormat="1" ht="15.75" customHeight="1" x14ac:dyDescent="0.25">
      <c r="A304" s="30">
        <f ca="1">INDEX(INDIRECT(zoneFichierTraite),$J303+offsetInitialFichierTraite,2)</f>
        <v>130</v>
      </c>
      <c r="B304" s="29" t="str">
        <f ca="1">IFERROR(INDEX(INDIRECT(zoneFichierEAN13Valmag),$P303,3),"")</f>
        <v/>
      </c>
      <c r="C304" s="22" t="str">
        <f ca="1">IFERROR(INDEX(INDIRECT(zoneFichierEAN13Valmag),$O303,3),"")</f>
        <v/>
      </c>
      <c r="D304" s="23" t="str">
        <f ca="1">IFERROR(INDEX(INDIRECT(zoneFichierEAN13Valmag),$O303,4),"")</f>
        <v/>
      </c>
      <c r="E304" s="38" t="str">
        <f ca="1">IFERROR(INDEX(INDIRECT(zoneFichierFiltreCatalogue),S303,3),"")</f>
        <v>p093-1-03</v>
      </c>
      <c r="F304" s="23"/>
      <c r="G304" s="21"/>
      <c r="H304" s="39" t="str">
        <f ca="1">IFERROR(INDEX(INDIRECT(zoneFichierFiltreCatalogue),S303,6),"")</f>
        <v>fall 2019 presentation_/catalogo fall 19.txt</v>
      </c>
      <c r="R304" s="25"/>
      <c r="S304" s="25"/>
    </row>
    <row r="305" spans="1:20" ht="39" customHeight="1" thickBot="1" x14ac:dyDescent="0.65">
      <c r="A305" s="11" t="str">
        <f ca="1">INDEX(INDIRECT(zoneFichierTraite),$J305+offsetInitialFichierTraite,6)</f>
        <v>UNICA</v>
      </c>
      <c r="B305" s="7" t="str">
        <f ca="1">INDEX(INDIRECT(zoneFichierTraite),$J305+offsetInitialFichierTraite,4)</f>
        <v>OBAGS602-TESBH-017</v>
      </c>
      <c r="C305" s="31" t="str">
        <f ca="1">INDEX(INDIRECT(zoneFichierTraite),$J305+offsetInitialFichierTraite,5)</f>
        <v>POCHETTE INTERIEURE SWITCH O BAG MINI EN TISSU JACQUARD MICRO FANTAISIE</v>
      </c>
      <c r="D305" s="32" t="str">
        <f ca="1">INDEX(INDIRECT(zoneFichierTraite),$J305+offsetInitialFichierTraite,13)</f>
        <v>blu navy</v>
      </c>
      <c r="E305" s="35">
        <f ca="1">INDEX(INDIRECT(zoneFichierTraite),$J305+offsetInitialFichierTraite,7)</f>
        <v>2</v>
      </c>
      <c r="F305" s="33">
        <f ca="1">INDEX(INDIRECT(zoneFichierTraite),$J305+offsetInitialFichierTraite,8)</f>
        <v>13.33</v>
      </c>
      <c r="G305" s="34">
        <f t="shared" ref="G305" ca="1" si="301">ROUNDUP(F305*3,0)</f>
        <v>40</v>
      </c>
      <c r="H305" s="37" t="str">
        <f t="shared" ref="H305" ca="1" si="302">IF(ISNUMBER(N305),codeEAN13(INT(N305/10)),"")</f>
        <v>8APASOG*ajahhe+</v>
      </c>
      <c r="J305" s="18">
        <f t="shared" si="264"/>
        <v>148</v>
      </c>
      <c r="L305" s="7" t="str">
        <f ca="1">INDEX(INDIRECT(zoneFichierTraite),$J305+offsetInitialFichierTraite,1)</f>
        <v>'148</v>
      </c>
      <c r="M305" s="14">
        <f ca="1">INDEX(INDIRECT(zoneFichierTraite),$J305+offsetInitialFichierTraite,9)</f>
        <v>26.66</v>
      </c>
      <c r="N305" s="17">
        <f ca="1">INDEX(INDIRECT(zoneFichierTraite),$J305+offsetInitialFichierTraite,3)</f>
        <v>8050846090774</v>
      </c>
      <c r="O305" s="2" t="e">
        <f ca="1">MATCH(N305,INDIRECT(nomFichierEAN13Valmag &amp; "!A:A"),0)</f>
        <v>#N/A</v>
      </c>
      <c r="P305" s="2" t="e">
        <f ca="1">MATCH(R305,INDIRECT(nomFichierEAN13Valmag &amp; "!A:A"),0)</f>
        <v>#N/A</v>
      </c>
      <c r="Q305" s="2">
        <f ca="1">MATCH(LEFT(B305,14) &amp; "*",INDIRECT(nomFichierBaseCatalogue &amp; "!B:B"),0)</f>
        <v>1309</v>
      </c>
      <c r="R305" s="17">
        <f ca="1">IFERROR(INDEX(INDIRECT(zoneFichierBaseCatalogue),Q305,1),"")</f>
        <v>8050846090774</v>
      </c>
      <c r="S305" s="2">
        <f ca="1">MATCH(B305,INDIRECT(nomFichierFiltreCatalogue &amp; "!B:B"),0)</f>
        <v>407</v>
      </c>
      <c r="T305" s="17"/>
    </row>
    <row r="306" spans="1:20" s="24" customFormat="1" ht="15.75" customHeight="1" x14ac:dyDescent="0.25">
      <c r="A306" s="30">
        <f ca="1">INDEX(INDIRECT(zoneFichierTraite),$J305+offsetInitialFichierTraite,2)</f>
        <v>5</v>
      </c>
      <c r="B306" s="29" t="str">
        <f ca="1">IFERROR(INDEX(INDIRECT(zoneFichierEAN13Valmag),$P305,3),"")</f>
        <v/>
      </c>
      <c r="C306" s="22" t="str">
        <f ca="1">IFERROR(INDEX(INDIRECT(zoneFichierEAN13Valmag),$O305,3),"")</f>
        <v/>
      </c>
      <c r="D306" s="23" t="str">
        <f ca="1">IFERROR(INDEX(INDIRECT(zoneFichierEAN13Valmag),$O305,4),"")</f>
        <v/>
      </c>
      <c r="E306" s="38" t="str">
        <f ca="1">IFERROR(INDEX(INDIRECT(zoneFichierFiltreCatalogue),S305,3),"")</f>
        <v>p093-2-01</v>
      </c>
      <c r="F306" s="23"/>
      <c r="G306" s="21"/>
      <c r="H306" s="39" t="str">
        <f ca="1">IFERROR(INDEX(INDIRECT(zoneFichierFiltreCatalogue),S305,6),"")</f>
        <v>fall 2019 presentation_/catalogo fall 19.txt</v>
      </c>
      <c r="R306" s="25"/>
      <c r="S306" s="25"/>
    </row>
    <row r="307" spans="1:20" ht="39" customHeight="1" thickBot="1" x14ac:dyDescent="0.65">
      <c r="A307" s="11" t="str">
        <f ca="1">INDEX(INDIRECT(zoneFichierTraite),$J307+offsetInitialFichierTraite,6)</f>
        <v>UNICA</v>
      </c>
      <c r="B307" s="7" t="str">
        <f ca="1">INDEX(INDIRECT(zoneFichierTraite),$J307+offsetInitialFichierTraite,4)</f>
        <v>OBAGS602-TESBM-227</v>
      </c>
      <c r="C307" s="31" t="str">
        <f ca="1">INDEX(INDIRECT(zoneFichierTraite),$J307+offsetInitialFichierTraite,5)</f>
        <v>POCHETTE INTERIEURE SWITCH O BAG MINI EN TISSU IMPRIME GEOMETRIC LILY</v>
      </c>
      <c r="D307" s="32" t="str">
        <f ca="1">INDEX(INDIRECT(zoneFichierTraite),$J307+offsetInitialFichierTraite,13)</f>
        <v>bianco/nero</v>
      </c>
      <c r="E307" s="35">
        <f ca="1">INDEX(INDIRECT(zoneFichierTraite),$J307+offsetInitialFichierTraite,7)</f>
        <v>2</v>
      </c>
      <c r="F307" s="33">
        <f ca="1">INDEX(INDIRECT(zoneFichierTraite),$J307+offsetInitialFichierTraite,8)</f>
        <v>11.85</v>
      </c>
      <c r="G307" s="34">
        <f t="shared" ref="G307" ca="1" si="303">ROUNDUP(F307*3,0)</f>
        <v>36</v>
      </c>
      <c r="H307" s="37" t="str">
        <f t="shared" ref="H307" ca="1" si="304">IF(ISNUMBER(N307),codeEAN13(INT(N307/10)),"")</f>
        <v>8APASOG*ajbbcc+</v>
      </c>
      <c r="J307" s="18">
        <f t="shared" si="264"/>
        <v>149</v>
      </c>
      <c r="L307" s="7" t="str">
        <f ca="1">INDEX(INDIRECT(zoneFichierTraite),$J307+offsetInitialFichierTraite,1)</f>
        <v>'149</v>
      </c>
      <c r="M307" s="14">
        <f ca="1">INDEX(INDIRECT(zoneFichierTraite),$J307+offsetInitialFichierTraite,9)</f>
        <v>23.7</v>
      </c>
      <c r="N307" s="17">
        <f ca="1">INDEX(INDIRECT(zoneFichierTraite),$J307+offsetInitialFichierTraite,3)</f>
        <v>8050846091122</v>
      </c>
      <c r="O307" s="2" t="e">
        <f ca="1">MATCH(N307,INDIRECT(nomFichierEAN13Valmag &amp; "!A:A"),0)</f>
        <v>#N/A</v>
      </c>
      <c r="P307" s="2" t="e">
        <f ca="1">MATCH(R307,INDIRECT(nomFichierEAN13Valmag &amp; "!A:A"),0)</f>
        <v>#N/A</v>
      </c>
      <c r="Q307" s="2">
        <f ca="1">MATCH(LEFT(B307,14) &amp; "*",INDIRECT(nomFichierBaseCatalogue &amp; "!B:B"),0)</f>
        <v>1311</v>
      </c>
      <c r="R307" s="17">
        <f ca="1">IFERROR(INDEX(INDIRECT(zoneFichierBaseCatalogue),Q307,1),"")</f>
        <v>8050846091122</v>
      </c>
      <c r="S307" s="2">
        <f ca="1">MATCH(B307,INDIRECT(nomFichierFiltreCatalogue &amp; "!B:B"),0)</f>
        <v>409</v>
      </c>
      <c r="T307" s="17"/>
    </row>
    <row r="308" spans="1:20" s="24" customFormat="1" ht="15.75" customHeight="1" x14ac:dyDescent="0.25">
      <c r="A308" s="30">
        <f ca="1">INDEX(INDIRECT(zoneFichierTraite),$J307+offsetInitialFichierTraite,2)</f>
        <v>206</v>
      </c>
      <c r="B308" s="29" t="str">
        <f ca="1">IFERROR(INDEX(INDIRECT(zoneFichierEAN13Valmag),$P307,3),"")</f>
        <v/>
      </c>
      <c r="C308" s="22" t="str">
        <f ca="1">IFERROR(INDEX(INDIRECT(zoneFichierEAN13Valmag),$O307,3),"")</f>
        <v/>
      </c>
      <c r="D308" s="23" t="str">
        <f ca="1">IFERROR(INDEX(INDIRECT(zoneFichierEAN13Valmag),$O307,4),"")</f>
        <v/>
      </c>
      <c r="E308" s="38" t="str">
        <f ca="1">IFERROR(INDEX(INDIRECT(zoneFichierFiltreCatalogue),S307,3),"")</f>
        <v>p094-2-01</v>
      </c>
      <c r="F308" s="23"/>
      <c r="G308" s="21"/>
      <c r="H308" s="39" t="str">
        <f ca="1">IFERROR(INDEX(INDIRECT(zoneFichierFiltreCatalogue),S307,6),"")</f>
        <v>fall 2019 presentation_/catalogo fall 19.txt</v>
      </c>
      <c r="R308" s="25"/>
      <c r="S308" s="25"/>
    </row>
    <row r="309" spans="1:20" ht="39" customHeight="1" thickBot="1" x14ac:dyDescent="0.65">
      <c r="A309" s="11" t="str">
        <f ca="1">INDEX(INDIRECT(zoneFichierTraite),$J309+offsetInitialFichierTraite,6)</f>
        <v>UNICA</v>
      </c>
      <c r="B309" s="7" t="str">
        <f ca="1">INDEX(INDIRECT(zoneFichierTraite),$J309+offsetInitialFichierTraite,4)</f>
        <v>OBAGT001-FAS09-067</v>
      </c>
      <c r="C309" s="31" t="str">
        <f ca="1">INDEX(INDIRECT(zoneFichierTraite),$J309+offsetInitialFichierTraite,5)</f>
        <v>REVERS O BAG EN FAUSSE FOURRURE LAPIN REX</v>
      </c>
      <c r="D309" s="32" t="str">
        <f ca="1">INDEX(INDIRECT(zoneFichierTraite),$J309+offsetInitialFichierTraite,13)</f>
        <v>phard</v>
      </c>
      <c r="E309" s="35">
        <f ca="1">INDEX(INDIRECT(zoneFichierTraite),$J309+offsetInitialFichierTraite,7)</f>
        <v>2</v>
      </c>
      <c r="F309" s="33">
        <f ca="1">INDEX(INDIRECT(zoneFichierTraite),$J309+offsetInitialFichierTraite,8)</f>
        <v>18.48</v>
      </c>
      <c r="G309" s="34">
        <f t="shared" ref="G309" ca="1" si="305">ROUNDUP(F309*3,0)</f>
        <v>56</v>
      </c>
      <c r="H309" s="37" t="str">
        <f t="shared" ref="H309" ca="1" si="306">IF(ISNUMBER(N309),codeEAN13(INT(N309/10)),"")</f>
        <v>8APAPNI*fjadga+</v>
      </c>
      <c r="J309" s="18">
        <f t="shared" si="264"/>
        <v>150</v>
      </c>
      <c r="L309" s="7" t="str">
        <f ca="1">INDEX(INDIRECT(zoneFichierTraite),$J309+offsetInitialFichierTraite,1)</f>
        <v>'150</v>
      </c>
      <c r="M309" s="14">
        <f ca="1">INDEX(INDIRECT(zoneFichierTraite),$J309+offsetInitialFichierTraite,9)</f>
        <v>36.96</v>
      </c>
      <c r="N309" s="17">
        <f ca="1">INDEX(INDIRECT(zoneFichierTraite),$J309+offsetInitialFichierTraite,3)</f>
        <v>8050538590360</v>
      </c>
      <c r="O309" s="2">
        <f ca="1">MATCH(N309,INDIRECT(nomFichierEAN13Valmag &amp; "!A:A"),0)</f>
        <v>5588</v>
      </c>
      <c r="P309" s="2">
        <f ca="1">MATCH(R309,INDIRECT(nomFichierEAN13Valmag &amp; "!A:A"),0)</f>
        <v>5678</v>
      </c>
      <c r="Q309" s="2">
        <f ca="1">MATCH(LEFT(B309,14) &amp; "*",INDIRECT(nomFichierBaseCatalogue &amp; "!B:B"),0)</f>
        <v>1384</v>
      </c>
      <c r="R309" s="17">
        <f ca="1">IFERROR(INDEX(INDIRECT(zoneFichierBaseCatalogue),Q309,1),"")</f>
        <v>8050538590605</v>
      </c>
      <c r="S309" s="2">
        <f ca="1">MATCH(B309,INDIRECT(nomFichierFiltreCatalogue &amp; "!B:B"),0)</f>
        <v>264</v>
      </c>
      <c r="T309" s="17"/>
    </row>
    <row r="310" spans="1:20" s="24" customFormat="1" ht="15.75" customHeight="1" x14ac:dyDescent="0.25">
      <c r="A310" s="30">
        <f ca="1">INDEX(INDIRECT(zoneFichierTraite),$J309+offsetInitialFichierTraite,2)</f>
        <v>199</v>
      </c>
      <c r="B310" s="29" t="str">
        <f ca="1">IFERROR(INDEX(INDIRECT(zoneFichierEAN13Valmag),$P309,3),"")</f>
        <v>ECOFOURRURESOBAG</v>
      </c>
      <c r="C310" s="22" t="str">
        <f ca="1">IFERROR(INDEX(INDIRECT(zoneFichierEAN13Valmag),$O309,3),"")</f>
        <v xml:space="preserve">ECOFOURRURE     </v>
      </c>
      <c r="D310" s="23" t="str">
        <f ca="1">IFERROR(INDEX(INDIRECT(zoneFichierEAN13Valmag),$O309,4),"")</f>
        <v>LAPHA</v>
      </c>
      <c r="E310" s="38" t="str">
        <f ca="1">IFERROR(INDEX(INDIRECT(zoneFichierFiltreCatalogue),S309,3),"")</f>
        <v>p053-1-04</v>
      </c>
      <c r="F310" s="23"/>
      <c r="G310" s="21"/>
      <c r="H310" s="39" t="str">
        <f ca="1">IFERROR(INDEX(INDIRECT(zoneFichierFiltreCatalogue),S309,6),"")</f>
        <v>fall 2019 presentation_/catalogo fall 19.txt</v>
      </c>
      <c r="R310" s="25"/>
      <c r="S310" s="25"/>
    </row>
    <row r="311" spans="1:20" ht="39" customHeight="1" thickBot="1" x14ac:dyDescent="0.65">
      <c r="A311" s="11" t="str">
        <f ca="1">INDEX(INDIRECT(zoneFichierTraite),$J311+offsetInitialFichierTraite,6)</f>
        <v>UNICA</v>
      </c>
      <c r="B311" s="7" t="str">
        <f ca="1">INDEX(INDIRECT(zoneFichierTraite),$J311+offsetInitialFichierTraite,4)</f>
        <v>OBAGT001-FAS09-615</v>
      </c>
      <c r="C311" s="31" t="str">
        <f ca="1">INDEX(INDIRECT(zoneFichierTraite),$J311+offsetInitialFichierTraite,5)</f>
        <v>REVERS O BAG EN FAUSSE FOURRURE LAPIN REX</v>
      </c>
      <c r="D311" s="32" t="str">
        <f ca="1">INDEX(INDIRECT(zoneFichierTraite),$J311+offsetInitialFichierTraite,13)</f>
        <v>military</v>
      </c>
      <c r="E311" s="35">
        <f ca="1">INDEX(INDIRECT(zoneFichierTraite),$J311+offsetInitialFichierTraite,7)</f>
        <v>2</v>
      </c>
      <c r="F311" s="33">
        <f ca="1">INDEX(INDIRECT(zoneFichierTraite),$J311+offsetInitialFichierTraite,8)</f>
        <v>18.48</v>
      </c>
      <c r="G311" s="34">
        <f t="shared" ref="G311" ca="1" si="307">ROUNDUP(F311*3,0)</f>
        <v>56</v>
      </c>
      <c r="H311" s="37" t="str">
        <f t="shared" ref="H311" ca="1" si="308">IF(ISNUMBER(N311),codeEAN13(INT(N311/10)),"")</f>
        <v>8APASOG*aijjfc+</v>
      </c>
      <c r="J311" s="18">
        <f t="shared" si="264"/>
        <v>151</v>
      </c>
      <c r="L311" s="7" t="str">
        <f ca="1">INDEX(INDIRECT(zoneFichierTraite),$J311+offsetInitialFichierTraite,1)</f>
        <v>'151</v>
      </c>
      <c r="M311" s="14">
        <f ca="1">INDEX(INDIRECT(zoneFichierTraite),$J311+offsetInitialFichierTraite,9)</f>
        <v>36.96</v>
      </c>
      <c r="N311" s="17">
        <f ca="1">INDEX(INDIRECT(zoneFichierTraite),$J311+offsetInitialFichierTraite,3)</f>
        <v>8050846089952</v>
      </c>
      <c r="O311" s="2" t="e">
        <f ca="1">MATCH(N311,INDIRECT(nomFichierEAN13Valmag &amp; "!A:A"),0)</f>
        <v>#N/A</v>
      </c>
      <c r="P311" s="2">
        <f ca="1">MATCH(R311,INDIRECT(nomFichierEAN13Valmag &amp; "!A:A"),0)</f>
        <v>5678</v>
      </c>
      <c r="Q311" s="2">
        <f ca="1">MATCH(LEFT(B311,14) &amp; "*",INDIRECT(nomFichierBaseCatalogue &amp; "!B:B"),0)</f>
        <v>1384</v>
      </c>
      <c r="R311" s="17">
        <f ca="1">IFERROR(INDEX(INDIRECT(zoneFichierBaseCatalogue),Q311,1),"")</f>
        <v>8050538590605</v>
      </c>
      <c r="S311" s="2">
        <f ca="1">MATCH(B311,INDIRECT(nomFichierFiltreCatalogue &amp; "!B:B"),0)</f>
        <v>268</v>
      </c>
      <c r="T311" s="17"/>
    </row>
    <row r="312" spans="1:20" s="24" customFormat="1" ht="15.75" customHeight="1" x14ac:dyDescent="0.25">
      <c r="A312" s="30">
        <f ca="1">INDEX(INDIRECT(zoneFichierTraite),$J311+offsetInitialFichierTraite,2)</f>
        <v>31</v>
      </c>
      <c r="B312" s="29" t="str">
        <f ca="1">IFERROR(INDEX(INDIRECT(zoneFichierEAN13Valmag),$P311,3),"")</f>
        <v>ECOFOURRURESOBAG</v>
      </c>
      <c r="C312" s="22" t="str">
        <f ca="1">IFERROR(INDEX(INDIRECT(zoneFichierEAN13Valmag),$O311,3),"")</f>
        <v/>
      </c>
      <c r="D312" s="23" t="str">
        <f ca="1">IFERROR(INDEX(INDIRECT(zoneFichierEAN13Valmag),$O311,4),"")</f>
        <v/>
      </c>
      <c r="E312" s="38" t="str">
        <f ca="1">IFERROR(INDEX(INDIRECT(zoneFichierFiltreCatalogue),S311,3),"")</f>
        <v>p053-1-08</v>
      </c>
      <c r="F312" s="23"/>
      <c r="G312" s="21"/>
      <c r="H312" s="39" t="str">
        <f ca="1">IFERROR(INDEX(INDIRECT(zoneFichierFiltreCatalogue),S311,6),"")</f>
        <v>fall 2019 presentation_/catalogo fall 19.txt</v>
      </c>
      <c r="R312" s="25"/>
      <c r="S312" s="25"/>
    </row>
    <row r="313" spans="1:20" ht="39" customHeight="1" thickBot="1" x14ac:dyDescent="0.65">
      <c r="A313" s="11" t="str">
        <f ca="1">INDEX(INDIRECT(zoneFichierTraite),$J313+offsetInitialFichierTraite,6)</f>
        <v>UNICA</v>
      </c>
      <c r="B313" s="7" t="str">
        <f ca="1">INDEX(INDIRECT(zoneFichierTraite),$J313+offsetInitialFichierTraite,4)</f>
        <v>OBAGT001-FAS58-078</v>
      </c>
      <c r="C313" s="31" t="str">
        <f ca="1">INDEX(INDIRECT(zoneFichierTraite),$J313+offsetInitialFichierTraite,5)</f>
        <v>REVERS O BAG EN FAUSSE FOURRURE CASTOR</v>
      </c>
      <c r="D313" s="32" t="str">
        <f ca="1">INDEX(INDIRECT(zoneFichierTraite),$J313+offsetInitialFichierTraite,13)</f>
        <v>sabbia</v>
      </c>
      <c r="E313" s="35">
        <f ca="1">INDEX(INDIRECT(zoneFichierTraite),$J313+offsetInitialFichierTraite,7)</f>
        <v>2</v>
      </c>
      <c r="F313" s="33">
        <f ca="1">INDEX(INDIRECT(zoneFichierTraite),$J313+offsetInitialFichierTraite,8)</f>
        <v>24.07</v>
      </c>
      <c r="G313" s="34">
        <f t="shared" ref="G313" ca="1" si="309">ROUNDUP(F313*3,0)</f>
        <v>73</v>
      </c>
      <c r="H313" s="37" t="str">
        <f t="shared" ref="H313" ca="1" si="310">IF(ISNUMBER(N313),codeEAN13(INT(N313/10)),"")</f>
        <v>8APASOG*aijjah+</v>
      </c>
      <c r="J313" s="18">
        <f t="shared" si="264"/>
        <v>152</v>
      </c>
      <c r="L313" s="7" t="str">
        <f ca="1">INDEX(INDIRECT(zoneFichierTraite),$J313+offsetInitialFichierTraite,1)</f>
        <v>'152</v>
      </c>
      <c r="M313" s="14">
        <f ca="1">INDEX(INDIRECT(zoneFichierTraite),$J313+offsetInitialFichierTraite,9)</f>
        <v>48.14</v>
      </c>
      <c r="N313" s="17">
        <f ca="1">INDEX(INDIRECT(zoneFichierTraite),$J313+offsetInitialFichierTraite,3)</f>
        <v>8050846089907</v>
      </c>
      <c r="O313" s="2" t="e">
        <f ca="1">MATCH(N313,INDIRECT(nomFichierEAN13Valmag &amp; "!A:A"),0)</f>
        <v>#N/A</v>
      </c>
      <c r="P313" s="2" t="e">
        <f ca="1">MATCH(R313,INDIRECT(nomFichierEAN13Valmag &amp; "!A:A"),0)</f>
        <v>#N/A</v>
      </c>
      <c r="Q313" s="2">
        <f ca="1">MATCH(LEFT(B313,14) &amp; "*",INDIRECT(nomFichierBaseCatalogue &amp; "!B:B"),0)</f>
        <v>1398</v>
      </c>
      <c r="R313" s="17">
        <f ca="1">IFERROR(INDEX(INDIRECT(zoneFichierBaseCatalogue),Q313,1),"")</f>
        <v>8050846089907</v>
      </c>
      <c r="S313" s="2">
        <f ca="1">MATCH(B313,INDIRECT(nomFichierFiltreCatalogue &amp; "!B:B"),0)</f>
        <v>276</v>
      </c>
      <c r="T313" s="17"/>
    </row>
    <row r="314" spans="1:20" s="24" customFormat="1" ht="15.75" customHeight="1" x14ac:dyDescent="0.25">
      <c r="A314" s="30">
        <f ca="1">INDEX(INDIRECT(zoneFichierTraite),$J313+offsetInitialFichierTraite,2)</f>
        <v>45</v>
      </c>
      <c r="B314" s="29" t="str">
        <f ca="1">IFERROR(INDEX(INDIRECT(zoneFichierEAN13Valmag),$P313,3),"")</f>
        <v/>
      </c>
      <c r="C314" s="22" t="str">
        <f ca="1">IFERROR(INDEX(INDIRECT(zoneFichierEAN13Valmag),$O313,3),"")</f>
        <v/>
      </c>
      <c r="D314" s="23" t="str">
        <f ca="1">IFERROR(INDEX(INDIRECT(zoneFichierEAN13Valmag),$O313,4),"")</f>
        <v/>
      </c>
      <c r="E314" s="38" t="str">
        <f ca="1">IFERROR(INDEX(INDIRECT(zoneFichierFiltreCatalogue),S313,3),"")</f>
        <v>p056-1-01</v>
      </c>
      <c r="F314" s="23"/>
      <c r="G314" s="21"/>
      <c r="H314" s="39" t="str">
        <f ca="1">IFERROR(INDEX(INDIRECT(zoneFichierFiltreCatalogue),S313,6),"")</f>
        <v>fall 2019 presentation_/catalogo fall 19.txt</v>
      </c>
      <c r="R314" s="25"/>
      <c r="S314" s="25"/>
    </row>
    <row r="315" spans="1:20" ht="39" customHeight="1" thickBot="1" x14ac:dyDescent="0.65">
      <c r="A315" s="11" t="str">
        <f ca="1">INDEX(INDIRECT(zoneFichierTraite),$J315+offsetInitialFichierTraite,6)</f>
        <v>UNICA</v>
      </c>
      <c r="B315" s="7" t="str">
        <f ca="1">INDEX(INDIRECT(zoneFichierTraite),$J315+offsetInitialFichierTraite,4)</f>
        <v>OBAGT001-FAS58-084</v>
      </c>
      <c r="C315" s="31" t="str">
        <f ca="1">INDEX(INDIRECT(zoneFichierTraite),$J315+offsetInitialFichierTraite,5)</f>
        <v>REVERS O BAG EN FAUSSE FOURRURE CASTOR</v>
      </c>
      <c r="D315" s="32" t="str">
        <f ca="1">INDEX(INDIRECT(zoneFichierTraite),$J315+offsetInitialFichierTraite,13)</f>
        <v>testa di moro</v>
      </c>
      <c r="E315" s="35">
        <f ca="1">INDEX(INDIRECT(zoneFichierTraite),$J315+offsetInitialFichierTraite,7)</f>
        <v>2</v>
      </c>
      <c r="F315" s="33">
        <f ca="1">INDEX(INDIRECT(zoneFichierTraite),$J315+offsetInitialFichierTraite,8)</f>
        <v>24.07</v>
      </c>
      <c r="G315" s="34">
        <f t="shared" ref="G315" ca="1" si="311">ROUNDUP(F315*3,0)</f>
        <v>73</v>
      </c>
      <c r="H315" s="37" t="str">
        <f t="shared" ref="H315" ca="1" si="312">IF(ISNUMBER(N315),codeEAN13(INT(N315/10)),"")</f>
        <v>8APASOG*aijjbe+</v>
      </c>
      <c r="J315" s="18">
        <f t="shared" si="264"/>
        <v>153</v>
      </c>
      <c r="L315" s="7" t="str">
        <f ca="1">INDEX(INDIRECT(zoneFichierTraite),$J315+offsetInitialFichierTraite,1)</f>
        <v>'153</v>
      </c>
      <c r="M315" s="14">
        <f ca="1">INDEX(INDIRECT(zoneFichierTraite),$J315+offsetInitialFichierTraite,9)</f>
        <v>48.14</v>
      </c>
      <c r="N315" s="17">
        <f ca="1">INDEX(INDIRECT(zoneFichierTraite),$J315+offsetInitialFichierTraite,3)</f>
        <v>8050846089914</v>
      </c>
      <c r="O315" s="2" t="e">
        <f ca="1">MATCH(N315,INDIRECT(nomFichierEAN13Valmag &amp; "!A:A"),0)</f>
        <v>#N/A</v>
      </c>
      <c r="P315" s="2" t="e">
        <f ca="1">MATCH(R315,INDIRECT(nomFichierEAN13Valmag &amp; "!A:A"),0)</f>
        <v>#N/A</v>
      </c>
      <c r="Q315" s="2">
        <f ca="1">MATCH(LEFT(B315,14) &amp; "*",INDIRECT(nomFichierBaseCatalogue &amp; "!B:B"),0)</f>
        <v>1398</v>
      </c>
      <c r="R315" s="17">
        <f ca="1">IFERROR(INDEX(INDIRECT(zoneFichierBaseCatalogue),Q315,1),"")</f>
        <v>8050846089907</v>
      </c>
      <c r="S315" s="2">
        <f ca="1">MATCH(B315,INDIRECT(nomFichierFiltreCatalogue &amp; "!B:B"),0)</f>
        <v>277</v>
      </c>
      <c r="T315" s="17"/>
    </row>
    <row r="316" spans="1:20" s="24" customFormat="1" ht="15.75" customHeight="1" x14ac:dyDescent="0.25">
      <c r="A316" s="30">
        <f ca="1">INDEX(INDIRECT(zoneFichierTraite),$J315+offsetInitialFichierTraite,2)</f>
        <v>117</v>
      </c>
      <c r="B316" s="29" t="str">
        <f ca="1">IFERROR(INDEX(INDIRECT(zoneFichierEAN13Valmag),$P315,3),"")</f>
        <v/>
      </c>
      <c r="C316" s="22" t="str">
        <f ca="1">IFERROR(INDEX(INDIRECT(zoneFichierEAN13Valmag),$O315,3),"")</f>
        <v/>
      </c>
      <c r="D316" s="23" t="str">
        <f ca="1">IFERROR(INDEX(INDIRECT(zoneFichierEAN13Valmag),$O315,4),"")</f>
        <v/>
      </c>
      <c r="E316" s="38" t="str">
        <f ca="1">IFERROR(INDEX(INDIRECT(zoneFichierFiltreCatalogue),S315,3),"")</f>
        <v>p056-1-02</v>
      </c>
      <c r="F316" s="23"/>
      <c r="G316" s="21"/>
      <c r="H316" s="39" t="str">
        <f ca="1">IFERROR(INDEX(INDIRECT(zoneFichierFiltreCatalogue),S315,6),"")</f>
        <v>fall 2019 presentation_/catalogo fall 19.txt</v>
      </c>
      <c r="R316" s="25"/>
      <c r="S316" s="25"/>
    </row>
    <row r="317" spans="1:20" ht="39" customHeight="1" thickBot="1" x14ac:dyDescent="0.65">
      <c r="A317" s="11" t="str">
        <f ca="1">INDEX(INDIRECT(zoneFichierTraite),$J317+offsetInitialFichierTraite,6)</f>
        <v>UNICA</v>
      </c>
      <c r="B317" s="7" t="str">
        <f ca="1">INDEX(INDIRECT(zoneFichierTraite),$J317+offsetInitialFichierTraite,4)</f>
        <v>OBAGT001-FAS59-227</v>
      </c>
      <c r="C317" s="31" t="str">
        <f ca="1">INDEX(INDIRECT(zoneFichierTraite),$J317+offsetInitialFichierTraite,5)</f>
        <v>REVERS O BAG EN FAUSSE FOURRURE LAPIN MARBLE</v>
      </c>
      <c r="D317" s="32" t="str">
        <f ca="1">INDEX(INDIRECT(zoneFichierTraite),$J317+offsetInitialFichierTraite,13)</f>
        <v>bianco/nero</v>
      </c>
      <c r="E317" s="35">
        <f ca="1">INDEX(INDIRECT(zoneFichierTraite),$J317+offsetInitialFichierTraite,7)</f>
        <v>2</v>
      </c>
      <c r="F317" s="33">
        <f ca="1">INDEX(INDIRECT(zoneFichierTraite),$J317+offsetInitialFichierTraite,8)</f>
        <v>20.37</v>
      </c>
      <c r="G317" s="34">
        <f t="shared" ref="G317" ca="1" si="313">ROUNDUP(F317*3,0)</f>
        <v>62</v>
      </c>
      <c r="H317" s="37" t="str">
        <f t="shared" ref="H317" ca="1" si="314">IF(ISNUMBER(N317),codeEAN13(INT(N317/10)),"")</f>
        <v>8APASOG*aijjdi+</v>
      </c>
      <c r="J317" s="18">
        <f t="shared" si="264"/>
        <v>154</v>
      </c>
      <c r="L317" s="7" t="str">
        <f ca="1">INDEX(INDIRECT(zoneFichierTraite),$J317+offsetInitialFichierTraite,1)</f>
        <v>'154</v>
      </c>
      <c r="M317" s="14">
        <f ca="1">INDEX(INDIRECT(zoneFichierTraite),$J317+offsetInitialFichierTraite,9)</f>
        <v>40.74</v>
      </c>
      <c r="N317" s="17">
        <f ca="1">INDEX(INDIRECT(zoneFichierTraite),$J317+offsetInitialFichierTraite,3)</f>
        <v>8050846089938</v>
      </c>
      <c r="O317" s="2" t="e">
        <f ca="1">MATCH(N317,INDIRECT(nomFichierEAN13Valmag &amp; "!A:A"),0)</f>
        <v>#N/A</v>
      </c>
      <c r="P317" s="2" t="e">
        <f ca="1">MATCH(R317,INDIRECT(nomFichierEAN13Valmag &amp; "!A:A"),0)</f>
        <v>#N/A</v>
      </c>
      <c r="Q317" s="2">
        <f ca="1">MATCH(LEFT(B317,14) &amp; "*",INDIRECT(nomFichierBaseCatalogue &amp; "!B:B"),0)</f>
        <v>1400</v>
      </c>
      <c r="R317" s="17">
        <f ca="1">IFERROR(INDEX(INDIRECT(zoneFichierBaseCatalogue),Q317,1),"")</f>
        <v>8050846089938</v>
      </c>
      <c r="S317" s="2">
        <f ca="1">MATCH(B317,INDIRECT(nomFichierFiltreCatalogue &amp; "!B:B"),0)</f>
        <v>278</v>
      </c>
      <c r="T317" s="17"/>
    </row>
    <row r="318" spans="1:20" s="24" customFormat="1" ht="15.75" customHeight="1" x14ac:dyDescent="0.25">
      <c r="A318" s="30">
        <f ca="1">INDEX(INDIRECT(zoneFichierTraite),$J317+offsetInitialFichierTraite,2)</f>
        <v>67</v>
      </c>
      <c r="B318" s="29" t="str">
        <f ca="1">IFERROR(INDEX(INDIRECT(zoneFichierEAN13Valmag),$P317,3),"")</f>
        <v/>
      </c>
      <c r="C318" s="22" t="str">
        <f ca="1">IFERROR(INDEX(INDIRECT(zoneFichierEAN13Valmag),$O317,3),"")</f>
        <v/>
      </c>
      <c r="D318" s="23" t="str">
        <f ca="1">IFERROR(INDEX(INDIRECT(zoneFichierEAN13Valmag),$O317,4),"")</f>
        <v/>
      </c>
      <c r="E318" s="38" t="str">
        <f ca="1">IFERROR(INDEX(INDIRECT(zoneFichierFiltreCatalogue),S317,3),"")</f>
        <v>p056-2-01</v>
      </c>
      <c r="F318" s="23"/>
      <c r="G318" s="21"/>
      <c r="H318" s="39" t="str">
        <f ca="1">IFERROR(INDEX(INDIRECT(zoneFichierFiltreCatalogue),S317,6),"")</f>
        <v>fall 2019 presentation_/catalogo fall 19.txt</v>
      </c>
      <c r="R318" s="25"/>
      <c r="S318" s="25"/>
    </row>
    <row r="319" spans="1:20" ht="39" customHeight="1" thickBot="1" x14ac:dyDescent="0.65">
      <c r="A319" s="11" t="str">
        <f ca="1">INDEX(INDIRECT(zoneFichierTraite),$J319+offsetInitialFichierTraite,6)</f>
        <v>UNICA</v>
      </c>
      <c r="B319" s="7" t="str">
        <f ca="1">INDEX(INDIRECT(zoneFichierTraite),$J319+offsetInitialFichierTraite,4)</f>
        <v>OBAGT001-FAS60-227</v>
      </c>
      <c r="C319" s="31" t="str">
        <f ca="1">INDEX(INDIRECT(zoneFichierTraite),$J319+offsetInitialFichierTraite,5)</f>
        <v>REVERS O BAG EN FAUSSE FOURRURE RENARD MARQUETEE</v>
      </c>
      <c r="D319" s="32" t="str">
        <f ca="1">INDEX(INDIRECT(zoneFichierTraite),$J319+offsetInitialFichierTraite,13)</f>
        <v>bianco/nero</v>
      </c>
      <c r="E319" s="35">
        <f ca="1">INDEX(INDIRECT(zoneFichierTraite),$J319+offsetInitialFichierTraite,7)</f>
        <v>2</v>
      </c>
      <c r="F319" s="33">
        <f ca="1">INDEX(INDIRECT(zoneFichierTraite),$J319+offsetInitialFichierTraite,8)</f>
        <v>27.04</v>
      </c>
      <c r="G319" s="34">
        <f t="shared" ref="G319" ca="1" si="315">ROUNDUP(F319*3,0)</f>
        <v>82</v>
      </c>
      <c r="H319" s="37" t="str">
        <f t="shared" ref="H319" ca="1" si="316">IF(ISNUMBER(N319),codeEAN13(INT(N319/10)),"")</f>
        <v>8APASOG*aijjef+</v>
      </c>
      <c r="J319" s="18">
        <f t="shared" si="264"/>
        <v>155</v>
      </c>
      <c r="L319" s="7" t="str">
        <f ca="1">INDEX(INDIRECT(zoneFichierTraite),$J319+offsetInitialFichierTraite,1)</f>
        <v>'155</v>
      </c>
      <c r="M319" s="14">
        <f ca="1">INDEX(INDIRECT(zoneFichierTraite),$J319+offsetInitialFichierTraite,9)</f>
        <v>54.08</v>
      </c>
      <c r="N319" s="17">
        <f ca="1">INDEX(INDIRECT(zoneFichierTraite),$J319+offsetInitialFichierTraite,3)</f>
        <v>8050846089945</v>
      </c>
      <c r="O319" s="2" t="e">
        <f ca="1">MATCH(N319,INDIRECT(nomFichierEAN13Valmag &amp; "!A:A"),0)</f>
        <v>#N/A</v>
      </c>
      <c r="P319" s="2" t="e">
        <f ca="1">MATCH(R319,INDIRECT(nomFichierEAN13Valmag &amp; "!A:A"),0)</f>
        <v>#N/A</v>
      </c>
      <c r="Q319" s="2">
        <f ca="1">MATCH(LEFT(B319,14) &amp; "*",INDIRECT(nomFichierBaseCatalogue &amp; "!B:B"),0)</f>
        <v>1401</v>
      </c>
      <c r="R319" s="17">
        <f ca="1">IFERROR(INDEX(INDIRECT(zoneFichierBaseCatalogue),Q319,1),"")</f>
        <v>8050846089945</v>
      </c>
      <c r="S319" s="2">
        <f ca="1">MATCH(B319,INDIRECT(nomFichierFiltreCatalogue &amp; "!B:B"),0)</f>
        <v>272</v>
      </c>
      <c r="T319" s="17"/>
    </row>
    <row r="320" spans="1:20" s="24" customFormat="1" ht="15.75" customHeight="1" x14ac:dyDescent="0.25">
      <c r="A320" s="30">
        <f ca="1">INDEX(INDIRECT(zoneFichierTraite),$J319+offsetInitialFichierTraite,2)</f>
        <v>186</v>
      </c>
      <c r="B320" s="29" t="str">
        <f ca="1">IFERROR(INDEX(INDIRECT(zoneFichierEAN13Valmag),$P319,3),"")</f>
        <v/>
      </c>
      <c r="C320" s="22" t="str">
        <f ca="1">IFERROR(INDEX(INDIRECT(zoneFichierEAN13Valmag),$O319,3),"")</f>
        <v/>
      </c>
      <c r="D320" s="23" t="str">
        <f ca="1">IFERROR(INDEX(INDIRECT(zoneFichierEAN13Valmag),$O319,4),"")</f>
        <v/>
      </c>
      <c r="E320" s="38" t="str">
        <f ca="1">IFERROR(INDEX(INDIRECT(zoneFichierFiltreCatalogue),S319,3),"")</f>
        <v>p054-2-01</v>
      </c>
      <c r="F320" s="23"/>
      <c r="G320" s="21"/>
      <c r="H320" s="39" t="str">
        <f ca="1">IFERROR(INDEX(INDIRECT(zoneFichierFiltreCatalogue),S319,6),"")</f>
        <v>fall 2019 presentation_/catalogo fall 19.txt</v>
      </c>
      <c r="R320" s="25"/>
      <c r="S320" s="25"/>
    </row>
    <row r="321" spans="1:20" ht="39" customHeight="1" thickBot="1" x14ac:dyDescent="0.65">
      <c r="A321" s="11" t="str">
        <f ca="1">INDEX(INDIRECT(zoneFichierTraite),$J321+offsetInitialFichierTraite,6)</f>
        <v>UNICA</v>
      </c>
      <c r="B321" s="7" t="str">
        <f ca="1">INDEX(INDIRECT(zoneFichierTraite),$J321+offsetInitialFichierTraite,4)</f>
        <v>OBAGT001-LAS44-017</v>
      </c>
      <c r="C321" s="31" t="str">
        <f ca="1">INDEX(INDIRECT(zoneFichierTraite),$J321+offsetInitialFichierTraite,5)</f>
        <v>REVERS O BAG EN LAINE HANOVRE</v>
      </c>
      <c r="D321" s="32" t="str">
        <f ca="1">INDEX(INDIRECT(zoneFichierTraite),$J321+offsetInitialFichierTraite,13)</f>
        <v>blu navy</v>
      </c>
      <c r="E321" s="35">
        <f ca="1">INDEX(INDIRECT(zoneFichierTraite),$J321+offsetInitialFichierTraite,7)</f>
        <v>2</v>
      </c>
      <c r="F321" s="33">
        <f ca="1">INDEX(INDIRECT(zoneFichierTraite),$J321+offsetInitialFichierTraite,8)</f>
        <v>10.74</v>
      </c>
      <c r="G321" s="34">
        <f t="shared" ref="G321" ca="1" si="317">ROUNDUP(F321*3,0)</f>
        <v>33</v>
      </c>
      <c r="H321" s="37" t="str">
        <f t="shared" ref="H321" ca="1" si="318">IF(ISNUMBER(N321),codeEAN13(INT(N321/10)),"")</f>
        <v>8APASOG*aijihh+</v>
      </c>
      <c r="J321" s="18">
        <f t="shared" si="264"/>
        <v>156</v>
      </c>
      <c r="L321" s="7" t="str">
        <f ca="1">INDEX(INDIRECT(zoneFichierTraite),$J321+offsetInitialFichierTraite,1)</f>
        <v>'156</v>
      </c>
      <c r="M321" s="14">
        <f ca="1">INDEX(INDIRECT(zoneFichierTraite),$J321+offsetInitialFichierTraite,9)</f>
        <v>21.48</v>
      </c>
      <c r="N321" s="17">
        <f ca="1">INDEX(INDIRECT(zoneFichierTraite),$J321+offsetInitialFichierTraite,3)</f>
        <v>8050846089877</v>
      </c>
      <c r="O321" s="2" t="e">
        <f ca="1">MATCH(N321,INDIRECT(nomFichierEAN13Valmag &amp; "!A:A"),0)</f>
        <v>#N/A</v>
      </c>
      <c r="P321" s="2" t="e">
        <f ca="1">MATCH(R321,INDIRECT(nomFichierEAN13Valmag &amp; "!A:A"),0)</f>
        <v>#N/A</v>
      </c>
      <c r="Q321" s="2">
        <f ca="1">MATCH(LEFT(B321,14) &amp; "*",INDIRECT(nomFichierBaseCatalogue &amp; "!B:B"),0)</f>
        <v>1415</v>
      </c>
      <c r="R321" s="17">
        <f ca="1">IFERROR(INDEX(INDIRECT(zoneFichierBaseCatalogue),Q321,1),"")</f>
        <v>8050846089877</v>
      </c>
      <c r="S321" s="2">
        <f ca="1">MATCH(B321,INDIRECT(nomFichierFiltreCatalogue &amp; "!B:B"),0)</f>
        <v>289</v>
      </c>
      <c r="T321" s="17"/>
    </row>
    <row r="322" spans="1:20" s="24" customFormat="1" ht="15.75" customHeight="1" x14ac:dyDescent="0.25">
      <c r="A322" s="30">
        <f ca="1">INDEX(INDIRECT(zoneFichierTraite),$J321+offsetInitialFichierTraite,2)</f>
        <v>219</v>
      </c>
      <c r="B322" s="29" t="str">
        <f ca="1">IFERROR(INDEX(INDIRECT(zoneFichierEAN13Valmag),$P321,3),"")</f>
        <v/>
      </c>
      <c r="C322" s="22" t="str">
        <f ca="1">IFERROR(INDEX(INDIRECT(zoneFichierEAN13Valmag),$O321,3),"")</f>
        <v/>
      </c>
      <c r="D322" s="23" t="str">
        <f ca="1">IFERROR(INDEX(INDIRECT(zoneFichierEAN13Valmag),$O321,4),"")</f>
        <v/>
      </c>
      <c r="E322" s="38" t="str">
        <f ca="1">IFERROR(INDEX(INDIRECT(zoneFichierFiltreCatalogue),S321,3),"")</f>
        <v>p059-1-01</v>
      </c>
      <c r="F322" s="23"/>
      <c r="G322" s="21"/>
      <c r="H322" s="39" t="str">
        <f ca="1">IFERROR(INDEX(INDIRECT(zoneFichierFiltreCatalogue),S321,6),"")</f>
        <v>fall 2019 presentation_/catalogo fall 19.txt</v>
      </c>
      <c r="R322" s="25"/>
      <c r="S322" s="25"/>
    </row>
    <row r="323" spans="1:20" ht="39" customHeight="1" thickBot="1" x14ac:dyDescent="0.65">
      <c r="A323" s="11" t="str">
        <f ca="1">INDEX(INDIRECT(zoneFichierTraite),$J323+offsetInitialFichierTraite,6)</f>
        <v>UNICA</v>
      </c>
      <c r="B323" s="7" t="str">
        <f ca="1">INDEX(INDIRECT(zoneFichierTraite),$J323+offsetInitialFichierTraite,4)</f>
        <v>OBAGT001-LAS44-078</v>
      </c>
      <c r="C323" s="31" t="str">
        <f ca="1">INDEX(INDIRECT(zoneFichierTraite),$J323+offsetInitialFichierTraite,5)</f>
        <v>REVERS O BAG EN LAINE HANOVRE</v>
      </c>
      <c r="D323" s="32" t="str">
        <f ca="1">INDEX(INDIRECT(zoneFichierTraite),$J323+offsetInitialFichierTraite,13)</f>
        <v>sabbia</v>
      </c>
      <c r="E323" s="35">
        <f ca="1">INDEX(INDIRECT(zoneFichierTraite),$J323+offsetInitialFichierTraite,7)</f>
        <v>2</v>
      </c>
      <c r="F323" s="33">
        <f ca="1">INDEX(INDIRECT(zoneFichierTraite),$J323+offsetInitialFichierTraite,8)</f>
        <v>10.74</v>
      </c>
      <c r="G323" s="34">
        <f t="shared" ref="G323" ca="1" si="319">ROUNDUP(F323*3,0)</f>
        <v>33</v>
      </c>
      <c r="H323" s="37" t="str">
        <f t="shared" ref="H323" ca="1" si="320">IF(ISNUMBER(N323),codeEAN13(INT(N323/10)),"")</f>
        <v>8APASOG*aijijb+</v>
      </c>
      <c r="J323" s="18">
        <f t="shared" si="264"/>
        <v>157</v>
      </c>
      <c r="L323" s="7" t="str">
        <f ca="1">INDEX(INDIRECT(zoneFichierTraite),$J323+offsetInitialFichierTraite,1)</f>
        <v>'157</v>
      </c>
      <c r="M323" s="14">
        <f ca="1">INDEX(INDIRECT(zoneFichierTraite),$J323+offsetInitialFichierTraite,9)</f>
        <v>21.48</v>
      </c>
      <c r="N323" s="17">
        <f ca="1">INDEX(INDIRECT(zoneFichierTraite),$J323+offsetInitialFichierTraite,3)</f>
        <v>8050846089891</v>
      </c>
      <c r="O323" s="2" t="e">
        <f ca="1">MATCH(N323,INDIRECT(nomFichierEAN13Valmag &amp; "!A:A"),0)</f>
        <v>#N/A</v>
      </c>
      <c r="P323" s="2" t="e">
        <f ca="1">MATCH(R323,INDIRECT(nomFichierEAN13Valmag &amp; "!A:A"),0)</f>
        <v>#N/A</v>
      </c>
      <c r="Q323" s="2">
        <f ca="1">MATCH(LEFT(B323,14) &amp; "*",INDIRECT(nomFichierBaseCatalogue &amp; "!B:B"),0)</f>
        <v>1415</v>
      </c>
      <c r="R323" s="17">
        <f ca="1">IFERROR(INDEX(INDIRECT(zoneFichierBaseCatalogue),Q323,1),"")</f>
        <v>8050846089877</v>
      </c>
      <c r="S323" s="2">
        <f ca="1">MATCH(B323,INDIRECT(nomFichierFiltreCatalogue &amp; "!B:B"),0)</f>
        <v>290</v>
      </c>
      <c r="T323" s="17"/>
    </row>
    <row r="324" spans="1:20" s="24" customFormat="1" ht="15.75" customHeight="1" x14ac:dyDescent="0.25">
      <c r="A324" s="30">
        <f ca="1">INDEX(INDIRECT(zoneFichierTraite),$J323+offsetInitialFichierTraite,2)</f>
        <v>86</v>
      </c>
      <c r="B324" s="29" t="str">
        <f ca="1">IFERROR(INDEX(INDIRECT(zoneFichierEAN13Valmag),$P323,3),"")</f>
        <v/>
      </c>
      <c r="C324" s="22" t="str">
        <f ca="1">IFERROR(INDEX(INDIRECT(zoneFichierEAN13Valmag),$O323,3),"")</f>
        <v/>
      </c>
      <c r="D324" s="23" t="str">
        <f ca="1">IFERROR(INDEX(INDIRECT(zoneFichierEAN13Valmag),$O323,4),"")</f>
        <v/>
      </c>
      <c r="E324" s="38" t="str">
        <f ca="1">IFERROR(INDEX(INDIRECT(zoneFichierFiltreCatalogue),S323,3),"")</f>
        <v>p059-1-02</v>
      </c>
      <c r="F324" s="23"/>
      <c r="G324" s="21"/>
      <c r="H324" s="39" t="str">
        <f ca="1">IFERROR(INDEX(INDIRECT(zoneFichierFiltreCatalogue),S323,6),"")</f>
        <v>fall 2019 presentation_/catalogo fall 19.txt</v>
      </c>
      <c r="R324" s="25"/>
      <c r="S324" s="25"/>
    </row>
    <row r="325" spans="1:20" ht="39" customHeight="1" thickBot="1" x14ac:dyDescent="0.65">
      <c r="A325" s="11" t="str">
        <f ca="1">INDEX(INDIRECT(zoneFichierTraite),$J325+offsetInitialFichierTraite,6)</f>
        <v>UNICA</v>
      </c>
      <c r="B325" s="7" t="str">
        <f ca="1">INDEX(INDIRECT(zoneFichierTraite),$J325+offsetInitialFichierTraite,4)</f>
        <v>OBAGT001-LAS44-615</v>
      </c>
      <c r="C325" s="31" t="str">
        <f ca="1">INDEX(INDIRECT(zoneFichierTraite),$J325+offsetInitialFichierTraite,5)</f>
        <v>REVERS O BAG EN LAINE HANOVRE</v>
      </c>
      <c r="D325" s="32" t="str">
        <f ca="1">INDEX(INDIRECT(zoneFichierTraite),$J325+offsetInitialFichierTraite,13)</f>
        <v>military</v>
      </c>
      <c r="E325" s="35">
        <f ca="1">INDEX(INDIRECT(zoneFichierTraite),$J325+offsetInitialFichierTraite,7)</f>
        <v>2</v>
      </c>
      <c r="F325" s="33">
        <f ca="1">INDEX(INDIRECT(zoneFichierTraite),$J325+offsetInitialFichierTraite,8)</f>
        <v>10.74</v>
      </c>
      <c r="G325" s="34">
        <f t="shared" ref="G325" ca="1" si="321">ROUNDUP(F325*3,0)</f>
        <v>33</v>
      </c>
      <c r="H325" s="37" t="str">
        <f t="shared" ref="H325" ca="1" si="322">IF(ISNUMBER(N325),codeEAN13(INT(N325/10)),"")</f>
        <v>8APASOG*aijiie+</v>
      </c>
      <c r="J325" s="18">
        <f t="shared" si="264"/>
        <v>158</v>
      </c>
      <c r="L325" s="7" t="str">
        <f ca="1">INDEX(INDIRECT(zoneFichierTraite),$J325+offsetInitialFichierTraite,1)</f>
        <v>'158</v>
      </c>
      <c r="M325" s="14">
        <f ca="1">INDEX(INDIRECT(zoneFichierTraite),$J325+offsetInitialFichierTraite,9)</f>
        <v>21.48</v>
      </c>
      <c r="N325" s="17">
        <f ca="1">INDEX(INDIRECT(zoneFichierTraite),$J325+offsetInitialFichierTraite,3)</f>
        <v>8050846089884</v>
      </c>
      <c r="O325" s="2" t="e">
        <f ca="1">MATCH(N325,INDIRECT(nomFichierEAN13Valmag &amp; "!A:A"),0)</f>
        <v>#N/A</v>
      </c>
      <c r="P325" s="2" t="e">
        <f ca="1">MATCH(R325,INDIRECT(nomFichierEAN13Valmag &amp; "!A:A"),0)</f>
        <v>#N/A</v>
      </c>
      <c r="Q325" s="2">
        <f ca="1">MATCH(LEFT(B325,14) &amp; "*",INDIRECT(nomFichierBaseCatalogue &amp; "!B:B"),0)</f>
        <v>1415</v>
      </c>
      <c r="R325" s="17">
        <f ca="1">IFERROR(INDEX(INDIRECT(zoneFichierBaseCatalogue),Q325,1),"")</f>
        <v>8050846089877</v>
      </c>
      <c r="S325" s="2">
        <f ca="1">MATCH(B325,INDIRECT(nomFichierFiltreCatalogue &amp; "!B:B"),0)</f>
        <v>291</v>
      </c>
      <c r="T325" s="17"/>
    </row>
    <row r="326" spans="1:20" s="24" customFormat="1" ht="15.75" customHeight="1" x14ac:dyDescent="0.25">
      <c r="A326" s="30">
        <f ca="1">INDEX(INDIRECT(zoneFichierTraite),$J325+offsetInitialFichierTraite,2)</f>
        <v>204</v>
      </c>
      <c r="B326" s="29" t="str">
        <f ca="1">IFERROR(INDEX(INDIRECT(zoneFichierEAN13Valmag),$P325,3),"")</f>
        <v/>
      </c>
      <c r="C326" s="22" t="str">
        <f ca="1">IFERROR(INDEX(INDIRECT(zoneFichierEAN13Valmag),$O325,3),"")</f>
        <v/>
      </c>
      <c r="D326" s="23" t="str">
        <f ca="1">IFERROR(INDEX(INDIRECT(zoneFichierEAN13Valmag),$O325,4),"")</f>
        <v/>
      </c>
      <c r="E326" s="38" t="str">
        <f ca="1">IFERROR(INDEX(INDIRECT(zoneFichierFiltreCatalogue),S325,3),"")</f>
        <v>p059-1-03</v>
      </c>
      <c r="F326" s="23"/>
      <c r="G326" s="21"/>
      <c r="H326" s="39" t="str">
        <f ca="1">IFERROR(INDEX(INDIRECT(zoneFichierFiltreCatalogue),S325,6),"")</f>
        <v>fall 2019 presentation_/catalogo fall 19.txt</v>
      </c>
      <c r="R326" s="25"/>
      <c r="S326" s="25"/>
    </row>
    <row r="327" spans="1:20" ht="39" customHeight="1" thickBot="1" x14ac:dyDescent="0.65">
      <c r="A327" s="11" t="str">
        <f ca="1">INDEX(INDIRECT(zoneFichierTraite),$J327+offsetInitialFichierTraite,6)</f>
        <v>UNICA</v>
      </c>
      <c r="B327" s="7" t="str">
        <f ca="1">INDEX(INDIRECT(zoneFichierTraite),$J327+offsetInitialFichierTraite,4)</f>
        <v>OBAGT001-LAS47-227</v>
      </c>
      <c r="C327" s="31" t="str">
        <f ca="1">INDEX(INDIRECT(zoneFichierTraite),$J327+offsetInitialFichierTraite,5)</f>
        <v>REVERS O BAG EN LAINE HELSINKI</v>
      </c>
      <c r="D327" s="32" t="str">
        <f ca="1">INDEX(INDIRECT(zoneFichierTraite),$J327+offsetInitialFichierTraite,13)</f>
        <v>bianco/nero</v>
      </c>
      <c r="E327" s="35">
        <f ca="1">INDEX(INDIRECT(zoneFichierTraite),$J327+offsetInitialFichierTraite,7)</f>
        <v>2</v>
      </c>
      <c r="F327" s="33">
        <f ca="1">INDEX(INDIRECT(zoneFichierTraite),$J327+offsetInitialFichierTraite,8)</f>
        <v>11.85</v>
      </c>
      <c r="G327" s="34">
        <f t="shared" ref="G327" ca="1" si="323">ROUNDUP(F327*3,0)</f>
        <v>36</v>
      </c>
      <c r="H327" s="37" t="str">
        <f t="shared" ref="H327" ca="1" si="324">IF(ISNUMBER(N327),codeEAN13(INT(N327/10)),"")</f>
        <v>8APASOG*aijiga+</v>
      </c>
      <c r="J327" s="18">
        <f t="shared" si="264"/>
        <v>159</v>
      </c>
      <c r="L327" s="7" t="str">
        <f ca="1">INDEX(INDIRECT(zoneFichierTraite),$J327+offsetInitialFichierTraite,1)</f>
        <v>'159</v>
      </c>
      <c r="M327" s="14">
        <f ca="1">INDEX(INDIRECT(zoneFichierTraite),$J327+offsetInitialFichierTraite,9)</f>
        <v>23.7</v>
      </c>
      <c r="N327" s="17">
        <f ca="1">INDEX(INDIRECT(zoneFichierTraite),$J327+offsetInitialFichierTraite,3)</f>
        <v>8050846089860</v>
      </c>
      <c r="O327" s="2" t="e">
        <f ca="1">MATCH(N327,INDIRECT(nomFichierEAN13Valmag &amp; "!A:A"),0)</f>
        <v>#N/A</v>
      </c>
      <c r="P327" s="2" t="e">
        <f ca="1">MATCH(R327,INDIRECT(nomFichierEAN13Valmag &amp; "!A:A"),0)</f>
        <v>#N/A</v>
      </c>
      <c r="Q327" s="2">
        <f ca="1">MATCH(LEFT(B327,14) &amp; "*",INDIRECT(nomFichierBaseCatalogue &amp; "!B:B"),0)</f>
        <v>1418</v>
      </c>
      <c r="R327" s="17">
        <f ca="1">IFERROR(INDEX(INDIRECT(zoneFichierBaseCatalogue),Q327,1),"")</f>
        <v>8050846089860</v>
      </c>
      <c r="S327" s="2">
        <f ca="1">MATCH(B327,INDIRECT(nomFichierFiltreCatalogue &amp; "!B:B"),0)</f>
        <v>292</v>
      </c>
      <c r="T327" s="17"/>
    </row>
    <row r="328" spans="1:20" s="24" customFormat="1" ht="15.75" customHeight="1" x14ac:dyDescent="0.25">
      <c r="A328" s="30">
        <f ca="1">INDEX(INDIRECT(zoneFichierTraite),$J327+offsetInitialFichierTraite,2)</f>
        <v>57</v>
      </c>
      <c r="B328" s="29" t="str">
        <f ca="1">IFERROR(INDEX(INDIRECT(zoneFichierEAN13Valmag),$P327,3),"")</f>
        <v/>
      </c>
      <c r="C328" s="22" t="str">
        <f ca="1">IFERROR(INDEX(INDIRECT(zoneFichierEAN13Valmag),$O327,3),"")</f>
        <v/>
      </c>
      <c r="D328" s="23" t="str">
        <f ca="1">IFERROR(INDEX(INDIRECT(zoneFichierEAN13Valmag),$O327,4),"")</f>
        <v/>
      </c>
      <c r="E328" s="38" t="str">
        <f ca="1">IFERROR(INDEX(INDIRECT(zoneFichierFiltreCatalogue),S327,3),"")</f>
        <v>p059-2-01</v>
      </c>
      <c r="F328" s="23"/>
      <c r="G328" s="21"/>
      <c r="H328" s="39" t="str">
        <f ca="1">IFERROR(INDEX(INDIRECT(zoneFichierFiltreCatalogue),S327,6),"")</f>
        <v>fall 2019 presentation_/catalogo fall 19.txt</v>
      </c>
      <c r="R328" s="25"/>
      <c r="S328" s="25"/>
    </row>
    <row r="329" spans="1:20" ht="39" customHeight="1" thickBot="1" x14ac:dyDescent="0.65">
      <c r="A329" s="11" t="str">
        <f ca="1">INDEX(INDIRECT(zoneFichierTraite),$J329+offsetInitialFichierTraite,6)</f>
        <v>UNICA</v>
      </c>
      <c r="B329" s="7" t="str">
        <f ca="1">INDEX(INDIRECT(zoneFichierTraite),$J329+offsetInitialFichierTraite,4)</f>
        <v>OBAGT001-TESBB-615</v>
      </c>
      <c r="C329" s="31" t="str">
        <f ca="1">INDEX(INDIRECT(zoneFichierTraite),$J329+offsetInitialFichierTraite,5)</f>
        <v>REVERS O BAG EN TISSU IMPRIME DIANTHUS</v>
      </c>
      <c r="D329" s="32" t="str">
        <f ca="1">INDEX(INDIRECT(zoneFichierTraite),$J329+offsetInitialFichierTraite,13)</f>
        <v>military</v>
      </c>
      <c r="E329" s="35">
        <f ca="1">INDEX(INDIRECT(zoneFichierTraite),$J329+offsetInitialFichierTraite,7)</f>
        <v>2</v>
      </c>
      <c r="F329" s="33">
        <f ca="1">INDEX(INDIRECT(zoneFichierTraite),$J329+offsetInitialFichierTraite,8)</f>
        <v>13.33</v>
      </c>
      <c r="G329" s="34">
        <f t="shared" ref="G329" ca="1" si="325">ROUNDUP(F329*3,0)</f>
        <v>40</v>
      </c>
      <c r="H329" s="37" t="str">
        <f t="shared" ref="H329" ca="1" si="326">IF(ISNUMBER(N329),codeEAN13(INT(N329/10)),"")</f>
        <v>8APASOG*ajabgd+</v>
      </c>
      <c r="J329" s="18">
        <f t="shared" si="264"/>
        <v>160</v>
      </c>
      <c r="L329" s="7" t="str">
        <f ca="1">INDEX(INDIRECT(zoneFichierTraite),$J329+offsetInitialFichierTraite,1)</f>
        <v>'160</v>
      </c>
      <c r="M329" s="14">
        <f ca="1">INDEX(INDIRECT(zoneFichierTraite),$J329+offsetInitialFichierTraite,9)</f>
        <v>26.66</v>
      </c>
      <c r="N329" s="17">
        <f ca="1">INDEX(INDIRECT(zoneFichierTraite),$J329+offsetInitialFichierTraite,3)</f>
        <v>8050846090163</v>
      </c>
      <c r="O329" s="2" t="e">
        <f ca="1">MATCH(N329,INDIRECT(nomFichierEAN13Valmag &amp; "!A:A"),0)</f>
        <v>#N/A</v>
      </c>
      <c r="P329" s="2" t="e">
        <f ca="1">MATCH(R329,INDIRECT(nomFichierEAN13Valmag &amp; "!A:A"),0)</f>
        <v>#N/A</v>
      </c>
      <c r="Q329" s="2">
        <f ca="1">MATCH(LEFT(B329,14) &amp; "*",INDIRECT(nomFichierBaseCatalogue &amp; "!B:B"),0)</f>
        <v>1423</v>
      </c>
      <c r="R329" s="17">
        <f ca="1">IFERROR(INDEX(INDIRECT(zoneFichierBaseCatalogue),Q329,1),"")</f>
        <v>8050846090163</v>
      </c>
      <c r="S329" s="2">
        <f ca="1">MATCH(B329,INDIRECT(nomFichierFiltreCatalogue &amp; "!B:B"),0)</f>
        <v>306</v>
      </c>
      <c r="T329" s="17"/>
    </row>
    <row r="330" spans="1:20" s="24" customFormat="1" ht="15.75" customHeight="1" x14ac:dyDescent="0.25">
      <c r="A330" s="30">
        <f ca="1">INDEX(INDIRECT(zoneFichierTraite),$J329+offsetInitialFichierTraite,2)</f>
        <v>83</v>
      </c>
      <c r="B330" s="29" t="str">
        <f ca="1">IFERROR(INDEX(INDIRECT(zoneFichierEAN13Valmag),$P329,3),"")</f>
        <v/>
      </c>
      <c r="C330" s="22" t="str">
        <f ca="1">IFERROR(INDEX(INDIRECT(zoneFichierEAN13Valmag),$O329,3),"")</f>
        <v/>
      </c>
      <c r="D330" s="23" t="str">
        <f ca="1">IFERROR(INDEX(INDIRECT(zoneFichierEAN13Valmag),$O329,4),"")</f>
        <v/>
      </c>
      <c r="E330" s="38" t="str">
        <f ca="1">IFERROR(INDEX(INDIRECT(zoneFichierFiltreCatalogue),S329,3),"")</f>
        <v>p065-1-01</v>
      </c>
      <c r="F330" s="23"/>
      <c r="G330" s="21"/>
      <c r="H330" s="39" t="str">
        <f ca="1">IFERROR(INDEX(INDIRECT(zoneFichierFiltreCatalogue),S329,6),"")</f>
        <v>fall 2019 presentation_/catalogo fall 19.txt</v>
      </c>
      <c r="R330" s="25"/>
      <c r="S330" s="25"/>
    </row>
    <row r="331" spans="1:20" ht="39" customHeight="1" thickBot="1" x14ac:dyDescent="0.65">
      <c r="A331" s="11" t="str">
        <f ca="1">INDEX(INDIRECT(zoneFichierTraite),$J331+offsetInitialFichierTraite,6)</f>
        <v>UNICA</v>
      </c>
      <c r="B331" s="7" t="str">
        <f ca="1">INDEX(INDIRECT(zoneFichierTraite),$J331+offsetInitialFichierTraite,4)</f>
        <v>OBAGT001-TESBD-227</v>
      </c>
      <c r="C331" s="31" t="str">
        <f ca="1">INDEX(INDIRECT(zoneFichierTraite),$J331+offsetInitialFichierTraite,5)</f>
        <v>REVERS O BAG EN TISSU CHECK EFFET LAINE</v>
      </c>
      <c r="D331" s="32" t="str">
        <f ca="1">INDEX(INDIRECT(zoneFichierTraite),$J331+offsetInitialFichierTraite,13)</f>
        <v>bianco/nero</v>
      </c>
      <c r="E331" s="35">
        <f ca="1">INDEX(INDIRECT(zoneFichierTraite),$J331+offsetInitialFichierTraite,7)</f>
        <v>2</v>
      </c>
      <c r="F331" s="33">
        <f ca="1">INDEX(INDIRECT(zoneFichierTraite),$J331+offsetInitialFichierTraite,8)</f>
        <v>13.33</v>
      </c>
      <c r="G331" s="34">
        <f t="shared" ref="G331" ca="1" si="327">ROUNDUP(F331*3,0)</f>
        <v>40</v>
      </c>
      <c r="H331" s="37" t="str">
        <f t="shared" ref="H331" ca="1" si="328">IF(ISNUMBER(N331),codeEAN13(INT(N331/10)),"")</f>
        <v>8APASOG*ajabcf+</v>
      </c>
      <c r="J331" s="18">
        <f t="shared" ref="J331:J393" si="329">J329+1</f>
        <v>161</v>
      </c>
      <c r="L331" s="7" t="str">
        <f ca="1">INDEX(INDIRECT(zoneFichierTraite),$J331+offsetInitialFichierTraite,1)</f>
        <v>'161</v>
      </c>
      <c r="M331" s="14">
        <f ca="1">INDEX(INDIRECT(zoneFichierTraite),$J331+offsetInitialFichierTraite,9)</f>
        <v>26.66</v>
      </c>
      <c r="N331" s="17">
        <f ca="1">INDEX(INDIRECT(zoneFichierTraite),$J331+offsetInitialFichierTraite,3)</f>
        <v>8050846090125</v>
      </c>
      <c r="O331" s="2" t="e">
        <f ca="1">MATCH(N331,INDIRECT(nomFichierEAN13Valmag &amp; "!A:A"),0)</f>
        <v>#N/A</v>
      </c>
      <c r="P331" s="2" t="e">
        <f ca="1">MATCH(R331,INDIRECT(nomFichierEAN13Valmag &amp; "!A:A"),0)</f>
        <v>#N/A</v>
      </c>
      <c r="Q331" s="2">
        <f ca="1">MATCH(LEFT(B331,14) &amp; "*",INDIRECT(nomFichierBaseCatalogue &amp; "!B:B"),0)</f>
        <v>1424</v>
      </c>
      <c r="R331" s="17">
        <f ca="1">IFERROR(INDEX(INDIRECT(zoneFichierBaseCatalogue),Q331,1),"")</f>
        <v>8050846090125</v>
      </c>
      <c r="S331" s="2">
        <f ca="1">MATCH(B331,INDIRECT(nomFichierFiltreCatalogue &amp; "!B:B"),0)</f>
        <v>293</v>
      </c>
      <c r="T331" s="17"/>
    </row>
    <row r="332" spans="1:20" s="24" customFormat="1" ht="15.75" customHeight="1" x14ac:dyDescent="0.25">
      <c r="A332" s="30">
        <f ca="1">INDEX(INDIRECT(zoneFichierTraite),$J331+offsetInitialFichierTraite,2)</f>
        <v>125</v>
      </c>
      <c r="B332" s="29" t="str">
        <f ca="1">IFERROR(INDEX(INDIRECT(zoneFichierEAN13Valmag),$P331,3),"")</f>
        <v/>
      </c>
      <c r="C332" s="22" t="str">
        <f ca="1">IFERROR(INDEX(INDIRECT(zoneFichierEAN13Valmag),$O331,3),"")</f>
        <v/>
      </c>
      <c r="D332" s="23" t="str">
        <f ca="1">IFERROR(INDEX(INDIRECT(zoneFichierEAN13Valmag),$O331,4),"")</f>
        <v/>
      </c>
      <c r="E332" s="38" t="str">
        <f ca="1">IFERROR(INDEX(INDIRECT(zoneFichierFiltreCatalogue),S331,3),"")</f>
        <v>p060-1-01</v>
      </c>
      <c r="F332" s="23"/>
      <c r="G332" s="21"/>
      <c r="H332" s="39" t="str">
        <f ca="1">IFERROR(INDEX(INDIRECT(zoneFichierFiltreCatalogue),S331,6),"")</f>
        <v>fall 2019 presentation_/catalogo fall 19.txt</v>
      </c>
      <c r="R332" s="25"/>
      <c r="S332" s="25"/>
    </row>
    <row r="333" spans="1:20" ht="39" customHeight="1" thickBot="1" x14ac:dyDescent="0.65">
      <c r="A333" s="11" t="str">
        <f ca="1">INDEX(INDIRECT(zoneFichierTraite),$J333+offsetInitialFichierTraite,6)</f>
        <v>UNICA</v>
      </c>
      <c r="B333" s="7" t="str">
        <f ca="1">INDEX(INDIRECT(zoneFichierTraite),$J333+offsetInitialFichierTraite,4)</f>
        <v>OBAGT001-TESBE-227</v>
      </c>
      <c r="C333" s="31" t="str">
        <f ca="1">INDEX(INDIRECT(zoneFichierTraite),$J333+offsetInitialFichierTraite,5)</f>
        <v>REVERS O BAG EN TISSU Ã€ CHEVRONS</v>
      </c>
      <c r="D333" s="32" t="str">
        <f ca="1">INDEX(INDIRECT(zoneFichierTraite),$J333+offsetInitialFichierTraite,13)</f>
        <v>bianco/nero</v>
      </c>
      <c r="E333" s="35">
        <f ca="1">INDEX(INDIRECT(zoneFichierTraite),$J333+offsetInitialFichierTraite,7)</f>
        <v>2</v>
      </c>
      <c r="F333" s="33">
        <f ca="1">INDEX(INDIRECT(zoneFichierTraite),$J333+offsetInitialFichierTraite,8)</f>
        <v>13.33</v>
      </c>
      <c r="G333" s="34">
        <f t="shared" ref="G333" ca="1" si="330">ROUNDUP(F333*3,0)</f>
        <v>40</v>
      </c>
      <c r="H333" s="37" t="str">
        <f t="shared" ref="H333" ca="1" si="331">IF(ISNUMBER(N333),codeEAN13(INT(N333/10)),"")</f>
        <v>8APASOG*ajabbi+</v>
      </c>
      <c r="J333" s="18">
        <f t="shared" si="329"/>
        <v>162</v>
      </c>
      <c r="L333" s="7" t="str">
        <f ca="1">INDEX(INDIRECT(zoneFichierTraite),$J333+offsetInitialFichierTraite,1)</f>
        <v>'162</v>
      </c>
      <c r="M333" s="14">
        <f ca="1">INDEX(INDIRECT(zoneFichierTraite),$J333+offsetInitialFichierTraite,9)</f>
        <v>26.66</v>
      </c>
      <c r="N333" s="17">
        <f ca="1">INDEX(INDIRECT(zoneFichierTraite),$J333+offsetInitialFichierTraite,3)</f>
        <v>8050846090118</v>
      </c>
      <c r="O333" s="2" t="e">
        <f ca="1">MATCH(N333,INDIRECT(nomFichierEAN13Valmag &amp; "!A:A"),0)</f>
        <v>#N/A</v>
      </c>
      <c r="P333" s="2" t="e">
        <f ca="1">MATCH(R333,INDIRECT(nomFichierEAN13Valmag &amp; "!A:A"),0)</f>
        <v>#N/A</v>
      </c>
      <c r="Q333" s="2">
        <f ca="1">MATCH(LEFT(B333,14) &amp; "*",INDIRECT(nomFichierBaseCatalogue &amp; "!B:B"),0)</f>
        <v>1425</v>
      </c>
      <c r="R333" s="17">
        <f ca="1">IFERROR(INDEX(INDIRECT(zoneFichierBaseCatalogue),Q333,1),"")</f>
        <v>8050846090118</v>
      </c>
      <c r="S333" s="2">
        <f ca="1">MATCH(B333,INDIRECT(nomFichierFiltreCatalogue &amp; "!B:B"),0)</f>
        <v>297</v>
      </c>
      <c r="T333" s="17"/>
    </row>
    <row r="334" spans="1:20" s="24" customFormat="1" ht="15.75" customHeight="1" x14ac:dyDescent="0.25">
      <c r="A334" s="30">
        <f ca="1">INDEX(INDIRECT(zoneFichierTraite),$J333+offsetInitialFichierTraite,2)</f>
        <v>9</v>
      </c>
      <c r="B334" s="29" t="str">
        <f ca="1">IFERROR(INDEX(INDIRECT(zoneFichierEAN13Valmag),$P333,3),"")</f>
        <v/>
      </c>
      <c r="C334" s="22" t="str">
        <f ca="1">IFERROR(INDEX(INDIRECT(zoneFichierEAN13Valmag),$O333,3),"")</f>
        <v/>
      </c>
      <c r="D334" s="23" t="str">
        <f ca="1">IFERROR(INDEX(INDIRECT(zoneFichierEAN13Valmag),$O333,4),"")</f>
        <v/>
      </c>
      <c r="E334" s="38" t="str">
        <f ca="1">IFERROR(INDEX(INDIRECT(zoneFichierFiltreCatalogue),S333,3),"")</f>
        <v>p061-1-01</v>
      </c>
      <c r="F334" s="23"/>
      <c r="G334" s="21"/>
      <c r="H334" s="39" t="str">
        <f ca="1">IFERROR(INDEX(INDIRECT(zoneFichierFiltreCatalogue),S333,6),"")</f>
        <v>fall 2019 presentation_/catalogo fall 19.txt</v>
      </c>
      <c r="R334" s="25"/>
      <c r="S334" s="25"/>
    </row>
    <row r="335" spans="1:20" ht="39" customHeight="1" thickBot="1" x14ac:dyDescent="0.65">
      <c r="A335" s="11" t="str">
        <f ca="1">INDEX(INDIRECT(zoneFichierTraite),$J335+offsetInitialFichierTraite,6)</f>
        <v>UNICA</v>
      </c>
      <c r="B335" s="7" t="str">
        <f ca="1">INDEX(INDIRECT(zoneFichierTraite),$J335+offsetInitialFichierTraite,4)</f>
        <v>OBAGT001-TESBG-227</v>
      </c>
      <c r="C335" s="31" t="str">
        <f ca="1">INDEX(INDIRECT(zoneFichierTraite),$J335+offsetInitialFichierTraite,5)</f>
        <v>REVERS O BAG EN TISSU PRINCE DE GALLES + FLEURS</v>
      </c>
      <c r="D335" s="32" t="str">
        <f ca="1">INDEX(INDIRECT(zoneFichierTraite),$J335+offsetInitialFichierTraite,13)</f>
        <v>bianco/nero</v>
      </c>
      <c r="E335" s="35">
        <f ca="1">INDEX(INDIRECT(zoneFichierTraite),$J335+offsetInitialFichierTraite,7)</f>
        <v>2</v>
      </c>
      <c r="F335" s="33">
        <f ca="1">INDEX(INDIRECT(zoneFichierTraite),$J335+offsetInitialFichierTraite,8)</f>
        <v>15.56</v>
      </c>
      <c r="G335" s="34">
        <f t="shared" ref="G335" ca="1" si="332">ROUNDUP(F335*3,0)</f>
        <v>47</v>
      </c>
      <c r="H335" s="37" t="str">
        <f t="shared" ref="H335" ca="1" si="333">IF(ISNUMBER(N335),codeEAN13(INT(N335/10)),"")</f>
        <v>8APASOG*ajacbh+</v>
      </c>
      <c r="J335" s="18">
        <f t="shared" si="329"/>
        <v>163</v>
      </c>
      <c r="L335" s="7" t="str">
        <f ca="1">INDEX(INDIRECT(zoneFichierTraite),$J335+offsetInitialFichierTraite,1)</f>
        <v>'163</v>
      </c>
      <c r="M335" s="14">
        <f ca="1">INDEX(INDIRECT(zoneFichierTraite),$J335+offsetInitialFichierTraite,9)</f>
        <v>31.12</v>
      </c>
      <c r="N335" s="17">
        <f ca="1">INDEX(INDIRECT(zoneFichierTraite),$J335+offsetInitialFichierTraite,3)</f>
        <v>8050846090217</v>
      </c>
      <c r="O335" s="2" t="e">
        <f ca="1">MATCH(N335,INDIRECT(nomFichierEAN13Valmag &amp; "!A:A"),0)</f>
        <v>#N/A</v>
      </c>
      <c r="P335" s="2" t="e">
        <f ca="1">MATCH(R335,INDIRECT(nomFichierEAN13Valmag &amp; "!A:A"),0)</f>
        <v>#N/A</v>
      </c>
      <c r="Q335" s="2">
        <f ca="1">MATCH(LEFT(B335,14) &amp; "*",INDIRECT(nomFichierBaseCatalogue &amp; "!B:B"),0)</f>
        <v>1426</v>
      </c>
      <c r="R335" s="17">
        <f ca="1">IFERROR(INDEX(INDIRECT(zoneFichierBaseCatalogue),Q335,1),"")</f>
        <v>8050846090217</v>
      </c>
      <c r="S335" s="2">
        <f ca="1">MATCH(B335,INDIRECT(nomFichierFiltreCatalogue &amp; "!B:B"),0)</f>
        <v>298</v>
      </c>
      <c r="T335" s="17"/>
    </row>
    <row r="336" spans="1:20" s="24" customFormat="1" ht="15.75" customHeight="1" x14ac:dyDescent="0.25">
      <c r="A336" s="30">
        <f ca="1">INDEX(INDIRECT(zoneFichierTraite),$J335+offsetInitialFichierTraite,2)</f>
        <v>13</v>
      </c>
      <c r="B336" s="29" t="str">
        <f ca="1">IFERROR(INDEX(INDIRECT(zoneFichierEAN13Valmag),$P335,3),"")</f>
        <v/>
      </c>
      <c r="C336" s="22" t="str">
        <f ca="1">IFERROR(INDEX(INDIRECT(zoneFichierEAN13Valmag),$O335,3),"")</f>
        <v/>
      </c>
      <c r="D336" s="23" t="str">
        <f ca="1">IFERROR(INDEX(INDIRECT(zoneFichierEAN13Valmag),$O335,4),"")</f>
        <v/>
      </c>
      <c r="E336" s="38" t="str">
        <f ca="1">IFERROR(INDEX(INDIRECT(zoneFichierFiltreCatalogue),S335,3),"")</f>
        <v>p061-2-01</v>
      </c>
      <c r="F336" s="23"/>
      <c r="G336" s="21"/>
      <c r="H336" s="39" t="str">
        <f ca="1">IFERROR(INDEX(INDIRECT(zoneFichierFiltreCatalogue),S335,6),"")</f>
        <v>fall 2019 presentation_/catalogo fall 19.txt</v>
      </c>
      <c r="R336" s="25"/>
      <c r="S336" s="25"/>
    </row>
    <row r="337" spans="1:20" ht="39" customHeight="1" thickBot="1" x14ac:dyDescent="0.65">
      <c r="A337" s="11" t="str">
        <f ca="1">INDEX(INDIRECT(zoneFichierTraite),$J337+offsetInitialFichierTraite,6)</f>
        <v>UNICA</v>
      </c>
      <c r="B337" s="7" t="str">
        <f ca="1">INDEX(INDIRECT(zoneFichierTraite),$J337+offsetInitialFichierTraite,4)</f>
        <v>OBAGT001-TESBH-017</v>
      </c>
      <c r="C337" s="31" t="str">
        <f ca="1">INDEX(INDIRECT(zoneFichierTraite),$J337+offsetInitialFichierTraite,5)</f>
        <v>REVERS O BAG EN TISSU IMPRIME JACQUARD MICRO FANTAISIE</v>
      </c>
      <c r="D337" s="32" t="str">
        <f ca="1">INDEX(INDIRECT(zoneFichierTraite),$J337+offsetInitialFichierTraite,13)</f>
        <v>blu navy</v>
      </c>
      <c r="E337" s="35">
        <f ca="1">INDEX(INDIRECT(zoneFichierTraite),$J337+offsetInitialFichierTraite,7)</f>
        <v>2</v>
      </c>
      <c r="F337" s="33">
        <f ca="1">INDEX(INDIRECT(zoneFichierTraite),$J337+offsetInitialFichierTraite,8)</f>
        <v>13.33</v>
      </c>
      <c r="G337" s="34">
        <f t="shared" ref="G337" ca="1" si="334">ROUNDUP(F337*3,0)</f>
        <v>40</v>
      </c>
      <c r="H337" s="37" t="str">
        <f t="shared" ref="H337" ca="1" si="335">IF(ISNUMBER(N337),codeEAN13(INT(N337/10)),"")</f>
        <v>8APASOG*ajabfg+</v>
      </c>
      <c r="J337" s="18">
        <f t="shared" si="329"/>
        <v>164</v>
      </c>
      <c r="L337" s="7" t="str">
        <f ca="1">INDEX(INDIRECT(zoneFichierTraite),$J337+offsetInitialFichierTraite,1)</f>
        <v>'164</v>
      </c>
      <c r="M337" s="14">
        <f ca="1">INDEX(INDIRECT(zoneFichierTraite),$J337+offsetInitialFichierTraite,9)</f>
        <v>26.66</v>
      </c>
      <c r="N337" s="17">
        <f ca="1">INDEX(INDIRECT(zoneFichierTraite),$J337+offsetInitialFichierTraite,3)</f>
        <v>8050846090156</v>
      </c>
      <c r="O337" s="2" t="e">
        <f ca="1">MATCH(N337,INDIRECT(nomFichierEAN13Valmag &amp; "!A:A"),0)</f>
        <v>#N/A</v>
      </c>
      <c r="P337" s="2" t="e">
        <f ca="1">MATCH(R337,INDIRECT(nomFichierEAN13Valmag &amp; "!A:A"),0)</f>
        <v>#N/A</v>
      </c>
      <c r="Q337" s="2">
        <f ca="1">MATCH(LEFT(B337,14) &amp; "*",INDIRECT(nomFichierBaseCatalogue &amp; "!B:B"),0)</f>
        <v>1427</v>
      </c>
      <c r="R337" s="17">
        <f ca="1">IFERROR(INDEX(INDIRECT(zoneFichierBaseCatalogue),Q337,1),"")</f>
        <v>8050846090156</v>
      </c>
      <c r="S337" s="2">
        <f ca="1">MATCH(B337,INDIRECT(nomFichierFiltreCatalogue &amp; "!B:B"),0)</f>
        <v>299</v>
      </c>
      <c r="T337" s="17"/>
    </row>
    <row r="338" spans="1:20" s="24" customFormat="1" ht="15.75" customHeight="1" x14ac:dyDescent="0.25">
      <c r="A338" s="30">
        <f ca="1">INDEX(INDIRECT(zoneFichierTraite),$J337+offsetInitialFichierTraite,2)</f>
        <v>71</v>
      </c>
      <c r="B338" s="29" t="str">
        <f ca="1">IFERROR(INDEX(INDIRECT(zoneFichierEAN13Valmag),$P337,3),"")</f>
        <v/>
      </c>
      <c r="C338" s="22" t="str">
        <f ca="1">IFERROR(INDEX(INDIRECT(zoneFichierEAN13Valmag),$O337,3),"")</f>
        <v/>
      </c>
      <c r="D338" s="23" t="str">
        <f ca="1">IFERROR(INDEX(INDIRECT(zoneFichierEAN13Valmag),$O337,4),"")</f>
        <v/>
      </c>
      <c r="E338" s="38" t="str">
        <f ca="1">IFERROR(INDEX(INDIRECT(zoneFichierFiltreCatalogue),S337,3),"")</f>
        <v>p062-1-01</v>
      </c>
      <c r="F338" s="23"/>
      <c r="G338" s="21"/>
      <c r="H338" s="39" t="str">
        <f ca="1">IFERROR(INDEX(INDIRECT(zoneFichierFiltreCatalogue),S337,6),"")</f>
        <v>fall 2019 presentation_/catalogo fall 19.txt</v>
      </c>
      <c r="R338" s="25"/>
      <c r="S338" s="25"/>
    </row>
    <row r="339" spans="1:20" ht="39" customHeight="1" thickBot="1" x14ac:dyDescent="0.65">
      <c r="A339" s="11" t="str">
        <f ca="1">INDEX(INDIRECT(zoneFichierTraite),$J339+offsetInitialFichierTraite,6)</f>
        <v>UNICA</v>
      </c>
      <c r="B339" s="7" t="str">
        <f ca="1">INDEX(INDIRECT(zoneFichierTraite),$J339+offsetInitialFichierTraite,4)</f>
        <v>OBAGT001-TESBJ-227</v>
      </c>
      <c r="C339" s="31" t="str">
        <f ca="1">INDEX(INDIRECT(zoneFichierTraite),$J339+offsetInitialFichierTraite,5)</f>
        <v>REVERS O BAG EN TISSU OPTICAL STRIPES</v>
      </c>
      <c r="D339" s="32" t="str">
        <f ca="1">INDEX(INDIRECT(zoneFichierTraite),$J339+offsetInitialFichierTraite,13)</f>
        <v>bianco/nero</v>
      </c>
      <c r="E339" s="35">
        <f ca="1">INDEX(INDIRECT(zoneFichierTraite),$J339+offsetInitialFichierTraite,7)</f>
        <v>2</v>
      </c>
      <c r="F339" s="33">
        <f ca="1">INDEX(INDIRECT(zoneFichierTraite),$J339+offsetInitialFichierTraite,8)</f>
        <v>11.85</v>
      </c>
      <c r="G339" s="34">
        <f t="shared" ref="G339" ca="1" si="336">ROUNDUP(F339*3,0)</f>
        <v>36</v>
      </c>
      <c r="H339" s="37" t="str">
        <f t="shared" ref="H339" ca="1" si="337">IF(ISNUMBER(N339),codeEAN13(INT(N339/10)),"")</f>
        <v>8APASOG*ajabab+</v>
      </c>
      <c r="J339" s="18">
        <f t="shared" si="329"/>
        <v>165</v>
      </c>
      <c r="L339" s="7" t="str">
        <f ca="1">INDEX(INDIRECT(zoneFichierTraite),$J339+offsetInitialFichierTraite,1)</f>
        <v>'165</v>
      </c>
      <c r="M339" s="14">
        <f ca="1">INDEX(INDIRECT(zoneFichierTraite),$J339+offsetInitialFichierTraite,9)</f>
        <v>23.7</v>
      </c>
      <c r="N339" s="17">
        <f ca="1">INDEX(INDIRECT(zoneFichierTraite),$J339+offsetInitialFichierTraite,3)</f>
        <v>8050846090101</v>
      </c>
      <c r="O339" s="2" t="e">
        <f ca="1">MATCH(N339,INDIRECT(nomFichierEAN13Valmag &amp; "!A:A"),0)</f>
        <v>#N/A</v>
      </c>
      <c r="P339" s="2" t="e">
        <f ca="1">MATCH(R339,INDIRECT(nomFichierEAN13Valmag &amp; "!A:A"),0)</f>
        <v>#N/A</v>
      </c>
      <c r="Q339" s="2">
        <f ca="1">MATCH(LEFT(B339,14) &amp; "*",INDIRECT(nomFichierBaseCatalogue &amp; "!B:B"),0)</f>
        <v>1429</v>
      </c>
      <c r="R339" s="17">
        <f ca="1">IFERROR(INDEX(INDIRECT(zoneFichierBaseCatalogue),Q339,1),"")</f>
        <v>8050846090101</v>
      </c>
      <c r="S339" s="2">
        <f ca="1">MATCH(B339,INDIRECT(nomFichierFiltreCatalogue &amp; "!B:B"),0)</f>
        <v>301</v>
      </c>
      <c r="T339" s="17"/>
    </row>
    <row r="340" spans="1:20" s="24" customFormat="1" ht="15.75" customHeight="1" x14ac:dyDescent="0.25">
      <c r="A340" s="30">
        <f ca="1">INDEX(INDIRECT(zoneFichierTraite),$J339+offsetInitialFichierTraite,2)</f>
        <v>208</v>
      </c>
      <c r="B340" s="29" t="str">
        <f ca="1">IFERROR(INDEX(INDIRECT(zoneFichierEAN13Valmag),$P339,3),"")</f>
        <v/>
      </c>
      <c r="C340" s="22" t="str">
        <f ca="1">IFERROR(INDEX(INDIRECT(zoneFichierEAN13Valmag),$O339,3),"")</f>
        <v/>
      </c>
      <c r="D340" s="23" t="str">
        <f ca="1">IFERROR(INDEX(INDIRECT(zoneFichierEAN13Valmag),$O339,4),"")</f>
        <v/>
      </c>
      <c r="E340" s="38" t="str">
        <f ca="1">IFERROR(INDEX(INDIRECT(zoneFichierFiltreCatalogue),S339,3),"")</f>
        <v>p063-1-01</v>
      </c>
      <c r="F340" s="23"/>
      <c r="G340" s="21"/>
      <c r="H340" s="39" t="str">
        <f ca="1">IFERROR(INDEX(INDIRECT(zoneFichierFiltreCatalogue),S339,6),"")</f>
        <v>fall 2019 presentation_/catalogo fall 19.txt</v>
      </c>
      <c r="R340" s="25"/>
      <c r="S340" s="25"/>
    </row>
    <row r="341" spans="1:20" ht="39" customHeight="1" thickBot="1" x14ac:dyDescent="0.65">
      <c r="A341" s="11" t="str">
        <f ca="1">INDEX(INDIRECT(zoneFichierTraite),$J341+offsetInitialFichierTraite,6)</f>
        <v>UNICA</v>
      </c>
      <c r="B341" s="7" t="str">
        <f ca="1">INDEX(INDIRECT(zoneFichierTraite),$J341+offsetInitialFichierTraite,4)</f>
        <v>OBAGT001-TESBK-055</v>
      </c>
      <c r="C341" s="31" t="str">
        <f ca="1">INDEX(INDIRECT(zoneFichierTraite),$J341+offsetInitialFichierTraite,5)</f>
        <v>REVERS O BAG EN TISSU DOUDOUNE Ã€ CHEVRONS</v>
      </c>
      <c r="D341" s="32" t="str">
        <f ca="1">INDEX(INDIRECT(zoneFichierTraite),$J341+offsetInitialFichierTraite,13)</f>
        <v>nero</v>
      </c>
      <c r="E341" s="35">
        <f ca="1">INDEX(INDIRECT(zoneFichierTraite),$J341+offsetInitialFichierTraite,7)</f>
        <v>2</v>
      </c>
      <c r="F341" s="33">
        <f ca="1">INDEX(INDIRECT(zoneFichierTraite),$J341+offsetInitialFichierTraite,8)</f>
        <v>11.85</v>
      </c>
      <c r="G341" s="34">
        <f t="shared" ref="G341" ca="1" si="338">ROUNDUP(F341*3,0)</f>
        <v>36</v>
      </c>
      <c r="H341" s="37" t="str">
        <f t="shared" ref="H341" ca="1" si="339">IF(ISNUMBER(N341),codeEAN13(INT(N341/10)),"")</f>
        <v>8APASOG*ajaajf+</v>
      </c>
      <c r="J341" s="18">
        <f t="shared" si="329"/>
        <v>166</v>
      </c>
      <c r="L341" s="7" t="str">
        <f ca="1">INDEX(INDIRECT(zoneFichierTraite),$J341+offsetInitialFichierTraite,1)</f>
        <v>'166</v>
      </c>
      <c r="M341" s="14">
        <f ca="1">INDEX(INDIRECT(zoneFichierTraite),$J341+offsetInitialFichierTraite,9)</f>
        <v>23.7</v>
      </c>
      <c r="N341" s="17">
        <f ca="1">INDEX(INDIRECT(zoneFichierTraite),$J341+offsetInitialFichierTraite,3)</f>
        <v>8050846090095</v>
      </c>
      <c r="O341" s="2" t="e">
        <f ca="1">MATCH(N341,INDIRECT(nomFichierEAN13Valmag &amp; "!A:A"),0)</f>
        <v>#N/A</v>
      </c>
      <c r="P341" s="2" t="e">
        <f ca="1">MATCH(R341,INDIRECT(nomFichierEAN13Valmag &amp; "!A:A"),0)</f>
        <v>#N/A</v>
      </c>
      <c r="Q341" s="2">
        <f ca="1">MATCH(LEFT(B341,14) &amp; "*",INDIRECT(nomFichierBaseCatalogue &amp; "!B:B"),0)</f>
        <v>1430</v>
      </c>
      <c r="R341" s="17">
        <f ca="1">IFERROR(INDEX(INDIRECT(zoneFichierBaseCatalogue),Q341,1),"")</f>
        <v>8050846090095</v>
      </c>
      <c r="S341" s="2">
        <f ca="1">MATCH(B341,INDIRECT(nomFichierFiltreCatalogue &amp; "!B:B"),0)</f>
        <v>302</v>
      </c>
      <c r="T341" s="17"/>
    </row>
    <row r="342" spans="1:20" s="24" customFormat="1" ht="15.75" customHeight="1" x14ac:dyDescent="0.25">
      <c r="A342" s="30">
        <f ca="1">INDEX(INDIRECT(zoneFichierTraite),$J341+offsetInitialFichierTraite,2)</f>
        <v>10</v>
      </c>
      <c r="B342" s="29" t="str">
        <f ca="1">IFERROR(INDEX(INDIRECT(zoneFichierEAN13Valmag),$P341,3),"")</f>
        <v/>
      </c>
      <c r="C342" s="22" t="str">
        <f ca="1">IFERROR(INDEX(INDIRECT(zoneFichierEAN13Valmag),$O341,3),"")</f>
        <v/>
      </c>
      <c r="D342" s="23" t="str">
        <f ca="1">IFERROR(INDEX(INDIRECT(zoneFichierEAN13Valmag),$O341,4),"")</f>
        <v/>
      </c>
      <c r="E342" s="38" t="str">
        <f ca="1">IFERROR(INDEX(INDIRECT(zoneFichierFiltreCatalogue),S341,3),"")</f>
        <v>p063-2-01</v>
      </c>
      <c r="F342" s="23"/>
      <c r="G342" s="21"/>
      <c r="H342" s="39" t="str">
        <f ca="1">IFERROR(INDEX(INDIRECT(zoneFichierFiltreCatalogue),S341,6),"")</f>
        <v>fall 2019 presentation_/catalogo fall 19.txt</v>
      </c>
      <c r="R342" s="25"/>
      <c r="S342" s="25"/>
    </row>
    <row r="343" spans="1:20" ht="39" customHeight="1" thickBot="1" x14ac:dyDescent="0.65">
      <c r="A343" s="11" t="str">
        <f ca="1">INDEX(INDIRECT(zoneFichierTraite),$J343+offsetInitialFichierTraite,6)</f>
        <v>UNICA</v>
      </c>
      <c r="B343" s="7" t="str">
        <f ca="1">INDEX(INDIRECT(zoneFichierTraite),$J343+offsetInitialFichierTraite,4)</f>
        <v>OBAGT001-TESBK-137</v>
      </c>
      <c r="C343" s="31" t="str">
        <f ca="1">INDEX(INDIRECT(zoneFichierTraite),$J343+offsetInitialFichierTraite,5)</f>
        <v>REVERS O BAG EN TISSU DOUDOUNE Ã€ CHEVRONS</v>
      </c>
      <c r="D343" s="32" t="str">
        <f ca="1">INDEX(INDIRECT(zoneFichierTraite),$J343+offsetInitialFichierTraite,13)</f>
        <v>bluette</v>
      </c>
      <c r="E343" s="35">
        <f ca="1">INDEX(INDIRECT(zoneFichierTraite),$J343+offsetInitialFichierTraite,7)</f>
        <v>2</v>
      </c>
      <c r="F343" s="33">
        <f ca="1">INDEX(INDIRECT(zoneFichierTraite),$J343+offsetInitialFichierTraite,8)</f>
        <v>11.85</v>
      </c>
      <c r="G343" s="34">
        <f t="shared" ref="G343" ca="1" si="340">ROUNDUP(F343*3,0)</f>
        <v>36</v>
      </c>
      <c r="H343" s="37" t="str">
        <f t="shared" ref="H343" ca="1" si="341">IF(ISNUMBER(N343),codeEAN13(INT(N343/10)),"")</f>
        <v>8APASOG*ajaaii+</v>
      </c>
      <c r="J343" s="18">
        <f t="shared" si="329"/>
        <v>167</v>
      </c>
      <c r="L343" s="7" t="str">
        <f ca="1">INDEX(INDIRECT(zoneFichierTraite),$J343+offsetInitialFichierTraite,1)</f>
        <v>'167</v>
      </c>
      <c r="M343" s="14">
        <f ca="1">INDEX(INDIRECT(zoneFichierTraite),$J343+offsetInitialFichierTraite,9)</f>
        <v>23.7</v>
      </c>
      <c r="N343" s="17">
        <f ca="1">INDEX(INDIRECT(zoneFichierTraite),$J343+offsetInitialFichierTraite,3)</f>
        <v>8050846090088</v>
      </c>
      <c r="O343" s="2" t="e">
        <f ca="1">MATCH(N343,INDIRECT(nomFichierEAN13Valmag &amp; "!A:A"),0)</f>
        <v>#N/A</v>
      </c>
      <c r="P343" s="2" t="e">
        <f ca="1">MATCH(R343,INDIRECT(nomFichierEAN13Valmag &amp; "!A:A"),0)</f>
        <v>#N/A</v>
      </c>
      <c r="Q343" s="2">
        <f ca="1">MATCH(LEFT(B343,14) &amp; "*",INDIRECT(nomFichierBaseCatalogue &amp; "!B:B"),0)</f>
        <v>1430</v>
      </c>
      <c r="R343" s="17">
        <f ca="1">IFERROR(INDEX(INDIRECT(zoneFichierBaseCatalogue),Q343,1),"")</f>
        <v>8050846090095</v>
      </c>
      <c r="S343" s="2">
        <f ca="1">MATCH(B343,INDIRECT(nomFichierFiltreCatalogue &amp; "!B:B"),0)</f>
        <v>303</v>
      </c>
      <c r="T343" s="17"/>
    </row>
    <row r="344" spans="1:20" s="24" customFormat="1" ht="15.75" customHeight="1" x14ac:dyDescent="0.25">
      <c r="A344" s="30">
        <f ca="1">INDEX(INDIRECT(zoneFichierTraite),$J343+offsetInitialFichierTraite,2)</f>
        <v>59</v>
      </c>
      <c r="B344" s="29" t="str">
        <f ca="1">IFERROR(INDEX(INDIRECT(zoneFichierEAN13Valmag),$P343,3),"")</f>
        <v/>
      </c>
      <c r="C344" s="22" t="str">
        <f ca="1">IFERROR(INDEX(INDIRECT(zoneFichierEAN13Valmag),$O343,3),"")</f>
        <v/>
      </c>
      <c r="D344" s="23" t="str">
        <f ca="1">IFERROR(INDEX(INDIRECT(zoneFichierEAN13Valmag),$O343,4),"")</f>
        <v/>
      </c>
      <c r="E344" s="38" t="str">
        <f ca="1">IFERROR(INDEX(INDIRECT(zoneFichierFiltreCatalogue),S343,3),"")</f>
        <v>p063-2-02</v>
      </c>
      <c r="F344" s="23"/>
      <c r="G344" s="21"/>
      <c r="H344" s="39" t="str">
        <f ca="1">IFERROR(INDEX(INDIRECT(zoneFichierFiltreCatalogue),S343,6),"")</f>
        <v>fall 2019 presentation_/catalogo fall 19.txt</v>
      </c>
      <c r="R344" s="25"/>
      <c r="S344" s="25"/>
    </row>
    <row r="345" spans="1:20" ht="39" customHeight="1" thickBot="1" x14ac:dyDescent="0.65">
      <c r="A345" s="11" t="str">
        <f ca="1">INDEX(INDIRECT(zoneFichierTraite),$J345+offsetInitialFichierTraite,6)</f>
        <v>UNICA</v>
      </c>
      <c r="B345" s="7" t="str">
        <f ca="1">INDEX(INDIRECT(zoneFichierTraite),$J345+offsetInitialFichierTraite,4)</f>
        <v>OBAGT001-TESBN-615</v>
      </c>
      <c r="C345" s="31" t="str">
        <f ca="1">INDEX(INDIRECT(zoneFichierTraite),$J345+offsetInitialFichierTraite,5)</f>
        <v>REVERS O BAG EN TISSU DOUDOUNE CHECK</v>
      </c>
      <c r="D345" s="32" t="str">
        <f ca="1">INDEX(INDIRECT(zoneFichierTraite),$J345+offsetInitialFichierTraite,13)</f>
        <v>military</v>
      </c>
      <c r="E345" s="35">
        <f ca="1">INDEX(INDIRECT(zoneFichierTraite),$J345+offsetInitialFichierTraite,7)</f>
        <v>2</v>
      </c>
      <c r="F345" s="33">
        <f ca="1">INDEX(INDIRECT(zoneFichierTraite),$J345+offsetInitialFichierTraite,8)</f>
        <v>15.56</v>
      </c>
      <c r="G345" s="34">
        <f t="shared" ref="G345" ca="1" si="342">ROUNDUP(F345*3,0)</f>
        <v>47</v>
      </c>
      <c r="H345" s="37" t="str">
        <f t="shared" ref="H345" ca="1" si="343">IF(ISNUMBER(N345),codeEAN13(INT(N345/10)),"")</f>
        <v>8APASOG*ajacdb+</v>
      </c>
      <c r="J345" s="18">
        <f t="shared" si="329"/>
        <v>168</v>
      </c>
      <c r="L345" s="7" t="str">
        <f ca="1">INDEX(INDIRECT(zoneFichierTraite),$J345+offsetInitialFichierTraite,1)</f>
        <v>'168</v>
      </c>
      <c r="M345" s="14">
        <f ca="1">INDEX(INDIRECT(zoneFichierTraite),$J345+offsetInitialFichierTraite,9)</f>
        <v>31.12</v>
      </c>
      <c r="N345" s="17">
        <f ca="1">INDEX(INDIRECT(zoneFichierTraite),$J345+offsetInitialFichierTraite,3)</f>
        <v>8050846090231</v>
      </c>
      <c r="O345" s="2" t="e">
        <f ca="1">MATCH(N345,INDIRECT(nomFichierEAN13Valmag &amp; "!A:A"),0)</f>
        <v>#N/A</v>
      </c>
      <c r="P345" s="2" t="e">
        <f ca="1">MATCH(R345,INDIRECT(nomFichierEAN13Valmag &amp; "!A:A"),0)</f>
        <v>#N/A</v>
      </c>
      <c r="Q345" s="2">
        <f ca="1">MATCH(LEFT(B345,14) &amp; "*",INDIRECT(nomFichierBaseCatalogue &amp; "!B:B"),0)</f>
        <v>1433</v>
      </c>
      <c r="R345" s="17">
        <f ca="1">IFERROR(INDEX(INDIRECT(zoneFichierBaseCatalogue),Q345,1),"")</f>
        <v>8050846090231</v>
      </c>
      <c r="S345" s="2">
        <f ca="1">MATCH(B345,INDIRECT(nomFichierFiltreCatalogue &amp; "!B:B"),0)</f>
        <v>305</v>
      </c>
      <c r="T345" s="17"/>
    </row>
    <row r="346" spans="1:20" s="24" customFormat="1" ht="15.75" customHeight="1" x14ac:dyDescent="0.25">
      <c r="A346" s="30">
        <f ca="1">INDEX(INDIRECT(zoneFichierTraite),$J345+offsetInitialFichierTraite,2)</f>
        <v>72</v>
      </c>
      <c r="B346" s="29" t="str">
        <f ca="1">IFERROR(INDEX(INDIRECT(zoneFichierEAN13Valmag),$P345,3),"")</f>
        <v/>
      </c>
      <c r="C346" s="22" t="str">
        <f ca="1">IFERROR(INDEX(INDIRECT(zoneFichierEAN13Valmag),$O345,3),"")</f>
        <v/>
      </c>
      <c r="D346" s="23" t="str">
        <f ca="1">IFERROR(INDEX(INDIRECT(zoneFichierEAN13Valmag),$O345,4),"")</f>
        <v/>
      </c>
      <c r="E346" s="38" t="str">
        <f ca="1">IFERROR(INDEX(INDIRECT(zoneFichierFiltreCatalogue),S345,3),"")</f>
        <v>p064-2-01</v>
      </c>
      <c r="F346" s="23"/>
      <c r="G346" s="21"/>
      <c r="H346" s="39" t="str">
        <f ca="1">IFERROR(INDEX(INDIRECT(zoneFichierFiltreCatalogue),S345,6),"")</f>
        <v>fall 2019 presentation_/catalogo fall 19.txt</v>
      </c>
      <c r="R346" s="25"/>
      <c r="S346" s="25"/>
    </row>
    <row r="347" spans="1:20" ht="39" customHeight="1" thickBot="1" x14ac:dyDescent="0.65">
      <c r="A347" s="11" t="str">
        <f ca="1">INDEX(INDIRECT(zoneFichierTraite),$J347+offsetInitialFichierTraite,6)</f>
        <v>UNICA</v>
      </c>
      <c r="B347" s="7" t="str">
        <f ca="1">INDEX(INDIRECT(zoneFichierTraite),$J347+offsetInitialFichierTraite,4)</f>
        <v>OBAGT002-FAS04-615</v>
      </c>
      <c r="C347" s="31" t="str">
        <f ca="1">INDEX(INDIRECT(zoneFichierTraite),$J347+offsetInitialFichierTraite,5)</f>
        <v>REVERS O BAG MINI EN FAUSSE FOURRURE MURMANSKY</v>
      </c>
      <c r="D347" s="32" t="str">
        <f ca="1">INDEX(INDIRECT(zoneFichierTraite),$J347+offsetInitialFichierTraite,13)</f>
        <v>military</v>
      </c>
      <c r="E347" s="35">
        <f ca="1">INDEX(INDIRECT(zoneFichierTraite),$J347+offsetInitialFichierTraite,7)</f>
        <v>2</v>
      </c>
      <c r="F347" s="33">
        <f ca="1">INDEX(INDIRECT(zoneFichierTraite),$J347+offsetInitialFichierTraite,8)</f>
        <v>24</v>
      </c>
      <c r="G347" s="34">
        <f t="shared" ref="G347" ca="1" si="344">ROUNDUP(F347*3,0)</f>
        <v>72</v>
      </c>
      <c r="H347" s="37" t="str">
        <f t="shared" ref="H347" ca="1" si="345">IF(ISNUMBER(N347),codeEAN13(INT(N347/10)),"")</f>
        <v>8APASOG*ajbaif+</v>
      </c>
      <c r="J347" s="18">
        <f t="shared" si="329"/>
        <v>169</v>
      </c>
      <c r="L347" s="7" t="str">
        <f ca="1">INDEX(INDIRECT(zoneFichierTraite),$J347+offsetInitialFichierTraite,1)</f>
        <v>'169</v>
      </c>
      <c r="M347" s="14">
        <f ca="1">INDEX(INDIRECT(zoneFichierTraite),$J347+offsetInitialFichierTraite,9)</f>
        <v>48</v>
      </c>
      <c r="N347" s="17">
        <f ca="1">INDEX(INDIRECT(zoneFichierTraite),$J347+offsetInitialFichierTraite,3)</f>
        <v>8050846091085</v>
      </c>
      <c r="O347" s="2" t="e">
        <f ca="1">MATCH(N347,INDIRECT(nomFichierEAN13Valmag &amp; "!A:A"),0)</f>
        <v>#N/A</v>
      </c>
      <c r="P347" s="2">
        <f ca="1">MATCH(R347,INDIRECT(nomFichierEAN13Valmag &amp; "!A:A"),0)</f>
        <v>7151</v>
      </c>
      <c r="Q347" s="2">
        <f ca="1">MATCH(LEFT(B347,14) &amp; "*",INDIRECT(nomFichierBaseCatalogue &amp; "!B:B"),0)</f>
        <v>1449</v>
      </c>
      <c r="R347" s="17">
        <f ca="1">IFERROR(INDEX(INDIRECT(zoneFichierBaseCatalogue),Q347,1),"")</f>
        <v>8056099177255</v>
      </c>
      <c r="S347" s="2">
        <f ca="1">MATCH(B347,INDIRECT(nomFichierFiltreCatalogue &amp; "!B:B"),0)</f>
        <v>313</v>
      </c>
      <c r="T347" s="17"/>
    </row>
    <row r="348" spans="1:20" s="24" customFormat="1" ht="15.75" customHeight="1" x14ac:dyDescent="0.25">
      <c r="A348" s="30">
        <f ca="1">INDEX(INDIRECT(zoneFichierTraite),$J347+offsetInitialFichierTraite,2)</f>
        <v>84</v>
      </c>
      <c r="B348" s="29" t="str">
        <f ca="1">IFERROR(INDEX(INDIRECT(zoneFichierEAN13Valmag),$P347,3),"")</f>
        <v xml:space="preserve">MINIECOFOURRURE </v>
      </c>
      <c r="C348" s="22" t="str">
        <f ca="1">IFERROR(INDEX(INDIRECT(zoneFichierEAN13Valmag),$O347,3),"")</f>
        <v/>
      </c>
      <c r="D348" s="23" t="str">
        <f ca="1">IFERROR(INDEX(INDIRECT(zoneFichierEAN13Valmag),$O347,4),"")</f>
        <v/>
      </c>
      <c r="E348" s="38" t="str">
        <f ca="1">IFERROR(INDEX(INDIRECT(zoneFichierFiltreCatalogue),S347,3),"")</f>
        <v>p065-3-03</v>
      </c>
      <c r="F348" s="23"/>
      <c r="G348" s="21"/>
      <c r="H348" s="39" t="str">
        <f ca="1">IFERROR(INDEX(INDIRECT(zoneFichierFiltreCatalogue),S347,6),"")</f>
        <v>fall 2019 presentation_/catalogo fall 19.txt</v>
      </c>
      <c r="R348" s="25"/>
      <c r="S348" s="25"/>
    </row>
    <row r="349" spans="1:20" ht="39" customHeight="1" thickBot="1" x14ac:dyDescent="0.65">
      <c r="A349" s="11" t="str">
        <f ca="1">INDEX(INDIRECT(zoneFichierTraite),$J349+offsetInitialFichierTraite,6)</f>
        <v>UNICA</v>
      </c>
      <c r="B349" s="7" t="str">
        <f ca="1">INDEX(INDIRECT(zoneFichierTraite),$J349+offsetInitialFichierTraite,4)</f>
        <v>OBAGT002-FAS09-067</v>
      </c>
      <c r="C349" s="31" t="str">
        <f ca="1">INDEX(INDIRECT(zoneFichierTraite),$J349+offsetInitialFichierTraite,5)</f>
        <v>REVERS O BAG MINI EN FAUSSE FOURRURE LAPIN REX</v>
      </c>
      <c r="D349" s="32" t="str">
        <f ca="1">INDEX(INDIRECT(zoneFichierTraite),$J349+offsetInitialFichierTraite,13)</f>
        <v>phard</v>
      </c>
      <c r="E349" s="35">
        <f ca="1">INDEX(INDIRECT(zoneFichierTraite),$J349+offsetInitialFichierTraite,7)</f>
        <v>2</v>
      </c>
      <c r="F349" s="33">
        <f ca="1">INDEX(INDIRECT(zoneFichierTraite),$J349+offsetInitialFichierTraite,8)</f>
        <v>18.48</v>
      </c>
      <c r="G349" s="34">
        <f t="shared" ref="G349" ca="1" si="346">ROUNDUP(F349*3,0)</f>
        <v>56</v>
      </c>
      <c r="H349" s="37" t="str">
        <f t="shared" ref="H349" ca="1" si="347">IF(ISNUMBER(N349),codeEAN13(INT(N349/10)),"")</f>
        <v>8APGKTJ*bhjjah+</v>
      </c>
      <c r="J349" s="18">
        <f t="shared" si="329"/>
        <v>170</v>
      </c>
      <c r="L349" s="7" t="str">
        <f ca="1">INDEX(INDIRECT(zoneFichierTraite),$J349+offsetInitialFichierTraite,1)</f>
        <v>'170</v>
      </c>
      <c r="M349" s="14">
        <f ca="1">INDEX(INDIRECT(zoneFichierTraite),$J349+offsetInitialFichierTraite,9)</f>
        <v>36.96</v>
      </c>
      <c r="N349" s="17">
        <f ca="1">INDEX(INDIRECT(zoneFichierTraite),$J349+offsetInitialFichierTraite,3)</f>
        <v>8056099179907</v>
      </c>
      <c r="O349" s="2">
        <f ca="1">MATCH(N349,INDIRECT(nomFichierEAN13Valmag &amp; "!A:A"),0)</f>
        <v>7115</v>
      </c>
      <c r="P349" s="2">
        <f ca="1">MATCH(R349,INDIRECT(nomFichierEAN13Valmag &amp; "!A:A"),0)</f>
        <v>7135</v>
      </c>
      <c r="Q349" s="2">
        <f ca="1">MATCH(LEFT(B349,14) &amp; "*",INDIRECT(nomFichierBaseCatalogue &amp; "!B:B"),0)</f>
        <v>1452</v>
      </c>
      <c r="R349" s="17">
        <f ca="1">IFERROR(INDEX(INDIRECT(zoneFichierBaseCatalogue),Q349,1),"")</f>
        <v>8056099178139</v>
      </c>
      <c r="S349" s="2">
        <f ca="1">MATCH(B349,INDIRECT(nomFichierFiltreCatalogue &amp; "!B:B"),0)</f>
        <v>317</v>
      </c>
      <c r="T349" s="17"/>
    </row>
    <row r="350" spans="1:20" s="24" customFormat="1" ht="15.75" customHeight="1" x14ac:dyDescent="0.25">
      <c r="A350" s="30">
        <f ca="1">INDEX(INDIRECT(zoneFichierTraite),$J349+offsetInitialFichierTraite,2)</f>
        <v>53</v>
      </c>
      <c r="B350" s="29" t="str">
        <f ca="1">IFERROR(INDEX(INDIRECT(zoneFichierEAN13Valmag),$P349,3),"")</f>
        <v xml:space="preserve">MINIECOFOURRURE </v>
      </c>
      <c r="C350" s="22" t="str">
        <f ca="1">IFERROR(INDEX(INDIRECT(zoneFichierEAN13Valmag),$O349,3),"")</f>
        <v xml:space="preserve">MINIECOFOURRURE </v>
      </c>
      <c r="D350" s="23" t="str">
        <f ca="1">IFERROR(INDEX(INDIRECT(zoneFichierEAN13Valmag),$O349,4),"")</f>
        <v>LAPHA</v>
      </c>
      <c r="E350" s="38" t="str">
        <f ca="1">IFERROR(INDEX(INDIRECT(zoneFichierFiltreCatalogue),S349,3),"")</f>
        <v>p067-1-04</v>
      </c>
      <c r="F350" s="23"/>
      <c r="G350" s="21"/>
      <c r="H350" s="39" t="str">
        <f ca="1">IFERROR(INDEX(INDIRECT(zoneFichierFiltreCatalogue),S349,6),"")</f>
        <v>fall 2019 presentation_/catalogo fall 19.txt</v>
      </c>
      <c r="R350" s="25"/>
      <c r="S350" s="25"/>
    </row>
    <row r="351" spans="1:20" ht="39" customHeight="1" thickBot="1" x14ac:dyDescent="0.65">
      <c r="A351" s="11" t="str">
        <f ca="1">INDEX(INDIRECT(zoneFichierTraite),$J351+offsetInitialFichierTraite,6)</f>
        <v>UNICA</v>
      </c>
      <c r="B351" s="7" t="str">
        <f ca="1">INDEX(INDIRECT(zoneFichierTraite),$J351+offsetInitialFichierTraite,4)</f>
        <v>OBAGT002-FAS09-615</v>
      </c>
      <c r="C351" s="31" t="str">
        <f ca="1">INDEX(INDIRECT(zoneFichierTraite),$J351+offsetInitialFichierTraite,5)</f>
        <v>REVERS O BAG MINI EN FAUSSE FOURRURE LAPIN REX</v>
      </c>
      <c r="D351" s="32" t="str">
        <f ca="1">INDEX(INDIRECT(zoneFichierTraite),$J351+offsetInitialFichierTraite,13)</f>
        <v>military</v>
      </c>
      <c r="E351" s="35">
        <f ca="1">INDEX(INDIRECT(zoneFichierTraite),$J351+offsetInitialFichierTraite,7)</f>
        <v>2</v>
      </c>
      <c r="F351" s="33">
        <f ca="1">INDEX(INDIRECT(zoneFichierTraite),$J351+offsetInitialFichierTraite,8)</f>
        <v>18.48</v>
      </c>
      <c r="G351" s="34">
        <f t="shared" ref="G351" ca="1" si="348">ROUNDUP(F351*3,0)</f>
        <v>56</v>
      </c>
      <c r="H351" s="37" t="str">
        <f t="shared" ref="H351" ca="1" si="349">IF(ISNUMBER(N351),codeEAN13(INT(N351/10)),"")</f>
        <v>8APASOG*ajbbbf+</v>
      </c>
      <c r="J351" s="18">
        <f t="shared" si="329"/>
        <v>171</v>
      </c>
      <c r="L351" s="7" t="str">
        <f ca="1">INDEX(INDIRECT(zoneFichierTraite),$J351+offsetInitialFichierTraite,1)</f>
        <v>'171</v>
      </c>
      <c r="M351" s="14">
        <f ca="1">INDEX(INDIRECT(zoneFichierTraite),$J351+offsetInitialFichierTraite,9)</f>
        <v>36.96</v>
      </c>
      <c r="N351" s="17">
        <f ca="1">INDEX(INDIRECT(zoneFichierTraite),$J351+offsetInitialFichierTraite,3)</f>
        <v>8050846091115</v>
      </c>
      <c r="O351" s="2" t="e">
        <f ca="1">MATCH(N351,INDIRECT(nomFichierEAN13Valmag &amp; "!A:A"),0)</f>
        <v>#N/A</v>
      </c>
      <c r="P351" s="2">
        <f ca="1">MATCH(R351,INDIRECT(nomFichierEAN13Valmag &amp; "!A:A"),0)</f>
        <v>7135</v>
      </c>
      <c r="Q351" s="2">
        <f ca="1">MATCH(LEFT(B351,14) &amp; "*",INDIRECT(nomFichierBaseCatalogue &amp; "!B:B"),0)</f>
        <v>1452</v>
      </c>
      <c r="R351" s="17">
        <f ca="1">IFERROR(INDEX(INDIRECT(zoneFichierBaseCatalogue),Q351,1),"")</f>
        <v>8056099178139</v>
      </c>
      <c r="S351" s="2">
        <f ca="1">MATCH(B351,INDIRECT(nomFichierFiltreCatalogue &amp; "!B:B"),0)</f>
        <v>321</v>
      </c>
      <c r="T351" s="17"/>
    </row>
    <row r="352" spans="1:20" s="24" customFormat="1" ht="15.75" customHeight="1" x14ac:dyDescent="0.25">
      <c r="A352" s="30">
        <f ca="1">INDEX(INDIRECT(zoneFichierTraite),$J351+offsetInitialFichierTraite,2)</f>
        <v>126</v>
      </c>
      <c r="B352" s="29" t="str">
        <f ca="1">IFERROR(INDEX(INDIRECT(zoneFichierEAN13Valmag),$P351,3),"")</f>
        <v xml:space="preserve">MINIECOFOURRURE </v>
      </c>
      <c r="C352" s="22" t="str">
        <f ca="1">IFERROR(INDEX(INDIRECT(zoneFichierEAN13Valmag),$O351,3),"")</f>
        <v/>
      </c>
      <c r="D352" s="23" t="str">
        <f ca="1">IFERROR(INDEX(INDIRECT(zoneFichierEAN13Valmag),$O351,4),"")</f>
        <v/>
      </c>
      <c r="E352" s="38" t="str">
        <f ca="1">IFERROR(INDEX(INDIRECT(zoneFichierFiltreCatalogue),S351,3),"")</f>
        <v>p067-1-08</v>
      </c>
      <c r="F352" s="23"/>
      <c r="G352" s="21"/>
      <c r="H352" s="39" t="str">
        <f ca="1">IFERROR(INDEX(INDIRECT(zoneFichierFiltreCatalogue),S351,6),"")</f>
        <v>fall 2019 presentation_/catalogo fall 19.txt</v>
      </c>
      <c r="R352" s="25"/>
      <c r="S352" s="25"/>
    </row>
    <row r="353" spans="1:20" ht="39" customHeight="1" thickBot="1" x14ac:dyDescent="0.65">
      <c r="A353" s="11" t="str">
        <f ca="1">INDEX(INDIRECT(zoneFichierTraite),$J353+offsetInitialFichierTraite,6)</f>
        <v>UNICA</v>
      </c>
      <c r="B353" s="7" t="str">
        <f ca="1">INDEX(INDIRECT(zoneFichierTraite),$J353+offsetInitialFichierTraite,4)</f>
        <v>OBAGT002-FAS58-078</v>
      </c>
      <c r="C353" s="31" t="str">
        <f ca="1">INDEX(INDIRECT(zoneFichierTraite),$J353+offsetInitialFichierTraite,5)</f>
        <v>REVERS O BAG MINI EN FAUSSE FOURRURE CASTOR</v>
      </c>
      <c r="D353" s="32" t="str">
        <f ca="1">INDEX(INDIRECT(zoneFichierTraite),$J353+offsetInitialFichierTraite,13)</f>
        <v>sabbia</v>
      </c>
      <c r="E353" s="35">
        <f ca="1">INDEX(INDIRECT(zoneFichierTraite),$J353+offsetInitialFichierTraite,7)</f>
        <v>2</v>
      </c>
      <c r="F353" s="33">
        <f ca="1">INDEX(INDIRECT(zoneFichierTraite),$J353+offsetInitialFichierTraite,8)</f>
        <v>24.07</v>
      </c>
      <c r="G353" s="34">
        <f t="shared" ref="G353" ca="1" si="350">ROUNDUP(F353*3,0)</f>
        <v>73</v>
      </c>
      <c r="H353" s="37" t="str">
        <f t="shared" ref="H353" ca="1" si="351">IF(ISNUMBER(N353),codeEAN13(INT(N353/10)),"")</f>
        <v>8APASOG*ajbagb+</v>
      </c>
      <c r="J353" s="18">
        <f t="shared" si="329"/>
        <v>172</v>
      </c>
      <c r="L353" s="7" t="str">
        <f ca="1">INDEX(INDIRECT(zoneFichierTraite),$J353+offsetInitialFichierTraite,1)</f>
        <v>'172</v>
      </c>
      <c r="M353" s="14">
        <f ca="1">INDEX(INDIRECT(zoneFichierTraite),$J353+offsetInitialFichierTraite,9)</f>
        <v>48.14</v>
      </c>
      <c r="N353" s="17">
        <f ca="1">INDEX(INDIRECT(zoneFichierTraite),$J353+offsetInitialFichierTraite,3)</f>
        <v>8050846091061</v>
      </c>
      <c r="O353" s="2" t="e">
        <f ca="1">MATCH(N353,INDIRECT(nomFichierEAN13Valmag &amp; "!A:A"),0)</f>
        <v>#N/A</v>
      </c>
      <c r="P353" s="2" t="e">
        <f ca="1">MATCH(R353,INDIRECT(nomFichierEAN13Valmag &amp; "!A:A"),0)</f>
        <v>#N/A</v>
      </c>
      <c r="Q353" s="2">
        <f ca="1">MATCH(LEFT(B353,14) &amp; "*",INDIRECT(nomFichierBaseCatalogue &amp; "!B:B"),0)</f>
        <v>1460</v>
      </c>
      <c r="R353" s="17">
        <f ca="1">IFERROR(INDEX(INDIRECT(zoneFichierBaseCatalogue),Q353,1),"")</f>
        <v>8050846091061</v>
      </c>
      <c r="S353" s="2">
        <f ca="1">MATCH(B353,INDIRECT(nomFichierFiltreCatalogue &amp; "!B:B"),0)</f>
        <v>322</v>
      </c>
      <c r="T353" s="17"/>
    </row>
    <row r="354" spans="1:20" s="24" customFormat="1" ht="15.75" customHeight="1" x14ac:dyDescent="0.25">
      <c r="A354" s="30">
        <f ca="1">INDEX(INDIRECT(zoneFichierTraite),$J353+offsetInitialFichierTraite,2)</f>
        <v>39</v>
      </c>
      <c r="B354" s="29" t="str">
        <f ca="1">IFERROR(INDEX(INDIRECT(zoneFichierEAN13Valmag),$P353,3),"")</f>
        <v/>
      </c>
      <c r="C354" s="22" t="str">
        <f ca="1">IFERROR(INDEX(INDIRECT(zoneFichierEAN13Valmag),$O353,3),"")</f>
        <v/>
      </c>
      <c r="D354" s="23" t="str">
        <f ca="1">IFERROR(INDEX(INDIRECT(zoneFichierEAN13Valmag),$O353,4),"")</f>
        <v/>
      </c>
      <c r="E354" s="38" t="str">
        <f ca="1">IFERROR(INDEX(INDIRECT(zoneFichierFiltreCatalogue),S353,3),"")</f>
        <v>p068-1-01</v>
      </c>
      <c r="F354" s="23"/>
      <c r="G354" s="21"/>
      <c r="H354" s="39" t="str">
        <f ca="1">IFERROR(INDEX(INDIRECT(zoneFichierFiltreCatalogue),S353,6),"")</f>
        <v>fall 2019 presentation_/catalogo fall 19.txt</v>
      </c>
      <c r="R354" s="25"/>
      <c r="S354" s="25"/>
    </row>
    <row r="355" spans="1:20" ht="39" customHeight="1" thickBot="1" x14ac:dyDescent="0.65">
      <c r="A355" s="11" t="str">
        <f ca="1">INDEX(INDIRECT(zoneFichierTraite),$J355+offsetInitialFichierTraite,6)</f>
        <v>UNICA</v>
      </c>
      <c r="B355" s="7" t="str">
        <f ca="1">INDEX(INDIRECT(zoneFichierTraite),$J355+offsetInitialFichierTraite,4)</f>
        <v>OBAGT002-FAS58-084</v>
      </c>
      <c r="C355" s="31" t="str">
        <f ca="1">INDEX(INDIRECT(zoneFichierTraite),$J355+offsetInitialFichierTraite,5)</f>
        <v>REVERS O BAG MINI EN FAUSSE FOURRURE CASTOR</v>
      </c>
      <c r="D355" s="32" t="str">
        <f ca="1">INDEX(INDIRECT(zoneFichierTraite),$J355+offsetInitialFichierTraite,13)</f>
        <v>testa di moro</v>
      </c>
      <c r="E355" s="35">
        <f ca="1">INDEX(INDIRECT(zoneFichierTraite),$J355+offsetInitialFichierTraite,7)</f>
        <v>2</v>
      </c>
      <c r="F355" s="33">
        <f ca="1">INDEX(INDIRECT(zoneFichierTraite),$J355+offsetInitialFichierTraite,8)</f>
        <v>24.07</v>
      </c>
      <c r="G355" s="34">
        <f t="shared" ref="G355" ca="1" si="352">ROUNDUP(F355*3,0)</f>
        <v>73</v>
      </c>
      <c r="H355" s="37" t="str">
        <f t="shared" ref="H355" ca="1" si="353">IF(ISNUMBER(N355),codeEAN13(INT(N355/10)),"")</f>
        <v>8APASOG*ajbahi+</v>
      </c>
      <c r="J355" s="18">
        <f t="shared" si="329"/>
        <v>173</v>
      </c>
      <c r="L355" s="7" t="str">
        <f ca="1">INDEX(INDIRECT(zoneFichierTraite),$J355+offsetInitialFichierTraite,1)</f>
        <v>'173</v>
      </c>
      <c r="M355" s="14">
        <f ca="1">INDEX(INDIRECT(zoneFichierTraite),$J355+offsetInitialFichierTraite,9)</f>
        <v>48.14</v>
      </c>
      <c r="N355" s="17">
        <f ca="1">INDEX(INDIRECT(zoneFichierTraite),$J355+offsetInitialFichierTraite,3)</f>
        <v>8050846091078</v>
      </c>
      <c r="O355" s="2" t="e">
        <f ca="1">MATCH(N355,INDIRECT(nomFichierEAN13Valmag &amp; "!A:A"),0)</f>
        <v>#N/A</v>
      </c>
      <c r="P355" s="2" t="e">
        <f ca="1">MATCH(R355,INDIRECT(nomFichierEAN13Valmag &amp; "!A:A"),0)</f>
        <v>#N/A</v>
      </c>
      <c r="Q355" s="2">
        <f ca="1">MATCH(LEFT(B355,14) &amp; "*",INDIRECT(nomFichierBaseCatalogue &amp; "!B:B"),0)</f>
        <v>1460</v>
      </c>
      <c r="R355" s="17">
        <f ca="1">IFERROR(INDEX(INDIRECT(zoneFichierBaseCatalogue),Q355,1),"")</f>
        <v>8050846091061</v>
      </c>
      <c r="S355" s="2">
        <f ca="1">MATCH(B355,INDIRECT(nomFichierFiltreCatalogue &amp; "!B:B"),0)</f>
        <v>323</v>
      </c>
      <c r="T355" s="17"/>
    </row>
    <row r="356" spans="1:20" s="24" customFormat="1" ht="15.75" customHeight="1" x14ac:dyDescent="0.25">
      <c r="A356" s="30">
        <f ca="1">INDEX(INDIRECT(zoneFichierTraite),$J355+offsetInitialFichierTraite,2)</f>
        <v>135</v>
      </c>
      <c r="B356" s="29" t="str">
        <f ca="1">IFERROR(INDEX(INDIRECT(zoneFichierEAN13Valmag),$P355,3),"")</f>
        <v/>
      </c>
      <c r="C356" s="22" t="str">
        <f ca="1">IFERROR(INDEX(INDIRECT(zoneFichierEAN13Valmag),$O355,3),"")</f>
        <v/>
      </c>
      <c r="D356" s="23" t="str">
        <f ca="1">IFERROR(INDEX(INDIRECT(zoneFichierEAN13Valmag),$O355,4),"")</f>
        <v/>
      </c>
      <c r="E356" s="38" t="str">
        <f ca="1">IFERROR(INDEX(INDIRECT(zoneFichierFiltreCatalogue),S355,3),"")</f>
        <v>p068-1-02</v>
      </c>
      <c r="F356" s="23"/>
      <c r="G356" s="21"/>
      <c r="H356" s="39" t="str">
        <f ca="1">IFERROR(INDEX(INDIRECT(zoneFichierFiltreCatalogue),S355,6),"")</f>
        <v>fall 2019 presentation_/catalogo fall 19.txt</v>
      </c>
      <c r="R356" s="25"/>
      <c r="S356" s="25"/>
    </row>
    <row r="357" spans="1:20" ht="39" customHeight="1" thickBot="1" x14ac:dyDescent="0.65">
      <c r="A357" s="11" t="str">
        <f ca="1">INDEX(INDIRECT(zoneFichierTraite),$J357+offsetInitialFichierTraite,6)</f>
        <v>UNICA</v>
      </c>
      <c r="B357" s="7" t="str">
        <f ca="1">INDEX(INDIRECT(zoneFichierTraite),$J357+offsetInitialFichierTraite,4)</f>
        <v>OBAGT002-FAS59-227</v>
      </c>
      <c r="C357" s="31" t="str">
        <f ca="1">INDEX(INDIRECT(zoneFichierTraite),$J357+offsetInitialFichierTraite,5)</f>
        <v>REVERS O BAG MINI EN FAUSSE FOURRURE LAPIN MARBLE</v>
      </c>
      <c r="D357" s="32" t="str">
        <f ca="1">INDEX(INDIRECT(zoneFichierTraite),$J357+offsetInitialFichierTraite,13)</f>
        <v>bianco/nero</v>
      </c>
      <c r="E357" s="35">
        <f ca="1">INDEX(INDIRECT(zoneFichierTraite),$J357+offsetInitialFichierTraite,7)</f>
        <v>2</v>
      </c>
      <c r="F357" s="33">
        <f ca="1">INDEX(INDIRECT(zoneFichierTraite),$J357+offsetInitialFichierTraite,8)</f>
        <v>20.37</v>
      </c>
      <c r="G357" s="34">
        <f t="shared" ref="G357" ca="1" si="354">ROUNDUP(F357*3,0)</f>
        <v>62</v>
      </c>
      <c r="H357" s="37" t="str">
        <f t="shared" ref="H357" ca="1" si="355">IF(ISNUMBER(N357),codeEAN13(INT(N357/10)),"")</f>
        <v>8APASOG*ajbajc+</v>
      </c>
      <c r="J357" s="18">
        <f t="shared" si="329"/>
        <v>174</v>
      </c>
      <c r="L357" s="7" t="str">
        <f ca="1">INDEX(INDIRECT(zoneFichierTraite),$J357+offsetInitialFichierTraite,1)</f>
        <v>'174</v>
      </c>
      <c r="M357" s="14">
        <f ca="1">INDEX(INDIRECT(zoneFichierTraite),$J357+offsetInitialFichierTraite,9)</f>
        <v>40.74</v>
      </c>
      <c r="N357" s="17">
        <f ca="1">INDEX(INDIRECT(zoneFichierTraite),$J357+offsetInitialFichierTraite,3)</f>
        <v>8050846091092</v>
      </c>
      <c r="O357" s="2" t="e">
        <f ca="1">MATCH(N357,INDIRECT(nomFichierEAN13Valmag &amp; "!A:A"),0)</f>
        <v>#N/A</v>
      </c>
      <c r="P357" s="2" t="e">
        <f ca="1">MATCH(R357,INDIRECT(nomFichierEAN13Valmag &amp; "!A:A"),0)</f>
        <v>#N/A</v>
      </c>
      <c r="Q357" s="2">
        <f ca="1">MATCH(LEFT(B357,14) &amp; "*",INDIRECT(nomFichierBaseCatalogue &amp; "!B:B"),0)</f>
        <v>1462</v>
      </c>
      <c r="R357" s="17">
        <f ca="1">IFERROR(INDEX(INDIRECT(zoneFichierBaseCatalogue),Q357,1),"")</f>
        <v>8050846091092</v>
      </c>
      <c r="S357" s="2">
        <f ca="1">MATCH(B357,INDIRECT(nomFichierFiltreCatalogue &amp; "!B:B"),0)</f>
        <v>325</v>
      </c>
      <c r="T357" s="17"/>
    </row>
    <row r="358" spans="1:20" s="24" customFormat="1" ht="15.75" customHeight="1" x14ac:dyDescent="0.25">
      <c r="A358" s="30">
        <f ca="1">INDEX(INDIRECT(zoneFichierTraite),$J357+offsetInitialFichierTraite,2)</f>
        <v>68</v>
      </c>
      <c r="B358" s="29" t="str">
        <f ca="1">IFERROR(INDEX(INDIRECT(zoneFichierEAN13Valmag),$P357,3),"")</f>
        <v/>
      </c>
      <c r="C358" s="22" t="str">
        <f ca="1">IFERROR(INDEX(INDIRECT(zoneFichierEAN13Valmag),$O357,3),"")</f>
        <v/>
      </c>
      <c r="D358" s="23" t="str">
        <f ca="1">IFERROR(INDEX(INDIRECT(zoneFichierEAN13Valmag),$O357,4),"")</f>
        <v/>
      </c>
      <c r="E358" s="38" t="str">
        <f ca="1">IFERROR(INDEX(INDIRECT(zoneFichierFiltreCatalogue),S357,3),"")</f>
        <v>p069-1-01</v>
      </c>
      <c r="F358" s="23"/>
      <c r="G358" s="21"/>
      <c r="H358" s="39" t="str">
        <f ca="1">IFERROR(INDEX(INDIRECT(zoneFichierFiltreCatalogue),S357,6),"")</f>
        <v>fall 2019 presentation_/catalogo fall 19.txt</v>
      </c>
      <c r="R358" s="25"/>
      <c r="S358" s="25"/>
    </row>
    <row r="359" spans="1:20" ht="39" customHeight="1" thickBot="1" x14ac:dyDescent="0.65">
      <c r="A359" s="11" t="str">
        <f ca="1">INDEX(INDIRECT(zoneFichierTraite),$J359+offsetInitialFichierTraite,6)</f>
        <v>UNICA</v>
      </c>
      <c r="B359" s="7" t="str">
        <f ca="1">INDEX(INDIRECT(zoneFichierTraite),$J359+offsetInitialFichierTraite,4)</f>
        <v>OBAGT002-FAS60-227</v>
      </c>
      <c r="C359" s="31" t="str">
        <f ca="1">INDEX(INDIRECT(zoneFichierTraite),$J359+offsetInitialFichierTraite,5)</f>
        <v>REVERS O BAG MINI EN FAUSSE FOURRURE RENARD MARQUETEE</v>
      </c>
      <c r="D359" s="32" t="str">
        <f ca="1">INDEX(INDIRECT(zoneFichierTraite),$J359+offsetInitialFichierTraite,13)</f>
        <v>bianco/nero</v>
      </c>
      <c r="E359" s="35">
        <f ca="1">INDEX(INDIRECT(zoneFichierTraite),$J359+offsetInitialFichierTraite,7)</f>
        <v>2</v>
      </c>
      <c r="F359" s="33">
        <f ca="1">INDEX(INDIRECT(zoneFichierTraite),$J359+offsetInitialFichierTraite,8)</f>
        <v>27.04</v>
      </c>
      <c r="G359" s="34">
        <f t="shared" ref="G359" ca="1" si="356">ROUNDUP(F359*3,0)</f>
        <v>82</v>
      </c>
      <c r="H359" s="37" t="str">
        <f t="shared" ref="H359" ca="1" si="357">IF(ISNUMBER(N359),codeEAN13(INT(N359/10)),"")</f>
        <v>8APASOG*ajbbai+</v>
      </c>
      <c r="J359" s="18">
        <f t="shared" si="329"/>
        <v>175</v>
      </c>
      <c r="L359" s="7" t="str">
        <f ca="1">INDEX(INDIRECT(zoneFichierTraite),$J359+offsetInitialFichierTraite,1)</f>
        <v>'175</v>
      </c>
      <c r="M359" s="14">
        <f ca="1">INDEX(INDIRECT(zoneFichierTraite),$J359+offsetInitialFichierTraite,9)</f>
        <v>54.08</v>
      </c>
      <c r="N359" s="17">
        <f ca="1">INDEX(INDIRECT(zoneFichierTraite),$J359+offsetInitialFichierTraite,3)</f>
        <v>8050846091108</v>
      </c>
      <c r="O359" s="2" t="e">
        <f ca="1">MATCH(N359,INDIRECT(nomFichierEAN13Valmag &amp; "!A:A"),0)</f>
        <v>#N/A</v>
      </c>
      <c r="P359" s="2" t="e">
        <f ca="1">MATCH(R359,INDIRECT(nomFichierEAN13Valmag &amp; "!A:A"),0)</f>
        <v>#N/A</v>
      </c>
      <c r="Q359" s="2">
        <f ca="1">MATCH(LEFT(B359,14) &amp; "*",INDIRECT(nomFichierBaseCatalogue &amp; "!B:B"),0)</f>
        <v>1463</v>
      </c>
      <c r="R359" s="17">
        <f ca="1">IFERROR(INDEX(INDIRECT(zoneFichierBaseCatalogue),Q359,1),"")</f>
        <v>8050846091108</v>
      </c>
      <c r="S359" s="2">
        <f ca="1">MATCH(B359,INDIRECT(nomFichierFiltreCatalogue &amp; "!B:B"),0)</f>
        <v>324</v>
      </c>
      <c r="T359" s="17"/>
    </row>
    <row r="360" spans="1:20" s="24" customFormat="1" ht="15.75" customHeight="1" x14ac:dyDescent="0.25">
      <c r="A360" s="30">
        <f ca="1">INDEX(INDIRECT(zoneFichierTraite),$J359+offsetInitialFichierTraite,2)</f>
        <v>6</v>
      </c>
      <c r="B360" s="29" t="str">
        <f ca="1">IFERROR(INDEX(INDIRECT(zoneFichierEAN13Valmag),$P359,3),"")</f>
        <v/>
      </c>
      <c r="C360" s="22" t="str">
        <f ca="1">IFERROR(INDEX(INDIRECT(zoneFichierEAN13Valmag),$O359,3),"")</f>
        <v/>
      </c>
      <c r="D360" s="23" t="str">
        <f ca="1">IFERROR(INDEX(INDIRECT(zoneFichierEAN13Valmag),$O359,4),"")</f>
        <v/>
      </c>
      <c r="E360" s="38" t="str">
        <f ca="1">IFERROR(INDEX(INDIRECT(zoneFichierFiltreCatalogue),S359,3),"")</f>
        <v>p068-2-01</v>
      </c>
      <c r="F360" s="23"/>
      <c r="G360" s="21"/>
      <c r="H360" s="39" t="str">
        <f ca="1">IFERROR(INDEX(INDIRECT(zoneFichierFiltreCatalogue),S359,6),"")</f>
        <v>fall 2019 presentation_/catalogo fall 19.txt</v>
      </c>
      <c r="R360" s="25"/>
      <c r="S360" s="25"/>
    </row>
    <row r="361" spans="1:20" ht="39" customHeight="1" thickBot="1" x14ac:dyDescent="0.65">
      <c r="A361" s="11" t="str">
        <f ca="1">INDEX(INDIRECT(zoneFichierTraite),$J361+offsetInitialFichierTraite,6)</f>
        <v>UNICA</v>
      </c>
      <c r="B361" s="7" t="str">
        <f ca="1">INDEX(INDIRECT(zoneFichierTraite),$J361+offsetInitialFichierTraite,4)</f>
        <v>OBAGT002-LAS43-017</v>
      </c>
      <c r="C361" s="31" t="str">
        <f ca="1">INDEX(INDIRECT(zoneFichierTraite),$J361+offsetInitialFichierTraite,5)</f>
        <v>REVERS O BAG MINI EN LAINE COPENHAGUE</v>
      </c>
      <c r="D361" s="32" t="str">
        <f ca="1">INDEX(INDIRECT(zoneFichierTraite),$J361+offsetInitialFichierTraite,13)</f>
        <v>blu navy</v>
      </c>
      <c r="E361" s="35">
        <f ca="1">INDEX(INDIRECT(zoneFichierTraite),$J361+offsetInitialFichierTraite,7)</f>
        <v>2</v>
      </c>
      <c r="F361" s="33">
        <f ca="1">INDEX(INDIRECT(zoneFichierTraite),$J361+offsetInitialFichierTraite,8)</f>
        <v>10.74</v>
      </c>
      <c r="G361" s="34">
        <f t="shared" ref="G361" ca="1" si="358">ROUNDUP(F361*3,0)</f>
        <v>33</v>
      </c>
      <c r="H361" s="37" t="str">
        <f t="shared" ref="H361" ca="1" si="359">IF(ISNUMBER(N361),codeEAN13(INT(N361/10)),"")</f>
        <v>8APASOG*ajbada+</v>
      </c>
      <c r="J361" s="18">
        <f t="shared" si="329"/>
        <v>176</v>
      </c>
      <c r="L361" s="7" t="str">
        <f ca="1">INDEX(INDIRECT(zoneFichierTraite),$J361+offsetInitialFichierTraite,1)</f>
        <v>'176</v>
      </c>
      <c r="M361" s="14">
        <f ca="1">INDEX(INDIRECT(zoneFichierTraite),$J361+offsetInitialFichierTraite,9)</f>
        <v>21.48</v>
      </c>
      <c r="N361" s="17">
        <f ca="1">INDEX(INDIRECT(zoneFichierTraite),$J361+offsetInitialFichierTraite,3)</f>
        <v>8050846091030</v>
      </c>
      <c r="O361" s="2" t="e">
        <f ca="1">MATCH(N361,INDIRECT(nomFichierEAN13Valmag &amp; "!A:A"),0)</f>
        <v>#N/A</v>
      </c>
      <c r="P361" s="2" t="e">
        <f ca="1">MATCH(R361,INDIRECT(nomFichierEAN13Valmag &amp; "!A:A"),0)</f>
        <v>#N/A</v>
      </c>
      <c r="Q361" s="2">
        <f ca="1">MATCH(LEFT(B361,14) &amp; "*",INDIRECT(nomFichierBaseCatalogue &amp; "!B:B"),0)</f>
        <v>1467</v>
      </c>
      <c r="R361" s="17">
        <f ca="1">IFERROR(INDEX(INDIRECT(zoneFichierBaseCatalogue),Q361,1),"")</f>
        <v>8050846091030</v>
      </c>
      <c r="S361" s="2">
        <f ca="1">MATCH(B361,INDIRECT(nomFichierFiltreCatalogue &amp; "!B:B"),0)</f>
        <v>326</v>
      </c>
      <c r="T361" s="17"/>
    </row>
    <row r="362" spans="1:20" s="24" customFormat="1" ht="15.75" customHeight="1" x14ac:dyDescent="0.25">
      <c r="A362" s="30">
        <f ca="1">INDEX(INDIRECT(zoneFichierTraite),$J361+offsetInitialFichierTraite,2)</f>
        <v>177</v>
      </c>
      <c r="B362" s="29" t="str">
        <f ca="1">IFERROR(INDEX(INDIRECT(zoneFichierEAN13Valmag),$P361,3),"")</f>
        <v/>
      </c>
      <c r="C362" s="22" t="str">
        <f ca="1">IFERROR(INDEX(INDIRECT(zoneFichierEAN13Valmag),$O361,3),"")</f>
        <v/>
      </c>
      <c r="D362" s="23" t="str">
        <f ca="1">IFERROR(INDEX(INDIRECT(zoneFichierEAN13Valmag),$O361,4),"")</f>
        <v/>
      </c>
      <c r="E362" s="38" t="str">
        <f ca="1">IFERROR(INDEX(INDIRECT(zoneFichierFiltreCatalogue),S361,3),"")</f>
        <v>p069-2-01</v>
      </c>
      <c r="F362" s="23"/>
      <c r="G362" s="21"/>
      <c r="H362" s="39" t="str">
        <f ca="1">IFERROR(INDEX(INDIRECT(zoneFichierFiltreCatalogue),S361,6),"")</f>
        <v>fall 2019 presentation_/catalogo fall 19.txt</v>
      </c>
      <c r="R362" s="25"/>
      <c r="S362" s="25"/>
    </row>
    <row r="363" spans="1:20" ht="39" customHeight="1" thickBot="1" x14ac:dyDescent="0.65">
      <c r="A363" s="11" t="str">
        <f ca="1">INDEX(INDIRECT(zoneFichierTraite),$J363+offsetInitialFichierTraite,6)</f>
        <v>UNICA</v>
      </c>
      <c r="B363" s="7" t="str">
        <f ca="1">INDEX(INDIRECT(zoneFichierTraite),$J363+offsetInitialFichierTraite,4)</f>
        <v>OBAGT002-LAS43-078</v>
      </c>
      <c r="C363" s="31" t="str">
        <f ca="1">INDEX(INDIRECT(zoneFichierTraite),$J363+offsetInitialFichierTraite,5)</f>
        <v>REVERS O BAG MINI EN LAINE COPENHAGUE</v>
      </c>
      <c r="D363" s="32" t="str">
        <f ca="1">INDEX(INDIRECT(zoneFichierTraite),$J363+offsetInitialFichierTraite,13)</f>
        <v>sabbia</v>
      </c>
      <c r="E363" s="35">
        <f ca="1">INDEX(INDIRECT(zoneFichierTraite),$J363+offsetInitialFichierTraite,7)</f>
        <v>2</v>
      </c>
      <c r="F363" s="33">
        <f ca="1">INDEX(INDIRECT(zoneFichierTraite),$J363+offsetInitialFichierTraite,8)</f>
        <v>10.74</v>
      </c>
      <c r="G363" s="34">
        <f t="shared" ref="G363" ca="1" si="360">ROUNDUP(F363*3,0)</f>
        <v>33</v>
      </c>
      <c r="H363" s="37" t="str">
        <f t="shared" ref="H363" ca="1" si="361">IF(ISNUMBER(N363),codeEAN13(INT(N363/10)),"")</f>
        <v>8APASOG*ajbafe+</v>
      </c>
      <c r="J363" s="18">
        <f t="shared" si="329"/>
        <v>177</v>
      </c>
      <c r="L363" s="7" t="str">
        <f ca="1">INDEX(INDIRECT(zoneFichierTraite),$J363+offsetInitialFichierTraite,1)</f>
        <v>'177</v>
      </c>
      <c r="M363" s="14">
        <f ca="1">INDEX(INDIRECT(zoneFichierTraite),$J363+offsetInitialFichierTraite,9)</f>
        <v>21.48</v>
      </c>
      <c r="N363" s="17">
        <f ca="1">INDEX(INDIRECT(zoneFichierTraite),$J363+offsetInitialFichierTraite,3)</f>
        <v>8050846091054</v>
      </c>
      <c r="O363" s="2" t="e">
        <f ca="1">MATCH(N363,INDIRECT(nomFichierEAN13Valmag &amp; "!A:A"),0)</f>
        <v>#N/A</v>
      </c>
      <c r="P363" s="2" t="e">
        <f ca="1">MATCH(R363,INDIRECT(nomFichierEAN13Valmag &amp; "!A:A"),0)</f>
        <v>#N/A</v>
      </c>
      <c r="Q363" s="2">
        <f ca="1">MATCH(LEFT(B363,14) &amp; "*",INDIRECT(nomFichierBaseCatalogue &amp; "!B:B"),0)</f>
        <v>1467</v>
      </c>
      <c r="R363" s="17">
        <f ca="1">IFERROR(INDEX(INDIRECT(zoneFichierBaseCatalogue),Q363,1),"")</f>
        <v>8050846091030</v>
      </c>
      <c r="S363" s="2">
        <f ca="1">MATCH(B363,INDIRECT(nomFichierFiltreCatalogue &amp; "!B:B"),0)</f>
        <v>327</v>
      </c>
      <c r="T363" s="17"/>
    </row>
    <row r="364" spans="1:20" s="24" customFormat="1" ht="15.75" customHeight="1" x14ac:dyDescent="0.25">
      <c r="A364" s="30">
        <f ca="1">INDEX(INDIRECT(zoneFichierTraite),$J363+offsetInitialFichierTraite,2)</f>
        <v>121</v>
      </c>
      <c r="B364" s="29" t="str">
        <f ca="1">IFERROR(INDEX(INDIRECT(zoneFichierEAN13Valmag),$P363,3),"")</f>
        <v/>
      </c>
      <c r="C364" s="22" t="str">
        <f ca="1">IFERROR(INDEX(INDIRECT(zoneFichierEAN13Valmag),$O363,3),"")</f>
        <v/>
      </c>
      <c r="D364" s="23" t="str">
        <f ca="1">IFERROR(INDEX(INDIRECT(zoneFichierEAN13Valmag),$O363,4),"")</f>
        <v/>
      </c>
      <c r="E364" s="38" t="str">
        <f ca="1">IFERROR(INDEX(INDIRECT(zoneFichierFiltreCatalogue),S363,3),"")</f>
        <v>p069-2-02</v>
      </c>
      <c r="F364" s="23"/>
      <c r="G364" s="21"/>
      <c r="H364" s="39" t="str">
        <f ca="1">IFERROR(INDEX(INDIRECT(zoneFichierFiltreCatalogue),S363,6),"")</f>
        <v>fall 2019 presentation_/catalogo fall 19.txt</v>
      </c>
      <c r="R364" s="25"/>
      <c r="S364" s="25"/>
    </row>
    <row r="365" spans="1:20" ht="39" customHeight="1" thickBot="1" x14ac:dyDescent="0.65">
      <c r="A365" s="11" t="str">
        <f ca="1">INDEX(INDIRECT(zoneFichierTraite),$J365+offsetInitialFichierTraite,6)</f>
        <v>UNICA</v>
      </c>
      <c r="B365" s="7" t="str">
        <f ca="1">INDEX(INDIRECT(zoneFichierTraite),$J365+offsetInitialFichierTraite,4)</f>
        <v>OBAGT002-LAS43-615</v>
      </c>
      <c r="C365" s="31" t="str">
        <f ca="1">INDEX(INDIRECT(zoneFichierTraite),$J365+offsetInitialFichierTraite,5)</f>
        <v>REVERS O BAG MINI EN LAINE COPENHAGUE</v>
      </c>
      <c r="D365" s="32" t="str">
        <f ca="1">INDEX(INDIRECT(zoneFichierTraite),$J365+offsetInitialFichierTraite,13)</f>
        <v>military</v>
      </c>
      <c r="E365" s="35">
        <f ca="1">INDEX(INDIRECT(zoneFichierTraite),$J365+offsetInitialFichierTraite,7)</f>
        <v>2</v>
      </c>
      <c r="F365" s="33">
        <f ca="1">INDEX(INDIRECT(zoneFichierTraite),$J365+offsetInitialFichierTraite,8)</f>
        <v>10.74</v>
      </c>
      <c r="G365" s="34">
        <f t="shared" ref="G365" ca="1" si="362">ROUNDUP(F365*3,0)</f>
        <v>33</v>
      </c>
      <c r="H365" s="37" t="str">
        <f t="shared" ref="H365" ca="1" si="363">IF(ISNUMBER(N365),codeEAN13(INT(N365/10)),"")</f>
        <v>8APASOG*ajbaeh+</v>
      </c>
      <c r="J365" s="18">
        <f t="shared" si="329"/>
        <v>178</v>
      </c>
      <c r="L365" s="7" t="str">
        <f ca="1">INDEX(INDIRECT(zoneFichierTraite),$J365+offsetInitialFichierTraite,1)</f>
        <v>'178</v>
      </c>
      <c r="M365" s="14">
        <f ca="1">INDEX(INDIRECT(zoneFichierTraite),$J365+offsetInitialFichierTraite,9)</f>
        <v>21.48</v>
      </c>
      <c r="N365" s="17">
        <f ca="1">INDEX(INDIRECT(zoneFichierTraite),$J365+offsetInitialFichierTraite,3)</f>
        <v>8050846091047</v>
      </c>
      <c r="O365" s="2" t="e">
        <f ca="1">MATCH(N365,INDIRECT(nomFichierEAN13Valmag &amp; "!A:A"),0)</f>
        <v>#N/A</v>
      </c>
      <c r="P365" s="2" t="e">
        <f ca="1">MATCH(R365,INDIRECT(nomFichierEAN13Valmag &amp; "!A:A"),0)</f>
        <v>#N/A</v>
      </c>
      <c r="Q365" s="2">
        <f ca="1">MATCH(LEFT(B365,14) &amp; "*",INDIRECT(nomFichierBaseCatalogue &amp; "!B:B"),0)</f>
        <v>1467</v>
      </c>
      <c r="R365" s="17">
        <f ca="1">IFERROR(INDEX(INDIRECT(zoneFichierBaseCatalogue),Q365,1),"")</f>
        <v>8050846091030</v>
      </c>
      <c r="S365" s="2">
        <f ca="1">MATCH(B365,INDIRECT(nomFichierFiltreCatalogue &amp; "!B:B"),0)</f>
        <v>328</v>
      </c>
      <c r="T365" s="17"/>
    </row>
    <row r="366" spans="1:20" s="24" customFormat="1" ht="15.75" customHeight="1" x14ac:dyDescent="0.25">
      <c r="A366" s="30">
        <f ca="1">INDEX(INDIRECT(zoneFichierTraite),$J365+offsetInitialFichierTraite,2)</f>
        <v>73</v>
      </c>
      <c r="B366" s="29" t="str">
        <f ca="1">IFERROR(INDEX(INDIRECT(zoneFichierEAN13Valmag),$P365,3),"")</f>
        <v/>
      </c>
      <c r="C366" s="22" t="str">
        <f ca="1">IFERROR(INDEX(INDIRECT(zoneFichierEAN13Valmag),$O365,3),"")</f>
        <v/>
      </c>
      <c r="D366" s="23" t="str">
        <f ca="1">IFERROR(INDEX(INDIRECT(zoneFichierEAN13Valmag),$O365,4),"")</f>
        <v/>
      </c>
      <c r="E366" s="38" t="str">
        <f ca="1">IFERROR(INDEX(INDIRECT(zoneFichierFiltreCatalogue),S365,3),"")</f>
        <v>p069-2-03</v>
      </c>
      <c r="F366" s="23"/>
      <c r="G366" s="21"/>
      <c r="H366" s="39" t="str">
        <f ca="1">IFERROR(INDEX(INDIRECT(zoneFichierFiltreCatalogue),S365,6),"")</f>
        <v>fall 2019 presentation_/catalogo fall 19.txt</v>
      </c>
      <c r="R366" s="25"/>
      <c r="S366" s="25"/>
    </row>
    <row r="367" spans="1:20" ht="39" customHeight="1" thickBot="1" x14ac:dyDescent="0.65">
      <c r="A367" s="11" t="str">
        <f ca="1">INDEX(INDIRECT(zoneFichierTraite),$J367+offsetInitialFichierTraite,6)</f>
        <v>UNICA</v>
      </c>
      <c r="B367" s="7" t="str">
        <f ca="1">INDEX(INDIRECT(zoneFichierTraite),$J367+offsetInitialFichierTraite,4)</f>
        <v>OBAGT002-LAS45-038</v>
      </c>
      <c r="C367" s="31" t="str">
        <f ca="1">INDEX(INDIRECT(zoneFichierTraite),$J367+offsetInitialFichierTraite,5)</f>
        <v>REVERS O BAG MINI EN LAINE OSLO</v>
      </c>
      <c r="D367" s="32" t="str">
        <f ca="1">INDEX(INDIRECT(zoneFichierTraite),$J367+offsetInitialFichierTraite,13)</f>
        <v>grafite</v>
      </c>
      <c r="E367" s="35">
        <f ca="1">INDEX(INDIRECT(zoneFichierTraite),$J367+offsetInitialFichierTraite,7)</f>
        <v>2</v>
      </c>
      <c r="F367" s="33">
        <f ca="1">INDEX(INDIRECT(zoneFichierTraite),$J367+offsetInitialFichierTraite,8)</f>
        <v>11.85</v>
      </c>
      <c r="G367" s="34">
        <f t="shared" ref="G367" ca="1" si="364">ROUNDUP(F367*3,0)</f>
        <v>36</v>
      </c>
      <c r="H367" s="37" t="str">
        <f t="shared" ref="H367" ca="1" si="365">IF(ISNUMBER(N367),codeEAN13(INT(N367/10)),"")</f>
        <v>8APASOG*ajbabg+</v>
      </c>
      <c r="J367" s="18">
        <f t="shared" si="329"/>
        <v>179</v>
      </c>
      <c r="L367" s="7" t="str">
        <f ca="1">INDEX(INDIRECT(zoneFichierTraite),$J367+offsetInitialFichierTraite,1)</f>
        <v>'179</v>
      </c>
      <c r="M367" s="14">
        <f ca="1">INDEX(INDIRECT(zoneFichierTraite),$J367+offsetInitialFichierTraite,9)</f>
        <v>23.7</v>
      </c>
      <c r="N367" s="17">
        <f ca="1">INDEX(INDIRECT(zoneFichierTraite),$J367+offsetInitialFichierTraite,3)</f>
        <v>8050846091016</v>
      </c>
      <c r="O367" s="2" t="e">
        <f ca="1">MATCH(N367,INDIRECT(nomFichierEAN13Valmag &amp; "!A:A"),0)</f>
        <v>#N/A</v>
      </c>
      <c r="P367" s="2" t="e">
        <f ca="1">MATCH(R367,INDIRECT(nomFichierEAN13Valmag &amp; "!A:A"),0)</f>
        <v>#N/A</v>
      </c>
      <c r="Q367" s="2">
        <f ca="1">MATCH(LEFT(B367,14) &amp; "*",INDIRECT(nomFichierBaseCatalogue &amp; "!B:B"),0)</f>
        <v>1470</v>
      </c>
      <c r="R367" s="17">
        <f ca="1">IFERROR(INDEX(INDIRECT(zoneFichierBaseCatalogue),Q367,1),"")</f>
        <v>8050846091016</v>
      </c>
      <c r="S367" s="2">
        <f ca="1">MATCH(B367,INDIRECT(nomFichierFiltreCatalogue &amp; "!B:B"),0)</f>
        <v>329</v>
      </c>
      <c r="T367" s="17"/>
    </row>
    <row r="368" spans="1:20" s="24" customFormat="1" ht="15.75" customHeight="1" x14ac:dyDescent="0.25">
      <c r="A368" s="30">
        <f ca="1">INDEX(INDIRECT(zoneFichierTraite),$J367+offsetInitialFichierTraite,2)</f>
        <v>60</v>
      </c>
      <c r="B368" s="29" t="str">
        <f ca="1">IFERROR(INDEX(INDIRECT(zoneFichierEAN13Valmag),$P367,3),"")</f>
        <v/>
      </c>
      <c r="C368" s="22" t="str">
        <f ca="1">IFERROR(INDEX(INDIRECT(zoneFichierEAN13Valmag),$O367,3),"")</f>
        <v/>
      </c>
      <c r="D368" s="23" t="str">
        <f ca="1">IFERROR(INDEX(INDIRECT(zoneFichierEAN13Valmag),$O367,4),"")</f>
        <v/>
      </c>
      <c r="E368" s="38" t="str">
        <f ca="1">IFERROR(INDEX(INDIRECT(zoneFichierFiltreCatalogue),S367,3),"")</f>
        <v>p070-2-01</v>
      </c>
      <c r="F368" s="23"/>
      <c r="G368" s="21"/>
      <c r="H368" s="39" t="str">
        <f ca="1">IFERROR(INDEX(INDIRECT(zoneFichierFiltreCatalogue),S367,6),"")</f>
        <v>fall 2019 presentation_/catalogo fall 19.txt</v>
      </c>
      <c r="R368" s="25"/>
      <c r="S368" s="25"/>
    </row>
    <row r="369" spans="1:20" ht="39" customHeight="1" thickBot="1" x14ac:dyDescent="0.65">
      <c r="A369" s="11" t="str">
        <f ca="1">INDEX(INDIRECT(zoneFichierTraite),$J369+offsetInitialFichierTraite,6)</f>
        <v>UNICA</v>
      </c>
      <c r="B369" s="7" t="str">
        <f ca="1">INDEX(INDIRECT(zoneFichierTraite),$J369+offsetInitialFichierTraite,4)</f>
        <v>OBAGT002-LAS46-227</v>
      </c>
      <c r="C369" s="31" t="str">
        <f ca="1">INDEX(INDIRECT(zoneFichierTraite),$J369+offsetInitialFichierTraite,5)</f>
        <v>REVERS O BAG MINI EN LAINE OPTICAL</v>
      </c>
      <c r="D369" s="32" t="str">
        <f ca="1">INDEX(INDIRECT(zoneFichierTraite),$J369+offsetInitialFichierTraite,13)</f>
        <v>bianco/nero</v>
      </c>
      <c r="E369" s="35">
        <f ca="1">INDEX(INDIRECT(zoneFichierTraite),$J369+offsetInitialFichierTraite,7)</f>
        <v>2</v>
      </c>
      <c r="F369" s="33">
        <f ca="1">INDEX(INDIRECT(zoneFichierTraite),$J369+offsetInitialFichierTraite,8)</f>
        <v>11.85</v>
      </c>
      <c r="G369" s="34">
        <f t="shared" ref="G369" ca="1" si="366">ROUNDUP(F369*3,0)</f>
        <v>36</v>
      </c>
      <c r="H369" s="37" t="str">
        <f t="shared" ref="H369" ca="1" si="367">IF(ISNUMBER(N369),codeEAN13(INT(N369/10)),"")</f>
        <v>8APASOG*ajbacd+</v>
      </c>
      <c r="J369" s="18">
        <f t="shared" si="329"/>
        <v>180</v>
      </c>
      <c r="L369" s="7" t="str">
        <f ca="1">INDEX(INDIRECT(zoneFichierTraite),$J369+offsetInitialFichierTraite,1)</f>
        <v>'180</v>
      </c>
      <c r="M369" s="14">
        <f ca="1">INDEX(INDIRECT(zoneFichierTraite),$J369+offsetInitialFichierTraite,9)</f>
        <v>23.7</v>
      </c>
      <c r="N369" s="17">
        <f ca="1">INDEX(INDIRECT(zoneFichierTraite),$J369+offsetInitialFichierTraite,3)</f>
        <v>8050846091023</v>
      </c>
      <c r="O369" s="2" t="e">
        <f ca="1">MATCH(N369,INDIRECT(nomFichierEAN13Valmag &amp; "!A:A"),0)</f>
        <v>#N/A</v>
      </c>
      <c r="P369" s="2" t="e">
        <f ca="1">MATCH(R369,INDIRECT(nomFichierEAN13Valmag &amp; "!A:A"),0)</f>
        <v>#N/A</v>
      </c>
      <c r="Q369" s="2">
        <f ca="1">MATCH(LEFT(B369,14) &amp; "*",INDIRECT(nomFichierBaseCatalogue &amp; "!B:B"),0)</f>
        <v>1471</v>
      </c>
      <c r="R369" s="17">
        <f ca="1">IFERROR(INDEX(INDIRECT(zoneFichierBaseCatalogue),Q369,1),"")</f>
        <v>8050846091023</v>
      </c>
      <c r="S369" s="2">
        <f ca="1">MATCH(B369,INDIRECT(nomFichierFiltreCatalogue &amp; "!B:B"),0)</f>
        <v>333</v>
      </c>
      <c r="T369" s="17"/>
    </row>
    <row r="370" spans="1:20" s="24" customFormat="1" ht="15.75" customHeight="1" x14ac:dyDescent="0.25">
      <c r="A370" s="30">
        <f ca="1">INDEX(INDIRECT(zoneFichierTraite),$J369+offsetInitialFichierTraite,2)</f>
        <v>172</v>
      </c>
      <c r="B370" s="29" t="str">
        <f ca="1">IFERROR(INDEX(INDIRECT(zoneFichierEAN13Valmag),$P369,3),"")</f>
        <v/>
      </c>
      <c r="C370" s="22" t="str">
        <f ca="1">IFERROR(INDEX(INDIRECT(zoneFichierEAN13Valmag),$O369,3),"")</f>
        <v/>
      </c>
      <c r="D370" s="23" t="str">
        <f ca="1">IFERROR(INDEX(INDIRECT(zoneFichierEAN13Valmag),$O369,4),"")</f>
        <v/>
      </c>
      <c r="E370" s="38" t="str">
        <f ca="1">IFERROR(INDEX(INDIRECT(zoneFichierFiltreCatalogue),S369,3),"")</f>
        <v>p071-1-01</v>
      </c>
      <c r="F370" s="23"/>
      <c r="G370" s="21"/>
      <c r="H370" s="39" t="str">
        <f ca="1">IFERROR(INDEX(INDIRECT(zoneFichierFiltreCatalogue),S369,6),"")</f>
        <v>fall 2019 presentation_/catalogo fall 19.txt</v>
      </c>
      <c r="R370" s="25"/>
      <c r="S370" s="25"/>
    </row>
    <row r="371" spans="1:20" ht="39" customHeight="1" thickBot="1" x14ac:dyDescent="0.65">
      <c r="A371" s="11" t="str">
        <f ca="1">INDEX(INDIRECT(zoneFichierTraite),$J371+offsetInitialFichierTraite,6)</f>
        <v>UNICA</v>
      </c>
      <c r="B371" s="7" t="str">
        <f ca="1">INDEX(INDIRECT(zoneFichierTraite),$J371+offsetInitialFichierTraite,4)</f>
        <v>OBAGT002-TESBB-615</v>
      </c>
      <c r="C371" s="31" t="str">
        <f ca="1">INDEX(INDIRECT(zoneFichierTraite),$J371+offsetInitialFichierTraite,5)</f>
        <v>REVERS O BAG MINI EN TISSU IMPRIME DIANTHUS</v>
      </c>
      <c r="D371" s="32" t="str">
        <f ca="1">INDEX(INDIRECT(zoneFichierTraite),$J371+offsetInitialFichierTraite,13)</f>
        <v>military</v>
      </c>
      <c r="E371" s="35">
        <f ca="1">INDEX(INDIRECT(zoneFichierTraite),$J371+offsetInitialFichierTraite,7)</f>
        <v>2</v>
      </c>
      <c r="F371" s="33">
        <f ca="1">INDEX(INDIRECT(zoneFichierTraite),$J371+offsetInitialFichierTraite,8)</f>
        <v>13.33</v>
      </c>
      <c r="G371" s="34">
        <f t="shared" ref="G371" ca="1" si="368">ROUNDUP(F371*3,0)</f>
        <v>40</v>
      </c>
      <c r="H371" s="37" t="str">
        <f t="shared" ref="H371" ca="1" si="369">IF(ISNUMBER(N371),codeEAN13(INT(N371/10)),"")</f>
        <v>8APASOG*ajajde+</v>
      </c>
      <c r="J371" s="18">
        <f t="shared" si="329"/>
        <v>181</v>
      </c>
      <c r="L371" s="7" t="str">
        <f ca="1">INDEX(INDIRECT(zoneFichierTraite),$J371+offsetInitialFichierTraite,1)</f>
        <v>'181</v>
      </c>
      <c r="M371" s="14">
        <f ca="1">INDEX(INDIRECT(zoneFichierTraite),$J371+offsetInitialFichierTraite,9)</f>
        <v>26.66</v>
      </c>
      <c r="N371" s="17">
        <f ca="1">INDEX(INDIRECT(zoneFichierTraite),$J371+offsetInitialFichierTraite,3)</f>
        <v>8050846090934</v>
      </c>
      <c r="O371" s="2" t="e">
        <f ca="1">MATCH(N371,INDIRECT(nomFichierEAN13Valmag &amp; "!A:A"),0)</f>
        <v>#N/A</v>
      </c>
      <c r="P371" s="2" t="e">
        <f ca="1">MATCH(R371,INDIRECT(nomFichierEAN13Valmag &amp; "!A:A"),0)</f>
        <v>#N/A</v>
      </c>
      <c r="Q371" s="2">
        <f ca="1">MATCH(LEFT(B371,14) &amp; "*",INDIRECT(nomFichierBaseCatalogue &amp; "!B:B"),0)</f>
        <v>1475</v>
      </c>
      <c r="R371" s="17">
        <f ca="1">IFERROR(INDEX(INDIRECT(zoneFichierBaseCatalogue),Q371,1),"")</f>
        <v>8050846090934</v>
      </c>
      <c r="S371" s="2">
        <f ca="1">MATCH(B371,INDIRECT(nomFichierFiltreCatalogue &amp; "!B:B"),0)</f>
        <v>334</v>
      </c>
      <c r="T371" s="17"/>
    </row>
    <row r="372" spans="1:20" s="24" customFormat="1" ht="15.75" customHeight="1" x14ac:dyDescent="0.25">
      <c r="A372" s="30">
        <f ca="1">INDEX(INDIRECT(zoneFichierTraite),$J371+offsetInitialFichierTraite,2)</f>
        <v>145</v>
      </c>
      <c r="B372" s="29" t="str">
        <f ca="1">IFERROR(INDEX(INDIRECT(zoneFichierEAN13Valmag),$P371,3),"")</f>
        <v/>
      </c>
      <c r="C372" s="22" t="str">
        <f ca="1">IFERROR(INDEX(INDIRECT(zoneFichierEAN13Valmag),$O371,3),"")</f>
        <v/>
      </c>
      <c r="D372" s="23" t="str">
        <f ca="1">IFERROR(INDEX(INDIRECT(zoneFichierEAN13Valmag),$O371,4),"")</f>
        <v/>
      </c>
      <c r="E372" s="38" t="str">
        <f ca="1">IFERROR(INDEX(INDIRECT(zoneFichierFiltreCatalogue),S371,3),"")</f>
        <v>p071-2-01</v>
      </c>
      <c r="F372" s="23"/>
      <c r="G372" s="21"/>
      <c r="H372" s="39" t="str">
        <f ca="1">IFERROR(INDEX(INDIRECT(zoneFichierFiltreCatalogue),S371,6),"")</f>
        <v>fall 2019 presentation_/catalogo fall 19.txt</v>
      </c>
      <c r="R372" s="25"/>
      <c r="S372" s="25"/>
    </row>
    <row r="373" spans="1:20" ht="39" customHeight="1" thickBot="1" x14ac:dyDescent="0.65">
      <c r="A373" s="11" t="str">
        <f ca="1">INDEX(INDIRECT(zoneFichierTraite),$J373+offsetInitialFichierTraite,6)</f>
        <v>UNICA</v>
      </c>
      <c r="B373" s="7" t="str">
        <f ca="1">INDEX(INDIRECT(zoneFichierTraite),$J373+offsetInitialFichierTraite,4)</f>
        <v>OBAGT002-TESBD-227</v>
      </c>
      <c r="C373" s="31" t="str">
        <f ca="1">INDEX(INDIRECT(zoneFichierTraite),$J373+offsetInitialFichierTraite,5)</f>
        <v>REVERS O BAG MINI EN TISSU CHECK EFFET LAINE</v>
      </c>
      <c r="D373" s="32" t="str">
        <f ca="1">INDEX(INDIRECT(zoneFichierTraite),$J373+offsetInitialFichierTraite,13)</f>
        <v>bianco/nero</v>
      </c>
      <c r="E373" s="35">
        <f ca="1">INDEX(INDIRECT(zoneFichierTraite),$J373+offsetInitialFichierTraite,7)</f>
        <v>2</v>
      </c>
      <c r="F373" s="33">
        <f ca="1">INDEX(INDIRECT(zoneFichierTraite),$J373+offsetInitialFichierTraite,8)</f>
        <v>13.33</v>
      </c>
      <c r="G373" s="34">
        <f t="shared" ref="G373" ca="1" si="370">ROUNDUP(F373*3,0)</f>
        <v>40</v>
      </c>
      <c r="H373" s="37" t="str">
        <f t="shared" ref="H373" ca="1" si="371">IF(ISNUMBER(N373),codeEAN13(INT(N373/10)),"")</f>
        <v>8APASOG*ajaijh+</v>
      </c>
      <c r="J373" s="18">
        <f t="shared" si="329"/>
        <v>182</v>
      </c>
      <c r="L373" s="7" t="str">
        <f ca="1">INDEX(INDIRECT(zoneFichierTraite),$J373+offsetInitialFichierTraite,1)</f>
        <v>'182</v>
      </c>
      <c r="M373" s="14">
        <f ca="1">INDEX(INDIRECT(zoneFichierTraite),$J373+offsetInitialFichierTraite,9)</f>
        <v>26.66</v>
      </c>
      <c r="N373" s="17">
        <f ca="1">INDEX(INDIRECT(zoneFichierTraite),$J373+offsetInitialFichierTraite,3)</f>
        <v>8050846090897</v>
      </c>
      <c r="O373" s="2" t="e">
        <f ca="1">MATCH(N373,INDIRECT(nomFichierEAN13Valmag &amp; "!A:A"),0)</f>
        <v>#N/A</v>
      </c>
      <c r="P373" s="2" t="e">
        <f ca="1">MATCH(R373,INDIRECT(nomFichierEAN13Valmag &amp; "!A:A"),0)</f>
        <v>#N/A</v>
      </c>
      <c r="Q373" s="2">
        <f ca="1">MATCH(LEFT(B373,14) &amp; "*",INDIRECT(nomFichierBaseCatalogue &amp; "!B:B"),0)</f>
        <v>1476</v>
      </c>
      <c r="R373" s="17">
        <f ca="1">IFERROR(INDEX(INDIRECT(zoneFichierBaseCatalogue),Q373,1),"")</f>
        <v>8050846090897</v>
      </c>
      <c r="S373" s="2">
        <f ca="1">MATCH(B373,INDIRECT(nomFichierFiltreCatalogue &amp; "!B:B"),0)</f>
        <v>335</v>
      </c>
      <c r="T373" s="17"/>
    </row>
    <row r="374" spans="1:20" s="24" customFormat="1" ht="15.75" customHeight="1" x14ac:dyDescent="0.25">
      <c r="A374" s="30">
        <f ca="1">INDEX(INDIRECT(zoneFichierTraite),$J373+offsetInitialFichierTraite,2)</f>
        <v>127</v>
      </c>
      <c r="B374" s="29" t="str">
        <f ca="1">IFERROR(INDEX(INDIRECT(zoneFichierEAN13Valmag),$P373,3),"")</f>
        <v/>
      </c>
      <c r="C374" s="22" t="str">
        <f ca="1">IFERROR(INDEX(INDIRECT(zoneFichierEAN13Valmag),$O373,3),"")</f>
        <v/>
      </c>
      <c r="D374" s="23" t="str">
        <f ca="1">IFERROR(INDEX(INDIRECT(zoneFichierEAN13Valmag),$O373,4),"")</f>
        <v/>
      </c>
      <c r="E374" s="38" t="str">
        <f ca="1">IFERROR(INDEX(INDIRECT(zoneFichierFiltreCatalogue),S373,3),"")</f>
        <v>p072-1-01</v>
      </c>
      <c r="F374" s="23"/>
      <c r="G374" s="21"/>
      <c r="H374" s="39" t="str">
        <f ca="1">IFERROR(INDEX(INDIRECT(zoneFichierFiltreCatalogue),S373,6),"")</f>
        <v>fall 2019 presentation_/catalogo fall 19.txt</v>
      </c>
      <c r="R374" s="25"/>
      <c r="S374" s="25"/>
    </row>
    <row r="375" spans="1:20" ht="39" customHeight="1" thickBot="1" x14ac:dyDescent="0.65">
      <c r="A375" s="11" t="str">
        <f ca="1">INDEX(INDIRECT(zoneFichierTraite),$J375+offsetInitialFichierTraite,6)</f>
        <v>UNICA</v>
      </c>
      <c r="B375" s="7" t="str">
        <f ca="1">INDEX(INDIRECT(zoneFichierTraite),$J375+offsetInitialFichierTraite,4)</f>
        <v>OBAGT002-TESBE-227</v>
      </c>
      <c r="C375" s="31" t="str">
        <f ca="1">INDEX(INDIRECT(zoneFichierTraite),$J375+offsetInitialFichierTraite,5)</f>
        <v>REVERS O BAG MINI EN TISSU Ã€ CHEVRONS</v>
      </c>
      <c r="D375" s="32" t="str">
        <f ca="1">INDEX(INDIRECT(zoneFichierTraite),$J375+offsetInitialFichierTraite,13)</f>
        <v>bianco/nero</v>
      </c>
      <c r="E375" s="35">
        <f ca="1">INDEX(INDIRECT(zoneFichierTraite),$J375+offsetInitialFichierTraite,7)</f>
        <v>2</v>
      </c>
      <c r="F375" s="33">
        <f ca="1">INDEX(INDIRECT(zoneFichierTraite),$J375+offsetInitialFichierTraite,8)</f>
        <v>13.33</v>
      </c>
      <c r="G375" s="34">
        <f t="shared" ref="G375" ca="1" si="372">ROUNDUP(F375*3,0)</f>
        <v>40</v>
      </c>
      <c r="H375" s="37" t="str">
        <f t="shared" ref="H375" ca="1" si="373">IF(ISNUMBER(N375),codeEAN13(INT(N375/10)),"")</f>
        <v>8APASOG*ajaiia+</v>
      </c>
      <c r="J375" s="18">
        <f t="shared" si="329"/>
        <v>183</v>
      </c>
      <c r="L375" s="7" t="str">
        <f ca="1">INDEX(INDIRECT(zoneFichierTraite),$J375+offsetInitialFichierTraite,1)</f>
        <v>'183</v>
      </c>
      <c r="M375" s="14">
        <f ca="1">INDEX(INDIRECT(zoneFichierTraite),$J375+offsetInitialFichierTraite,9)</f>
        <v>26.66</v>
      </c>
      <c r="N375" s="17">
        <f ca="1">INDEX(INDIRECT(zoneFichierTraite),$J375+offsetInitialFichierTraite,3)</f>
        <v>8050846090880</v>
      </c>
      <c r="O375" s="2" t="e">
        <f ca="1">MATCH(N375,INDIRECT(nomFichierEAN13Valmag &amp; "!A:A"),0)</f>
        <v>#N/A</v>
      </c>
      <c r="P375" s="2" t="e">
        <f ca="1">MATCH(R375,INDIRECT(nomFichierEAN13Valmag &amp; "!A:A"),0)</f>
        <v>#N/A</v>
      </c>
      <c r="Q375" s="2">
        <f ca="1">MATCH(LEFT(B375,14) &amp; "*",INDIRECT(nomFichierBaseCatalogue &amp; "!B:B"),0)</f>
        <v>1477</v>
      </c>
      <c r="R375" s="17">
        <f ca="1">IFERROR(INDEX(INDIRECT(zoneFichierBaseCatalogue),Q375,1),"")</f>
        <v>8050846090880</v>
      </c>
      <c r="S375" s="2">
        <f ca="1">MATCH(B375,INDIRECT(nomFichierFiltreCatalogue &amp; "!B:B"),0)</f>
        <v>336</v>
      </c>
      <c r="T375" s="17"/>
    </row>
    <row r="376" spans="1:20" s="24" customFormat="1" ht="15.75" customHeight="1" x14ac:dyDescent="0.25">
      <c r="A376" s="30">
        <f ca="1">INDEX(INDIRECT(zoneFichierTraite),$J375+offsetInitialFichierTraite,2)</f>
        <v>200</v>
      </c>
      <c r="B376" s="29" t="str">
        <f ca="1">IFERROR(INDEX(INDIRECT(zoneFichierEAN13Valmag),$P375,3),"")</f>
        <v/>
      </c>
      <c r="C376" s="22" t="str">
        <f ca="1">IFERROR(INDEX(INDIRECT(zoneFichierEAN13Valmag),$O375,3),"")</f>
        <v/>
      </c>
      <c r="D376" s="23" t="str">
        <f ca="1">IFERROR(INDEX(INDIRECT(zoneFichierEAN13Valmag),$O375,4),"")</f>
        <v/>
      </c>
      <c r="E376" s="38" t="str">
        <f ca="1">IFERROR(INDEX(INDIRECT(zoneFichierFiltreCatalogue),S375,3),"")</f>
        <v>p072-2-01</v>
      </c>
      <c r="F376" s="23"/>
      <c r="G376" s="21"/>
      <c r="H376" s="39" t="str">
        <f ca="1">IFERROR(INDEX(INDIRECT(zoneFichierFiltreCatalogue),S375,6),"")</f>
        <v>fall 2019 presentation_/catalogo fall 19.txt</v>
      </c>
      <c r="R376" s="25"/>
      <c r="S376" s="25"/>
    </row>
    <row r="377" spans="1:20" ht="39" customHeight="1" thickBot="1" x14ac:dyDescent="0.65">
      <c r="A377" s="11" t="str">
        <f ca="1">INDEX(INDIRECT(zoneFichierTraite),$J377+offsetInitialFichierTraite,6)</f>
        <v>UNICA</v>
      </c>
      <c r="B377" s="7" t="str">
        <f ca="1">INDEX(INDIRECT(zoneFichierTraite),$J377+offsetInitialFichierTraite,4)</f>
        <v>OBAGT002-TESBH-017</v>
      </c>
      <c r="C377" s="31" t="str">
        <f ca="1">INDEX(INDIRECT(zoneFichierTraite),$J377+offsetInitialFichierTraite,5)</f>
        <v>REVERS O BAG MINI EN TISSU IMPRIME JACQUARD MICRO FANTAISIE</v>
      </c>
      <c r="D377" s="32" t="str">
        <f ca="1">INDEX(INDIRECT(zoneFichierTraite),$J377+offsetInitialFichierTraite,13)</f>
        <v>blu navy</v>
      </c>
      <c r="E377" s="35">
        <f ca="1">INDEX(INDIRECT(zoneFichierTraite),$J377+offsetInitialFichierTraite,7)</f>
        <v>2</v>
      </c>
      <c r="F377" s="33">
        <f ca="1">INDEX(INDIRECT(zoneFichierTraite),$J377+offsetInitialFichierTraite,8)</f>
        <v>13.33</v>
      </c>
      <c r="G377" s="34">
        <f t="shared" ref="G377" ca="1" si="374">ROUNDUP(F377*3,0)</f>
        <v>40</v>
      </c>
      <c r="H377" s="37" t="str">
        <f t="shared" ref="H377" ca="1" si="375">IF(ISNUMBER(N377),codeEAN13(INT(N377/10)),"")</f>
        <v>8APASOG*ajajch+</v>
      </c>
      <c r="J377" s="18">
        <f t="shared" si="329"/>
        <v>184</v>
      </c>
      <c r="L377" s="7" t="str">
        <f ca="1">INDEX(INDIRECT(zoneFichierTraite),$J377+offsetInitialFichierTraite,1)</f>
        <v>'184</v>
      </c>
      <c r="M377" s="14">
        <f ca="1">INDEX(INDIRECT(zoneFichierTraite),$J377+offsetInitialFichierTraite,9)</f>
        <v>26.66</v>
      </c>
      <c r="N377" s="17">
        <f ca="1">INDEX(INDIRECT(zoneFichierTraite),$J377+offsetInitialFichierTraite,3)</f>
        <v>8050846090927</v>
      </c>
      <c r="O377" s="2" t="e">
        <f ca="1">MATCH(N377,INDIRECT(nomFichierEAN13Valmag &amp; "!A:A"),0)</f>
        <v>#N/A</v>
      </c>
      <c r="P377" s="2" t="e">
        <f ca="1">MATCH(R377,INDIRECT(nomFichierEAN13Valmag &amp; "!A:A"),0)</f>
        <v>#N/A</v>
      </c>
      <c r="Q377" s="2">
        <f ca="1">MATCH(LEFT(B377,14) &amp; "*",INDIRECT(nomFichierBaseCatalogue &amp; "!B:B"),0)</f>
        <v>1479</v>
      </c>
      <c r="R377" s="17">
        <f ca="1">IFERROR(INDEX(INDIRECT(zoneFichierBaseCatalogue),Q377,1),"")</f>
        <v>8050846090927</v>
      </c>
      <c r="S377" s="2">
        <f ca="1">MATCH(B377,INDIRECT(nomFichierFiltreCatalogue &amp; "!B:B"),0)</f>
        <v>338</v>
      </c>
      <c r="T377" s="17"/>
    </row>
    <row r="378" spans="1:20" s="24" customFormat="1" ht="15.75" customHeight="1" x14ac:dyDescent="0.25">
      <c r="A378" s="30">
        <f ca="1">INDEX(INDIRECT(zoneFichierTraite),$J377+offsetInitialFichierTraite,2)</f>
        <v>157</v>
      </c>
      <c r="B378" s="29" t="str">
        <f ca="1">IFERROR(INDEX(INDIRECT(zoneFichierEAN13Valmag),$P377,3),"")</f>
        <v/>
      </c>
      <c r="C378" s="22" t="str">
        <f ca="1">IFERROR(INDEX(INDIRECT(zoneFichierEAN13Valmag),$O377,3),"")</f>
        <v/>
      </c>
      <c r="D378" s="23" t="str">
        <f ca="1">IFERROR(INDEX(INDIRECT(zoneFichierEAN13Valmag),$O377,4),"")</f>
        <v/>
      </c>
      <c r="E378" s="38" t="str">
        <f ca="1">IFERROR(INDEX(INDIRECT(zoneFichierFiltreCatalogue),S377,3),"")</f>
        <v>p073-2-01</v>
      </c>
      <c r="F378" s="23"/>
      <c r="G378" s="21"/>
      <c r="H378" s="39" t="str">
        <f ca="1">IFERROR(INDEX(INDIRECT(zoneFichierFiltreCatalogue),S377,6),"")</f>
        <v>fall 2019 presentation_/catalogo fall 19.txt</v>
      </c>
      <c r="R378" s="25"/>
      <c r="S378" s="25"/>
    </row>
    <row r="379" spans="1:20" ht="39" customHeight="1" thickBot="1" x14ac:dyDescent="0.65">
      <c r="A379" s="11" t="str">
        <f ca="1">INDEX(INDIRECT(zoneFichierTraite),$J379+offsetInitialFichierTraite,6)</f>
        <v>UNICA</v>
      </c>
      <c r="B379" s="7" t="str">
        <f ca="1">INDEX(INDIRECT(zoneFichierTraite),$J379+offsetInitialFichierTraite,4)</f>
        <v>OBAGT002-TESBJ-227</v>
      </c>
      <c r="C379" s="31" t="str">
        <f ca="1">INDEX(INDIRECT(zoneFichierTraite),$J379+offsetInitialFichierTraite,5)</f>
        <v>REVERS O BAG MINI EN TISSU OPTICAL STRIPES</v>
      </c>
      <c r="D379" s="32" t="str">
        <f ca="1">INDEX(INDIRECT(zoneFichierTraite),$J379+offsetInitialFichierTraite,13)</f>
        <v>bianco/nero</v>
      </c>
      <c r="E379" s="35">
        <f ca="1">INDEX(INDIRECT(zoneFichierTraite),$J379+offsetInitialFichierTraite,7)</f>
        <v>2</v>
      </c>
      <c r="F379" s="33">
        <f ca="1">INDEX(INDIRECT(zoneFichierTraite),$J379+offsetInitialFichierTraite,8)</f>
        <v>11.85</v>
      </c>
      <c r="G379" s="34">
        <f t="shared" ref="G379" ca="1" si="376">ROUNDUP(F379*3,0)</f>
        <v>36</v>
      </c>
      <c r="H379" s="37" t="str">
        <f t="shared" ref="H379" ca="1" si="377">IF(ISNUMBER(N379),codeEAN13(INT(N379/10)),"")</f>
        <v>8APASOG*ajaihd+</v>
      </c>
      <c r="J379" s="18">
        <f t="shared" si="329"/>
        <v>185</v>
      </c>
      <c r="L379" s="7" t="str">
        <f ca="1">INDEX(INDIRECT(zoneFichierTraite),$J379+offsetInitialFichierTraite,1)</f>
        <v>'185</v>
      </c>
      <c r="M379" s="14">
        <f ca="1">INDEX(INDIRECT(zoneFichierTraite),$J379+offsetInitialFichierTraite,9)</f>
        <v>23.7</v>
      </c>
      <c r="N379" s="17">
        <f ca="1">INDEX(INDIRECT(zoneFichierTraite),$J379+offsetInitialFichierTraite,3)</f>
        <v>8050846090873</v>
      </c>
      <c r="O379" s="2" t="e">
        <f ca="1">MATCH(N379,INDIRECT(nomFichierEAN13Valmag &amp; "!A:A"),0)</f>
        <v>#N/A</v>
      </c>
      <c r="P379" s="2" t="e">
        <f ca="1">MATCH(R379,INDIRECT(nomFichierEAN13Valmag &amp; "!A:A"),0)</f>
        <v>#N/A</v>
      </c>
      <c r="Q379" s="2">
        <f ca="1">MATCH(LEFT(B379,14) &amp; "*",INDIRECT(nomFichierBaseCatalogue &amp; "!B:B"),0)</f>
        <v>1480</v>
      </c>
      <c r="R379" s="17">
        <f ca="1">IFERROR(INDEX(INDIRECT(zoneFichierBaseCatalogue),Q379,1),"")</f>
        <v>8050846090873</v>
      </c>
      <c r="S379" s="2">
        <f ca="1">MATCH(B379,INDIRECT(nomFichierFiltreCatalogue &amp; "!B:B"),0)</f>
        <v>339</v>
      </c>
      <c r="T379" s="17"/>
    </row>
    <row r="380" spans="1:20" s="24" customFormat="1" ht="15.75" customHeight="1" x14ac:dyDescent="0.25">
      <c r="A380" s="30">
        <f ca="1">INDEX(INDIRECT(zoneFichierTraite),$J379+offsetInitialFichierTraite,2)</f>
        <v>201</v>
      </c>
      <c r="B380" s="29" t="str">
        <f ca="1">IFERROR(INDEX(INDIRECT(zoneFichierEAN13Valmag),$P379,3),"")</f>
        <v/>
      </c>
      <c r="C380" s="22" t="str">
        <f ca="1">IFERROR(INDEX(INDIRECT(zoneFichierEAN13Valmag),$O379,3),"")</f>
        <v/>
      </c>
      <c r="D380" s="23" t="str">
        <f ca="1">IFERROR(INDEX(INDIRECT(zoneFichierEAN13Valmag),$O379,4),"")</f>
        <v/>
      </c>
      <c r="E380" s="38" t="str">
        <f ca="1">IFERROR(INDEX(INDIRECT(zoneFichierFiltreCatalogue),S379,3),"")</f>
        <v>p074-1-01</v>
      </c>
      <c r="F380" s="23"/>
      <c r="G380" s="21"/>
      <c r="H380" s="39" t="str">
        <f ca="1">IFERROR(INDEX(INDIRECT(zoneFichierFiltreCatalogue),S379,6),"")</f>
        <v>fall 2019 presentation_/catalogo fall 19.txt</v>
      </c>
      <c r="R380" s="25"/>
      <c r="S380" s="25"/>
    </row>
    <row r="381" spans="1:20" ht="39" customHeight="1" thickBot="1" x14ac:dyDescent="0.65">
      <c r="A381" s="11" t="str">
        <f ca="1">INDEX(INDIRECT(zoneFichierTraite),$J381+offsetInitialFichierTraite,6)</f>
        <v>UNICA</v>
      </c>
      <c r="B381" s="7" t="str">
        <f ca="1">INDEX(INDIRECT(zoneFichierTraite),$J381+offsetInitialFichierTraite,4)</f>
        <v>OBAGT002-TESBK-055</v>
      </c>
      <c r="C381" s="31" t="str">
        <f ca="1">INDEX(INDIRECT(zoneFichierTraite),$J381+offsetInitialFichierTraite,5)</f>
        <v>REVERS O BAG MINI EN TISSU DOUDOUNE Ã€ CHEVRONS</v>
      </c>
      <c r="D381" s="32" t="str">
        <f ca="1">INDEX(INDIRECT(zoneFichierTraite),$J381+offsetInitialFichierTraite,13)</f>
        <v>nero</v>
      </c>
      <c r="E381" s="35">
        <f ca="1">INDEX(INDIRECT(zoneFichierTraite),$J381+offsetInitialFichierTraite,7)</f>
        <v>2</v>
      </c>
      <c r="F381" s="33">
        <f ca="1">INDEX(INDIRECT(zoneFichierTraite),$J381+offsetInitialFichierTraite,8)</f>
        <v>11.85</v>
      </c>
      <c r="G381" s="34">
        <f t="shared" ref="G381" ca="1" si="378">ROUNDUP(F381*3,0)</f>
        <v>36</v>
      </c>
      <c r="H381" s="37" t="str">
        <f t="shared" ref="H381" ca="1" si="379">IF(ISNUMBER(N381),codeEAN13(INT(N381/10)),"")</f>
        <v>8APASOG*ajaigg+</v>
      </c>
      <c r="J381" s="18">
        <f t="shared" si="329"/>
        <v>186</v>
      </c>
      <c r="L381" s="7" t="str">
        <f ca="1">INDEX(INDIRECT(zoneFichierTraite),$J381+offsetInitialFichierTraite,1)</f>
        <v>'186</v>
      </c>
      <c r="M381" s="14">
        <f ca="1">INDEX(INDIRECT(zoneFichierTraite),$J381+offsetInitialFichierTraite,9)</f>
        <v>23.7</v>
      </c>
      <c r="N381" s="17">
        <f ca="1">INDEX(INDIRECT(zoneFichierTraite),$J381+offsetInitialFichierTraite,3)</f>
        <v>8050846090866</v>
      </c>
      <c r="O381" s="2" t="e">
        <f ca="1">MATCH(N381,INDIRECT(nomFichierEAN13Valmag &amp; "!A:A"),0)</f>
        <v>#N/A</v>
      </c>
      <c r="P381" s="2" t="e">
        <f ca="1">MATCH(R381,INDIRECT(nomFichierEAN13Valmag &amp; "!A:A"),0)</f>
        <v>#N/A</v>
      </c>
      <c r="Q381" s="2">
        <f ca="1">MATCH(LEFT(B381,14) &amp; "*",INDIRECT(nomFichierBaseCatalogue &amp; "!B:B"),0)</f>
        <v>1481</v>
      </c>
      <c r="R381" s="17">
        <f ca="1">IFERROR(INDEX(INDIRECT(zoneFichierBaseCatalogue),Q381,1),"")</f>
        <v>8050846090866</v>
      </c>
      <c r="S381" s="2">
        <f ca="1">MATCH(B381,INDIRECT(nomFichierFiltreCatalogue &amp; "!B:B"),0)</f>
        <v>341</v>
      </c>
      <c r="T381" s="17"/>
    </row>
    <row r="382" spans="1:20" s="24" customFormat="1" ht="15.75" customHeight="1" x14ac:dyDescent="0.25">
      <c r="A382" s="30">
        <f ca="1">INDEX(INDIRECT(zoneFichierTraite),$J381+offsetInitialFichierTraite,2)</f>
        <v>108</v>
      </c>
      <c r="B382" s="29" t="str">
        <f ca="1">IFERROR(INDEX(INDIRECT(zoneFichierEAN13Valmag),$P381,3),"")</f>
        <v/>
      </c>
      <c r="C382" s="22" t="str">
        <f ca="1">IFERROR(INDEX(INDIRECT(zoneFichierEAN13Valmag),$O381,3),"")</f>
        <v/>
      </c>
      <c r="D382" s="23" t="str">
        <f ca="1">IFERROR(INDEX(INDIRECT(zoneFichierEAN13Valmag),$O381,4),"")</f>
        <v/>
      </c>
      <c r="E382" s="38" t="str">
        <f ca="1">IFERROR(INDEX(INDIRECT(zoneFichierFiltreCatalogue),S381,3),"")</f>
        <v>p075-1-01</v>
      </c>
      <c r="F382" s="23"/>
      <c r="G382" s="21"/>
      <c r="H382" s="39" t="str">
        <f ca="1">IFERROR(INDEX(INDIRECT(zoneFichierFiltreCatalogue),S381,6),"")</f>
        <v>fall 2019 presentation_/catalogo fall 19.txt</v>
      </c>
      <c r="R382" s="25"/>
      <c r="S382" s="25"/>
    </row>
    <row r="383" spans="1:20" ht="39" customHeight="1" thickBot="1" x14ac:dyDescent="0.65">
      <c r="A383" s="11" t="str">
        <f ca="1">INDEX(INDIRECT(zoneFichierTraite),$J383+offsetInitialFichierTraite,6)</f>
        <v>UNICA</v>
      </c>
      <c r="B383" s="7" t="str">
        <f ca="1">INDEX(INDIRECT(zoneFichierTraite),$J383+offsetInitialFichierTraite,4)</f>
        <v>OBAGT002-TESBK-137</v>
      </c>
      <c r="C383" s="31" t="str">
        <f ca="1">INDEX(INDIRECT(zoneFichierTraite),$J383+offsetInitialFichierTraite,5)</f>
        <v>REVERS O BAG MINI EN TISSU DOUDOUNE Ã€ CHEVRONS</v>
      </c>
      <c r="D383" s="32" t="str">
        <f ca="1">INDEX(INDIRECT(zoneFichierTraite),$J383+offsetInitialFichierTraite,13)</f>
        <v>bluette</v>
      </c>
      <c r="E383" s="35">
        <f ca="1">INDEX(INDIRECT(zoneFichierTraite),$J383+offsetInitialFichierTraite,7)</f>
        <v>2</v>
      </c>
      <c r="F383" s="33">
        <f ca="1">INDEX(INDIRECT(zoneFichierTraite),$J383+offsetInitialFichierTraite,8)</f>
        <v>11.85</v>
      </c>
      <c r="G383" s="34">
        <f t="shared" ref="G383" ca="1" si="380">ROUNDUP(F383*3,0)</f>
        <v>36</v>
      </c>
      <c r="H383" s="37" t="str">
        <f t="shared" ref="H383" ca="1" si="381">IF(ISNUMBER(N383),codeEAN13(INT(N383/10)),"")</f>
        <v>8APASOG*ajaifj+</v>
      </c>
      <c r="J383" s="18">
        <f t="shared" si="329"/>
        <v>187</v>
      </c>
      <c r="L383" s="7" t="str">
        <f ca="1">INDEX(INDIRECT(zoneFichierTraite),$J383+offsetInitialFichierTraite,1)</f>
        <v>'187</v>
      </c>
      <c r="M383" s="14">
        <f ca="1">INDEX(INDIRECT(zoneFichierTraite),$J383+offsetInitialFichierTraite,9)</f>
        <v>23.7</v>
      </c>
      <c r="N383" s="17">
        <f ca="1">INDEX(INDIRECT(zoneFichierTraite),$J383+offsetInitialFichierTraite,3)</f>
        <v>8050846090859</v>
      </c>
      <c r="O383" s="2" t="e">
        <f ca="1">MATCH(N383,INDIRECT(nomFichierEAN13Valmag &amp; "!A:A"),0)</f>
        <v>#N/A</v>
      </c>
      <c r="P383" s="2" t="e">
        <f ca="1">MATCH(R383,INDIRECT(nomFichierEAN13Valmag &amp; "!A:A"),0)</f>
        <v>#N/A</v>
      </c>
      <c r="Q383" s="2">
        <f ca="1">MATCH(LEFT(B383,14) &amp; "*",INDIRECT(nomFichierBaseCatalogue &amp; "!B:B"),0)</f>
        <v>1481</v>
      </c>
      <c r="R383" s="17">
        <f ca="1">IFERROR(INDEX(INDIRECT(zoneFichierBaseCatalogue),Q383,1),"")</f>
        <v>8050846090866</v>
      </c>
      <c r="S383" s="2">
        <f ca="1">MATCH(B383,INDIRECT(nomFichierFiltreCatalogue &amp; "!B:B"),0)</f>
        <v>342</v>
      </c>
      <c r="T383" s="17"/>
    </row>
    <row r="384" spans="1:20" s="24" customFormat="1" ht="15.75" customHeight="1" x14ac:dyDescent="0.25">
      <c r="A384" s="30">
        <f ca="1">INDEX(INDIRECT(zoneFichierTraite),$J383+offsetInitialFichierTraite,2)</f>
        <v>191</v>
      </c>
      <c r="B384" s="29" t="str">
        <f ca="1">IFERROR(INDEX(INDIRECT(zoneFichierEAN13Valmag),$P383,3),"")</f>
        <v/>
      </c>
      <c r="C384" s="22" t="str">
        <f ca="1">IFERROR(INDEX(INDIRECT(zoneFichierEAN13Valmag),$O383,3),"")</f>
        <v/>
      </c>
      <c r="D384" s="23" t="str">
        <f ca="1">IFERROR(INDEX(INDIRECT(zoneFichierEAN13Valmag),$O383,4),"")</f>
        <v/>
      </c>
      <c r="E384" s="38" t="str">
        <f ca="1">IFERROR(INDEX(INDIRECT(zoneFichierFiltreCatalogue),S383,3),"")</f>
        <v>p075-1-02</v>
      </c>
      <c r="F384" s="23"/>
      <c r="G384" s="21"/>
      <c r="H384" s="39" t="str">
        <f ca="1">IFERROR(INDEX(INDIRECT(zoneFichierFiltreCatalogue),S383,6),"")</f>
        <v>fall 2019 presentation_/catalogo fall 19.txt</v>
      </c>
      <c r="R384" s="25"/>
      <c r="S384" s="25"/>
    </row>
    <row r="385" spans="1:20" ht="39" customHeight="1" thickBot="1" x14ac:dyDescent="0.65">
      <c r="A385" s="11" t="str">
        <f ca="1">INDEX(INDIRECT(zoneFichierTraite),$J385+offsetInitialFichierTraite,6)</f>
        <v>UNICA</v>
      </c>
      <c r="B385" s="7" t="str">
        <f ca="1">INDEX(INDIRECT(zoneFichierTraite),$J385+offsetInitialFichierTraite,4)</f>
        <v>OBAGT002-TESBN-615</v>
      </c>
      <c r="C385" s="31" t="str">
        <f ca="1">INDEX(INDIRECT(zoneFichierTraite),$J385+offsetInitialFichierTraite,5)</f>
        <v>REVERS O BAG MINI EN TISSU DOUDOUNE CHECK</v>
      </c>
      <c r="D385" s="32" t="str">
        <f ca="1">INDEX(INDIRECT(zoneFichierTraite),$J385+offsetInitialFichierTraite,13)</f>
        <v>military</v>
      </c>
      <c r="E385" s="35">
        <f ca="1">INDEX(INDIRECT(zoneFichierTraite),$J385+offsetInitialFichierTraite,7)</f>
        <v>2</v>
      </c>
      <c r="F385" s="33">
        <f ca="1">INDEX(INDIRECT(zoneFichierTraite),$J385+offsetInitialFichierTraite,8)</f>
        <v>15.56</v>
      </c>
      <c r="G385" s="34">
        <f t="shared" ref="G385" ca="1" si="382">ROUNDUP(F385*3,0)</f>
        <v>47</v>
      </c>
      <c r="H385" s="37" t="str">
        <f t="shared" ref="H385" ca="1" si="383">IF(ISNUMBER(N385),codeEAN13(INT(N385/10)),"")</f>
        <v>8APASOG*ajbaaj+</v>
      </c>
      <c r="J385" s="18">
        <f t="shared" si="329"/>
        <v>188</v>
      </c>
      <c r="L385" s="7" t="str">
        <f ca="1">INDEX(INDIRECT(zoneFichierTraite),$J385+offsetInitialFichierTraite,1)</f>
        <v>'188</v>
      </c>
      <c r="M385" s="14">
        <f ca="1">INDEX(INDIRECT(zoneFichierTraite),$J385+offsetInitialFichierTraite,9)</f>
        <v>31.12</v>
      </c>
      <c r="N385" s="17">
        <f ca="1">INDEX(INDIRECT(zoneFichierTraite),$J385+offsetInitialFichierTraite,3)</f>
        <v>8050846091009</v>
      </c>
      <c r="O385" s="2" t="e">
        <f ca="1">MATCH(N385,INDIRECT(nomFichierEAN13Valmag &amp; "!A:A"),0)</f>
        <v>#N/A</v>
      </c>
      <c r="P385" s="2" t="e">
        <f ca="1">MATCH(R385,INDIRECT(nomFichierEAN13Valmag &amp; "!A:A"),0)</f>
        <v>#N/A</v>
      </c>
      <c r="Q385" s="2">
        <f ca="1">MATCH(LEFT(B385,14) &amp; "*",INDIRECT(nomFichierBaseCatalogue &amp; "!B:B"),0)</f>
        <v>1484</v>
      </c>
      <c r="R385" s="17">
        <f ca="1">IFERROR(INDEX(INDIRECT(zoneFichierBaseCatalogue),Q385,1),"")</f>
        <v>8050846091009</v>
      </c>
      <c r="S385" s="2">
        <f ca="1">MATCH(B385,INDIRECT(nomFichierFiltreCatalogue &amp; "!B:B"),0)</f>
        <v>340</v>
      </c>
      <c r="T385" s="17"/>
    </row>
    <row r="386" spans="1:20" s="24" customFormat="1" ht="15.75" customHeight="1" x14ac:dyDescent="0.25">
      <c r="A386" s="30">
        <f ca="1">INDEX(INDIRECT(zoneFichierTraite),$J385+offsetInitialFichierTraite,2)</f>
        <v>175</v>
      </c>
      <c r="B386" s="29" t="str">
        <f ca="1">IFERROR(INDEX(INDIRECT(zoneFichierEAN13Valmag),$P385,3),"")</f>
        <v/>
      </c>
      <c r="C386" s="22" t="str">
        <f ca="1">IFERROR(INDEX(INDIRECT(zoneFichierEAN13Valmag),$O385,3),"")</f>
        <v/>
      </c>
      <c r="D386" s="23" t="str">
        <f ca="1">IFERROR(INDEX(INDIRECT(zoneFichierEAN13Valmag),$O385,4),"")</f>
        <v/>
      </c>
      <c r="E386" s="38" t="str">
        <f ca="1">IFERROR(INDEX(INDIRECT(zoneFichierFiltreCatalogue),S385,3),"")</f>
        <v>p074-2-01</v>
      </c>
      <c r="F386" s="23"/>
      <c r="G386" s="21"/>
      <c r="H386" s="39" t="str">
        <f ca="1">IFERROR(INDEX(INDIRECT(zoneFichierFiltreCatalogue),S385,6),"")</f>
        <v>fall 2019 presentation_/catalogo fall 19.txt</v>
      </c>
      <c r="R386" s="25"/>
      <c r="S386" s="25"/>
    </row>
    <row r="387" spans="1:20" ht="39" customHeight="1" thickBot="1" x14ac:dyDescent="0.65">
      <c r="A387" s="11" t="str">
        <f ca="1">INDEX(INDIRECT(zoneFichierTraite),$J387+offsetInitialFichierTraite,6)</f>
        <v>UNICA</v>
      </c>
      <c r="B387" s="7" t="str">
        <f ca="1">INDEX(INDIRECT(zoneFichierTraite),$J387+offsetInitialFichierTraite,4)</f>
        <v>OCLKD001-MESE3-067</v>
      </c>
      <c r="C387" s="31" t="str">
        <f ca="1">INDEX(INDIRECT(zoneFichierTraite),$J387+offsetInitialFichierTraite,5)</f>
        <v>O CLOCK MECANISME CIRCLE SOLEIL</v>
      </c>
      <c r="D387" s="32" t="str">
        <f ca="1">INDEX(INDIRECT(zoneFichierTraite),$J387+offsetInitialFichierTraite,13)</f>
        <v>phard</v>
      </c>
      <c r="E387" s="35">
        <f ca="1">INDEX(INDIRECT(zoneFichierTraite),$J387+offsetInitialFichierTraite,7)</f>
        <v>3</v>
      </c>
      <c r="F387" s="33">
        <f ca="1">INDEX(INDIRECT(zoneFichierTraite),$J387+offsetInitialFichierTraite,8)</f>
        <v>7.78</v>
      </c>
      <c r="G387" s="34">
        <f t="shared" ref="G387" ca="1" si="384">ROUNDUP(F387*3,0)</f>
        <v>24</v>
      </c>
      <c r="H387" s="37" t="str">
        <f t="shared" ref="H387" ca="1" si="385">IF(ISNUMBER(N387),codeEAN13(INT(N387/10)),"")</f>
        <v>8APASOG*ajcijb+</v>
      </c>
      <c r="J387" s="18">
        <f t="shared" si="329"/>
        <v>189</v>
      </c>
      <c r="L387" s="7" t="str">
        <f ca="1">INDEX(INDIRECT(zoneFichierTraite),$J387+offsetInitialFichierTraite,1)</f>
        <v>'189</v>
      </c>
      <c r="M387" s="14">
        <f ca="1">INDEX(INDIRECT(zoneFichierTraite),$J387+offsetInitialFichierTraite,9)</f>
        <v>23.34</v>
      </c>
      <c r="N387" s="17">
        <f ca="1">INDEX(INDIRECT(zoneFichierTraite),$J387+offsetInitialFichierTraite,3)</f>
        <v>8050846092891</v>
      </c>
      <c r="O387" s="2" t="e">
        <f ca="1">MATCH(N387,INDIRECT(nomFichierEAN13Valmag &amp; "!A:A"),0)</f>
        <v>#N/A</v>
      </c>
      <c r="P387" s="2" t="e">
        <f ca="1">MATCH(R387,INDIRECT(nomFichierEAN13Valmag &amp; "!A:A"),0)</f>
        <v>#N/A</v>
      </c>
      <c r="Q387" s="2">
        <f ca="1">MATCH(LEFT(B387,14) &amp; "*",INDIRECT(nomFichierBaseCatalogue &amp; "!B:B"),0)</f>
        <v>1533</v>
      </c>
      <c r="R387" s="17">
        <f ca="1">IFERROR(INDEX(INDIRECT(zoneFichierBaseCatalogue),Q387,1),"")</f>
        <v>8050846092891</v>
      </c>
      <c r="S387" s="2">
        <f ca="1">MATCH(B387,INDIRECT(nomFichierFiltreCatalogue &amp; "!B:B"),0)</f>
        <v>572</v>
      </c>
      <c r="T387" s="17"/>
    </row>
    <row r="388" spans="1:20" s="24" customFormat="1" ht="15.75" customHeight="1" x14ac:dyDescent="0.25">
      <c r="A388" s="30">
        <f ca="1">INDEX(INDIRECT(zoneFichierTraite),$J387+offsetInitialFichierTraite,2)</f>
        <v>61</v>
      </c>
      <c r="B388" s="29" t="str">
        <f ca="1">IFERROR(INDEX(INDIRECT(zoneFichierEAN13Valmag),$P387,3),"")</f>
        <v/>
      </c>
      <c r="C388" s="22" t="str">
        <f ca="1">IFERROR(INDEX(INDIRECT(zoneFichierEAN13Valmag),$O387,3),"")</f>
        <v/>
      </c>
      <c r="D388" s="23" t="str">
        <f ca="1">IFERROR(INDEX(INDIRECT(zoneFichierEAN13Valmag),$O387,4),"")</f>
        <v/>
      </c>
      <c r="E388" s="38" t="str">
        <f ca="1">IFERROR(INDEX(INDIRECT(zoneFichierFiltreCatalogue),S387,3),"")</f>
        <v>p148-1-01</v>
      </c>
      <c r="F388" s="23"/>
      <c r="G388" s="21"/>
      <c r="H388" s="39" t="str">
        <f ca="1">IFERROR(INDEX(INDIRECT(zoneFichierFiltreCatalogue),S387,6),"")</f>
        <v>fall 2019 presentation_/catalogo fall 19.txt</v>
      </c>
      <c r="R388" s="25"/>
      <c r="S388" s="25"/>
    </row>
    <row r="389" spans="1:20" ht="39" customHeight="1" thickBot="1" x14ac:dyDescent="0.65">
      <c r="A389" s="11" t="str">
        <f ca="1">INDEX(INDIRECT(zoneFichierTraite),$J389+offsetInitialFichierTraite,6)</f>
        <v>UNICA</v>
      </c>
      <c r="B389" s="7" t="str">
        <f ca="1">INDEX(INDIRECT(zoneFichierTraite),$J389+offsetInitialFichierTraite,4)</f>
        <v>OCLKD001-MESE3-137</v>
      </c>
      <c r="C389" s="31" t="str">
        <f ca="1">INDEX(INDIRECT(zoneFichierTraite),$J389+offsetInitialFichierTraite,5)</f>
        <v>O CLOCK MECANISME CIRCLE SOLEIL</v>
      </c>
      <c r="D389" s="32" t="str">
        <f ca="1">INDEX(INDIRECT(zoneFichierTraite),$J389+offsetInitialFichierTraite,13)</f>
        <v>bluette</v>
      </c>
      <c r="E389" s="35">
        <f ca="1">INDEX(INDIRECT(zoneFichierTraite),$J389+offsetInitialFichierTraite,7)</f>
        <v>3</v>
      </c>
      <c r="F389" s="33">
        <f ca="1">INDEX(INDIRECT(zoneFichierTraite),$J389+offsetInitialFichierTraite,8)</f>
        <v>7.78</v>
      </c>
      <c r="G389" s="34">
        <f t="shared" ref="G389" ca="1" si="386">ROUNDUP(F389*3,0)</f>
        <v>24</v>
      </c>
      <c r="H389" s="37" t="str">
        <f t="shared" ref="H389" ca="1" si="387">IF(ISNUMBER(N389),codeEAN13(INT(N389/10)),"")</f>
        <v>8APASOG*ajcihh+</v>
      </c>
      <c r="J389" s="18">
        <f t="shared" si="329"/>
        <v>190</v>
      </c>
      <c r="L389" s="7" t="str">
        <f ca="1">INDEX(INDIRECT(zoneFichierTraite),$J389+offsetInitialFichierTraite,1)</f>
        <v>'190</v>
      </c>
      <c r="M389" s="14">
        <f ca="1">INDEX(INDIRECT(zoneFichierTraite),$J389+offsetInitialFichierTraite,9)</f>
        <v>23.34</v>
      </c>
      <c r="N389" s="17">
        <f ca="1">INDEX(INDIRECT(zoneFichierTraite),$J389+offsetInitialFichierTraite,3)</f>
        <v>8050846092877</v>
      </c>
      <c r="O389" s="2" t="e">
        <f ca="1">MATCH(N389,INDIRECT(nomFichierEAN13Valmag &amp; "!A:A"),0)</f>
        <v>#N/A</v>
      </c>
      <c r="P389" s="2" t="e">
        <f ca="1">MATCH(R389,INDIRECT(nomFichierEAN13Valmag &amp; "!A:A"),0)</f>
        <v>#N/A</v>
      </c>
      <c r="Q389" s="2">
        <f ca="1">MATCH(LEFT(B389,14) &amp; "*",INDIRECT(nomFichierBaseCatalogue &amp; "!B:B"),0)</f>
        <v>1533</v>
      </c>
      <c r="R389" s="17">
        <f ca="1">IFERROR(INDEX(INDIRECT(zoneFichierBaseCatalogue),Q389,1),"")</f>
        <v>8050846092891</v>
      </c>
      <c r="S389" s="2">
        <f ca="1">MATCH(B389,INDIRECT(nomFichierFiltreCatalogue &amp; "!B:B"),0)</f>
        <v>573</v>
      </c>
      <c r="T389" s="17"/>
    </row>
    <row r="390" spans="1:20" s="24" customFormat="1" ht="15.75" customHeight="1" x14ac:dyDescent="0.25">
      <c r="A390" s="30">
        <f ca="1">INDEX(INDIRECT(zoneFichierTraite),$J389+offsetInitialFichierTraite,2)</f>
        <v>193</v>
      </c>
      <c r="B390" s="29" t="str">
        <f ca="1">IFERROR(INDEX(INDIRECT(zoneFichierEAN13Valmag),$P389,3),"")</f>
        <v/>
      </c>
      <c r="C390" s="22" t="str">
        <f ca="1">IFERROR(INDEX(INDIRECT(zoneFichierEAN13Valmag),$O389,3),"")</f>
        <v/>
      </c>
      <c r="D390" s="23" t="str">
        <f ca="1">IFERROR(INDEX(INDIRECT(zoneFichierEAN13Valmag),$O389,4),"")</f>
        <v/>
      </c>
      <c r="E390" s="38" t="str">
        <f ca="1">IFERROR(INDEX(INDIRECT(zoneFichierFiltreCatalogue),S389,3),"")</f>
        <v>p148-1-02</v>
      </c>
      <c r="F390" s="23"/>
      <c r="G390" s="21"/>
      <c r="H390" s="39" t="str">
        <f ca="1">IFERROR(INDEX(INDIRECT(zoneFichierFiltreCatalogue),S389,6),"")</f>
        <v>fall 2019 presentation_/catalogo fall 19.txt</v>
      </c>
      <c r="R390" s="25"/>
      <c r="S390" s="25"/>
    </row>
    <row r="391" spans="1:20" ht="39" customHeight="1" thickBot="1" x14ac:dyDescent="0.65">
      <c r="A391" s="11" t="str">
        <f ca="1">INDEX(INDIRECT(zoneFichierTraite),$J391+offsetInitialFichierTraite,6)</f>
        <v>UNICA</v>
      </c>
      <c r="B391" s="7" t="str">
        <f ca="1">INDEX(INDIRECT(zoneFichierTraite),$J391+offsetInitialFichierTraite,4)</f>
        <v>OCLKD001-MESE3-615</v>
      </c>
      <c r="C391" s="31" t="str">
        <f ca="1">INDEX(INDIRECT(zoneFichierTraite),$J391+offsetInitialFichierTraite,5)</f>
        <v>O CLOCK MECANISME CIRCLE SOLEIL</v>
      </c>
      <c r="D391" s="32" t="str">
        <f ca="1">INDEX(INDIRECT(zoneFichierTraite),$J391+offsetInitialFichierTraite,13)</f>
        <v>military</v>
      </c>
      <c r="E391" s="35">
        <f ca="1">INDEX(INDIRECT(zoneFichierTraite),$J391+offsetInitialFichierTraite,7)</f>
        <v>3</v>
      </c>
      <c r="F391" s="33">
        <f ca="1">INDEX(INDIRECT(zoneFichierTraite),$J391+offsetInitialFichierTraite,8)</f>
        <v>7.78</v>
      </c>
      <c r="G391" s="34">
        <f t="shared" ref="G391" ca="1" si="388">ROUNDUP(F391*3,0)</f>
        <v>24</v>
      </c>
      <c r="H391" s="37" t="str">
        <f t="shared" ref="H391" ca="1" si="389">IF(ISNUMBER(N391),codeEAN13(INT(N391/10)),"")</f>
        <v>8APASOG*ajciie+</v>
      </c>
      <c r="J391" s="18">
        <f t="shared" si="329"/>
        <v>191</v>
      </c>
      <c r="L391" s="7" t="str">
        <f ca="1">INDEX(INDIRECT(zoneFichierTraite),$J391+offsetInitialFichierTraite,1)</f>
        <v>'191</v>
      </c>
      <c r="M391" s="14">
        <f ca="1">INDEX(INDIRECT(zoneFichierTraite),$J391+offsetInitialFichierTraite,9)</f>
        <v>23.34</v>
      </c>
      <c r="N391" s="17">
        <f ca="1">INDEX(INDIRECT(zoneFichierTraite),$J391+offsetInitialFichierTraite,3)</f>
        <v>8050846092884</v>
      </c>
      <c r="O391" s="2" t="e">
        <f ca="1">MATCH(N391,INDIRECT(nomFichierEAN13Valmag &amp; "!A:A"),0)</f>
        <v>#N/A</v>
      </c>
      <c r="P391" s="2" t="e">
        <f ca="1">MATCH(R391,INDIRECT(nomFichierEAN13Valmag &amp; "!A:A"),0)</f>
        <v>#N/A</v>
      </c>
      <c r="Q391" s="2">
        <f ca="1">MATCH(LEFT(B391,14) &amp; "*",INDIRECT(nomFichierBaseCatalogue &amp; "!B:B"),0)</f>
        <v>1533</v>
      </c>
      <c r="R391" s="17">
        <f ca="1">IFERROR(INDEX(INDIRECT(zoneFichierBaseCatalogue),Q391,1),"")</f>
        <v>8050846092891</v>
      </c>
      <c r="S391" s="2">
        <f ca="1">MATCH(B391,INDIRECT(nomFichierFiltreCatalogue &amp; "!B:B"),0)</f>
        <v>574</v>
      </c>
      <c r="T391" s="17"/>
    </row>
    <row r="392" spans="1:20" s="24" customFormat="1" ht="15.75" customHeight="1" x14ac:dyDescent="0.25">
      <c r="A392" s="30">
        <f ca="1">INDEX(INDIRECT(zoneFichierTraite),$J391+offsetInitialFichierTraite,2)</f>
        <v>28</v>
      </c>
      <c r="B392" s="29" t="str">
        <f ca="1">IFERROR(INDEX(INDIRECT(zoneFichierEAN13Valmag),$P391,3),"")</f>
        <v/>
      </c>
      <c r="C392" s="22" t="str">
        <f ca="1">IFERROR(INDEX(INDIRECT(zoneFichierEAN13Valmag),$O391,3),"")</f>
        <v/>
      </c>
      <c r="D392" s="23" t="str">
        <f ca="1">IFERROR(INDEX(INDIRECT(zoneFichierEAN13Valmag),$O391,4),"")</f>
        <v/>
      </c>
      <c r="E392" s="38" t="str">
        <f ca="1">IFERROR(INDEX(INDIRECT(zoneFichierFiltreCatalogue),S391,3),"")</f>
        <v>p148-1-03</v>
      </c>
      <c r="F392" s="23"/>
      <c r="G392" s="21"/>
      <c r="H392" s="39" t="str">
        <f ca="1">IFERROR(INDEX(INDIRECT(zoneFichierFiltreCatalogue),S391,6),"")</f>
        <v>fall 2019 presentation_/catalogo fall 19.txt</v>
      </c>
      <c r="R392" s="25"/>
      <c r="S392" s="25"/>
    </row>
    <row r="393" spans="1:20" ht="39" customHeight="1" thickBot="1" x14ac:dyDescent="0.65">
      <c r="A393" s="11" t="str">
        <f ca="1">INDEX(INDIRECT(zoneFichierTraite),$J393+offsetInitialFichierTraite,6)</f>
        <v>UNICA</v>
      </c>
      <c r="B393" s="7" t="str">
        <f ca="1">INDEX(INDIRECT(zoneFichierTraite),$J393+offsetInitialFichierTraite,4)</f>
        <v>OCLKD001-MESE6-004</v>
      </c>
      <c r="C393" s="31" t="str">
        <f ca="1">INDEX(INDIRECT(zoneFichierTraite),$J393+offsetInitialFichierTraite,5)</f>
        <v>O CLOCK MECANISME GROOVE LUX</v>
      </c>
      <c r="D393" s="32" t="str">
        <f ca="1">INDEX(INDIRECT(zoneFichierTraite),$J393+offsetInitialFichierTraite,13)</f>
        <v>argento</v>
      </c>
      <c r="E393" s="35">
        <f ca="1">INDEX(INDIRECT(zoneFichierTraite),$J393+offsetInitialFichierTraite,7)</f>
        <v>3</v>
      </c>
      <c r="F393" s="33">
        <f ca="1">INDEX(INDIRECT(zoneFichierTraite),$J393+offsetInitialFichierTraite,8)</f>
        <v>10</v>
      </c>
      <c r="G393" s="34">
        <f t="shared" ref="G393" ca="1" si="390">ROUNDUP(F393*3,0)</f>
        <v>30</v>
      </c>
      <c r="H393" s="37" t="str">
        <f t="shared" ref="H393" ca="1" si="391">IF(ISNUMBER(N393),codeEAN13(INT(N393/10)),"")</f>
        <v>8APASOG*ajcjfc+</v>
      </c>
      <c r="J393" s="18">
        <f t="shared" si="329"/>
        <v>192</v>
      </c>
      <c r="L393" s="7" t="str">
        <f ca="1">INDEX(INDIRECT(zoneFichierTraite),$J393+offsetInitialFichierTraite,1)</f>
        <v>'192</v>
      </c>
      <c r="M393" s="14">
        <f ca="1">INDEX(INDIRECT(zoneFichierTraite),$J393+offsetInitialFichierTraite,9)</f>
        <v>30</v>
      </c>
      <c r="N393" s="17">
        <f ca="1">INDEX(INDIRECT(zoneFichierTraite),$J393+offsetInitialFichierTraite,3)</f>
        <v>8050846092952</v>
      </c>
      <c r="O393" s="2" t="e">
        <f ca="1">MATCH(N393,INDIRECT(nomFichierEAN13Valmag &amp; "!A:A"),0)</f>
        <v>#N/A</v>
      </c>
      <c r="P393" s="2" t="e">
        <f ca="1">MATCH(R393,INDIRECT(nomFichierEAN13Valmag &amp; "!A:A"),0)</f>
        <v>#N/A</v>
      </c>
      <c r="Q393" s="2">
        <f ca="1">MATCH(LEFT(B393,14) &amp; "*",INDIRECT(nomFichierBaseCatalogue &amp; "!B:B"),0)</f>
        <v>1536</v>
      </c>
      <c r="R393" s="17">
        <f ca="1">IFERROR(INDEX(INDIRECT(zoneFichierBaseCatalogue),Q393,1),"")</f>
        <v>8050846092952</v>
      </c>
      <c r="S393" s="2">
        <f ca="1">MATCH(B393,INDIRECT(nomFichierFiltreCatalogue &amp; "!B:B"),0)</f>
        <v>577</v>
      </c>
      <c r="T393" s="17"/>
    </row>
    <row r="394" spans="1:20" s="24" customFormat="1" ht="15.75" customHeight="1" x14ac:dyDescent="0.25">
      <c r="A394" s="30">
        <f ca="1">INDEX(INDIRECT(zoneFichierTraite),$J393+offsetInitialFichierTraite,2)</f>
        <v>80</v>
      </c>
      <c r="B394" s="29" t="str">
        <f ca="1">IFERROR(INDEX(INDIRECT(zoneFichierEAN13Valmag),$P393,3),"")</f>
        <v/>
      </c>
      <c r="C394" s="22" t="str">
        <f ca="1">IFERROR(INDEX(INDIRECT(zoneFichierEAN13Valmag),$O393,3),"")</f>
        <v/>
      </c>
      <c r="D394" s="23" t="str">
        <f ca="1">IFERROR(INDEX(INDIRECT(zoneFichierEAN13Valmag),$O393,4),"")</f>
        <v/>
      </c>
      <c r="E394" s="38" t="str">
        <f ca="1">IFERROR(INDEX(INDIRECT(zoneFichierFiltreCatalogue),S393,3),"")</f>
        <v>p149-1-01</v>
      </c>
      <c r="F394" s="23"/>
      <c r="G394" s="21"/>
      <c r="H394" s="39" t="str">
        <f ca="1">IFERROR(INDEX(INDIRECT(zoneFichierFiltreCatalogue),S393,6),"")</f>
        <v>fall 2019 presentation_/catalogo fall 19.txt</v>
      </c>
      <c r="R394" s="25"/>
      <c r="S394" s="25"/>
    </row>
    <row r="395" spans="1:20" ht="39" customHeight="1" thickBot="1" x14ac:dyDescent="0.65">
      <c r="A395" s="11" t="str">
        <f ca="1">INDEX(INDIRECT(zoneFichierTraite),$J395+offsetInitialFichierTraite,6)</f>
        <v>UNICA</v>
      </c>
      <c r="B395" s="7" t="str">
        <f ca="1">INDEX(INDIRECT(zoneFichierTraite),$J395+offsetInitialFichierTraite,4)</f>
        <v>OCLKD001-MESE6-061</v>
      </c>
      <c r="C395" s="31" t="str">
        <f ca="1">INDEX(INDIRECT(zoneFichierTraite),$J395+offsetInitialFichierTraite,5)</f>
        <v>O CLOCK MECANISME GROOVE LUX</v>
      </c>
      <c r="D395" s="32" t="str">
        <f ca="1">INDEX(INDIRECT(zoneFichierTraite),$J395+offsetInitialFichierTraite,13)</f>
        <v>oro</v>
      </c>
      <c r="E395" s="35">
        <f ca="1">INDEX(INDIRECT(zoneFichierTraite),$J395+offsetInitialFichierTraite,7)</f>
        <v>3</v>
      </c>
      <c r="F395" s="33">
        <f ca="1">INDEX(INDIRECT(zoneFichierTraite),$J395+offsetInitialFichierTraite,8)</f>
        <v>10</v>
      </c>
      <c r="G395" s="34">
        <f t="shared" ref="G395" ca="1" si="392">ROUNDUP(F395*3,0)</f>
        <v>30</v>
      </c>
      <c r="H395" s="37" t="str">
        <f t="shared" ref="H395" ca="1" si="393">IF(ISNUMBER(N395),codeEAN13(INT(N395/10)),"")</f>
        <v>8APASOG*ajcjef+</v>
      </c>
      <c r="J395" s="18">
        <f t="shared" ref="J395:J457" si="394">J393+1</f>
        <v>193</v>
      </c>
      <c r="L395" s="7" t="str">
        <f ca="1">INDEX(INDIRECT(zoneFichierTraite),$J395+offsetInitialFichierTraite,1)</f>
        <v>'193</v>
      </c>
      <c r="M395" s="14">
        <f ca="1">INDEX(INDIRECT(zoneFichierTraite),$J395+offsetInitialFichierTraite,9)</f>
        <v>30</v>
      </c>
      <c r="N395" s="17">
        <f ca="1">INDEX(INDIRECT(zoneFichierTraite),$J395+offsetInitialFichierTraite,3)</f>
        <v>8050846092945</v>
      </c>
      <c r="O395" s="2" t="e">
        <f ca="1">MATCH(N395,INDIRECT(nomFichierEAN13Valmag &amp; "!A:A"),0)</f>
        <v>#N/A</v>
      </c>
      <c r="P395" s="2" t="e">
        <f ca="1">MATCH(R395,INDIRECT(nomFichierEAN13Valmag &amp; "!A:A"),0)</f>
        <v>#N/A</v>
      </c>
      <c r="Q395" s="2">
        <f ca="1">MATCH(LEFT(B395,14) &amp; "*",INDIRECT(nomFichierBaseCatalogue &amp; "!B:B"),0)</f>
        <v>1536</v>
      </c>
      <c r="R395" s="17">
        <f ca="1">IFERROR(INDEX(INDIRECT(zoneFichierBaseCatalogue),Q395,1),"")</f>
        <v>8050846092952</v>
      </c>
      <c r="S395" s="2">
        <f ca="1">MATCH(B395,INDIRECT(nomFichierFiltreCatalogue &amp; "!B:B"),0)</f>
        <v>578</v>
      </c>
      <c r="T395" s="17"/>
    </row>
    <row r="396" spans="1:20" s="24" customFormat="1" ht="15.75" customHeight="1" x14ac:dyDescent="0.25">
      <c r="A396" s="30">
        <f ca="1">INDEX(INDIRECT(zoneFichierTraite),$J395+offsetInitialFichierTraite,2)</f>
        <v>167</v>
      </c>
      <c r="B396" s="29" t="str">
        <f ca="1">IFERROR(INDEX(INDIRECT(zoneFichierEAN13Valmag),$P395,3),"")</f>
        <v/>
      </c>
      <c r="C396" s="22" t="str">
        <f ca="1">IFERROR(INDEX(INDIRECT(zoneFichierEAN13Valmag),$O395,3),"")</f>
        <v/>
      </c>
      <c r="D396" s="23" t="str">
        <f ca="1">IFERROR(INDEX(INDIRECT(zoneFichierEAN13Valmag),$O395,4),"")</f>
        <v/>
      </c>
      <c r="E396" s="38" t="str">
        <f ca="1">IFERROR(INDEX(INDIRECT(zoneFichierFiltreCatalogue),S395,3),"")</f>
        <v>p149-1-02</v>
      </c>
      <c r="F396" s="23"/>
      <c r="G396" s="21"/>
      <c r="H396" s="39" t="str">
        <f ca="1">IFERROR(INDEX(INDIRECT(zoneFichierFiltreCatalogue),S395,6),"")</f>
        <v>fall 2019 presentation_/catalogo fall 19.txt</v>
      </c>
      <c r="R396" s="25"/>
      <c r="S396" s="25"/>
    </row>
    <row r="397" spans="1:20" ht="39" customHeight="1" thickBot="1" x14ac:dyDescent="0.65">
      <c r="A397" s="11" t="str">
        <f ca="1">INDEX(INDIRECT(zoneFichierTraite),$J397+offsetInitialFichierTraite,6)</f>
        <v>UNICA</v>
      </c>
      <c r="B397" s="7" t="str">
        <f ca="1">INDEX(INDIRECT(zoneFichierTraite),$J397+offsetInitialFichierTraite,4)</f>
        <v>OCLKD001-MESE7-055</v>
      </c>
      <c r="C397" s="31" t="str">
        <f ca="1">INDEX(INDIRECT(zoneFichierTraite),$J397+offsetInitialFichierTraite,5)</f>
        <v>O CLOCK MECANISME GROOVE SOLEIL</v>
      </c>
      <c r="D397" s="32" t="str">
        <f ca="1">INDEX(INDIRECT(zoneFichierTraite),$J397+offsetInitialFichierTraite,13)</f>
        <v>nero</v>
      </c>
      <c r="E397" s="35">
        <f ca="1">INDEX(INDIRECT(zoneFichierTraite),$J397+offsetInitialFichierTraite,7)</f>
        <v>3</v>
      </c>
      <c r="F397" s="33">
        <f ca="1">INDEX(INDIRECT(zoneFichierTraite),$J397+offsetInitialFichierTraite,8)</f>
        <v>8.52</v>
      </c>
      <c r="G397" s="34">
        <f t="shared" ref="G397" ca="1" si="395">ROUNDUP(F397*3,0)</f>
        <v>26</v>
      </c>
      <c r="H397" s="37" t="str">
        <f t="shared" ref="H397" ca="1" si="396">IF(ISNUMBER(N397),codeEAN13(INT(N397/10)),"")</f>
        <v>8APASOG*ajcjid+</v>
      </c>
      <c r="J397" s="18">
        <f t="shared" si="394"/>
        <v>194</v>
      </c>
      <c r="L397" s="7" t="str">
        <f ca="1">INDEX(INDIRECT(zoneFichierTraite),$J397+offsetInitialFichierTraite,1)</f>
        <v>'194</v>
      </c>
      <c r="M397" s="14">
        <f ca="1">INDEX(INDIRECT(zoneFichierTraite),$J397+offsetInitialFichierTraite,9)</f>
        <v>25.56</v>
      </c>
      <c r="N397" s="17">
        <f ca="1">INDEX(INDIRECT(zoneFichierTraite),$J397+offsetInitialFichierTraite,3)</f>
        <v>8050846092983</v>
      </c>
      <c r="O397" s="2" t="e">
        <f ca="1">MATCH(N397,INDIRECT(nomFichierEAN13Valmag &amp; "!A:A"),0)</f>
        <v>#N/A</v>
      </c>
      <c r="P397" s="2" t="e">
        <f ca="1">MATCH(R397,INDIRECT(nomFichierEAN13Valmag &amp; "!A:A"),0)</f>
        <v>#N/A</v>
      </c>
      <c r="Q397" s="2">
        <f ca="1">MATCH(LEFT(B397,14) &amp; "*",INDIRECT(nomFichierBaseCatalogue &amp; "!B:B"),0)</f>
        <v>1538</v>
      </c>
      <c r="R397" s="17">
        <f ca="1">IFERROR(INDEX(INDIRECT(zoneFichierBaseCatalogue),Q397,1),"")</f>
        <v>8050846092983</v>
      </c>
      <c r="S397" s="2">
        <f ca="1">MATCH(B397,INDIRECT(nomFichierFiltreCatalogue &amp; "!B:B"),0)</f>
        <v>579</v>
      </c>
      <c r="T397" s="17"/>
    </row>
    <row r="398" spans="1:20" s="24" customFormat="1" ht="15.75" customHeight="1" x14ac:dyDescent="0.25">
      <c r="A398" s="30">
        <f ca="1">INDEX(INDIRECT(zoneFichierTraite),$J397+offsetInitialFichierTraite,2)</f>
        <v>22</v>
      </c>
      <c r="B398" s="29" t="str">
        <f ca="1">IFERROR(INDEX(INDIRECT(zoneFichierEAN13Valmag),$P397,3),"")</f>
        <v/>
      </c>
      <c r="C398" s="22" t="str">
        <f ca="1">IFERROR(INDEX(INDIRECT(zoneFichierEAN13Valmag),$O397,3),"")</f>
        <v/>
      </c>
      <c r="D398" s="23" t="str">
        <f ca="1">IFERROR(INDEX(INDIRECT(zoneFichierEAN13Valmag),$O397,4),"")</f>
        <v/>
      </c>
      <c r="E398" s="38" t="str">
        <f ca="1">IFERROR(INDEX(INDIRECT(zoneFichierFiltreCatalogue),S397,3),"")</f>
        <v>p149-2-01</v>
      </c>
      <c r="F398" s="23"/>
      <c r="G398" s="21"/>
      <c r="H398" s="39" t="str">
        <f ca="1">IFERROR(INDEX(INDIRECT(zoneFichierFiltreCatalogue),S397,6),"")</f>
        <v>fall 2019 presentation_/catalogo fall 19.txt</v>
      </c>
      <c r="R398" s="25"/>
      <c r="S398" s="25"/>
    </row>
    <row r="399" spans="1:20" ht="39" customHeight="1" thickBot="1" x14ac:dyDescent="0.65">
      <c r="A399" s="11" t="str">
        <f ca="1">INDEX(INDIRECT(zoneFichierTraite),$J399+offsetInitialFichierTraite,6)</f>
        <v>UNICA</v>
      </c>
      <c r="B399" s="7" t="str">
        <f ca="1">INDEX(INDIRECT(zoneFichierTraite),$J399+offsetInitialFichierTraite,4)</f>
        <v>OCLKD001-MESE7-137</v>
      </c>
      <c r="C399" s="31" t="str">
        <f ca="1">INDEX(INDIRECT(zoneFichierTraite),$J399+offsetInitialFichierTraite,5)</f>
        <v>O CLOCK MECANISME GROOVE SOLEIL</v>
      </c>
      <c r="D399" s="32" t="str">
        <f ca="1">INDEX(INDIRECT(zoneFichierTraite),$J399+offsetInitialFichierTraite,13)</f>
        <v>bluette</v>
      </c>
      <c r="E399" s="35">
        <f ca="1">INDEX(INDIRECT(zoneFichierTraite),$J399+offsetInitialFichierTraite,7)</f>
        <v>3</v>
      </c>
      <c r="F399" s="33">
        <f ca="1">INDEX(INDIRECT(zoneFichierTraite),$J399+offsetInitialFichierTraite,8)</f>
        <v>8.52</v>
      </c>
      <c r="G399" s="34">
        <f t="shared" ref="G399" ca="1" si="397">ROUNDUP(F399*3,0)</f>
        <v>26</v>
      </c>
      <c r="H399" s="37" t="str">
        <f t="shared" ref="H399" ca="1" si="398">IF(ISNUMBER(N399),codeEAN13(INT(N399/10)),"")</f>
        <v>8APASOG*ajcjgj+</v>
      </c>
      <c r="J399" s="18">
        <f t="shared" si="394"/>
        <v>195</v>
      </c>
      <c r="L399" s="7" t="str">
        <f ca="1">INDEX(INDIRECT(zoneFichierTraite),$J399+offsetInitialFichierTraite,1)</f>
        <v>'195</v>
      </c>
      <c r="M399" s="14">
        <f ca="1">INDEX(INDIRECT(zoneFichierTraite),$J399+offsetInitialFichierTraite,9)</f>
        <v>25.56</v>
      </c>
      <c r="N399" s="17">
        <f ca="1">INDEX(INDIRECT(zoneFichierTraite),$J399+offsetInitialFichierTraite,3)</f>
        <v>8050846092969</v>
      </c>
      <c r="O399" s="2" t="e">
        <f ca="1">MATCH(N399,INDIRECT(nomFichierEAN13Valmag &amp; "!A:A"),0)</f>
        <v>#N/A</v>
      </c>
      <c r="P399" s="2" t="e">
        <f ca="1">MATCH(R399,INDIRECT(nomFichierEAN13Valmag &amp; "!A:A"),0)</f>
        <v>#N/A</v>
      </c>
      <c r="Q399" s="2">
        <f ca="1">MATCH(LEFT(B399,14) &amp; "*",INDIRECT(nomFichierBaseCatalogue &amp; "!B:B"),0)</f>
        <v>1538</v>
      </c>
      <c r="R399" s="17">
        <f ca="1">IFERROR(INDEX(INDIRECT(zoneFichierBaseCatalogue),Q399,1),"")</f>
        <v>8050846092983</v>
      </c>
      <c r="S399" s="2">
        <f ca="1">MATCH(B399,INDIRECT(nomFichierFiltreCatalogue &amp; "!B:B"),0)</f>
        <v>580</v>
      </c>
      <c r="T399" s="17"/>
    </row>
    <row r="400" spans="1:20" s="24" customFormat="1" ht="15.75" customHeight="1" x14ac:dyDescent="0.25">
      <c r="A400" s="30">
        <f ca="1">INDEX(INDIRECT(zoneFichierTraite),$J399+offsetInitialFichierTraite,2)</f>
        <v>81</v>
      </c>
      <c r="B400" s="29" t="str">
        <f ca="1">IFERROR(INDEX(INDIRECT(zoneFichierEAN13Valmag),$P399,3),"")</f>
        <v/>
      </c>
      <c r="C400" s="22" t="str">
        <f ca="1">IFERROR(INDEX(INDIRECT(zoneFichierEAN13Valmag),$O399,3),"")</f>
        <v/>
      </c>
      <c r="D400" s="23" t="str">
        <f ca="1">IFERROR(INDEX(INDIRECT(zoneFichierEAN13Valmag),$O399,4),"")</f>
        <v/>
      </c>
      <c r="E400" s="38" t="str">
        <f ca="1">IFERROR(INDEX(INDIRECT(zoneFichierFiltreCatalogue),S399,3),"")</f>
        <v>p149-2-02</v>
      </c>
      <c r="F400" s="23"/>
      <c r="G400" s="21"/>
      <c r="H400" s="39" t="str">
        <f ca="1">IFERROR(INDEX(INDIRECT(zoneFichierFiltreCatalogue),S399,6),"")</f>
        <v>fall 2019 presentation_/catalogo fall 19.txt</v>
      </c>
      <c r="R400" s="25"/>
      <c r="S400" s="25"/>
    </row>
    <row r="401" spans="1:20" ht="39" customHeight="1" thickBot="1" x14ac:dyDescent="0.65">
      <c r="A401" s="11" t="str">
        <f ca="1">INDEX(INDIRECT(zoneFichierTraite),$J401+offsetInitialFichierTraite,6)</f>
        <v>UNICA</v>
      </c>
      <c r="B401" s="7" t="str">
        <f ca="1">INDEX(INDIRECT(zoneFichierTraite),$J401+offsetInitialFichierTraite,4)</f>
        <v>OCLKD001-MESE9-008</v>
      </c>
      <c r="C401" s="31" t="str">
        <f ca="1">INDEX(INDIRECT(zoneFichierTraite),$J401+offsetInitialFichierTraite,5)</f>
        <v>O CLOCK MECANISME INDEX MIRROR</v>
      </c>
      <c r="D401" s="32" t="str">
        <f ca="1">INDEX(INDIRECT(zoneFichierTraite),$J401+offsetInitialFichierTraite,13)</f>
        <v>bianco</v>
      </c>
      <c r="E401" s="35">
        <f ca="1">INDEX(INDIRECT(zoneFichierTraite),$J401+offsetInitialFichierTraite,7)</f>
        <v>3</v>
      </c>
      <c r="F401" s="33">
        <f ca="1">INDEX(INDIRECT(zoneFichierTraite),$J401+offsetInitialFichierTraite,8)</f>
        <v>8.52</v>
      </c>
      <c r="G401" s="34">
        <f t="shared" ref="G401" ca="1" si="399">ROUNDUP(F401*3,0)</f>
        <v>26</v>
      </c>
      <c r="H401" s="37" t="str">
        <f t="shared" ref="H401" ca="1" si="400">IF(ISNUMBER(N401),codeEAN13(INT(N401/10)),"")</f>
        <v>8APASOG*ajdaba+</v>
      </c>
      <c r="J401" s="18">
        <f t="shared" si="394"/>
        <v>196</v>
      </c>
      <c r="L401" s="7" t="str">
        <f ca="1">INDEX(INDIRECT(zoneFichierTraite),$J401+offsetInitialFichierTraite,1)</f>
        <v>'196</v>
      </c>
      <c r="M401" s="14">
        <f ca="1">INDEX(INDIRECT(zoneFichierTraite),$J401+offsetInitialFichierTraite,9)</f>
        <v>25.56</v>
      </c>
      <c r="N401" s="17">
        <f ca="1">INDEX(INDIRECT(zoneFichierTraite),$J401+offsetInitialFichierTraite,3)</f>
        <v>8050846093010</v>
      </c>
      <c r="O401" s="2" t="e">
        <f ca="1">MATCH(N401,INDIRECT(nomFichierEAN13Valmag &amp; "!A:A"),0)</f>
        <v>#N/A</v>
      </c>
      <c r="P401" s="2" t="e">
        <f ca="1">MATCH(R401,INDIRECT(nomFichierEAN13Valmag &amp; "!A:A"),0)</f>
        <v>#N/A</v>
      </c>
      <c r="Q401" s="2">
        <f ca="1">MATCH(LEFT(B401,14) &amp; "*",INDIRECT(nomFichierBaseCatalogue &amp; "!B:B"),0)</f>
        <v>1540</v>
      </c>
      <c r="R401" s="17">
        <f ca="1">IFERROR(INDEX(INDIRECT(zoneFichierBaseCatalogue),Q401,1),"")</f>
        <v>8050846093010</v>
      </c>
      <c r="S401" s="2">
        <f ca="1">MATCH(B401,INDIRECT(nomFichierFiltreCatalogue &amp; "!B:B"),0)</f>
        <v>581</v>
      </c>
      <c r="T401" s="17"/>
    </row>
    <row r="402" spans="1:20" s="24" customFormat="1" ht="15.75" customHeight="1" x14ac:dyDescent="0.25">
      <c r="A402" s="30">
        <f ca="1">INDEX(INDIRECT(zoneFichierTraite),$J401+offsetInitialFichierTraite,2)</f>
        <v>147</v>
      </c>
      <c r="B402" s="29" t="str">
        <f ca="1">IFERROR(INDEX(INDIRECT(zoneFichierEAN13Valmag),$P401,3),"")</f>
        <v/>
      </c>
      <c r="C402" s="22" t="str">
        <f ca="1">IFERROR(INDEX(INDIRECT(zoneFichierEAN13Valmag),$O401,3),"")</f>
        <v/>
      </c>
      <c r="D402" s="23" t="str">
        <f ca="1">IFERROR(INDEX(INDIRECT(zoneFichierEAN13Valmag),$O401,4),"")</f>
        <v/>
      </c>
      <c r="E402" s="38" t="str">
        <f ca="1">IFERROR(INDEX(INDIRECT(zoneFichierFiltreCatalogue),S401,3),"")</f>
        <v>p150-1-01</v>
      </c>
      <c r="F402" s="23"/>
      <c r="G402" s="21"/>
      <c r="H402" s="39" t="str">
        <f ca="1">IFERROR(INDEX(INDIRECT(zoneFichierFiltreCatalogue),S401,6),"")</f>
        <v>fall 2019 presentation_/catalogo fall 19.txt</v>
      </c>
      <c r="R402" s="25"/>
      <c r="S402" s="25"/>
    </row>
    <row r="403" spans="1:20" ht="39" customHeight="1" thickBot="1" x14ac:dyDescent="0.65">
      <c r="A403" s="11" t="str">
        <f ca="1">INDEX(INDIRECT(zoneFichierTraite),$J403+offsetInitialFichierTraite,6)</f>
        <v>UNICA</v>
      </c>
      <c r="B403" s="7" t="str">
        <f ca="1">INDEX(INDIRECT(zoneFichierTraite),$J403+offsetInitialFichierTraite,4)</f>
        <v>OCLKD001-MESE9-055</v>
      </c>
      <c r="C403" s="31" t="str">
        <f ca="1">INDEX(INDIRECT(zoneFichierTraite),$J403+offsetInitialFichierTraite,5)</f>
        <v>O CLOCK MECANISME INDEX MIRROR</v>
      </c>
      <c r="D403" s="32" t="str">
        <f ca="1">INDEX(INDIRECT(zoneFichierTraite),$J403+offsetInitialFichierTraite,13)</f>
        <v>nero</v>
      </c>
      <c r="E403" s="35">
        <f ca="1">INDEX(INDIRECT(zoneFichierTraite),$J403+offsetInitialFichierTraite,7)</f>
        <v>3</v>
      </c>
      <c r="F403" s="33">
        <f ca="1">INDEX(INDIRECT(zoneFichierTraite),$J403+offsetInitialFichierTraite,8)</f>
        <v>8.52</v>
      </c>
      <c r="G403" s="34">
        <f t="shared" ref="G403" ca="1" si="401">ROUNDUP(F403*3,0)</f>
        <v>26</v>
      </c>
      <c r="H403" s="37" t="str">
        <f t="shared" ref="H403" ca="1" si="402">IF(ISNUMBER(N403),codeEAN13(INT(N403/10)),"")</f>
        <v>8APASOG*ajdach+</v>
      </c>
      <c r="J403" s="18">
        <f t="shared" si="394"/>
        <v>197</v>
      </c>
      <c r="L403" s="7" t="str">
        <f ca="1">INDEX(INDIRECT(zoneFichierTraite),$J403+offsetInitialFichierTraite,1)</f>
        <v>'197</v>
      </c>
      <c r="M403" s="14">
        <f ca="1">INDEX(INDIRECT(zoneFichierTraite),$J403+offsetInitialFichierTraite,9)</f>
        <v>25.56</v>
      </c>
      <c r="N403" s="17">
        <f ca="1">INDEX(INDIRECT(zoneFichierTraite),$J403+offsetInitialFichierTraite,3)</f>
        <v>8050846093027</v>
      </c>
      <c r="O403" s="2" t="e">
        <f ca="1">MATCH(N403,INDIRECT(nomFichierEAN13Valmag &amp; "!A:A"),0)</f>
        <v>#N/A</v>
      </c>
      <c r="P403" s="2" t="e">
        <f ca="1">MATCH(R403,INDIRECT(nomFichierEAN13Valmag &amp; "!A:A"),0)</f>
        <v>#N/A</v>
      </c>
      <c r="Q403" s="2">
        <f ca="1">MATCH(LEFT(B403,14) &amp; "*",INDIRECT(nomFichierBaseCatalogue &amp; "!B:B"),0)</f>
        <v>1540</v>
      </c>
      <c r="R403" s="17">
        <f ca="1">IFERROR(INDEX(INDIRECT(zoneFichierBaseCatalogue),Q403,1),"")</f>
        <v>8050846093010</v>
      </c>
      <c r="S403" s="2">
        <f ca="1">MATCH(B403,INDIRECT(nomFichierFiltreCatalogue &amp; "!B:B"),0)</f>
        <v>582</v>
      </c>
      <c r="T403" s="17"/>
    </row>
    <row r="404" spans="1:20" s="24" customFormat="1" ht="15.75" customHeight="1" x14ac:dyDescent="0.25">
      <c r="A404" s="30">
        <f ca="1">INDEX(INDIRECT(zoneFichierTraite),$J403+offsetInitialFichierTraite,2)</f>
        <v>207</v>
      </c>
      <c r="B404" s="29" t="str">
        <f ca="1">IFERROR(INDEX(INDIRECT(zoneFichierEAN13Valmag),$P403,3),"")</f>
        <v/>
      </c>
      <c r="C404" s="22" t="str">
        <f ca="1">IFERROR(INDEX(INDIRECT(zoneFichierEAN13Valmag),$O403,3),"")</f>
        <v/>
      </c>
      <c r="D404" s="23" t="str">
        <f ca="1">IFERROR(INDEX(INDIRECT(zoneFichierEAN13Valmag),$O403,4),"")</f>
        <v/>
      </c>
      <c r="E404" s="38" t="str">
        <f ca="1">IFERROR(INDEX(INDIRECT(zoneFichierFiltreCatalogue),S403,3),"")</f>
        <v>p150-1-02</v>
      </c>
      <c r="F404" s="23"/>
      <c r="G404" s="21"/>
      <c r="H404" s="39" t="str">
        <f ca="1">IFERROR(INDEX(INDIRECT(zoneFichierFiltreCatalogue),S403,6),"")</f>
        <v>fall 2019 presentation_/catalogo fall 19.txt</v>
      </c>
      <c r="R404" s="25"/>
      <c r="S404" s="25"/>
    </row>
    <row r="405" spans="1:20" ht="39" customHeight="1" thickBot="1" x14ac:dyDescent="0.65">
      <c r="A405" s="11" t="str">
        <f ca="1">INDEX(INDIRECT(zoneFichierTraite),$J405+offsetInitialFichierTraite,6)</f>
        <v>UNICA</v>
      </c>
      <c r="B405" s="7" t="str">
        <f ca="1">INDEX(INDIRECT(zoneFichierTraite),$J405+offsetInitialFichierTraite,4)</f>
        <v>OCLKD001-MESF2-055</v>
      </c>
      <c r="C405" s="31" t="str">
        <f ca="1">INDEX(INDIRECT(zoneFichierTraite),$J405+offsetInitialFichierTraite,5)</f>
        <v>O CLOCK MECANISME ACTIVE</v>
      </c>
      <c r="D405" s="32" t="str">
        <f ca="1">INDEX(INDIRECT(zoneFichierTraite),$J405+offsetInitialFichierTraite,13)</f>
        <v>nero</v>
      </c>
      <c r="E405" s="35">
        <f ca="1">INDEX(INDIRECT(zoneFichierTraite),$J405+offsetInitialFichierTraite,7)</f>
        <v>3</v>
      </c>
      <c r="F405" s="33">
        <f ca="1">INDEX(INDIRECT(zoneFichierTraite),$J405+offsetInitialFichierTraite,8)</f>
        <v>11.85</v>
      </c>
      <c r="G405" s="34">
        <f t="shared" ref="G405" ca="1" si="403">ROUNDUP(F405*3,0)</f>
        <v>36</v>
      </c>
      <c r="H405" s="37" t="str">
        <f t="shared" ref="H405" ca="1" si="404">IF(ISNUMBER(N405),codeEAN13(INT(N405/10)),"")</f>
        <v>8APASOG*ajejgd+</v>
      </c>
      <c r="J405" s="18">
        <f t="shared" si="394"/>
        <v>198</v>
      </c>
      <c r="L405" s="7" t="str">
        <f ca="1">INDEX(INDIRECT(zoneFichierTraite),$J405+offsetInitialFichierTraite,1)</f>
        <v>'198</v>
      </c>
      <c r="M405" s="14">
        <f ca="1">INDEX(INDIRECT(zoneFichierTraite),$J405+offsetInitialFichierTraite,9)</f>
        <v>35.549999999999997</v>
      </c>
      <c r="N405" s="17">
        <f ca="1">INDEX(INDIRECT(zoneFichierTraite),$J405+offsetInitialFichierTraite,3)</f>
        <v>8050846094963</v>
      </c>
      <c r="O405" s="2" t="e">
        <f ca="1">MATCH(N405,INDIRECT(nomFichierEAN13Valmag &amp; "!A:A"),0)</f>
        <v>#N/A</v>
      </c>
      <c r="P405" s="2" t="e">
        <f ca="1">MATCH(R405,INDIRECT(nomFichierEAN13Valmag &amp; "!A:A"),0)</f>
        <v>#N/A</v>
      </c>
      <c r="Q405" s="2">
        <f ca="1">MATCH(LEFT(B405,14) &amp; "*",INDIRECT(nomFichierBaseCatalogue &amp; "!B:B"),0)</f>
        <v>1542</v>
      </c>
      <c r="R405" s="17">
        <f ca="1">IFERROR(INDEX(INDIRECT(zoneFichierBaseCatalogue),Q405,1),"")</f>
        <v>8050846094963</v>
      </c>
      <c r="S405" s="2">
        <f ca="1">MATCH(B405,INDIRECT(nomFichierFiltreCatalogue &amp; "!B:B"),0)</f>
        <v>575</v>
      </c>
      <c r="T405" s="17"/>
    </row>
    <row r="406" spans="1:20" s="24" customFormat="1" ht="15.75" customHeight="1" x14ac:dyDescent="0.25">
      <c r="A406" s="30">
        <f ca="1">INDEX(INDIRECT(zoneFichierTraite),$J405+offsetInitialFichierTraite,2)</f>
        <v>36</v>
      </c>
      <c r="B406" s="29" t="str">
        <f ca="1">IFERROR(INDEX(INDIRECT(zoneFichierEAN13Valmag),$P405,3),"")</f>
        <v/>
      </c>
      <c r="C406" s="22" t="str">
        <f ca="1">IFERROR(INDEX(INDIRECT(zoneFichierEAN13Valmag),$O405,3),"")</f>
        <v/>
      </c>
      <c r="D406" s="23" t="str">
        <f ca="1">IFERROR(INDEX(INDIRECT(zoneFichierEAN13Valmag),$O405,4),"")</f>
        <v/>
      </c>
      <c r="E406" s="38" t="str">
        <f ca="1">IFERROR(INDEX(INDIRECT(zoneFichierFiltreCatalogue),S405,3),"")</f>
        <v>p148-2-01</v>
      </c>
      <c r="F406" s="23"/>
      <c r="G406" s="21"/>
      <c r="H406" s="39" t="str">
        <f ca="1">IFERROR(INDEX(INDIRECT(zoneFichierFiltreCatalogue),S405,6),"")</f>
        <v>fall 2019 presentation_/catalogo fall 19.txt</v>
      </c>
      <c r="R406" s="25"/>
      <c r="S406" s="25"/>
    </row>
    <row r="407" spans="1:20" ht="39" customHeight="1" thickBot="1" x14ac:dyDescent="0.65">
      <c r="A407" s="11" t="str">
        <f ca="1">INDEX(INDIRECT(zoneFichierTraite),$J407+offsetInitialFichierTraite,6)</f>
        <v>UNICA</v>
      </c>
      <c r="B407" s="7" t="str">
        <f ca="1">INDEX(INDIRECT(zoneFichierTraite),$J407+offsetInitialFichierTraite,4)</f>
        <v>OCLKD001-MESF2-137</v>
      </c>
      <c r="C407" s="31" t="str">
        <f ca="1">INDEX(INDIRECT(zoneFichierTraite),$J407+offsetInitialFichierTraite,5)</f>
        <v>O CLOCK MECANISME ACTIVE</v>
      </c>
      <c r="D407" s="32" t="str">
        <f ca="1">INDEX(INDIRECT(zoneFichierTraite),$J407+offsetInitialFichierTraite,13)</f>
        <v>bluette</v>
      </c>
      <c r="E407" s="35">
        <f ca="1">INDEX(INDIRECT(zoneFichierTraite),$J407+offsetInitialFichierTraite,7)</f>
        <v>3</v>
      </c>
      <c r="F407" s="33">
        <f ca="1">INDEX(INDIRECT(zoneFichierTraite),$J407+offsetInitialFichierTraite,8)</f>
        <v>11.85</v>
      </c>
      <c r="G407" s="34">
        <f t="shared" ref="G407" ca="1" si="405">ROUNDUP(F407*3,0)</f>
        <v>36</v>
      </c>
      <c r="H407" s="37" t="str">
        <f t="shared" ref="H407" ca="1" si="406">IF(ISNUMBER(N407),codeEAN13(INT(N407/10)),"")</f>
        <v>8APASOG*ajejih+</v>
      </c>
      <c r="J407" s="18">
        <f t="shared" si="394"/>
        <v>199</v>
      </c>
      <c r="L407" s="7" t="str">
        <f ca="1">INDEX(INDIRECT(zoneFichierTraite),$J407+offsetInitialFichierTraite,1)</f>
        <v>'199</v>
      </c>
      <c r="M407" s="14">
        <f ca="1">INDEX(INDIRECT(zoneFichierTraite),$J407+offsetInitialFichierTraite,9)</f>
        <v>35.549999999999997</v>
      </c>
      <c r="N407" s="17">
        <f ca="1">INDEX(INDIRECT(zoneFichierTraite),$J407+offsetInitialFichierTraite,3)</f>
        <v>8050846094987</v>
      </c>
      <c r="O407" s="2" t="e">
        <f ca="1">MATCH(N407,INDIRECT(nomFichierEAN13Valmag &amp; "!A:A"),0)</f>
        <v>#N/A</v>
      </c>
      <c r="P407" s="2" t="e">
        <f ca="1">MATCH(R407,INDIRECT(nomFichierEAN13Valmag &amp; "!A:A"),0)</f>
        <v>#N/A</v>
      </c>
      <c r="Q407" s="2">
        <f ca="1">MATCH(LEFT(B407,14) &amp; "*",INDIRECT(nomFichierBaseCatalogue &amp; "!B:B"),0)</f>
        <v>1542</v>
      </c>
      <c r="R407" s="17">
        <f ca="1">IFERROR(INDEX(INDIRECT(zoneFichierBaseCatalogue),Q407,1),"")</f>
        <v>8050846094963</v>
      </c>
      <c r="S407" s="2">
        <f ca="1">MATCH(B407,INDIRECT(nomFichierFiltreCatalogue &amp; "!B:B"),0)</f>
        <v>576</v>
      </c>
      <c r="T407" s="17"/>
    </row>
    <row r="408" spans="1:20" s="24" customFormat="1" ht="15.75" customHeight="1" x14ac:dyDescent="0.25">
      <c r="A408" s="30">
        <f ca="1">INDEX(INDIRECT(zoneFichierTraite),$J407+offsetInitialFichierTraite,2)</f>
        <v>23</v>
      </c>
      <c r="B408" s="29" t="str">
        <f ca="1">IFERROR(INDEX(INDIRECT(zoneFichierEAN13Valmag),$P407,3),"")</f>
        <v/>
      </c>
      <c r="C408" s="22" t="str">
        <f ca="1">IFERROR(INDEX(INDIRECT(zoneFichierEAN13Valmag),$O407,3),"")</f>
        <v/>
      </c>
      <c r="D408" s="23" t="str">
        <f ca="1">IFERROR(INDEX(INDIRECT(zoneFichierEAN13Valmag),$O407,4),"")</f>
        <v/>
      </c>
      <c r="E408" s="38" t="str">
        <f ca="1">IFERROR(INDEX(INDIRECT(zoneFichierFiltreCatalogue),S407,3),"")</f>
        <v>p148-2-02</v>
      </c>
      <c r="F408" s="23"/>
      <c r="G408" s="21"/>
      <c r="H408" s="39" t="str">
        <f ca="1">IFERROR(INDEX(INDIRECT(zoneFichierFiltreCatalogue),S407,6),"")</f>
        <v>fall 2019 presentation_/catalogo fall 19.txt</v>
      </c>
      <c r="R408" s="25"/>
      <c r="S408" s="25"/>
    </row>
    <row r="409" spans="1:20" ht="39" customHeight="1" thickBot="1" x14ac:dyDescent="0.65">
      <c r="A409" s="11" t="str">
        <f ca="1">INDEX(INDIRECT(zoneFichierTraite),$J409+offsetInitialFichierTraite,6)</f>
        <v>UNICA</v>
      </c>
      <c r="B409" s="7" t="str">
        <f ca="1">INDEX(INDIRECT(zoneFichierTraite),$J409+offsetInitialFichierTraite,4)</f>
        <v>OCLKD001-MESF2-615</v>
      </c>
      <c r="C409" s="31" t="str">
        <f ca="1">INDEX(INDIRECT(zoneFichierTraite),$J409+offsetInitialFichierTraite,5)</f>
        <v>O CLOCK MECANISME ACTIVE</v>
      </c>
      <c r="D409" s="32" t="str">
        <f ca="1">INDEX(INDIRECT(zoneFichierTraite),$J409+offsetInitialFichierTraite,13)</f>
        <v>CodeBarre</v>
      </c>
      <c r="E409" s="35">
        <f ca="1">INDEX(INDIRECT(zoneFichierTraite),$J409+offsetInitialFichierTraite,7)</f>
        <v>3</v>
      </c>
      <c r="F409" s="33">
        <f ca="1">INDEX(INDIRECT(zoneFichierTraite),$J409+offsetInitialFichierTraite,8)</f>
        <v>11.85</v>
      </c>
      <c r="G409" s="34">
        <f t="shared" ref="G409" ca="1" si="407">ROUNDUP(F409*3,0)</f>
        <v>36</v>
      </c>
      <c r="H409" s="37" t="str">
        <f t="shared" ref="H409" ca="1" si="408">IF(ISNUMBER(N409),codeEAN13(INT(N409/10)),"")</f>
        <v/>
      </c>
      <c r="J409" s="18">
        <f t="shared" si="394"/>
        <v>200</v>
      </c>
      <c r="L409" s="7" t="str">
        <f ca="1">INDEX(INDIRECT(zoneFichierTraite),$J409+offsetInitialFichierTraite,1)</f>
        <v>'200</v>
      </c>
      <c r="M409" s="14">
        <f ca="1">INDEX(INDIRECT(zoneFichierTraite),$J409+offsetInitialFichierTraite,9)</f>
        <v>35.549999999999997</v>
      </c>
      <c r="N409" s="17" t="str">
        <f ca="1">INDEX(INDIRECT(zoneFichierTraite),$J409+offsetInitialFichierTraite,3)</f>
        <v>CodeBarre</v>
      </c>
      <c r="O409" s="2" t="e">
        <f ca="1">MATCH(N409,INDIRECT(nomFichierEAN13Valmag &amp; "!A:A"),0)</f>
        <v>#N/A</v>
      </c>
      <c r="P409" s="2" t="e">
        <f ca="1">MATCH(R409,INDIRECT(nomFichierEAN13Valmag &amp; "!A:A"),0)</f>
        <v>#N/A</v>
      </c>
      <c r="Q409" s="2">
        <f ca="1">MATCH(LEFT(B409,14) &amp; "*",INDIRECT(nomFichierBaseCatalogue &amp; "!B:B"),0)</f>
        <v>1542</v>
      </c>
      <c r="R409" s="17">
        <f ca="1">IFERROR(INDEX(INDIRECT(zoneFichierBaseCatalogue),Q409,1),"")</f>
        <v>8050846094963</v>
      </c>
      <c r="S409" s="2" t="e">
        <f ca="1">MATCH(B409,INDIRECT(nomFichierFiltreCatalogue &amp; "!B:B"),0)</f>
        <v>#N/A</v>
      </c>
      <c r="T409" s="17"/>
    </row>
    <row r="410" spans="1:20" s="24" customFormat="1" ht="15.75" customHeight="1" x14ac:dyDescent="0.25">
      <c r="A410" s="30">
        <f ca="1">INDEX(INDIRECT(zoneFichierTraite),$J409+offsetInitialFichierTraite,2)</f>
        <v>158</v>
      </c>
      <c r="B410" s="29" t="str">
        <f ca="1">IFERROR(INDEX(INDIRECT(zoneFichierEAN13Valmag),$P409,3),"")</f>
        <v/>
      </c>
      <c r="C410" s="22" t="str">
        <f ca="1">IFERROR(INDEX(INDIRECT(zoneFichierEAN13Valmag),$O409,3),"")</f>
        <v/>
      </c>
      <c r="D410" s="23" t="str">
        <f ca="1">IFERROR(INDEX(INDIRECT(zoneFichierEAN13Valmag),$O409,4),"")</f>
        <v/>
      </c>
      <c r="E410" s="38" t="str">
        <f ca="1">IFERROR(INDEX(INDIRECT(zoneFichierFiltreCatalogue),S409,3),"")</f>
        <v/>
      </c>
      <c r="F410" s="23"/>
      <c r="G410" s="21"/>
      <c r="H410" s="39" t="str">
        <f ca="1">IFERROR(INDEX(INDIRECT(zoneFichierFiltreCatalogue),S409,6),"")</f>
        <v/>
      </c>
      <c r="R410" s="25"/>
      <c r="S410" s="25"/>
    </row>
    <row r="411" spans="1:20" ht="39" customHeight="1" thickBot="1" x14ac:dyDescent="0.65">
      <c r="A411" s="11" t="str">
        <f ca="1">INDEX(INDIRECT(zoneFichierTraite),$J411+offsetInitialFichierTraite,6)</f>
        <v>UNICA</v>
      </c>
      <c r="B411" s="7" t="str">
        <f ca="1">INDEX(INDIRECT(zoneFichierTraite),$J411+offsetInitialFichierTraite,4)</f>
        <v>OCLKD101-MESE4-004</v>
      </c>
      <c r="C411" s="31" t="str">
        <f ca="1">INDEX(INDIRECT(zoneFichierTraite),$J411+offsetInitialFichierTraite,5)</f>
        <v>O CLOCK MECANISME GREAT CIRCLE MOTHER OF PEARL</v>
      </c>
      <c r="D411" s="32" t="str">
        <f ca="1">INDEX(INDIRECT(zoneFichierTraite),$J411+offsetInitialFichierTraite,13)</f>
        <v>argento</v>
      </c>
      <c r="E411" s="35">
        <f ca="1">INDEX(INDIRECT(zoneFichierTraite),$J411+offsetInitialFichierTraite,7)</f>
        <v>3</v>
      </c>
      <c r="F411" s="33">
        <f ca="1">INDEX(INDIRECT(zoneFichierTraite),$J411+offsetInitialFichierTraite,8)</f>
        <v>9.6300000000000008</v>
      </c>
      <c r="G411" s="34">
        <f t="shared" ref="G411" ca="1" si="409">ROUNDUP(F411*3,0)</f>
        <v>29</v>
      </c>
      <c r="H411" s="37" t="str">
        <f t="shared" ref="H411" ca="1" si="410">IF(ISNUMBER(N411),codeEAN13(INT(N411/10)),"")</f>
        <v>8APASOG*ajdagf+</v>
      </c>
      <c r="J411" s="18">
        <f t="shared" si="394"/>
        <v>201</v>
      </c>
      <c r="L411" s="7" t="str">
        <f ca="1">INDEX(INDIRECT(zoneFichierTraite),$J411+offsetInitialFichierTraite,1)</f>
        <v>'201</v>
      </c>
      <c r="M411" s="14">
        <f ca="1">INDEX(INDIRECT(zoneFichierTraite),$J411+offsetInitialFichierTraite,9)</f>
        <v>28.89</v>
      </c>
      <c r="N411" s="17">
        <f ca="1">INDEX(INDIRECT(zoneFichierTraite),$J411+offsetInitialFichierTraite,3)</f>
        <v>8050846093065</v>
      </c>
      <c r="O411" s="2" t="e">
        <f ca="1">MATCH(N411,INDIRECT(nomFichierEAN13Valmag &amp; "!A:A"),0)</f>
        <v>#N/A</v>
      </c>
      <c r="P411" s="2" t="e">
        <f ca="1">MATCH(R411,INDIRECT(nomFichierEAN13Valmag &amp; "!A:A"),0)</f>
        <v>#N/A</v>
      </c>
      <c r="Q411" s="2">
        <f ca="1">MATCH(LEFT(B411,14) &amp; "*",INDIRECT(nomFichierBaseCatalogue &amp; "!B:B"),0)</f>
        <v>1545</v>
      </c>
      <c r="R411" s="17">
        <f ca="1">IFERROR(INDEX(INDIRECT(zoneFichierBaseCatalogue),Q411,1),"")</f>
        <v>8050846093065</v>
      </c>
      <c r="S411" s="2">
        <f ca="1">MATCH(B411,INDIRECT(nomFichierFiltreCatalogue &amp; "!B:B"),0)</f>
        <v>741</v>
      </c>
      <c r="T411" s="17"/>
    </row>
    <row r="412" spans="1:20" s="24" customFormat="1" ht="15.75" customHeight="1" x14ac:dyDescent="0.25">
      <c r="A412" s="30">
        <f ca="1">INDEX(INDIRECT(zoneFichierTraite),$J411+offsetInitialFichierTraite,2)</f>
        <v>96</v>
      </c>
      <c r="B412" s="29" t="str">
        <f ca="1">IFERROR(INDEX(INDIRECT(zoneFichierEAN13Valmag),$P411,3),"")</f>
        <v/>
      </c>
      <c r="C412" s="22" t="str">
        <f ca="1">IFERROR(INDEX(INDIRECT(zoneFichierEAN13Valmag),$O411,3),"")</f>
        <v/>
      </c>
      <c r="D412" s="23" t="str">
        <f ca="1">IFERROR(INDEX(INDIRECT(zoneFichierEAN13Valmag),$O411,4),"")</f>
        <v/>
      </c>
      <c r="E412" s="38" t="str">
        <f ca="1">IFERROR(INDEX(INDIRECT(zoneFichierFiltreCatalogue),S411,3),"")</f>
        <v>p165-2-01</v>
      </c>
      <c r="F412" s="23"/>
      <c r="G412" s="21"/>
      <c r="H412" s="39" t="str">
        <f ca="1">IFERROR(INDEX(INDIRECT(zoneFichierFiltreCatalogue),S411,6),"")</f>
        <v>fall 2019 presentation_/catalogo fall 19.txt</v>
      </c>
      <c r="R412" s="25"/>
      <c r="S412" s="25"/>
    </row>
    <row r="413" spans="1:20" ht="39" customHeight="1" thickBot="1" x14ac:dyDescent="0.65">
      <c r="A413" s="11" t="str">
        <f ca="1">INDEX(INDIRECT(zoneFichierTraite),$J413+offsetInitialFichierTraite,6)</f>
        <v>UNICA</v>
      </c>
      <c r="B413" s="7" t="str">
        <f ca="1">INDEX(INDIRECT(zoneFichierTraite),$J413+offsetInitialFichierTraite,4)</f>
        <v>SHOUB801-ECSC4-055</v>
      </c>
      <c r="C413" s="31" t="str">
        <f ca="1">INDEX(INDIRECT(zoneFichierTraite),$J413+offsetInitialFichierTraite,5)</f>
        <v>BANDOULIÃˆRE COURTE AVEC BOUCLE + CLIP EN FAUX CUIR EFFET GRIFFE + CLOUS</v>
      </c>
      <c r="D413" s="32" t="str">
        <f ca="1">INDEX(INDIRECT(zoneFichierTraite),$J413+offsetInitialFichierTraite,13)</f>
        <v>nero</v>
      </c>
      <c r="E413" s="35">
        <f ca="1">INDEX(INDIRECT(zoneFichierTraite),$J413+offsetInitialFichierTraite,7)</f>
        <v>4</v>
      </c>
      <c r="F413" s="33">
        <f ca="1">INDEX(INDIRECT(zoneFichierTraite),$J413+offsetInitialFichierTraite,8)</f>
        <v>16.670000000000002</v>
      </c>
      <c r="G413" s="34">
        <f t="shared" ref="G413" ca="1" si="411">ROUNDUP(F413*3,0)</f>
        <v>51</v>
      </c>
      <c r="H413" s="37" t="str">
        <f t="shared" ref="H413" ca="1" si="412">IF(ISNUMBER(N413),codeEAN13(INT(N413/10)),"")</f>
        <v>8APASOG*aijgei+</v>
      </c>
      <c r="J413" s="18">
        <f t="shared" si="394"/>
        <v>202</v>
      </c>
      <c r="L413" s="7" t="str">
        <f ca="1">INDEX(INDIRECT(zoneFichierTraite),$J413+offsetInitialFichierTraite,1)</f>
        <v>'202</v>
      </c>
      <c r="M413" s="14">
        <f ca="1">INDEX(INDIRECT(zoneFichierTraite),$J413+offsetInitialFichierTraite,9)</f>
        <v>66.680000000000007</v>
      </c>
      <c r="N413" s="17">
        <f ca="1">INDEX(INDIRECT(zoneFichierTraite),$J413+offsetInitialFichierTraite,3)</f>
        <v>8050846089648</v>
      </c>
      <c r="O413" s="2" t="e">
        <f ca="1">MATCH(N413,INDIRECT(nomFichierEAN13Valmag &amp; "!A:A"),0)</f>
        <v>#N/A</v>
      </c>
      <c r="P413" s="2" t="e">
        <f ca="1">MATCH(R413,INDIRECT(nomFichierEAN13Valmag &amp; "!A:A"),0)</f>
        <v>#N/A</v>
      </c>
      <c r="Q413" s="2">
        <f ca="1">MATCH(LEFT(B413,14) &amp; "*",INDIRECT(nomFichierBaseCatalogue &amp; "!B:B"),0)</f>
        <v>1632</v>
      </c>
      <c r="R413" s="17">
        <f ca="1">IFERROR(INDEX(INDIRECT(zoneFichierBaseCatalogue),Q413,1),"")</f>
        <v>8050846089648</v>
      </c>
      <c r="S413" s="2">
        <f ca="1">MATCH(B413,INDIRECT(nomFichierFiltreCatalogue &amp; "!B:B"),0)</f>
        <v>197</v>
      </c>
      <c r="T413" s="17"/>
    </row>
    <row r="414" spans="1:20" s="24" customFormat="1" ht="15.75" customHeight="1" x14ac:dyDescent="0.25">
      <c r="A414" s="30">
        <f ca="1">INDEX(INDIRECT(zoneFichierTraite),$J413+offsetInitialFichierTraite,2)</f>
        <v>187</v>
      </c>
      <c r="B414" s="29" t="str">
        <f ca="1">IFERROR(INDEX(INDIRECT(zoneFichierEAN13Valmag),$P413,3),"")</f>
        <v/>
      </c>
      <c r="C414" s="22" t="str">
        <f ca="1">IFERROR(INDEX(INDIRECT(zoneFichierEAN13Valmag),$O413,3),"")</f>
        <v/>
      </c>
      <c r="D414" s="23" t="str">
        <f ca="1">IFERROR(INDEX(INDIRECT(zoneFichierEAN13Valmag),$O413,4),"")</f>
        <v/>
      </c>
      <c r="E414" s="38" t="str">
        <f ca="1">IFERROR(INDEX(INDIRECT(zoneFichierFiltreCatalogue),S413,3),"")</f>
        <v>p037-1-01</v>
      </c>
      <c r="F414" s="23"/>
      <c r="G414" s="21"/>
      <c r="H414" s="39" t="str">
        <f ca="1">IFERROR(INDEX(INDIRECT(zoneFichierFiltreCatalogue),S413,6),"")</f>
        <v>fall 2019 presentation_/catalogo fall 19.txt</v>
      </c>
      <c r="R414" s="25"/>
      <c r="S414" s="25"/>
    </row>
    <row r="415" spans="1:20" ht="39" customHeight="1" thickBot="1" x14ac:dyDescent="0.65">
      <c r="A415" s="11" t="str">
        <f ca="1">INDEX(INDIRECT(zoneFichierTraite),$J415+offsetInitialFichierTraite,6)</f>
        <v>UNICA</v>
      </c>
      <c r="B415" s="7" t="str">
        <f ca="1">INDEX(INDIRECT(zoneFichierTraite),$J415+offsetInitialFichierTraite,4)</f>
        <v>SHOUB801-ECSC4-371</v>
      </c>
      <c r="C415" s="31" t="str">
        <f ca="1">INDEX(INDIRECT(zoneFichierTraite),$J415+offsetInitialFichierTraite,5)</f>
        <v>BANDOULIÃˆRE COURTE AVEC BOUCLE + CLIP EN FAUX CUIR EFFET GRIFFE + CLOUS</v>
      </c>
      <c r="D415" s="32" t="str">
        <f ca="1">INDEX(INDIRECT(zoneFichierTraite),$J415+offsetInitialFichierTraite,13)</f>
        <v>latte</v>
      </c>
      <c r="E415" s="35">
        <f ca="1">INDEX(INDIRECT(zoneFichierTraite),$J415+offsetInitialFichierTraite,7)</f>
        <v>4</v>
      </c>
      <c r="F415" s="33">
        <f ca="1">INDEX(INDIRECT(zoneFichierTraite),$J415+offsetInitialFichierTraite,8)</f>
        <v>16.670000000000002</v>
      </c>
      <c r="G415" s="34">
        <f t="shared" ref="G415" ca="1" si="413">ROUNDUP(F415*3,0)</f>
        <v>51</v>
      </c>
      <c r="H415" s="37" t="str">
        <f t="shared" ref="H415" ca="1" si="414">IF(ISNUMBER(N415),codeEAN13(INT(N415/10)),"")</f>
        <v>8APASOG*aijgdb+</v>
      </c>
      <c r="J415" s="18">
        <f t="shared" si="394"/>
        <v>203</v>
      </c>
      <c r="L415" s="7" t="str">
        <f ca="1">INDEX(INDIRECT(zoneFichierTraite),$J415+offsetInitialFichierTraite,1)</f>
        <v>'203</v>
      </c>
      <c r="M415" s="14">
        <f ca="1">INDEX(INDIRECT(zoneFichierTraite),$J415+offsetInitialFichierTraite,9)</f>
        <v>66.680000000000007</v>
      </c>
      <c r="N415" s="17">
        <f ca="1">INDEX(INDIRECT(zoneFichierTraite),$J415+offsetInitialFichierTraite,3)</f>
        <v>8050846089631</v>
      </c>
      <c r="O415" s="2" t="e">
        <f ca="1">MATCH(N415,INDIRECT(nomFichierEAN13Valmag &amp; "!A:A"),0)</f>
        <v>#N/A</v>
      </c>
      <c r="P415" s="2" t="e">
        <f ca="1">MATCH(R415,INDIRECT(nomFichierEAN13Valmag &amp; "!A:A"),0)</f>
        <v>#N/A</v>
      </c>
      <c r="Q415" s="2">
        <f ca="1">MATCH(LEFT(B415,14) &amp; "*",INDIRECT(nomFichierBaseCatalogue &amp; "!B:B"),0)</f>
        <v>1632</v>
      </c>
      <c r="R415" s="17">
        <f ca="1">IFERROR(INDEX(INDIRECT(zoneFichierBaseCatalogue),Q415,1),"")</f>
        <v>8050846089648</v>
      </c>
      <c r="S415" s="2">
        <f ca="1">MATCH(B415,INDIRECT(nomFichierFiltreCatalogue &amp; "!B:B"),0)</f>
        <v>198</v>
      </c>
      <c r="T415" s="17"/>
    </row>
    <row r="416" spans="1:20" s="24" customFormat="1" ht="15.75" customHeight="1" x14ac:dyDescent="0.25">
      <c r="A416" s="30">
        <f ca="1">INDEX(INDIRECT(zoneFichierTraite),$J415+offsetInitialFichierTraite,2)</f>
        <v>92</v>
      </c>
      <c r="B416" s="29" t="str">
        <f ca="1">IFERROR(INDEX(INDIRECT(zoneFichierEAN13Valmag),$P415,3),"")</f>
        <v/>
      </c>
      <c r="C416" s="22" t="str">
        <f ca="1">IFERROR(INDEX(INDIRECT(zoneFichierEAN13Valmag),$O415,3),"")</f>
        <v/>
      </c>
      <c r="D416" s="23" t="str">
        <f ca="1">IFERROR(INDEX(INDIRECT(zoneFichierEAN13Valmag),$O415,4),"")</f>
        <v/>
      </c>
      <c r="E416" s="38" t="str">
        <f ca="1">IFERROR(INDEX(INDIRECT(zoneFichierFiltreCatalogue),S415,3),"")</f>
        <v>p037-1-02</v>
      </c>
      <c r="F416" s="23"/>
      <c r="G416" s="21"/>
      <c r="H416" s="39" t="str">
        <f ca="1">IFERROR(INDEX(INDIRECT(zoneFichierFiltreCatalogue),S415,6),"")</f>
        <v>fall 2019 presentation_/catalogo fall 19.txt</v>
      </c>
      <c r="R416" s="25"/>
      <c r="S416" s="25"/>
    </row>
    <row r="417" spans="1:20" ht="39" customHeight="1" thickBot="1" x14ac:dyDescent="0.65">
      <c r="A417" s="11" t="str">
        <f ca="1">INDEX(INDIRECT(zoneFichierTraite),$J417+offsetInitialFichierTraite,6)</f>
        <v>UNICA</v>
      </c>
      <c r="B417" s="7" t="str">
        <f ca="1">INDEX(INDIRECT(zoneFichierTraite),$J417+offsetInitialFichierTraite,4)</f>
        <v>SHOUBG00-ECS00-055</v>
      </c>
      <c r="C417" s="31" t="str">
        <f ca="1">INDEX(INDIRECT(zoneFichierTraite),$J417+offsetInitialFichierTraite,5)</f>
        <v>BANDOULIÃˆRE/BRETELLE SLIM 140 EN FAUX CUIR</v>
      </c>
      <c r="D417" s="32" t="str">
        <f ca="1">INDEX(INDIRECT(zoneFichierTraite),$J417+offsetInitialFichierTraite,13)</f>
        <v>nero</v>
      </c>
      <c r="E417" s="35">
        <f ca="1">INDEX(INDIRECT(zoneFichierTraite),$J417+offsetInitialFichierTraite,7)</f>
        <v>2</v>
      </c>
      <c r="F417" s="33">
        <f ca="1">INDEX(INDIRECT(zoneFichierTraite),$J417+offsetInitialFichierTraite,8)</f>
        <v>7.8</v>
      </c>
      <c r="G417" s="34">
        <f t="shared" ref="G417" ca="1" si="415">ROUNDUP(F417*3,0)</f>
        <v>24</v>
      </c>
      <c r="H417" s="37" t="str">
        <f t="shared" ref="H417" ca="1" si="416">IF(ISNUMBER(N417),codeEAN13(INT(N417/10)),"")</f>
        <v>8APASOG*aadcei+</v>
      </c>
      <c r="J417" s="18">
        <f t="shared" si="394"/>
        <v>204</v>
      </c>
      <c r="L417" s="7" t="str">
        <f ca="1">INDEX(INDIRECT(zoneFichierTraite),$J417+offsetInitialFichierTraite,1)</f>
        <v>'204</v>
      </c>
      <c r="M417" s="14">
        <f ca="1">INDEX(INDIRECT(zoneFichierTraite),$J417+offsetInitialFichierTraite,9)</f>
        <v>15.6</v>
      </c>
      <c r="N417" s="17">
        <f ca="1">INDEX(INDIRECT(zoneFichierTraite),$J417+offsetInitialFichierTraite,3)</f>
        <v>8050846003248</v>
      </c>
      <c r="O417" s="2">
        <f ca="1">MATCH(N417,INDIRECT(nomFichierEAN13Valmag &amp; "!A:A"),0)</f>
        <v>2885</v>
      </c>
      <c r="P417" s="2">
        <f ca="1">MATCH(R417,INDIRECT(nomFichierEAN13Valmag &amp; "!A:A"),0)</f>
        <v>2885</v>
      </c>
      <c r="Q417" s="2">
        <f ca="1">MATCH(LEFT(B417,14) &amp; "*",INDIRECT(nomFichierBaseCatalogue &amp; "!B:B"),0)</f>
        <v>1634</v>
      </c>
      <c r="R417" s="17">
        <f ca="1">IFERROR(INDEX(INDIRECT(zoneFichierBaseCatalogue),Q417,1),"")</f>
        <v>8050846003248</v>
      </c>
      <c r="S417" s="2">
        <f ca="1">MATCH(B417,INDIRECT(nomFichierFiltreCatalogue &amp; "!B:B"),0)</f>
        <v>562</v>
      </c>
      <c r="T417" s="17"/>
    </row>
    <row r="418" spans="1:20" s="24" customFormat="1" ht="15.75" customHeight="1" x14ac:dyDescent="0.25">
      <c r="A418" s="30">
        <f ca="1">INDEX(INDIRECT(zoneFichierTraite),$J417+offsetInitialFichierTraite,2)</f>
        <v>196</v>
      </c>
      <c r="B418" s="29" t="str">
        <f ca="1">IFERROR(INDEX(INDIRECT(zoneFichierEAN13Valmag),$P417,3),"")</f>
        <v xml:space="preserve">BANDOULIERE     </v>
      </c>
      <c r="C418" s="22" t="str">
        <f ca="1">IFERROR(INDEX(INDIRECT(zoneFichierEAN13Valmag),$O417,3),"")</f>
        <v xml:space="preserve">BANDOULIERE     </v>
      </c>
      <c r="D418" s="23" t="str">
        <f ca="1">IFERROR(INDEX(INDIRECT(zoneFichierEAN13Valmag),$O417,4),"")</f>
        <v>BLACK</v>
      </c>
      <c r="E418" s="38" t="str">
        <f ca="1">IFERROR(INDEX(INDIRECT(zoneFichierFiltreCatalogue),S417,3),"")</f>
        <v>p141-1-01</v>
      </c>
      <c r="F418" s="23"/>
      <c r="G418" s="21"/>
      <c r="H418" s="39" t="str">
        <f ca="1">IFERROR(INDEX(INDIRECT(zoneFichierFiltreCatalogue),S417,6),"")</f>
        <v>fall 2019 presentation_/catalogo fall 19.txt</v>
      </c>
      <c r="R418" s="25"/>
      <c r="S418" s="25"/>
    </row>
    <row r="419" spans="1:20" ht="39" customHeight="1" thickBot="1" x14ac:dyDescent="0.65">
      <c r="A419" s="11" t="str">
        <f ca="1">INDEX(INDIRECT(zoneFichierTraite),$J419+offsetInitialFichierTraite,6)</f>
        <v>UNICA</v>
      </c>
      <c r="B419" s="7" t="str">
        <f ca="1">INDEX(INDIRECT(zoneFichierTraite),$J419+offsetInitialFichierTraite,4)</f>
        <v>SHOUG801-ECSC4-055</v>
      </c>
      <c r="C419" s="31" t="str">
        <f ca="1">INDEX(INDIRECT(zoneFichierTraite),$J419+offsetInitialFichierTraite,5)</f>
        <v>BANDOULIÃˆRE 80 + CLIP EN FAUX CUIR EFFET GRIFFE + CLOUS</v>
      </c>
      <c r="D419" s="32" t="str">
        <f ca="1">INDEX(INDIRECT(zoneFichierTraite),$J419+offsetInitialFichierTraite,13)</f>
        <v>nero</v>
      </c>
      <c r="E419" s="35">
        <f ca="1">INDEX(INDIRECT(zoneFichierTraite),$J419+offsetInitialFichierTraite,7)</f>
        <v>4</v>
      </c>
      <c r="F419" s="33">
        <f ca="1">INDEX(INDIRECT(zoneFichierTraite),$J419+offsetInitialFichierTraite,8)</f>
        <v>20</v>
      </c>
      <c r="G419" s="34">
        <f t="shared" ref="G419" ca="1" si="417">ROUNDUP(F419*3,0)</f>
        <v>60</v>
      </c>
      <c r="H419" s="37" t="str">
        <f t="shared" ref="H419" ca="1" si="418">IF(ISNUMBER(N419),codeEAN13(INT(N419/10)),"")</f>
        <v>8APASOG*ajccdf+</v>
      </c>
      <c r="J419" s="18">
        <f t="shared" si="394"/>
        <v>205</v>
      </c>
      <c r="L419" s="7" t="str">
        <f ca="1">INDEX(INDIRECT(zoneFichierTraite),$J419+offsetInitialFichierTraite,1)</f>
        <v>'205</v>
      </c>
      <c r="M419" s="14">
        <f ca="1">INDEX(INDIRECT(zoneFichierTraite),$J419+offsetInitialFichierTraite,9)</f>
        <v>80</v>
      </c>
      <c r="N419" s="17">
        <f ca="1">INDEX(INDIRECT(zoneFichierTraite),$J419+offsetInitialFichierTraite,3)</f>
        <v>8050846092235</v>
      </c>
      <c r="O419" s="2" t="e">
        <f ca="1">MATCH(N419,INDIRECT(nomFichierEAN13Valmag &amp; "!A:A"),0)</f>
        <v>#N/A</v>
      </c>
      <c r="P419" s="2" t="e">
        <f ca="1">MATCH(R419,INDIRECT(nomFichierEAN13Valmag &amp; "!A:A"),0)</f>
        <v>#N/A</v>
      </c>
      <c r="Q419" s="2">
        <f ca="1">MATCH(LEFT(B419,14) &amp; "*",INDIRECT(nomFichierBaseCatalogue &amp; "!B:B"),0)</f>
        <v>1647</v>
      </c>
      <c r="R419" s="17">
        <f ca="1">IFERROR(INDEX(INDIRECT(zoneFichierBaseCatalogue),Q419,1),"")</f>
        <v>8050846092235</v>
      </c>
      <c r="S419" s="2">
        <f ca="1">MATCH(B419,INDIRECT(nomFichierFiltreCatalogue &amp; "!B:B"),0)</f>
        <v>199</v>
      </c>
      <c r="T419" s="17"/>
    </row>
    <row r="420" spans="1:20" s="24" customFormat="1" ht="15.75" customHeight="1" x14ac:dyDescent="0.25">
      <c r="A420" s="30">
        <f ca="1">INDEX(INDIRECT(zoneFichierTraite),$J419+offsetInitialFichierTraite,2)</f>
        <v>192</v>
      </c>
      <c r="B420" s="29" t="str">
        <f ca="1">IFERROR(INDEX(INDIRECT(zoneFichierEAN13Valmag),$P419,3),"")</f>
        <v/>
      </c>
      <c r="C420" s="22" t="str">
        <f ca="1">IFERROR(INDEX(INDIRECT(zoneFichierEAN13Valmag),$O419,3),"")</f>
        <v/>
      </c>
      <c r="D420" s="23" t="str">
        <f ca="1">IFERROR(INDEX(INDIRECT(zoneFichierEAN13Valmag),$O419,4),"")</f>
        <v/>
      </c>
      <c r="E420" s="38" t="str">
        <f ca="1">IFERROR(INDEX(INDIRECT(zoneFichierFiltreCatalogue),S419,3),"")</f>
        <v>p038-1-01</v>
      </c>
      <c r="F420" s="23"/>
      <c r="G420" s="21"/>
      <c r="H420" s="39" t="str">
        <f ca="1">IFERROR(INDEX(INDIRECT(zoneFichierFiltreCatalogue),S419,6),"")</f>
        <v>fall 2019 presentation_/catalogo fall 19.txt</v>
      </c>
      <c r="R420" s="25"/>
      <c r="S420" s="25"/>
    </row>
    <row r="421" spans="1:20" ht="39" customHeight="1" thickBot="1" x14ac:dyDescent="0.65">
      <c r="A421" s="11" t="str">
        <f ca="1">INDEX(INDIRECT(zoneFichierTraite),$J421+offsetInitialFichierTraite,6)</f>
        <v>UNICA</v>
      </c>
      <c r="B421" s="7" t="str">
        <f ca="1">INDEX(INDIRECT(zoneFichierTraite),$J421+offsetInitialFichierTraite,4)</f>
        <v>SHOUGC01-ECSD7-227</v>
      </c>
      <c r="C421" s="31" t="str">
        <f ca="1">INDEX(INDIRECT(zoneFichierTraite),$J421+offsetInitialFichierTraite,5)</f>
        <v>BANDOULIÃˆRE AJOUREE COURTE + CLIP EN FAUX CUIR BICOLORE</v>
      </c>
      <c r="D421" s="32" t="str">
        <f ca="1">INDEX(INDIRECT(zoneFichierTraite),$J421+offsetInitialFichierTraite,13)</f>
        <v>bianco/nero</v>
      </c>
      <c r="E421" s="35">
        <f ca="1">INDEX(INDIRECT(zoneFichierTraite),$J421+offsetInitialFichierTraite,7)</f>
        <v>2</v>
      </c>
      <c r="F421" s="33">
        <f ca="1">INDEX(INDIRECT(zoneFichierTraite),$J421+offsetInitialFichierTraite,8)</f>
        <v>12.59</v>
      </c>
      <c r="G421" s="34">
        <f t="shared" ref="G421" ca="1" si="419">ROUNDUP(F421*3,0)</f>
        <v>38</v>
      </c>
      <c r="H421" s="37" t="str">
        <f t="shared" ref="H421" ca="1" si="420">IF(ISNUMBER(N421),codeEAN13(INT(N421/10)),"")</f>
        <v>8APASOG*ajcdjg+</v>
      </c>
      <c r="J421" s="18">
        <f t="shared" si="394"/>
        <v>206</v>
      </c>
      <c r="L421" s="7" t="str">
        <f ca="1">INDEX(INDIRECT(zoneFichierTraite),$J421+offsetInitialFichierTraite,1)</f>
        <v>'206</v>
      </c>
      <c r="M421" s="14">
        <f ca="1">INDEX(INDIRECT(zoneFichierTraite),$J421+offsetInitialFichierTraite,9)</f>
        <v>25.18</v>
      </c>
      <c r="N421" s="17">
        <f ca="1">INDEX(INDIRECT(zoneFichierTraite),$J421+offsetInitialFichierTraite,3)</f>
        <v>8050846092396</v>
      </c>
      <c r="O421" s="2" t="e">
        <f ca="1">MATCH(N421,INDIRECT(nomFichierEAN13Valmag &amp; "!A:A"),0)</f>
        <v>#N/A</v>
      </c>
      <c r="P421" s="2" t="e">
        <f ca="1">MATCH(R421,INDIRECT(nomFichierEAN13Valmag &amp; "!A:A"),0)</f>
        <v>#N/A</v>
      </c>
      <c r="Q421" s="2">
        <f ca="1">MATCH(LEFT(B421,14) &amp; "*",INDIRECT(nomFichierBaseCatalogue &amp; "!B:B"),0)</f>
        <v>1654</v>
      </c>
      <c r="R421" s="17">
        <f ca="1">IFERROR(INDEX(INDIRECT(zoneFichierBaseCatalogue),Q421,1),"")</f>
        <v>8050846092396</v>
      </c>
      <c r="S421" s="2">
        <f ca="1">MATCH(B421,INDIRECT(nomFichierFiltreCatalogue &amp; "!B:B"),0)</f>
        <v>201</v>
      </c>
      <c r="T421" s="17"/>
    </row>
    <row r="422" spans="1:20" s="24" customFormat="1" ht="15.75" customHeight="1" x14ac:dyDescent="0.25">
      <c r="A422" s="30">
        <f ca="1">INDEX(INDIRECT(zoneFichierTraite),$J421+offsetInitialFichierTraite,2)</f>
        <v>24</v>
      </c>
      <c r="B422" s="29" t="str">
        <f ca="1">IFERROR(INDEX(INDIRECT(zoneFichierEAN13Valmag),$P421,3),"")</f>
        <v/>
      </c>
      <c r="C422" s="22" t="str">
        <f ca="1">IFERROR(INDEX(INDIRECT(zoneFichierEAN13Valmag),$O421,3),"")</f>
        <v/>
      </c>
      <c r="D422" s="23" t="str">
        <f ca="1">IFERROR(INDEX(INDIRECT(zoneFichierEAN13Valmag),$O421,4),"")</f>
        <v/>
      </c>
      <c r="E422" s="38" t="str">
        <f ca="1">IFERROR(INDEX(INDIRECT(zoneFichierFiltreCatalogue),S421,3),"")</f>
        <v>p038-2-01</v>
      </c>
      <c r="F422" s="23"/>
      <c r="G422" s="21"/>
      <c r="H422" s="39" t="str">
        <f ca="1">IFERROR(INDEX(INDIRECT(zoneFichierFiltreCatalogue),S421,6),"")</f>
        <v>fall 2019 presentation_/catalogo fall 19.txt</v>
      </c>
      <c r="R422" s="25"/>
      <c r="S422" s="25"/>
    </row>
    <row r="423" spans="1:20" ht="39" customHeight="1" thickBot="1" x14ac:dyDescent="0.65">
      <c r="A423" s="11" t="str">
        <f ca="1">INDEX(INDIRECT(zoneFichierTraite),$J423+offsetInitialFichierTraite,6)</f>
        <v>UNICA</v>
      </c>
      <c r="B423" s="7" t="str">
        <f ca="1">INDEX(INDIRECT(zoneFichierTraite),$J423+offsetInitialFichierTraite,4)</f>
        <v>SHOUGC01-ECSD7-622</v>
      </c>
      <c r="C423" s="31" t="str">
        <f ca="1">INDEX(INDIRECT(zoneFichierTraite),$J423+offsetInitialFichierTraite,5)</f>
        <v>BANDOULIÃˆRE AJOUREE COURTE + CLIP EN FAUX CUIR BICOLORE</v>
      </c>
      <c r="D423" s="32" t="str">
        <f ca="1">INDEX(INDIRECT(zoneFichierTraite),$J423+offsetInitialFichierTraite,13)</f>
        <v>military/phard</v>
      </c>
      <c r="E423" s="35">
        <f ca="1">INDEX(INDIRECT(zoneFichierTraite),$J423+offsetInitialFichierTraite,7)</f>
        <v>2</v>
      </c>
      <c r="F423" s="33">
        <f ca="1">INDEX(INDIRECT(zoneFichierTraite),$J423+offsetInitialFichierTraite,8)</f>
        <v>12.59</v>
      </c>
      <c r="G423" s="34">
        <f t="shared" ref="G423" ca="1" si="421">ROUNDUP(F423*3,0)</f>
        <v>38</v>
      </c>
      <c r="H423" s="37" t="str">
        <f t="shared" ref="H423" ca="1" si="422">IF(ISNUMBER(N423),codeEAN13(INT(N423/10)),"")</f>
        <v>8APASOG*ajceac+</v>
      </c>
      <c r="J423" s="18">
        <f t="shared" si="394"/>
        <v>207</v>
      </c>
      <c r="L423" s="7" t="str">
        <f ca="1">INDEX(INDIRECT(zoneFichierTraite),$J423+offsetInitialFichierTraite,1)</f>
        <v>'207</v>
      </c>
      <c r="M423" s="14">
        <f ca="1">INDEX(INDIRECT(zoneFichierTraite),$J423+offsetInitialFichierTraite,9)</f>
        <v>25.18</v>
      </c>
      <c r="N423" s="17">
        <f ca="1">INDEX(INDIRECT(zoneFichierTraite),$J423+offsetInitialFichierTraite,3)</f>
        <v>8050846092402</v>
      </c>
      <c r="O423" s="2" t="e">
        <f ca="1">MATCH(N423,INDIRECT(nomFichierEAN13Valmag &amp; "!A:A"),0)</f>
        <v>#N/A</v>
      </c>
      <c r="P423" s="2" t="e">
        <f ca="1">MATCH(R423,INDIRECT(nomFichierEAN13Valmag &amp; "!A:A"),0)</f>
        <v>#N/A</v>
      </c>
      <c r="Q423" s="2">
        <f ca="1">MATCH(LEFT(B423,14) &amp; "*",INDIRECT(nomFichierBaseCatalogue &amp; "!B:B"),0)</f>
        <v>1654</v>
      </c>
      <c r="R423" s="17">
        <f ca="1">IFERROR(INDEX(INDIRECT(zoneFichierBaseCatalogue),Q423,1),"")</f>
        <v>8050846092396</v>
      </c>
      <c r="S423" s="2">
        <f ca="1">MATCH(B423,INDIRECT(nomFichierFiltreCatalogue &amp; "!B:B"),0)</f>
        <v>203</v>
      </c>
      <c r="T423" s="17"/>
    </row>
    <row r="424" spans="1:20" s="24" customFormat="1" ht="15.75" customHeight="1" x14ac:dyDescent="0.25">
      <c r="A424" s="30">
        <f ca="1">INDEX(INDIRECT(zoneFichierTraite),$J423+offsetInitialFichierTraite,2)</f>
        <v>131</v>
      </c>
      <c r="B424" s="29" t="str">
        <f ca="1">IFERROR(INDEX(INDIRECT(zoneFichierEAN13Valmag),$P423,3),"")</f>
        <v/>
      </c>
      <c r="C424" s="22" t="str">
        <f ca="1">IFERROR(INDEX(INDIRECT(zoneFichierEAN13Valmag),$O423,3),"")</f>
        <v/>
      </c>
      <c r="D424" s="23" t="str">
        <f ca="1">IFERROR(INDEX(INDIRECT(zoneFichierEAN13Valmag),$O423,4),"")</f>
        <v/>
      </c>
      <c r="E424" s="38" t="str">
        <f ca="1">IFERROR(INDEX(INDIRECT(zoneFichierFiltreCatalogue),S423,3),"")</f>
        <v>p038-2-03</v>
      </c>
      <c r="F424" s="23"/>
      <c r="G424" s="21"/>
      <c r="H424" s="39" t="str">
        <f ca="1">IFERROR(INDEX(INDIRECT(zoneFichierFiltreCatalogue),S423,6),"")</f>
        <v>fall 2019 presentation_/catalogo fall 19.txt</v>
      </c>
      <c r="R424" s="25"/>
      <c r="S424" s="25"/>
    </row>
    <row r="425" spans="1:20" ht="39" customHeight="1" thickBot="1" x14ac:dyDescent="0.65">
      <c r="A425" s="11" t="str">
        <f ca="1">INDEX(INDIRECT(zoneFichierTraite),$J425+offsetInitialFichierTraite,6)</f>
        <v>UNICA</v>
      </c>
      <c r="B425" s="7" t="str">
        <f ca="1">INDEX(INDIRECT(zoneFichierTraite),$J425+offsetInitialFichierTraite,4)</f>
        <v>SHOUGC01-ECSD7-623</v>
      </c>
      <c r="C425" s="31" t="str">
        <f ca="1">INDEX(INDIRECT(zoneFichierTraite),$J425+offsetInitialFichierTraite,5)</f>
        <v>BANDOULIÃˆRE AJOUREE COURTE + CLIP EN FAUX CUIR BICOLORE</v>
      </c>
      <c r="D425" s="32" t="str">
        <f ca="1">INDEX(INDIRECT(zoneFichierTraite),$J425+offsetInitialFichierTraite,13)</f>
        <v>blu navy/ice</v>
      </c>
      <c r="E425" s="35">
        <f ca="1">INDEX(INDIRECT(zoneFichierTraite),$J425+offsetInitialFichierTraite,7)</f>
        <v>2</v>
      </c>
      <c r="F425" s="33">
        <f ca="1">INDEX(INDIRECT(zoneFichierTraite),$J425+offsetInitialFichierTraite,8)</f>
        <v>12.59</v>
      </c>
      <c r="G425" s="34">
        <f t="shared" ref="G425" ca="1" si="423">ROUNDUP(F425*3,0)</f>
        <v>38</v>
      </c>
      <c r="H425" s="37" t="str">
        <f t="shared" ref="H425" ca="1" si="424">IF(ISNUMBER(N425),codeEAN13(INT(N425/10)),"")</f>
        <v>8APASOG*ajcebj+</v>
      </c>
      <c r="J425" s="18">
        <f t="shared" si="394"/>
        <v>208</v>
      </c>
      <c r="L425" s="7" t="str">
        <f ca="1">INDEX(INDIRECT(zoneFichierTraite),$J425+offsetInitialFichierTraite,1)</f>
        <v>'208</v>
      </c>
      <c r="M425" s="14">
        <f ca="1">INDEX(INDIRECT(zoneFichierTraite),$J425+offsetInitialFichierTraite,9)</f>
        <v>25.18</v>
      </c>
      <c r="N425" s="17">
        <f ca="1">INDEX(INDIRECT(zoneFichierTraite),$J425+offsetInitialFichierTraite,3)</f>
        <v>8050846092419</v>
      </c>
      <c r="O425" s="2" t="e">
        <f ca="1">MATCH(N425,INDIRECT(nomFichierEAN13Valmag &amp; "!A:A"),0)</f>
        <v>#N/A</v>
      </c>
      <c r="P425" s="2" t="e">
        <f ca="1">MATCH(R425,INDIRECT(nomFichierEAN13Valmag &amp; "!A:A"),0)</f>
        <v>#N/A</v>
      </c>
      <c r="Q425" s="2">
        <f ca="1">MATCH(LEFT(B425,14) &amp; "*",INDIRECT(nomFichierBaseCatalogue &amp; "!B:B"),0)</f>
        <v>1654</v>
      </c>
      <c r="R425" s="17">
        <f ca="1">IFERROR(INDEX(INDIRECT(zoneFichierBaseCatalogue),Q425,1),"")</f>
        <v>8050846092396</v>
      </c>
      <c r="S425" s="2">
        <f ca="1">MATCH(B425,INDIRECT(nomFichierFiltreCatalogue &amp; "!B:B"),0)</f>
        <v>204</v>
      </c>
      <c r="T425" s="17"/>
    </row>
    <row r="426" spans="1:20" s="24" customFormat="1" ht="15.75" customHeight="1" x14ac:dyDescent="0.25">
      <c r="A426" s="30">
        <f ca="1">INDEX(INDIRECT(zoneFichierTraite),$J425+offsetInitialFichierTraite,2)</f>
        <v>29</v>
      </c>
      <c r="B426" s="29" t="str">
        <f ca="1">IFERROR(INDEX(INDIRECT(zoneFichierEAN13Valmag),$P425,3),"")</f>
        <v/>
      </c>
      <c r="C426" s="22" t="str">
        <f ca="1">IFERROR(INDEX(INDIRECT(zoneFichierEAN13Valmag),$O425,3),"")</f>
        <v/>
      </c>
      <c r="D426" s="23" t="str">
        <f ca="1">IFERROR(INDEX(INDIRECT(zoneFichierEAN13Valmag),$O425,4),"")</f>
        <v/>
      </c>
      <c r="E426" s="38" t="str">
        <f ca="1">IFERROR(INDEX(INDIRECT(zoneFichierFiltreCatalogue),S425,3),"")</f>
        <v>p038-2-04</v>
      </c>
      <c r="F426" s="23"/>
      <c r="G426" s="21"/>
      <c r="H426" s="39" t="str">
        <f ca="1">IFERROR(INDEX(INDIRECT(zoneFichierFiltreCatalogue),S425,6),"")</f>
        <v>fall 2019 presentation_/catalogo fall 19.txt</v>
      </c>
      <c r="R426" s="25"/>
      <c r="S426" s="25"/>
    </row>
    <row r="427" spans="1:20" ht="39" customHeight="1" thickBot="1" x14ac:dyDescent="0.65">
      <c r="A427" s="11" t="str">
        <f ca="1">INDEX(INDIRECT(zoneFichierTraite),$J427+offsetInitialFichierTraite,6)</f>
        <v>UNICA</v>
      </c>
      <c r="B427" s="7" t="str">
        <f ca="1">INDEX(INDIRECT(zoneFichierTraite),$J427+offsetInitialFichierTraite,4)</f>
        <v>SHOUGC01-ECSD7-624</v>
      </c>
      <c r="C427" s="31" t="str">
        <f ca="1">INDEX(INDIRECT(zoneFichierTraite),$J427+offsetInitialFichierTraite,5)</f>
        <v>BANDOULIÃˆRE AJOUREE COURTE + CLIP EN FAUX CUIR BICOLORE</v>
      </c>
      <c r="D427" s="32" t="str">
        <f ca="1">INDEX(INDIRECT(zoneFichierTraite),$J427+offsetInitialFichierTraite,13)</f>
        <v>biscotto/sabbia</v>
      </c>
      <c r="E427" s="35">
        <f ca="1">INDEX(INDIRECT(zoneFichierTraite),$J427+offsetInitialFichierTraite,7)</f>
        <v>2</v>
      </c>
      <c r="F427" s="33">
        <f ca="1">INDEX(INDIRECT(zoneFichierTraite),$J427+offsetInitialFichierTraite,8)</f>
        <v>12.59</v>
      </c>
      <c r="G427" s="34">
        <f t="shared" ref="G427" ca="1" si="425">ROUNDUP(F427*3,0)</f>
        <v>38</v>
      </c>
      <c r="H427" s="37" t="str">
        <f t="shared" ref="H427" ca="1" si="426">IF(ISNUMBER(N427),codeEAN13(INT(N427/10)),"")</f>
        <v>8APASOG*ajcecg+</v>
      </c>
      <c r="J427" s="18">
        <f t="shared" si="394"/>
        <v>209</v>
      </c>
      <c r="L427" s="7" t="str">
        <f ca="1">INDEX(INDIRECT(zoneFichierTraite),$J427+offsetInitialFichierTraite,1)</f>
        <v>'209</v>
      </c>
      <c r="M427" s="14">
        <f ca="1">INDEX(INDIRECT(zoneFichierTraite),$J427+offsetInitialFichierTraite,9)</f>
        <v>25.18</v>
      </c>
      <c r="N427" s="17">
        <f ca="1">INDEX(INDIRECT(zoneFichierTraite),$J427+offsetInitialFichierTraite,3)</f>
        <v>8050846092426</v>
      </c>
      <c r="O427" s="2" t="e">
        <f ca="1">MATCH(N427,INDIRECT(nomFichierEAN13Valmag &amp; "!A:A"),0)</f>
        <v>#N/A</v>
      </c>
      <c r="P427" s="2" t="e">
        <f ca="1">MATCH(R427,INDIRECT(nomFichierEAN13Valmag &amp; "!A:A"),0)</f>
        <v>#N/A</v>
      </c>
      <c r="Q427" s="2">
        <f ca="1">MATCH(LEFT(B427,14) &amp; "*",INDIRECT(nomFichierBaseCatalogue &amp; "!B:B"),0)</f>
        <v>1654</v>
      </c>
      <c r="R427" s="17">
        <f ca="1">IFERROR(INDEX(INDIRECT(zoneFichierBaseCatalogue),Q427,1),"")</f>
        <v>8050846092396</v>
      </c>
      <c r="S427" s="2">
        <f ca="1">MATCH(B427,INDIRECT(nomFichierFiltreCatalogue &amp; "!B:B"),0)</f>
        <v>202</v>
      </c>
      <c r="T427" s="17"/>
    </row>
    <row r="428" spans="1:20" s="24" customFormat="1" ht="15.75" customHeight="1" x14ac:dyDescent="0.25">
      <c r="A428" s="30">
        <f ca="1">INDEX(INDIRECT(zoneFichierTraite),$J427+offsetInitialFichierTraite,2)</f>
        <v>162</v>
      </c>
      <c r="B428" s="29" t="str">
        <f ca="1">IFERROR(INDEX(INDIRECT(zoneFichierEAN13Valmag),$P427,3),"")</f>
        <v/>
      </c>
      <c r="C428" s="22" t="str">
        <f ca="1">IFERROR(INDEX(INDIRECT(zoneFichierEAN13Valmag),$O427,3),"")</f>
        <v/>
      </c>
      <c r="D428" s="23" t="str">
        <f ca="1">IFERROR(INDEX(INDIRECT(zoneFichierEAN13Valmag),$O427,4),"")</f>
        <v/>
      </c>
      <c r="E428" s="38" t="str">
        <f ca="1">IFERROR(INDEX(INDIRECT(zoneFichierFiltreCatalogue),S427,3),"")</f>
        <v>p038-2-02</v>
      </c>
      <c r="F428" s="23"/>
      <c r="G428" s="21"/>
      <c r="H428" s="39" t="str">
        <f ca="1">IFERROR(INDEX(INDIRECT(zoneFichierFiltreCatalogue),S427,6),"")</f>
        <v>fall 2019 presentation_/catalogo fall 19.txt</v>
      </c>
      <c r="R428" s="25"/>
      <c r="S428" s="25"/>
    </row>
    <row r="429" spans="1:20" ht="39" customHeight="1" thickBot="1" x14ac:dyDescent="0.65">
      <c r="A429" s="11" t="str">
        <f ca="1">INDEX(INDIRECT(zoneFichierTraite),$J429+offsetInitialFichierTraite,6)</f>
        <v>UNICA</v>
      </c>
      <c r="B429" s="7" t="str">
        <f ca="1">INDEX(INDIRECT(zoneFichierTraite),$J429+offsetInitialFichierTraite,4)</f>
        <v>SHOUGG00-ECSC9-055</v>
      </c>
      <c r="C429" s="31" t="str">
        <f ca="1">INDEX(INDIRECT(zoneFichierTraite),$J429+offsetInitialFichierTraite,5)</f>
        <v>BANDOULIÃˆRE 80/120 + CLIP EN FAUX CUIR IMPRIME ATHLEISURE</v>
      </c>
      <c r="D429" s="32" t="str">
        <f ca="1">INDEX(INDIRECT(zoneFichierTraite),$J429+offsetInitialFichierTraite,13)</f>
        <v>nero</v>
      </c>
      <c r="E429" s="35">
        <f ca="1">INDEX(INDIRECT(zoneFichierTraite),$J429+offsetInitialFichierTraite,7)</f>
        <v>4</v>
      </c>
      <c r="F429" s="33">
        <f ca="1">INDEX(INDIRECT(zoneFichierTraite),$J429+offsetInitialFichierTraite,8)</f>
        <v>15.56</v>
      </c>
      <c r="G429" s="34">
        <f t="shared" ref="G429" ca="1" si="427">ROUNDUP(F429*3,0)</f>
        <v>47</v>
      </c>
      <c r="H429" s="37" t="str">
        <f t="shared" ref="H429" ca="1" si="428">IF(ISNUMBER(N429),codeEAN13(INT(N429/10)),"")</f>
        <v>8APASOG*ajcdad+</v>
      </c>
      <c r="J429" s="18">
        <f t="shared" si="394"/>
        <v>210</v>
      </c>
      <c r="L429" s="7" t="str">
        <f ca="1">INDEX(INDIRECT(zoneFichierTraite),$J429+offsetInitialFichierTraite,1)</f>
        <v>'210</v>
      </c>
      <c r="M429" s="14">
        <f ca="1">INDEX(INDIRECT(zoneFichierTraite),$J429+offsetInitialFichierTraite,9)</f>
        <v>62.24</v>
      </c>
      <c r="N429" s="17">
        <f ca="1">INDEX(INDIRECT(zoneFichierTraite),$J429+offsetInitialFichierTraite,3)</f>
        <v>8050846092303</v>
      </c>
      <c r="O429" s="2" t="e">
        <f ca="1">MATCH(N429,INDIRECT(nomFichierEAN13Valmag &amp; "!A:A"),0)</f>
        <v>#N/A</v>
      </c>
      <c r="P429" s="2" t="e">
        <f ca="1">MATCH(R429,INDIRECT(nomFichierEAN13Valmag &amp; "!A:A"),0)</f>
        <v>#N/A</v>
      </c>
      <c r="Q429" s="2">
        <f ca="1">MATCH(LEFT(B429,14) &amp; "*",INDIRECT(nomFichierBaseCatalogue &amp; "!B:B"),0)</f>
        <v>1658</v>
      </c>
      <c r="R429" s="17">
        <f ca="1">IFERROR(INDEX(INDIRECT(zoneFichierBaseCatalogue),Q429,1),"")</f>
        <v>8050846092303</v>
      </c>
      <c r="S429" s="2">
        <f ca="1">MATCH(B429,INDIRECT(nomFichierFiltreCatalogue &amp; "!B:B"),0)</f>
        <v>205</v>
      </c>
      <c r="T429" s="17"/>
    </row>
    <row r="430" spans="1:20" s="24" customFormat="1" ht="15.75" customHeight="1" x14ac:dyDescent="0.25">
      <c r="A430" s="30">
        <f ca="1">INDEX(INDIRECT(zoneFichierTraite),$J429+offsetInitialFichierTraite,2)</f>
        <v>178</v>
      </c>
      <c r="B430" s="29" t="str">
        <f ca="1">IFERROR(INDEX(INDIRECT(zoneFichierEAN13Valmag),$P429,3),"")</f>
        <v/>
      </c>
      <c r="C430" s="22" t="str">
        <f ca="1">IFERROR(INDEX(INDIRECT(zoneFichierEAN13Valmag),$O429,3),"")</f>
        <v/>
      </c>
      <c r="D430" s="23" t="str">
        <f ca="1">IFERROR(INDEX(INDIRECT(zoneFichierEAN13Valmag),$O429,4),"")</f>
        <v/>
      </c>
      <c r="E430" s="38" t="str">
        <f ca="1">IFERROR(INDEX(INDIRECT(zoneFichierFiltreCatalogue),S429,3),"")</f>
        <v>p039-1-01</v>
      </c>
      <c r="F430" s="23"/>
      <c r="G430" s="21"/>
      <c r="H430" s="39" t="str">
        <f ca="1">IFERROR(INDEX(INDIRECT(zoneFichierFiltreCatalogue),S429,6),"")</f>
        <v>fall 2019 presentation_/catalogo fall 19.txt</v>
      </c>
      <c r="R430" s="25"/>
      <c r="S430" s="25"/>
    </row>
    <row r="431" spans="1:20" ht="39" customHeight="1" thickBot="1" x14ac:dyDescent="0.65">
      <c r="A431" s="11" t="str">
        <f ca="1">INDEX(INDIRECT(zoneFichierTraite),$J431+offsetInitialFichierTraite,6)</f>
        <v>UNICA</v>
      </c>
      <c r="B431" s="7" t="str">
        <f ca="1">INDEX(INDIRECT(zoneFichierTraite),$J431+offsetInitialFichierTraite,4)</f>
        <v>SHOUGG00-ECSC9-137</v>
      </c>
      <c r="C431" s="31" t="str">
        <f ca="1">INDEX(INDIRECT(zoneFichierTraite),$J431+offsetInitialFichierTraite,5)</f>
        <v>BANDOULIÃˆRE 80/120 + CLIP EN FAUX CUIR IMPRIME ATHLEISURE</v>
      </c>
      <c r="D431" s="32" t="str">
        <f ca="1">INDEX(INDIRECT(zoneFichierTraite),$J431+offsetInitialFichierTraite,13)</f>
        <v>bluette</v>
      </c>
      <c r="E431" s="35">
        <f ca="1">INDEX(INDIRECT(zoneFichierTraite),$J431+offsetInitialFichierTraite,7)</f>
        <v>2</v>
      </c>
      <c r="F431" s="33">
        <f ca="1">INDEX(INDIRECT(zoneFichierTraite),$J431+offsetInitialFichierTraite,8)</f>
        <v>15.56</v>
      </c>
      <c r="G431" s="34">
        <f t="shared" ref="G431" ca="1" si="429">ROUNDUP(F431*3,0)</f>
        <v>47</v>
      </c>
      <c r="H431" s="37" t="str">
        <f t="shared" ref="H431" ca="1" si="430">IF(ISNUMBER(N431),codeEAN13(INT(N431/10)),"")</f>
        <v>8APASOG*ajccjh+</v>
      </c>
      <c r="J431" s="18">
        <f t="shared" si="394"/>
        <v>211</v>
      </c>
      <c r="L431" s="7" t="str">
        <f ca="1">INDEX(INDIRECT(zoneFichierTraite),$J431+offsetInitialFichierTraite,1)</f>
        <v>'211</v>
      </c>
      <c r="M431" s="14">
        <f ca="1">INDEX(INDIRECT(zoneFichierTraite),$J431+offsetInitialFichierTraite,9)</f>
        <v>31.12</v>
      </c>
      <c r="N431" s="17">
        <f ca="1">INDEX(INDIRECT(zoneFichierTraite),$J431+offsetInitialFichierTraite,3)</f>
        <v>8050846092297</v>
      </c>
      <c r="O431" s="2" t="e">
        <f ca="1">MATCH(N431,INDIRECT(nomFichierEAN13Valmag &amp; "!A:A"),0)</f>
        <v>#N/A</v>
      </c>
      <c r="P431" s="2" t="e">
        <f ca="1">MATCH(R431,INDIRECT(nomFichierEAN13Valmag &amp; "!A:A"),0)</f>
        <v>#N/A</v>
      </c>
      <c r="Q431" s="2">
        <f ca="1">MATCH(LEFT(B431,14) &amp; "*",INDIRECT(nomFichierBaseCatalogue &amp; "!B:B"),0)</f>
        <v>1658</v>
      </c>
      <c r="R431" s="17">
        <f ca="1">IFERROR(INDEX(INDIRECT(zoneFichierBaseCatalogue),Q431,1),"")</f>
        <v>8050846092303</v>
      </c>
      <c r="S431" s="2">
        <f ca="1">MATCH(B431,INDIRECT(nomFichierFiltreCatalogue &amp; "!B:B"),0)</f>
        <v>206</v>
      </c>
      <c r="T431" s="17"/>
    </row>
    <row r="432" spans="1:20" s="24" customFormat="1" ht="15.75" customHeight="1" x14ac:dyDescent="0.25">
      <c r="A432" s="30">
        <f ca="1">INDEX(INDIRECT(zoneFichierTraite),$J431+offsetInitialFichierTraite,2)</f>
        <v>93</v>
      </c>
      <c r="B432" s="29" t="str">
        <f ca="1">IFERROR(INDEX(INDIRECT(zoneFichierEAN13Valmag),$P431,3),"")</f>
        <v/>
      </c>
      <c r="C432" s="22" t="str">
        <f ca="1">IFERROR(INDEX(INDIRECT(zoneFichierEAN13Valmag),$O431,3),"")</f>
        <v/>
      </c>
      <c r="D432" s="23" t="str">
        <f ca="1">IFERROR(INDEX(INDIRECT(zoneFichierEAN13Valmag),$O431,4),"")</f>
        <v/>
      </c>
      <c r="E432" s="38" t="str">
        <f ca="1">IFERROR(INDEX(INDIRECT(zoneFichierFiltreCatalogue),S431,3),"")</f>
        <v>p039-1-02</v>
      </c>
      <c r="F432" s="23"/>
      <c r="G432" s="21"/>
      <c r="H432" s="39" t="str">
        <f ca="1">IFERROR(INDEX(INDIRECT(zoneFichierFiltreCatalogue),S431,6),"")</f>
        <v>fall 2019 presentation_/catalogo fall 19.txt</v>
      </c>
      <c r="R432" s="25"/>
      <c r="S432" s="25"/>
    </row>
    <row r="433" spans="1:20" ht="39" customHeight="1" thickBot="1" x14ac:dyDescent="0.65">
      <c r="A433" s="11" t="str">
        <f ca="1">INDEX(INDIRECT(zoneFichierTraite),$J433+offsetInitialFichierTraite,6)</f>
        <v>UNICA</v>
      </c>
      <c r="B433" s="7" t="str">
        <f ca="1">INDEX(INDIRECT(zoneFichierTraite),$J433+offsetInitialFichierTraite,4)</f>
        <v>SHOUGG00-ECSD6-615</v>
      </c>
      <c r="C433" s="31" t="str">
        <f ca="1">INDEX(INDIRECT(zoneFichierTraite),$J433+offsetInitialFichierTraite,5)</f>
        <v>BANDOULIÃˆRE 80/120 + CLIP EN FAUX CUIR IMPRIME DIANTHUS</v>
      </c>
      <c r="D433" s="32" t="str">
        <f ca="1">INDEX(INDIRECT(zoneFichierTraite),$J433+offsetInitialFichierTraite,13)</f>
        <v>military</v>
      </c>
      <c r="E433" s="35">
        <f ca="1">INDEX(INDIRECT(zoneFichierTraite),$J433+offsetInitialFichierTraite,7)</f>
        <v>2</v>
      </c>
      <c r="F433" s="33">
        <f ca="1">INDEX(INDIRECT(zoneFichierTraite),$J433+offsetInitialFichierTraite,8)</f>
        <v>13.33</v>
      </c>
      <c r="G433" s="34">
        <f t="shared" ref="G433" ca="1" si="431">ROUNDUP(F433*3,0)</f>
        <v>40</v>
      </c>
      <c r="H433" s="37" t="str">
        <f t="shared" ref="H433" ca="1" si="432">IF(ISNUMBER(N433),codeEAN13(INT(N433/10)),"")</f>
        <v>8APASOG*ajccgg+</v>
      </c>
      <c r="J433" s="18">
        <f t="shared" si="394"/>
        <v>212</v>
      </c>
      <c r="L433" s="7" t="str">
        <f ca="1">INDEX(INDIRECT(zoneFichierTraite),$J433+offsetInitialFichierTraite,1)</f>
        <v>'212</v>
      </c>
      <c r="M433" s="14">
        <f ca="1">INDEX(INDIRECT(zoneFichierTraite),$J433+offsetInitialFichierTraite,9)</f>
        <v>26.66</v>
      </c>
      <c r="N433" s="17">
        <f ca="1">INDEX(INDIRECT(zoneFichierTraite),$J433+offsetInitialFichierTraite,3)</f>
        <v>8050846092266</v>
      </c>
      <c r="O433" s="2" t="e">
        <f ca="1">MATCH(N433,INDIRECT(nomFichierEAN13Valmag &amp; "!A:A"),0)</f>
        <v>#N/A</v>
      </c>
      <c r="P433" s="2" t="e">
        <f ca="1">MATCH(R433,INDIRECT(nomFichierEAN13Valmag &amp; "!A:A"),0)</f>
        <v>#N/A</v>
      </c>
      <c r="Q433" s="2">
        <f ca="1">MATCH(LEFT(B433,14) &amp; "*",INDIRECT(nomFichierBaseCatalogue &amp; "!B:B"),0)</f>
        <v>1660</v>
      </c>
      <c r="R433" s="17">
        <f ca="1">IFERROR(INDEX(INDIRECT(zoneFichierBaseCatalogue),Q433,1),"")</f>
        <v>8050846092266</v>
      </c>
      <c r="S433" s="2">
        <f ca="1">MATCH(B433,INDIRECT(nomFichierFiltreCatalogue &amp; "!B:B"),0)</f>
        <v>209</v>
      </c>
      <c r="T433" s="17"/>
    </row>
    <row r="434" spans="1:20" s="24" customFormat="1" ht="15.75" customHeight="1" x14ac:dyDescent="0.25">
      <c r="A434" s="30">
        <f ca="1">INDEX(INDIRECT(zoneFichierTraite),$J433+offsetInitialFichierTraite,2)</f>
        <v>136</v>
      </c>
      <c r="B434" s="29" t="str">
        <f ca="1">IFERROR(INDEX(INDIRECT(zoneFichierEAN13Valmag),$P433,3),"")</f>
        <v/>
      </c>
      <c r="C434" s="22" t="str">
        <f ca="1">IFERROR(INDEX(INDIRECT(zoneFichierEAN13Valmag),$O433,3),"")</f>
        <v/>
      </c>
      <c r="D434" s="23" t="str">
        <f ca="1">IFERROR(INDEX(INDIRECT(zoneFichierEAN13Valmag),$O433,4),"")</f>
        <v/>
      </c>
      <c r="E434" s="38" t="str">
        <f ca="1">IFERROR(INDEX(INDIRECT(zoneFichierFiltreCatalogue),S433,3),"")</f>
        <v>p040-1-01</v>
      </c>
      <c r="F434" s="23"/>
      <c r="G434" s="21"/>
      <c r="H434" s="39" t="str">
        <f ca="1">IFERROR(INDEX(INDIRECT(zoneFichierFiltreCatalogue),S433,6),"")</f>
        <v>fall 2019 presentation_/catalogo fall 19.txt</v>
      </c>
      <c r="R434" s="25"/>
      <c r="S434" s="25"/>
    </row>
    <row r="435" spans="1:20" ht="39" customHeight="1" thickBot="1" x14ac:dyDescent="0.65">
      <c r="A435" s="11" t="str">
        <f ca="1">INDEX(INDIRECT(zoneFichierTraite),$J435+offsetInitialFichierTraite,6)</f>
        <v>UNICA</v>
      </c>
      <c r="B435" s="7" t="str">
        <f ca="1">INDEX(INDIRECT(zoneFichierTraite),$J435+offsetInitialFichierTraite,4)</f>
        <v>SHOUGG00-TESBM-227</v>
      </c>
      <c r="C435" s="31" t="str">
        <f ca="1">INDEX(INDIRECT(zoneFichierTraite),$J435+offsetInitialFichierTraite,5)</f>
        <v>BANDOULIÃˆRE 80/120 + CLIP EN TISSU IMPRIME GEOMETRIC LILY</v>
      </c>
      <c r="D435" s="32" t="str">
        <f ca="1">INDEX(INDIRECT(zoneFichierTraite),$J435+offsetInitialFichierTraite,13)</f>
        <v>bianco/nero</v>
      </c>
      <c r="E435" s="35">
        <f ca="1">INDEX(INDIRECT(zoneFichierTraite),$J435+offsetInitialFichierTraite,7)</f>
        <v>2</v>
      </c>
      <c r="F435" s="33">
        <f ca="1">INDEX(INDIRECT(zoneFichierTraite),$J435+offsetInitialFichierTraite,8)</f>
        <v>15.56</v>
      </c>
      <c r="G435" s="34">
        <f t="shared" ref="G435" ca="1" si="433">ROUNDUP(F435*3,0)</f>
        <v>47</v>
      </c>
      <c r="H435" s="37" t="str">
        <f t="shared" ref="H435" ca="1" si="434">IF(ISNUMBER(N435),codeEAN13(INT(N435/10)),"")</f>
        <v>8APASOG*ajccec+</v>
      </c>
      <c r="J435" s="18">
        <f t="shared" si="394"/>
        <v>213</v>
      </c>
      <c r="L435" s="7" t="str">
        <f ca="1">INDEX(INDIRECT(zoneFichierTraite),$J435+offsetInitialFichierTraite,1)</f>
        <v>'213</v>
      </c>
      <c r="M435" s="14">
        <f ca="1">INDEX(INDIRECT(zoneFichierTraite),$J435+offsetInitialFichierTraite,9)</f>
        <v>31.12</v>
      </c>
      <c r="N435" s="17">
        <f ca="1">INDEX(INDIRECT(zoneFichierTraite),$J435+offsetInitialFichierTraite,3)</f>
        <v>8050846092242</v>
      </c>
      <c r="O435" s="2" t="e">
        <f ca="1">MATCH(N435,INDIRECT(nomFichierEAN13Valmag &amp; "!A:A"),0)</f>
        <v>#N/A</v>
      </c>
      <c r="P435" s="2" t="e">
        <f ca="1">MATCH(R435,INDIRECT(nomFichierEAN13Valmag &amp; "!A:A"),0)</f>
        <v>#N/A</v>
      </c>
      <c r="Q435" s="2">
        <f ca="1">MATCH(LEFT(B435,14) &amp; "*",INDIRECT(nomFichierBaseCatalogue &amp; "!B:B"),0)</f>
        <v>1664</v>
      </c>
      <c r="R435" s="17">
        <f ca="1">IFERROR(INDEX(INDIRECT(zoneFichierBaseCatalogue),Q435,1),"")</f>
        <v>8050846092242</v>
      </c>
      <c r="S435" s="2">
        <f ca="1">MATCH(B435,INDIRECT(nomFichierFiltreCatalogue &amp; "!B:B"),0)</f>
        <v>211</v>
      </c>
      <c r="T435" s="17"/>
    </row>
    <row r="436" spans="1:20" s="24" customFormat="1" ht="15.75" customHeight="1" x14ac:dyDescent="0.25">
      <c r="A436" s="30">
        <f ca="1">INDEX(INDIRECT(zoneFichierTraite),$J435+offsetInitialFichierTraite,2)</f>
        <v>74</v>
      </c>
      <c r="B436" s="29" t="str">
        <f ca="1">IFERROR(INDEX(INDIRECT(zoneFichierEAN13Valmag),$P435,3),"")</f>
        <v/>
      </c>
      <c r="C436" s="22" t="str">
        <f ca="1">IFERROR(INDEX(INDIRECT(zoneFichierEAN13Valmag),$O435,3),"")</f>
        <v/>
      </c>
      <c r="D436" s="23" t="str">
        <f ca="1">IFERROR(INDEX(INDIRECT(zoneFichierEAN13Valmag),$O435,4),"")</f>
        <v/>
      </c>
      <c r="E436" s="38" t="str">
        <f ca="1">IFERROR(INDEX(INDIRECT(zoneFichierFiltreCatalogue),S435,3),"")</f>
        <v>p041-1-01</v>
      </c>
      <c r="F436" s="23"/>
      <c r="G436" s="21"/>
      <c r="H436" s="39" t="str">
        <f ca="1">IFERROR(INDEX(INDIRECT(zoneFichierFiltreCatalogue),S435,6),"")</f>
        <v>fall 2019 presentation_/catalogo fall 19.txt</v>
      </c>
      <c r="R436" s="25"/>
      <c r="S436" s="25"/>
    </row>
    <row r="437" spans="1:20" ht="39" customHeight="1" thickBot="1" x14ac:dyDescent="0.65">
      <c r="A437" s="11" t="str">
        <f ca="1">INDEX(INDIRECT(zoneFichierTraite),$J437+offsetInitialFichierTraite,6)</f>
        <v>UNICA</v>
      </c>
      <c r="B437" s="7" t="str">
        <f ca="1">INDEX(INDIRECT(zoneFichierTraite),$J437+offsetInitialFichierTraite,4)</f>
        <v>SHOUU000-TESBM-227</v>
      </c>
      <c r="C437" s="31" t="str">
        <f ca="1">INDEX(INDIRECT(zoneFichierTraite),$J437+offsetInitialFichierTraite,5)</f>
        <v>BANDOULIÃˆRE FOULARD EN TISSU IMPRIME GEOMETRIC LILY</v>
      </c>
      <c r="D437" s="32" t="str">
        <f ca="1">INDEX(INDIRECT(zoneFichierTraite),$J437+offsetInitialFichierTraite,13)</f>
        <v>bianco/nero</v>
      </c>
      <c r="E437" s="35">
        <f ca="1">INDEX(INDIRECT(zoneFichierTraite),$J437+offsetInitialFichierTraite,7)</f>
        <v>4</v>
      </c>
      <c r="F437" s="33">
        <f ca="1">INDEX(INDIRECT(zoneFichierTraite),$J437+offsetInitialFichierTraite,8)</f>
        <v>7.78</v>
      </c>
      <c r="G437" s="34">
        <f t="shared" ref="G437" ca="1" si="435">ROUNDUP(F437*3,0)</f>
        <v>24</v>
      </c>
      <c r="H437" s="37" t="str">
        <f t="shared" ref="H437" ca="1" si="436">IF(ISNUMBER(N437),codeEAN13(INT(N437/10)),"")</f>
        <v>8APASOG*ajcehb+</v>
      </c>
      <c r="J437" s="18">
        <f t="shared" si="394"/>
        <v>214</v>
      </c>
      <c r="L437" s="7" t="str">
        <f ca="1">INDEX(INDIRECT(zoneFichierTraite),$J437+offsetInitialFichierTraite,1)</f>
        <v>'214</v>
      </c>
      <c r="M437" s="14">
        <f ca="1">INDEX(INDIRECT(zoneFichierTraite),$J437+offsetInitialFichierTraite,9)</f>
        <v>31.12</v>
      </c>
      <c r="N437" s="17">
        <f ca="1">INDEX(INDIRECT(zoneFichierTraite),$J437+offsetInitialFichierTraite,3)</f>
        <v>8050846092471</v>
      </c>
      <c r="O437" s="2" t="e">
        <f ca="1">MATCH(N437,INDIRECT(nomFichierEAN13Valmag &amp; "!A:A"),0)</f>
        <v>#N/A</v>
      </c>
      <c r="P437" s="2" t="e">
        <f ca="1">MATCH(R437,INDIRECT(nomFichierEAN13Valmag &amp; "!A:A"),0)</f>
        <v>#N/A</v>
      </c>
      <c r="Q437" s="2">
        <f ca="1">MATCH(LEFT(B437,14) &amp; "*",INDIRECT(nomFichierBaseCatalogue &amp; "!B:B"),0)</f>
        <v>1670</v>
      </c>
      <c r="R437" s="17">
        <f ca="1">IFERROR(INDEX(INDIRECT(zoneFichierBaseCatalogue),Q437,1),"")</f>
        <v>8050846092471</v>
      </c>
      <c r="S437" s="2">
        <f ca="1">MATCH(B437,INDIRECT(nomFichierFiltreCatalogue &amp; "!B:B"),0)</f>
        <v>212</v>
      </c>
      <c r="T437" s="17"/>
    </row>
    <row r="438" spans="1:20" s="24" customFormat="1" ht="15.75" customHeight="1" x14ac:dyDescent="0.25">
      <c r="A438" s="30">
        <f ca="1">INDEX(INDIRECT(zoneFichierTraite),$J437+offsetInitialFichierTraite,2)</f>
        <v>202</v>
      </c>
      <c r="B438" s="29" t="str">
        <f ca="1">IFERROR(INDEX(INDIRECT(zoneFichierEAN13Valmag),$P437,3),"")</f>
        <v/>
      </c>
      <c r="C438" s="22" t="str">
        <f ca="1">IFERROR(INDEX(INDIRECT(zoneFichierEAN13Valmag),$O437,3),"")</f>
        <v/>
      </c>
      <c r="D438" s="23" t="str">
        <f ca="1">IFERROR(INDEX(INDIRECT(zoneFichierEAN13Valmag),$O437,4),"")</f>
        <v/>
      </c>
      <c r="E438" s="38" t="str">
        <f ca="1">IFERROR(INDEX(INDIRECT(zoneFichierFiltreCatalogue),S437,3),"")</f>
        <v>p041-2-01</v>
      </c>
      <c r="F438" s="23"/>
      <c r="G438" s="21"/>
      <c r="H438" s="39" t="str">
        <f ca="1">IFERROR(INDEX(INDIRECT(zoneFichierFiltreCatalogue),S437,6),"")</f>
        <v>fall 2019 presentation_/catalogo fall 19.txt</v>
      </c>
      <c r="R438" s="25"/>
      <c r="S438" s="25"/>
    </row>
    <row r="439" spans="1:20" ht="39" customHeight="1" thickBot="1" x14ac:dyDescent="0.65">
      <c r="A439" s="11" t="str">
        <f ca="1">INDEX(INDIRECT(zoneFichierTraite),$J439+offsetInitialFichierTraite,6)</f>
        <v>UNICA</v>
      </c>
      <c r="B439" s="7" t="str">
        <f ca="1">INDEX(INDIRECT(zoneFichierTraite),$J439+offsetInitialFichierTraite,4)</f>
        <v>SHOUX001-ECS03-615</v>
      </c>
      <c r="C439" s="31" t="str">
        <f ca="1">INDEX(INDIRECT(zoneFichierTraite),$J439+offsetInitialFichierTraite,5)</f>
        <v>BANDOULIÃˆRE EXTRASLIM 110 + CLIP EN FAUX CUIR SUÃˆDE</v>
      </c>
      <c r="D439" s="32" t="str">
        <f ca="1">INDEX(INDIRECT(zoneFichierTraite),$J439+offsetInitialFichierTraite,13)</f>
        <v>military</v>
      </c>
      <c r="E439" s="35">
        <f ca="1">INDEX(INDIRECT(zoneFichierTraite),$J439+offsetInitialFichierTraite,7)</f>
        <v>2</v>
      </c>
      <c r="F439" s="33">
        <f ca="1">INDEX(INDIRECT(zoneFichierTraite),$J439+offsetInitialFichierTraite,8)</f>
        <v>10</v>
      </c>
      <c r="G439" s="34">
        <f t="shared" ref="G439" ca="1" si="437">ROUNDUP(F439*3,0)</f>
        <v>30</v>
      </c>
      <c r="H439" s="37" t="str">
        <f t="shared" ref="H439" ca="1" si="438">IF(ISNUMBER(N439),codeEAN13(INT(N439/10)),"")</f>
        <v>8APASOG*ajcdba+</v>
      </c>
      <c r="J439" s="18">
        <f t="shared" si="394"/>
        <v>215</v>
      </c>
      <c r="L439" s="7" t="str">
        <f ca="1">INDEX(INDIRECT(zoneFichierTraite),$J439+offsetInitialFichierTraite,1)</f>
        <v>'215</v>
      </c>
      <c r="M439" s="14">
        <f ca="1">INDEX(INDIRECT(zoneFichierTraite),$J439+offsetInitialFichierTraite,9)</f>
        <v>20</v>
      </c>
      <c r="N439" s="17">
        <f ca="1">INDEX(INDIRECT(zoneFichierTraite),$J439+offsetInitialFichierTraite,3)</f>
        <v>8050846092310</v>
      </c>
      <c r="O439" s="2" t="e">
        <f ca="1">MATCH(N439,INDIRECT(nomFichierEAN13Valmag &amp; "!A:A"),0)</f>
        <v>#N/A</v>
      </c>
      <c r="P439" s="2" t="e">
        <f ca="1">MATCH(R439,INDIRECT(nomFichierEAN13Valmag &amp; "!A:A"),0)</f>
        <v>#N/A</v>
      </c>
      <c r="Q439" s="2">
        <f ca="1">MATCH(LEFT(B439,14) &amp; "*",INDIRECT(nomFichierBaseCatalogue &amp; "!B:B"),0)</f>
        <v>1699</v>
      </c>
      <c r="R439" s="17">
        <f ca="1">IFERROR(INDEX(INDIRECT(zoneFichierBaseCatalogue),Q439,1),"")</f>
        <v>8050846092334</v>
      </c>
      <c r="S439" s="2">
        <f ca="1">MATCH(B439,INDIRECT(nomFichierFiltreCatalogue &amp; "!B:B"),0)</f>
        <v>225</v>
      </c>
      <c r="T439" s="17"/>
    </row>
    <row r="440" spans="1:20" s="24" customFormat="1" ht="15.75" customHeight="1" x14ac:dyDescent="0.25">
      <c r="A440" s="30">
        <f ca="1">INDEX(INDIRECT(zoneFichierTraite),$J439+offsetInitialFichierTraite,2)</f>
        <v>220</v>
      </c>
      <c r="B440" s="29" t="str">
        <f ca="1">IFERROR(INDEX(INDIRECT(zoneFichierEAN13Valmag),$P439,3),"")</f>
        <v/>
      </c>
      <c r="C440" s="22" t="str">
        <f ca="1">IFERROR(INDEX(INDIRECT(zoneFichierEAN13Valmag),$O439,3),"")</f>
        <v/>
      </c>
      <c r="D440" s="23" t="str">
        <f ca="1">IFERROR(INDEX(INDIRECT(zoneFichierEAN13Valmag),$O439,4),"")</f>
        <v/>
      </c>
      <c r="E440" s="38" t="str">
        <f ca="1">IFERROR(INDEX(INDIRECT(zoneFichierFiltreCatalogue),S439,3),"")</f>
        <v>p044-1-02</v>
      </c>
      <c r="F440" s="23"/>
      <c r="G440" s="21"/>
      <c r="H440" s="39" t="str">
        <f ca="1">IFERROR(INDEX(INDIRECT(zoneFichierFiltreCatalogue),S439,6),"")</f>
        <v>fall 2019 presentation_/catalogo fall 19.txt</v>
      </c>
      <c r="R440" s="25"/>
      <c r="S440" s="25"/>
    </row>
    <row r="441" spans="1:20" ht="39" customHeight="1" thickBot="1" x14ac:dyDescent="0.65">
      <c r="A441" s="11" t="str">
        <f ca="1">INDEX(INDIRECT(zoneFichierTraite),$J441+offsetInitialFichierTraite,6)</f>
        <v>UNICA</v>
      </c>
      <c r="B441" s="7" t="str">
        <f ca="1">INDEX(INDIRECT(zoneFichierTraite),$J441+offsetInitialFichierTraite,4)</f>
        <v>SHOUX001-ECS29-017</v>
      </c>
      <c r="C441" s="31" t="str">
        <f ca="1">INDEX(INDIRECT(zoneFichierTraite),$J441+offsetInitialFichierTraite,5)</f>
        <v>BANDOULIÃˆRE EXTRASLIM 110 + CLIP EN FAUX CUIR IMPRIME COCO</v>
      </c>
      <c r="D441" s="32" t="str">
        <f ca="1">INDEX(INDIRECT(zoneFichierTraite),$J441+offsetInitialFichierTraite,13)</f>
        <v>blu navy</v>
      </c>
      <c r="E441" s="35">
        <f ca="1">INDEX(INDIRECT(zoneFichierTraite),$J441+offsetInitialFichierTraite,7)</f>
        <v>2</v>
      </c>
      <c r="F441" s="33">
        <f ca="1">INDEX(INDIRECT(zoneFichierTraite),$J441+offsetInitialFichierTraite,8)</f>
        <v>10</v>
      </c>
      <c r="G441" s="34">
        <f t="shared" ref="G441" ca="1" si="439">ROUNDUP(F441*3,0)</f>
        <v>30</v>
      </c>
      <c r="H441" s="37" t="str">
        <f t="shared" ref="H441" ca="1" si="440">IF(ISNUMBER(N441),codeEAN13(INT(N441/10)),"")</f>
        <v>8APASOG*ajcdeb+</v>
      </c>
      <c r="J441" s="18">
        <f t="shared" si="394"/>
        <v>216</v>
      </c>
      <c r="L441" s="7" t="str">
        <f ca="1">INDEX(INDIRECT(zoneFichierTraite),$J441+offsetInitialFichierTraite,1)</f>
        <v>'216</v>
      </c>
      <c r="M441" s="14">
        <f ca="1">INDEX(INDIRECT(zoneFichierTraite),$J441+offsetInitialFichierTraite,9)</f>
        <v>20</v>
      </c>
      <c r="N441" s="17">
        <f ca="1">INDEX(INDIRECT(zoneFichierTraite),$J441+offsetInitialFichierTraite,3)</f>
        <v>8050846092341</v>
      </c>
      <c r="O441" s="2" t="e">
        <f ca="1">MATCH(N441,INDIRECT(nomFichierEAN13Valmag &amp; "!A:A"),0)</f>
        <v>#N/A</v>
      </c>
      <c r="P441" s="2" t="e">
        <f ca="1">MATCH(R441,INDIRECT(nomFichierEAN13Valmag &amp; "!A:A"),0)</f>
        <v>#N/A</v>
      </c>
      <c r="Q441" s="2">
        <f ca="1">MATCH(LEFT(B441,14) &amp; "*",INDIRECT(nomFichierBaseCatalogue &amp; "!B:B"),0)</f>
        <v>1701</v>
      </c>
      <c r="R441" s="17">
        <f ca="1">IFERROR(INDEX(INDIRECT(zoneFichierBaseCatalogue),Q441,1),"")</f>
        <v>8050846092341</v>
      </c>
      <c r="S441" s="2">
        <f ca="1">MATCH(B441,INDIRECT(nomFichierFiltreCatalogue &amp; "!B:B"),0)</f>
        <v>217</v>
      </c>
      <c r="T441" s="17"/>
    </row>
    <row r="442" spans="1:20" s="24" customFormat="1" ht="15.75" customHeight="1" x14ac:dyDescent="0.25">
      <c r="A442" s="30">
        <f ca="1">INDEX(INDIRECT(zoneFichierTraite),$J441+offsetInitialFichierTraite,2)</f>
        <v>118</v>
      </c>
      <c r="B442" s="29" t="str">
        <f ca="1">IFERROR(INDEX(INDIRECT(zoneFichierEAN13Valmag),$P441,3),"")</f>
        <v/>
      </c>
      <c r="C442" s="22" t="str">
        <f ca="1">IFERROR(INDEX(INDIRECT(zoneFichierEAN13Valmag),$O441,3),"")</f>
        <v/>
      </c>
      <c r="D442" s="23" t="str">
        <f ca="1">IFERROR(INDEX(INDIRECT(zoneFichierEAN13Valmag),$O441,4),"")</f>
        <v/>
      </c>
      <c r="E442" s="38" t="str">
        <f ca="1">IFERROR(INDEX(INDIRECT(zoneFichierFiltreCatalogue),S441,3),"")</f>
        <v>p043-1-01</v>
      </c>
      <c r="F442" s="23"/>
      <c r="G442" s="21"/>
      <c r="H442" s="39" t="str">
        <f ca="1">IFERROR(INDEX(INDIRECT(zoneFichierFiltreCatalogue),S441,6),"")</f>
        <v>fall 2019 presentation_/catalogo fall 19.txt</v>
      </c>
      <c r="R442" s="25"/>
      <c r="S442" s="25"/>
    </row>
    <row r="443" spans="1:20" ht="39" customHeight="1" thickBot="1" x14ac:dyDescent="0.65">
      <c r="A443" s="11" t="str">
        <f ca="1">INDEX(INDIRECT(zoneFichierTraite),$J443+offsetInitialFichierTraite,6)</f>
        <v>UNICA</v>
      </c>
      <c r="B443" s="7" t="str">
        <f ca="1">INDEX(INDIRECT(zoneFichierTraite),$J443+offsetInitialFichierTraite,4)</f>
        <v>SHOUX001-ECS29-084</v>
      </c>
      <c r="C443" s="31" t="str">
        <f ca="1">INDEX(INDIRECT(zoneFichierTraite),$J443+offsetInitialFichierTraite,5)</f>
        <v>BANDOULIÃˆRE EXTRASLIM 110 + CLIP EN FAUX CUIR IMPRIME COCO</v>
      </c>
      <c r="D443" s="32" t="str">
        <f ca="1">INDEX(INDIRECT(zoneFichierTraite),$J443+offsetInitialFichierTraite,13)</f>
        <v>testa di moro</v>
      </c>
      <c r="E443" s="35">
        <f ca="1">INDEX(INDIRECT(zoneFichierTraite),$J443+offsetInitialFichierTraite,7)</f>
        <v>2</v>
      </c>
      <c r="F443" s="33">
        <f ca="1">INDEX(INDIRECT(zoneFichierTraite),$J443+offsetInitialFichierTraite,8)</f>
        <v>10</v>
      </c>
      <c r="G443" s="34">
        <f t="shared" ref="G443" ca="1" si="441">ROUNDUP(F443*3,0)</f>
        <v>30</v>
      </c>
      <c r="H443" s="37" t="str">
        <f t="shared" ref="H443" ca="1" si="442">IF(ISNUMBER(N443),codeEAN13(INT(N443/10)),"")</f>
        <v>8APASOG*ajcdfi+</v>
      </c>
      <c r="J443" s="18">
        <f t="shared" si="394"/>
        <v>217</v>
      </c>
      <c r="L443" s="7" t="str">
        <f ca="1">INDEX(INDIRECT(zoneFichierTraite),$J443+offsetInitialFichierTraite,1)</f>
        <v>'217</v>
      </c>
      <c r="M443" s="14">
        <f ca="1">INDEX(INDIRECT(zoneFichierTraite),$J443+offsetInitialFichierTraite,9)</f>
        <v>20</v>
      </c>
      <c r="N443" s="17">
        <f ca="1">INDEX(INDIRECT(zoneFichierTraite),$J443+offsetInitialFichierTraite,3)</f>
        <v>8050846092358</v>
      </c>
      <c r="O443" s="2" t="e">
        <f ca="1">MATCH(N443,INDIRECT(nomFichierEAN13Valmag &amp; "!A:A"),0)</f>
        <v>#N/A</v>
      </c>
      <c r="P443" s="2" t="e">
        <f ca="1">MATCH(R443,INDIRECT(nomFichierEAN13Valmag &amp; "!A:A"),0)</f>
        <v>#N/A</v>
      </c>
      <c r="Q443" s="2">
        <f ca="1">MATCH(LEFT(B443,14) &amp; "*",INDIRECT(nomFichierBaseCatalogue &amp; "!B:B"),0)</f>
        <v>1701</v>
      </c>
      <c r="R443" s="17">
        <f ca="1">IFERROR(INDEX(INDIRECT(zoneFichierBaseCatalogue),Q443,1),"")</f>
        <v>8050846092341</v>
      </c>
      <c r="S443" s="2">
        <f ca="1">MATCH(B443,INDIRECT(nomFichierFiltreCatalogue &amp; "!B:B"),0)</f>
        <v>218</v>
      </c>
      <c r="T443" s="17"/>
    </row>
    <row r="444" spans="1:20" s="24" customFormat="1" ht="15.75" customHeight="1" x14ac:dyDescent="0.25">
      <c r="A444" s="30">
        <f ca="1">INDEX(INDIRECT(zoneFichierTraite),$J443+offsetInitialFichierTraite,2)</f>
        <v>109</v>
      </c>
      <c r="B444" s="29" t="str">
        <f ca="1">IFERROR(INDEX(INDIRECT(zoneFichierEAN13Valmag),$P443,3),"")</f>
        <v/>
      </c>
      <c r="C444" s="22" t="str">
        <f ca="1">IFERROR(INDEX(INDIRECT(zoneFichierEAN13Valmag),$O443,3),"")</f>
        <v/>
      </c>
      <c r="D444" s="23" t="str">
        <f ca="1">IFERROR(INDEX(INDIRECT(zoneFichierEAN13Valmag),$O443,4),"")</f>
        <v/>
      </c>
      <c r="E444" s="38" t="str">
        <f ca="1">IFERROR(INDEX(INDIRECT(zoneFichierFiltreCatalogue),S443,3),"")</f>
        <v>p043-1-02</v>
      </c>
      <c r="F444" s="23"/>
      <c r="G444" s="21"/>
      <c r="H444" s="39" t="str">
        <f ca="1">IFERROR(INDEX(INDIRECT(zoneFichierFiltreCatalogue),S443,6),"")</f>
        <v>fall 2019 presentation_/catalogo fall 19.txt</v>
      </c>
      <c r="R444" s="25"/>
      <c r="S444" s="25"/>
    </row>
    <row r="445" spans="1:20" ht="39" customHeight="1" thickBot="1" x14ac:dyDescent="0.65">
      <c r="A445" s="11" t="str">
        <f ca="1">INDEX(INDIRECT(zoneFichierTraite),$J445+offsetInitialFichierTraite,6)</f>
        <v>UNICA</v>
      </c>
      <c r="B445" s="7" t="str">
        <f ca="1">INDEX(INDIRECT(zoneFichierTraite),$J445+offsetInitialFichierTraite,4)</f>
        <v>SHOUX101-ECS00-017</v>
      </c>
      <c r="C445" s="31" t="str">
        <f ca="1">INDEX(INDIRECT(zoneFichierTraite),$J445+offsetInitialFichierTraite,5)</f>
        <v>BANDOULIÃˆRE EXTRASLIM 110 + ANSES TUBULAIRES + CLIP FAUX CUIR</v>
      </c>
      <c r="D445" s="32" t="str">
        <f ca="1">INDEX(INDIRECT(zoneFichierTraite),$J445+offsetInitialFichierTraite,13)</f>
        <v>blu navy</v>
      </c>
      <c r="E445" s="35">
        <f ca="1">INDEX(INDIRECT(zoneFichierTraite),$J445+offsetInitialFichierTraite,7)</f>
        <v>2</v>
      </c>
      <c r="F445" s="33">
        <f ca="1">INDEX(INDIRECT(zoneFichierTraite),$J445+offsetInitialFichierTraite,8)</f>
        <v>18.96</v>
      </c>
      <c r="G445" s="34">
        <f t="shared" ref="G445" ca="1" si="443">ROUNDUP(F445*3,0)</f>
        <v>57</v>
      </c>
      <c r="H445" s="37" t="str">
        <f t="shared" ref="H445" ca="1" si="444">IF(ISNUMBER(N445),codeEAN13(INT(N445/10)),"")</f>
        <v>8APASOG*adfbii+</v>
      </c>
      <c r="J445" s="18">
        <f t="shared" si="394"/>
        <v>218</v>
      </c>
      <c r="L445" s="7" t="str">
        <f ca="1">INDEX(INDIRECT(zoneFichierTraite),$J445+offsetInitialFichierTraite,1)</f>
        <v>'218</v>
      </c>
      <c r="M445" s="14">
        <f ca="1">INDEX(INDIRECT(zoneFichierTraite),$J445+offsetInitialFichierTraite,9)</f>
        <v>37.92</v>
      </c>
      <c r="N445" s="17">
        <f ca="1">INDEX(INDIRECT(zoneFichierTraite),$J445+offsetInitialFichierTraite,3)</f>
        <v>8050846035188</v>
      </c>
      <c r="O445" s="2">
        <f ca="1">MATCH(N445,INDIRECT(nomFichierEAN13Valmag &amp; "!A:A"),0)</f>
        <v>2549</v>
      </c>
      <c r="P445" s="2">
        <f ca="1">MATCH(R445,INDIRECT(nomFichierEAN13Valmag &amp; "!A:A"),0)</f>
        <v>2549</v>
      </c>
      <c r="Q445" s="2">
        <f ca="1">MATCH(LEFT(B445,14) &amp; "*",INDIRECT(nomFichierBaseCatalogue &amp; "!B:B"),0)</f>
        <v>1703</v>
      </c>
      <c r="R445" s="17">
        <f ca="1">IFERROR(INDEX(INDIRECT(zoneFichierBaseCatalogue),Q445,1),"")</f>
        <v>8050846035188</v>
      </c>
      <c r="S445" s="2">
        <f ca="1">MATCH(B445,INDIRECT(nomFichierFiltreCatalogue &amp; "!B:B"),0)</f>
        <v>226</v>
      </c>
      <c r="T445" s="17"/>
    </row>
    <row r="446" spans="1:20" s="24" customFormat="1" ht="15.75" customHeight="1" x14ac:dyDescent="0.25">
      <c r="A446" s="30">
        <f ca="1">INDEX(INDIRECT(zoneFichierTraite),$J445+offsetInitialFichierTraite,2)</f>
        <v>85</v>
      </c>
      <c r="B446" s="29" t="str">
        <f ca="1">IFERROR(INDEX(INDIRECT(zoneFichierEAN13Valmag),$P445,3),"")</f>
        <v>ANSESTUB/BANDOUL</v>
      </c>
      <c r="C446" s="22" t="str">
        <f ca="1">IFERROR(INDEX(INDIRECT(zoneFichierEAN13Valmag),$O445,3),"")</f>
        <v>ANSESTUB/BANDOUL</v>
      </c>
      <c r="D446" s="23" t="str">
        <f ca="1">IFERROR(INDEX(INDIRECT(zoneFichierEAN13Valmag),$O445,4),"")</f>
        <v xml:space="preserve">NAVY </v>
      </c>
      <c r="E446" s="38" t="str">
        <f ca="1">IFERROR(INDEX(INDIRECT(zoneFichierFiltreCatalogue),S445,3),"")</f>
        <v>p044-2-01</v>
      </c>
      <c r="F446" s="23"/>
      <c r="G446" s="21"/>
      <c r="H446" s="39" t="str">
        <f ca="1">IFERROR(INDEX(INDIRECT(zoneFichierFiltreCatalogue),S445,6),"")</f>
        <v>fall 2019 presentation_/catalogo fall 19.txt</v>
      </c>
      <c r="R446" s="25"/>
      <c r="S446" s="25"/>
    </row>
    <row r="447" spans="1:20" ht="39" customHeight="1" thickBot="1" x14ac:dyDescent="0.65">
      <c r="A447" s="11" t="str">
        <f ca="1">INDEX(INDIRECT(zoneFichierTraite),$J447+offsetInitialFichierTraite,6)</f>
        <v>UNICA</v>
      </c>
      <c r="B447" s="7" t="str">
        <f ca="1">INDEX(INDIRECT(zoneFichierTraite),$J447+offsetInitialFichierTraite,4)</f>
        <v>SHOUX101-ECS00-055</v>
      </c>
      <c r="C447" s="31" t="str">
        <f ca="1">INDEX(INDIRECT(zoneFichierTraite),$J447+offsetInitialFichierTraite,5)</f>
        <v>BANDOULIÃˆRE EXTRASLIM 110 + ANSES TUBULAIRES + CLIP FAUX CUIR</v>
      </c>
      <c r="D447" s="32" t="str">
        <f ca="1">INDEX(INDIRECT(zoneFichierTraite),$J447+offsetInitialFichierTraite,13)</f>
        <v>nero</v>
      </c>
      <c r="E447" s="35">
        <f ca="1">INDEX(INDIRECT(zoneFichierTraite),$J447+offsetInitialFichierTraite,7)</f>
        <v>3</v>
      </c>
      <c r="F447" s="33">
        <f ca="1">INDEX(INDIRECT(zoneFichierTraite),$J447+offsetInitialFichierTraite,8)</f>
        <v>18.96</v>
      </c>
      <c r="G447" s="34">
        <f t="shared" ref="G447" ca="1" si="445">ROUNDUP(F447*3,0)</f>
        <v>57</v>
      </c>
      <c r="H447" s="37" t="str">
        <f t="shared" ref="H447" ca="1" si="446">IF(ISNUMBER(N447),codeEAN13(INT(N447/10)),"")</f>
        <v>8APASOG*adfcab+</v>
      </c>
      <c r="J447" s="18">
        <f t="shared" si="394"/>
        <v>219</v>
      </c>
      <c r="L447" s="7" t="str">
        <f ca="1">INDEX(INDIRECT(zoneFichierTraite),$J447+offsetInitialFichierTraite,1)</f>
        <v>'219</v>
      </c>
      <c r="M447" s="14">
        <f ca="1">INDEX(INDIRECT(zoneFichierTraite),$J447+offsetInitialFichierTraite,9)</f>
        <v>56.88</v>
      </c>
      <c r="N447" s="17">
        <f ca="1">INDEX(INDIRECT(zoneFichierTraite),$J447+offsetInitialFichierTraite,3)</f>
        <v>8050846035201</v>
      </c>
      <c r="O447" s="2">
        <f ca="1">MATCH(N447,INDIRECT(nomFichierEAN13Valmag &amp; "!A:A"),0)</f>
        <v>2543</v>
      </c>
      <c r="P447" s="2">
        <f ca="1">MATCH(R447,INDIRECT(nomFichierEAN13Valmag &amp; "!A:A"),0)</f>
        <v>2549</v>
      </c>
      <c r="Q447" s="2">
        <f ca="1">MATCH(LEFT(B447,14) &amp; "*",INDIRECT(nomFichierBaseCatalogue &amp; "!B:B"),0)</f>
        <v>1703</v>
      </c>
      <c r="R447" s="17">
        <f ca="1">IFERROR(INDEX(INDIRECT(zoneFichierBaseCatalogue),Q447,1),"")</f>
        <v>8050846035188</v>
      </c>
      <c r="S447" s="2">
        <f ca="1">MATCH(B447,INDIRECT(nomFichierFiltreCatalogue &amp; "!B:B"),0)</f>
        <v>228</v>
      </c>
      <c r="T447" s="17"/>
    </row>
    <row r="448" spans="1:20" s="24" customFormat="1" ht="15.75" customHeight="1" x14ac:dyDescent="0.25">
      <c r="A448" s="30">
        <f ca="1">INDEX(INDIRECT(zoneFichierTraite),$J447+offsetInitialFichierTraite,2)</f>
        <v>102</v>
      </c>
      <c r="B448" s="29" t="str">
        <f ca="1">IFERROR(INDEX(INDIRECT(zoneFichierEAN13Valmag),$P447,3),"")</f>
        <v>ANSESTUB/BANDOUL</v>
      </c>
      <c r="C448" s="22" t="str">
        <f ca="1">IFERROR(INDEX(INDIRECT(zoneFichierEAN13Valmag),$O447,3),"")</f>
        <v>ANSESTUB/BANDOUL</v>
      </c>
      <c r="D448" s="23" t="str">
        <f ca="1">IFERROR(INDEX(INDIRECT(zoneFichierEAN13Valmag),$O447,4),"")</f>
        <v>BLACK</v>
      </c>
      <c r="E448" s="38" t="str">
        <f ca="1">IFERROR(INDEX(INDIRECT(zoneFichierFiltreCatalogue),S447,3),"")</f>
        <v>p044-2-03</v>
      </c>
      <c r="F448" s="23"/>
      <c r="G448" s="21"/>
      <c r="H448" s="39" t="str">
        <f ca="1">IFERROR(INDEX(INDIRECT(zoneFichierFiltreCatalogue),S447,6),"")</f>
        <v>fall 2019 presentation_/catalogo fall 19.txt</v>
      </c>
      <c r="R448" s="25"/>
      <c r="S448" s="25"/>
    </row>
    <row r="449" spans="1:20" ht="39" customHeight="1" thickBot="1" x14ac:dyDescent="0.65">
      <c r="A449" s="11" t="str">
        <f ca="1">INDEX(INDIRECT(zoneFichierTraite),$J449+offsetInitialFichierTraite,6)</f>
        <v>UNICA</v>
      </c>
      <c r="B449" s="7" t="str">
        <f ca="1">INDEX(INDIRECT(zoneFichierTraite),$J449+offsetInitialFichierTraite,4)</f>
        <v>SHOUX101-ECS00-634</v>
      </c>
      <c r="C449" s="31" t="str">
        <f ca="1">INDEX(INDIRECT(zoneFichierTraite),$J449+offsetInitialFichierTraite,5)</f>
        <v>BANDOULIÃˆRE EXTRASLIM 110 + ANSES TUBULAIRES + CLIP FAUX CUIR</v>
      </c>
      <c r="D449" s="32" t="str">
        <f ca="1">INDEX(INDIRECT(zoneFichierTraite),$J449+offsetInitialFichierTraite,13)</f>
        <v>rosso + argento</v>
      </c>
      <c r="E449" s="35">
        <f ca="1">INDEX(INDIRECT(zoneFichierTraite),$J449+offsetInitialFichierTraite,7)</f>
        <v>2</v>
      </c>
      <c r="F449" s="33">
        <f ca="1">INDEX(INDIRECT(zoneFichierTraite),$J449+offsetInitialFichierTraite,8)</f>
        <v>18.96</v>
      </c>
      <c r="G449" s="34">
        <f t="shared" ref="G449" ca="1" si="447">ROUNDUP(F449*3,0)</f>
        <v>57</v>
      </c>
      <c r="H449" s="37" t="str">
        <f t="shared" ref="H449" ca="1" si="448">IF(ISNUMBER(N449),codeEAN13(INT(N449/10)),"")</f>
        <v>8APASOG*aejbjc+</v>
      </c>
      <c r="J449" s="18">
        <f t="shared" si="394"/>
        <v>220</v>
      </c>
      <c r="L449" s="7" t="str">
        <f ca="1">INDEX(INDIRECT(zoneFichierTraite),$J449+offsetInitialFichierTraite,1)</f>
        <v>'220</v>
      </c>
      <c r="M449" s="14">
        <f ca="1">INDEX(INDIRECT(zoneFichierTraite),$J449+offsetInitialFichierTraite,9)</f>
        <v>37.92</v>
      </c>
      <c r="N449" s="17">
        <f ca="1">INDEX(INDIRECT(zoneFichierTraite),$J449+offsetInitialFichierTraite,3)</f>
        <v>8050846049192</v>
      </c>
      <c r="O449" s="2">
        <f ca="1">MATCH(N449,INDIRECT(nomFichierEAN13Valmag &amp; "!A:A"),0)</f>
        <v>2551</v>
      </c>
      <c r="P449" s="2">
        <f ca="1">MATCH(R449,INDIRECT(nomFichierEAN13Valmag &amp; "!A:A"),0)</f>
        <v>2549</v>
      </c>
      <c r="Q449" s="2">
        <f ca="1">MATCH(LEFT(B449,14) &amp; "*",INDIRECT(nomFichierBaseCatalogue &amp; "!B:B"),0)</f>
        <v>1703</v>
      </c>
      <c r="R449" s="17">
        <f ca="1">IFERROR(INDEX(INDIRECT(zoneFichierBaseCatalogue),Q449,1),"")</f>
        <v>8050846035188</v>
      </c>
      <c r="S449" s="2">
        <f ca="1">MATCH(B449,INDIRECT(nomFichierFiltreCatalogue &amp; "!B:B"),0)</f>
        <v>230</v>
      </c>
      <c r="T449" s="17"/>
    </row>
    <row r="450" spans="1:20" s="24" customFormat="1" ht="15.75" customHeight="1" x14ac:dyDescent="0.25">
      <c r="A450" s="30">
        <f ca="1">INDEX(INDIRECT(zoneFichierTraite),$J449+offsetInitialFichierTraite,2)</f>
        <v>14</v>
      </c>
      <c r="B450" s="29" t="str">
        <f ca="1">IFERROR(INDEX(INDIRECT(zoneFichierEAN13Valmag),$P449,3),"")</f>
        <v>ANSESTUB/BANDOUL</v>
      </c>
      <c r="C450" s="22" t="str">
        <f ca="1">IFERROR(INDEX(INDIRECT(zoneFichierEAN13Valmag),$O449,3),"")</f>
        <v>ANSESTUB/BANDOUL</v>
      </c>
      <c r="D450" s="23" t="str">
        <f ca="1">IFERROR(INDEX(INDIRECT(zoneFichierEAN13Valmag),$O449,4),"")</f>
        <v xml:space="preserve">RED  </v>
      </c>
      <c r="E450" s="38" t="str">
        <f ca="1">IFERROR(INDEX(INDIRECT(zoneFichierFiltreCatalogue),S449,3),"")</f>
        <v>p044-2-05</v>
      </c>
      <c r="F450" s="23"/>
      <c r="G450" s="21"/>
      <c r="H450" s="39" t="str">
        <f ca="1">IFERROR(INDEX(INDIRECT(zoneFichierFiltreCatalogue),S449,6),"")</f>
        <v>fall 2019 presentation_/catalogo fall 19.txt</v>
      </c>
      <c r="R450" s="25"/>
      <c r="S450" s="25"/>
    </row>
    <row r="451" spans="1:20" ht="39" customHeight="1" thickBot="1" x14ac:dyDescent="0.65">
      <c r="A451" s="11" t="str">
        <f ca="1">INDEX(INDIRECT(zoneFichierTraite),$J451+offsetInitialFichierTraite,6)</f>
        <v>UNICA</v>
      </c>
      <c r="B451" s="7" t="str">
        <f ca="1">INDEX(INDIRECT(zoneFichierTraite),$J451+offsetInitialFichierTraite,4)</f>
        <v>SHOUX101-ECS00-635</v>
      </c>
      <c r="C451" s="31" t="str">
        <f ca="1">INDEX(INDIRECT(zoneFichierTraite),$J451+offsetInitialFichierTraite,5)</f>
        <v>BANDOULIÃˆRE EXTRASLIM 110 + ANSES TUBULAIRES + CLIP FAUX CUIR</v>
      </c>
      <c r="D451" s="32" t="str">
        <f ca="1">INDEX(INDIRECT(zoneFichierTraite),$J451+offsetInitialFichierTraite,13)</f>
        <v>bluette + argento</v>
      </c>
      <c r="E451" s="35">
        <f ca="1">INDEX(INDIRECT(zoneFichierTraite),$J451+offsetInitialFichierTraite,7)</f>
        <v>2</v>
      </c>
      <c r="F451" s="33">
        <f ca="1">INDEX(INDIRECT(zoneFichierTraite),$J451+offsetInitialFichierTraite,8)</f>
        <v>18.96</v>
      </c>
      <c r="G451" s="34">
        <f t="shared" ref="G451" ca="1" si="449">ROUNDUP(F451*3,0)</f>
        <v>57</v>
      </c>
      <c r="H451" s="37" t="str">
        <f t="shared" ref="H451" ca="1" si="450">IF(ISNUMBER(N451),codeEAN13(INT(N451/10)),"")</f>
        <v>8APASOG*adfcfg+</v>
      </c>
      <c r="J451" s="18">
        <f t="shared" si="394"/>
        <v>221</v>
      </c>
      <c r="L451" s="7" t="str">
        <f ca="1">INDEX(INDIRECT(zoneFichierTraite),$J451+offsetInitialFichierTraite,1)</f>
        <v>'221</v>
      </c>
      <c r="M451" s="14">
        <f ca="1">INDEX(INDIRECT(zoneFichierTraite),$J451+offsetInitialFichierTraite,9)</f>
        <v>37.92</v>
      </c>
      <c r="N451" s="17">
        <f ca="1">INDEX(INDIRECT(zoneFichierTraite),$J451+offsetInitialFichierTraite,3)</f>
        <v>8050846035256</v>
      </c>
      <c r="O451" s="2">
        <f ca="1">MATCH(N451,INDIRECT(nomFichierEAN13Valmag &amp; "!A:A"),0)</f>
        <v>2544</v>
      </c>
      <c r="P451" s="2">
        <f ca="1">MATCH(R451,INDIRECT(nomFichierEAN13Valmag &amp; "!A:A"),0)</f>
        <v>2549</v>
      </c>
      <c r="Q451" s="2">
        <f ca="1">MATCH(LEFT(B451,14) &amp; "*",INDIRECT(nomFichierBaseCatalogue &amp; "!B:B"),0)</f>
        <v>1703</v>
      </c>
      <c r="R451" s="17">
        <f ca="1">IFERROR(INDEX(INDIRECT(zoneFichierBaseCatalogue),Q451,1),"")</f>
        <v>8050846035188</v>
      </c>
      <c r="S451" s="2">
        <f ca="1">MATCH(B451,INDIRECT(nomFichierFiltreCatalogue &amp; "!B:B"),0)</f>
        <v>231</v>
      </c>
      <c r="T451" s="17"/>
    </row>
    <row r="452" spans="1:20" s="24" customFormat="1" ht="15.75" customHeight="1" x14ac:dyDescent="0.25">
      <c r="A452" s="30">
        <f ca="1">INDEX(INDIRECT(zoneFichierTraite),$J451+offsetInitialFichierTraite,2)</f>
        <v>75</v>
      </c>
      <c r="B452" s="29" t="str">
        <f ca="1">IFERROR(INDEX(INDIRECT(zoneFichierEAN13Valmag),$P451,3),"")</f>
        <v>ANSESTUB/BANDOUL</v>
      </c>
      <c r="C452" s="22" t="str">
        <f ca="1">IFERROR(INDEX(INDIRECT(zoneFichierEAN13Valmag),$O451,3),"")</f>
        <v>ANSESTUB/BANDOUL</v>
      </c>
      <c r="D452" s="23" t="str">
        <f ca="1">IFERROR(INDEX(INDIRECT(zoneFichierEAN13Valmag),$O451,4),"")</f>
        <v>BLUET</v>
      </c>
      <c r="E452" s="38" t="str">
        <f ca="1">IFERROR(INDEX(INDIRECT(zoneFichierFiltreCatalogue),S451,3),"")</f>
        <v>p044-2-06</v>
      </c>
      <c r="F452" s="23"/>
      <c r="G452" s="21"/>
      <c r="H452" s="39" t="str">
        <f ca="1">IFERROR(INDEX(INDIRECT(zoneFichierFiltreCatalogue),S451,6),"")</f>
        <v>fall 2019 presentation_/catalogo fall 19.txt</v>
      </c>
      <c r="R452" s="25"/>
      <c r="S452" s="25"/>
    </row>
    <row r="453" spans="1:20" ht="39" customHeight="1" thickBot="1" x14ac:dyDescent="0.65">
      <c r="A453" s="11">
        <f ca="1">INDEX(INDIRECT(zoneFichierTraite),$J453+offsetInitialFichierTraite,6)</f>
        <v>0</v>
      </c>
      <c r="B453" s="7">
        <f ca="1">INDEX(INDIRECT(zoneFichierTraite),$J453+offsetInitialFichierTraite,4)</f>
        <v>0</v>
      </c>
      <c r="C453" s="31">
        <f ca="1">INDEX(INDIRECT(zoneFichierTraite),$J453+offsetInitialFichierTraite,5)</f>
        <v>0</v>
      </c>
      <c r="D453" s="32">
        <f ca="1">INDEX(INDIRECT(zoneFichierTraite),$J453+offsetInitialFichierTraite,13)</f>
        <v>0</v>
      </c>
      <c r="E453" s="35">
        <f ca="1">INDEX(INDIRECT(zoneFichierTraite),$J453+offsetInitialFichierTraite,7)</f>
        <v>0</v>
      </c>
      <c r="F453" s="33">
        <f ca="1">INDEX(INDIRECT(zoneFichierTraite),$J453+offsetInitialFichierTraite,8)</f>
        <v>0</v>
      </c>
      <c r="G453" s="34">
        <f t="shared" ref="G453" ca="1" si="451">ROUNDUP(F453*3,0)</f>
        <v>0</v>
      </c>
      <c r="H453" s="37" t="str">
        <f t="shared" ref="H453" ca="1" si="452">IF(ISNUMBER(N453),codeEAN13(INT(N453/10)),"")</f>
        <v/>
      </c>
      <c r="J453" s="18">
        <f t="shared" si="394"/>
        <v>222</v>
      </c>
      <c r="L453" s="7">
        <f ca="1">INDEX(INDIRECT(zoneFichierTraite),$J453+offsetInitialFichierTraite,1)</f>
        <v>0</v>
      </c>
      <c r="M453" s="14">
        <f ca="1">INDEX(INDIRECT(zoneFichierTraite),$J453+offsetInitialFichierTraite,9)</f>
        <v>0</v>
      </c>
      <c r="N453" s="17">
        <f ca="1">INDEX(INDIRECT(zoneFichierTraite),$J453+offsetInitialFichierTraite,3)</f>
        <v>0</v>
      </c>
      <c r="O453" s="2" t="e">
        <f ca="1">MATCH(N453,INDIRECT(nomFichierEAN13Valmag &amp; "!A:A"),0)</f>
        <v>#N/A</v>
      </c>
      <c r="P453" s="2" t="e">
        <f ca="1">MATCH(R453,INDIRECT(nomFichierEAN13Valmag &amp; "!A:A"),0)</f>
        <v>#N/A</v>
      </c>
      <c r="Q453" s="2" t="e">
        <f ca="1">MATCH(LEFT(B453,14) &amp; "*",INDIRECT(nomFichierBaseCatalogue &amp; "!B:B"),0)</f>
        <v>#N/A</v>
      </c>
      <c r="R453" s="17" t="str">
        <f ca="1">IFERROR(INDEX(INDIRECT(zoneFichierBaseCatalogue),Q453,1),"")</f>
        <v/>
      </c>
      <c r="S453" s="2" t="e">
        <f ca="1">MATCH(B453,INDIRECT(nomFichierFiltreCatalogue &amp; "!B:B"),0)</f>
        <v>#N/A</v>
      </c>
      <c r="T453" s="17"/>
    </row>
    <row r="454" spans="1:20" s="24" customFormat="1" ht="15.75" customHeight="1" x14ac:dyDescent="0.25">
      <c r="A454" s="30">
        <f ca="1">INDEX(INDIRECT(zoneFichierTraite),$J453+offsetInitialFichierTraite,2)</f>
        <v>0</v>
      </c>
      <c r="B454" s="29" t="str">
        <f ca="1">IFERROR(INDEX(INDIRECT(zoneFichierEAN13Valmag),$P453,3),"")</f>
        <v/>
      </c>
      <c r="C454" s="22" t="str">
        <f ca="1">IFERROR(INDEX(INDIRECT(zoneFichierEAN13Valmag),$O453,3),"")</f>
        <v/>
      </c>
      <c r="D454" s="23" t="str">
        <f ca="1">IFERROR(INDEX(INDIRECT(zoneFichierEAN13Valmag),$O453,4),"")</f>
        <v/>
      </c>
      <c r="E454" s="38" t="str">
        <f ca="1">IFERROR(INDEX(INDIRECT(zoneFichierFiltreCatalogue),S453,3),"")</f>
        <v/>
      </c>
      <c r="F454" s="23"/>
      <c r="G454" s="21"/>
      <c r="H454" s="39" t="str">
        <f ca="1">IFERROR(INDEX(INDIRECT(zoneFichierFiltreCatalogue),S453,6),"")</f>
        <v/>
      </c>
      <c r="R454" s="25"/>
      <c r="S454" s="25"/>
    </row>
    <row r="455" spans="1:20" ht="39" customHeight="1" thickBot="1" x14ac:dyDescent="0.65">
      <c r="A455" s="11">
        <f ca="1">INDEX(INDIRECT(zoneFichierTraite),$J455+offsetInitialFichierTraite,6)</f>
        <v>0</v>
      </c>
      <c r="B455" s="7">
        <f ca="1">INDEX(INDIRECT(zoneFichierTraite),$J455+offsetInitialFichierTraite,4)</f>
        <v>0</v>
      </c>
      <c r="C455" s="31">
        <f ca="1">INDEX(INDIRECT(zoneFichierTraite),$J455+offsetInitialFichierTraite,5)</f>
        <v>0</v>
      </c>
      <c r="D455" s="32">
        <f ca="1">INDEX(INDIRECT(zoneFichierTraite),$J455+offsetInitialFichierTraite,13)</f>
        <v>0</v>
      </c>
      <c r="E455" s="35">
        <f ca="1">INDEX(INDIRECT(zoneFichierTraite),$J455+offsetInitialFichierTraite,7)</f>
        <v>0</v>
      </c>
      <c r="F455" s="33">
        <f ca="1">INDEX(INDIRECT(zoneFichierTraite),$J455+offsetInitialFichierTraite,8)</f>
        <v>0</v>
      </c>
      <c r="G455" s="34">
        <f t="shared" ref="G455" ca="1" si="453">ROUNDUP(F455*3,0)</f>
        <v>0</v>
      </c>
      <c r="H455" s="37" t="str">
        <f t="shared" ref="H455" ca="1" si="454">IF(ISNUMBER(N455),codeEAN13(INT(N455/10)),"")</f>
        <v/>
      </c>
      <c r="J455" s="18">
        <f t="shared" si="394"/>
        <v>223</v>
      </c>
      <c r="L455" s="7">
        <f ca="1">INDEX(INDIRECT(zoneFichierTraite),$J455+offsetInitialFichierTraite,1)</f>
        <v>0</v>
      </c>
      <c r="M455" s="14">
        <f ca="1">INDEX(INDIRECT(zoneFichierTraite),$J455+offsetInitialFichierTraite,9)</f>
        <v>0</v>
      </c>
      <c r="N455" s="17">
        <f ca="1">INDEX(INDIRECT(zoneFichierTraite),$J455+offsetInitialFichierTraite,3)</f>
        <v>0</v>
      </c>
      <c r="O455" s="2" t="e">
        <f ca="1">MATCH(N455,INDIRECT(nomFichierEAN13Valmag &amp; "!A:A"),0)</f>
        <v>#N/A</v>
      </c>
      <c r="P455" s="2" t="e">
        <f ca="1">MATCH(R455,INDIRECT(nomFichierEAN13Valmag &amp; "!A:A"),0)</f>
        <v>#N/A</v>
      </c>
      <c r="Q455" s="2" t="e">
        <f ca="1">MATCH(LEFT(B455,14) &amp; "*",INDIRECT(nomFichierBaseCatalogue &amp; "!B:B"),0)</f>
        <v>#N/A</v>
      </c>
      <c r="R455" s="17" t="str">
        <f ca="1">IFERROR(INDEX(INDIRECT(zoneFichierBaseCatalogue),Q455,1),"")</f>
        <v/>
      </c>
      <c r="S455" s="2" t="e">
        <f ca="1">MATCH(B455,INDIRECT(nomFichierFiltreCatalogue &amp; "!B:B"),0)</f>
        <v>#N/A</v>
      </c>
      <c r="T455" s="17"/>
    </row>
    <row r="456" spans="1:20" s="24" customFormat="1" ht="15.75" customHeight="1" x14ac:dyDescent="0.25">
      <c r="A456" s="30">
        <f ca="1">INDEX(INDIRECT(zoneFichierTraite),$J455+offsetInitialFichierTraite,2)</f>
        <v>0</v>
      </c>
      <c r="B456" s="29" t="str">
        <f ca="1">IFERROR(INDEX(INDIRECT(zoneFichierEAN13Valmag),$P455,3),"")</f>
        <v/>
      </c>
      <c r="C456" s="22" t="str">
        <f ca="1">IFERROR(INDEX(INDIRECT(zoneFichierEAN13Valmag),$O455,3),"")</f>
        <v/>
      </c>
      <c r="D456" s="23" t="str">
        <f ca="1">IFERROR(INDEX(INDIRECT(zoneFichierEAN13Valmag),$O455,4),"")</f>
        <v/>
      </c>
      <c r="E456" s="38" t="str">
        <f ca="1">IFERROR(INDEX(INDIRECT(zoneFichierFiltreCatalogue),S455,3),"")</f>
        <v/>
      </c>
      <c r="F456" s="23"/>
      <c r="G456" s="21"/>
      <c r="H456" s="39" t="str">
        <f ca="1">IFERROR(INDEX(INDIRECT(zoneFichierFiltreCatalogue),S455,6),"")</f>
        <v/>
      </c>
      <c r="R456" s="25"/>
      <c r="S456" s="25"/>
    </row>
    <row r="457" spans="1:20" ht="39" customHeight="1" thickBot="1" x14ac:dyDescent="0.65">
      <c r="A457" s="11">
        <f ca="1">INDEX(INDIRECT(zoneFichierTraite),$J457+offsetInitialFichierTraite,6)</f>
        <v>0</v>
      </c>
      <c r="B457" s="7">
        <f ca="1">INDEX(INDIRECT(zoneFichierTraite),$J457+offsetInitialFichierTraite,4)</f>
        <v>0</v>
      </c>
      <c r="C457" s="31">
        <f ca="1">INDEX(INDIRECT(zoneFichierTraite),$J457+offsetInitialFichierTraite,5)</f>
        <v>0</v>
      </c>
      <c r="D457" s="32">
        <f ca="1">INDEX(INDIRECT(zoneFichierTraite),$J457+offsetInitialFichierTraite,13)</f>
        <v>0</v>
      </c>
      <c r="E457" s="35">
        <f ca="1">INDEX(INDIRECT(zoneFichierTraite),$J457+offsetInitialFichierTraite,7)</f>
        <v>0</v>
      </c>
      <c r="F457" s="33">
        <f ca="1">INDEX(INDIRECT(zoneFichierTraite),$J457+offsetInitialFichierTraite,8)</f>
        <v>0</v>
      </c>
      <c r="G457" s="34">
        <f t="shared" ref="G457" ca="1" si="455">ROUNDUP(F457*3,0)</f>
        <v>0</v>
      </c>
      <c r="H457" s="37" t="str">
        <f t="shared" ref="H457" ca="1" si="456">IF(ISNUMBER(N457),codeEAN13(INT(N457/10)),"")</f>
        <v/>
      </c>
      <c r="J457" s="18">
        <f t="shared" si="394"/>
        <v>224</v>
      </c>
      <c r="L457" s="7">
        <f ca="1">INDEX(INDIRECT(zoneFichierTraite),$J457+offsetInitialFichierTraite,1)</f>
        <v>0</v>
      </c>
      <c r="M457" s="14">
        <f ca="1">INDEX(INDIRECT(zoneFichierTraite),$J457+offsetInitialFichierTraite,9)</f>
        <v>0</v>
      </c>
      <c r="N457" s="17">
        <f ca="1">INDEX(INDIRECT(zoneFichierTraite),$J457+offsetInitialFichierTraite,3)</f>
        <v>0</v>
      </c>
      <c r="O457" s="2" t="e">
        <f ca="1">MATCH(N457,INDIRECT(nomFichierEAN13Valmag &amp; "!A:A"),0)</f>
        <v>#N/A</v>
      </c>
      <c r="P457" s="2" t="e">
        <f ca="1">MATCH(R457,INDIRECT(nomFichierEAN13Valmag &amp; "!A:A"),0)</f>
        <v>#N/A</v>
      </c>
      <c r="Q457" s="2" t="e">
        <f ca="1">MATCH(LEFT(B457,14) &amp; "*",INDIRECT(nomFichierBaseCatalogue &amp; "!B:B"),0)</f>
        <v>#N/A</v>
      </c>
      <c r="R457" s="17" t="str">
        <f ca="1">IFERROR(INDEX(INDIRECT(zoneFichierBaseCatalogue),Q457,1),"")</f>
        <v/>
      </c>
      <c r="S457" s="2" t="e">
        <f ca="1">MATCH(B457,INDIRECT(nomFichierFiltreCatalogue &amp; "!B:B"),0)</f>
        <v>#N/A</v>
      </c>
      <c r="T457" s="17"/>
    </row>
    <row r="458" spans="1:20" s="24" customFormat="1" ht="15.75" customHeight="1" x14ac:dyDescent="0.25">
      <c r="A458" s="30">
        <f ca="1">INDEX(INDIRECT(zoneFichierTraite),$J457+offsetInitialFichierTraite,2)</f>
        <v>0</v>
      </c>
      <c r="B458" s="29" t="str">
        <f ca="1">IFERROR(INDEX(INDIRECT(zoneFichierEAN13Valmag),$P457,3),"")</f>
        <v/>
      </c>
      <c r="C458" s="22" t="str">
        <f ca="1">IFERROR(INDEX(INDIRECT(zoneFichierEAN13Valmag),$O457,3),"")</f>
        <v/>
      </c>
      <c r="D458" s="23" t="str">
        <f ca="1">IFERROR(INDEX(INDIRECT(zoneFichierEAN13Valmag),$O457,4),"")</f>
        <v/>
      </c>
      <c r="E458" s="38" t="str">
        <f ca="1">IFERROR(INDEX(INDIRECT(zoneFichierFiltreCatalogue),S457,3),"")</f>
        <v/>
      </c>
      <c r="F458" s="23"/>
      <c r="G458" s="21"/>
      <c r="H458" s="39" t="str">
        <f ca="1">IFERROR(INDEX(INDIRECT(zoneFichierFiltreCatalogue),S457,6),"")</f>
        <v/>
      </c>
      <c r="R458" s="25"/>
      <c r="S458" s="25"/>
    </row>
    <row r="459" spans="1:20" ht="39" customHeight="1" thickBot="1" x14ac:dyDescent="0.65">
      <c r="A459" s="11">
        <f ca="1">INDEX(INDIRECT(zoneFichierTraite),$J459+offsetInitialFichierTraite,6)</f>
        <v>0</v>
      </c>
      <c r="B459" s="7">
        <f ca="1">INDEX(INDIRECT(zoneFichierTraite),$J459+offsetInitialFichierTraite,4)</f>
        <v>0</v>
      </c>
      <c r="C459" s="31">
        <f ca="1">INDEX(INDIRECT(zoneFichierTraite),$J459+offsetInitialFichierTraite,5)</f>
        <v>0</v>
      </c>
      <c r="D459" s="32">
        <f ca="1">INDEX(INDIRECT(zoneFichierTraite),$J459+offsetInitialFichierTraite,13)</f>
        <v>0</v>
      </c>
      <c r="E459" s="35">
        <f ca="1">INDEX(INDIRECT(zoneFichierTraite),$J459+offsetInitialFichierTraite,7)</f>
        <v>0</v>
      </c>
      <c r="F459" s="33">
        <f ca="1">INDEX(INDIRECT(zoneFichierTraite),$J459+offsetInitialFichierTraite,8)</f>
        <v>0</v>
      </c>
      <c r="G459" s="34">
        <f t="shared" ref="G459" ca="1" si="457">ROUNDUP(F459*3,0)</f>
        <v>0</v>
      </c>
      <c r="H459" s="37" t="str">
        <f t="shared" ref="H459" ca="1" si="458">IF(ISNUMBER(N459),codeEAN13(INT(N459/10)),"")</f>
        <v/>
      </c>
      <c r="J459" s="18">
        <f t="shared" ref="J459:J495" si="459">J457+1</f>
        <v>225</v>
      </c>
      <c r="L459" s="7">
        <f ca="1">INDEX(INDIRECT(zoneFichierTraite),$J459+offsetInitialFichierTraite,1)</f>
        <v>0</v>
      </c>
      <c r="M459" s="14">
        <f ca="1">INDEX(INDIRECT(zoneFichierTraite),$J459+offsetInitialFichierTraite,9)</f>
        <v>0</v>
      </c>
      <c r="N459" s="17">
        <f ca="1">INDEX(INDIRECT(zoneFichierTraite),$J459+offsetInitialFichierTraite,3)</f>
        <v>0</v>
      </c>
      <c r="O459" s="2" t="e">
        <f ca="1">MATCH(N459,INDIRECT(nomFichierEAN13Valmag &amp; "!A:A"),0)</f>
        <v>#N/A</v>
      </c>
      <c r="P459" s="2" t="e">
        <f ca="1">MATCH(R459,INDIRECT(nomFichierEAN13Valmag &amp; "!A:A"),0)</f>
        <v>#N/A</v>
      </c>
      <c r="Q459" s="2" t="e">
        <f ca="1">MATCH(LEFT(B459,14) &amp; "*",INDIRECT(nomFichierBaseCatalogue &amp; "!B:B"),0)</f>
        <v>#N/A</v>
      </c>
      <c r="R459" s="17" t="str">
        <f ca="1">IFERROR(INDEX(INDIRECT(zoneFichierBaseCatalogue),Q459,1),"")</f>
        <v/>
      </c>
      <c r="S459" s="2" t="e">
        <f ca="1">MATCH(B459,INDIRECT(nomFichierFiltreCatalogue &amp; "!B:B"),0)</f>
        <v>#N/A</v>
      </c>
      <c r="T459" s="17"/>
    </row>
    <row r="460" spans="1:20" s="24" customFormat="1" ht="15.75" customHeight="1" x14ac:dyDescent="0.25">
      <c r="A460" s="30">
        <f ca="1">INDEX(INDIRECT(zoneFichierTraite),$J459+offsetInitialFichierTraite,2)</f>
        <v>0</v>
      </c>
      <c r="B460" s="29" t="str">
        <f ca="1">IFERROR(INDEX(INDIRECT(zoneFichierEAN13Valmag),$P459,3),"")</f>
        <v/>
      </c>
      <c r="C460" s="22" t="str">
        <f ca="1">IFERROR(INDEX(INDIRECT(zoneFichierEAN13Valmag),$O459,3),"")</f>
        <v/>
      </c>
      <c r="D460" s="23" t="str">
        <f ca="1">IFERROR(INDEX(INDIRECT(zoneFichierEAN13Valmag),$O459,4),"")</f>
        <v/>
      </c>
      <c r="E460" s="38" t="str">
        <f ca="1">IFERROR(INDEX(INDIRECT(zoneFichierFiltreCatalogue),S459,3),"")</f>
        <v/>
      </c>
      <c r="F460" s="23"/>
      <c r="G460" s="21"/>
      <c r="H460" s="39" t="str">
        <f ca="1">IFERROR(INDEX(INDIRECT(zoneFichierFiltreCatalogue),S459,6),"")</f>
        <v/>
      </c>
      <c r="R460" s="25"/>
      <c r="S460" s="25"/>
    </row>
    <row r="461" spans="1:20" ht="39" customHeight="1" thickBot="1" x14ac:dyDescent="0.65">
      <c r="A461" s="11">
        <f ca="1">INDEX(INDIRECT(zoneFichierTraite),$J461+offsetInitialFichierTraite,6)</f>
        <v>0</v>
      </c>
      <c r="B461" s="7">
        <f ca="1">INDEX(INDIRECT(zoneFichierTraite),$J461+offsetInitialFichierTraite,4)</f>
        <v>0</v>
      </c>
      <c r="C461" s="31">
        <f ca="1">INDEX(INDIRECT(zoneFichierTraite),$J461+offsetInitialFichierTraite,5)</f>
        <v>0</v>
      </c>
      <c r="D461" s="32">
        <f ca="1">INDEX(INDIRECT(zoneFichierTraite),$J461+offsetInitialFichierTraite,13)</f>
        <v>0</v>
      </c>
      <c r="E461" s="35">
        <f ca="1">INDEX(INDIRECT(zoneFichierTraite),$J461+offsetInitialFichierTraite,7)</f>
        <v>0</v>
      </c>
      <c r="F461" s="33">
        <f ca="1">INDEX(INDIRECT(zoneFichierTraite),$J461+offsetInitialFichierTraite,8)</f>
        <v>0</v>
      </c>
      <c r="G461" s="34">
        <f t="shared" ref="G461" ca="1" si="460">ROUNDUP(F461*3,0)</f>
        <v>0</v>
      </c>
      <c r="H461" s="37" t="str">
        <f t="shared" ref="H461" ca="1" si="461">IF(ISNUMBER(N461),codeEAN13(INT(N461/10)),"")</f>
        <v/>
      </c>
      <c r="J461" s="18">
        <f t="shared" si="459"/>
        <v>226</v>
      </c>
      <c r="L461" s="7">
        <f ca="1">INDEX(INDIRECT(zoneFichierTraite),$J461+offsetInitialFichierTraite,1)</f>
        <v>0</v>
      </c>
      <c r="M461" s="14">
        <f ca="1">INDEX(INDIRECT(zoneFichierTraite),$J461+offsetInitialFichierTraite,9)</f>
        <v>0</v>
      </c>
      <c r="N461" s="17">
        <f ca="1">INDEX(INDIRECT(zoneFichierTraite),$J461+offsetInitialFichierTraite,3)</f>
        <v>0</v>
      </c>
      <c r="O461" s="2" t="e">
        <f ca="1">MATCH(N461,INDIRECT(nomFichierEAN13Valmag &amp; "!A:A"),0)</f>
        <v>#N/A</v>
      </c>
      <c r="P461" s="2" t="e">
        <f ca="1">MATCH(R461,INDIRECT(nomFichierEAN13Valmag &amp; "!A:A"),0)</f>
        <v>#N/A</v>
      </c>
      <c r="Q461" s="2" t="e">
        <f ca="1">MATCH(LEFT(B461,14) &amp; "*",INDIRECT(nomFichierBaseCatalogue &amp; "!B:B"),0)</f>
        <v>#N/A</v>
      </c>
      <c r="R461" s="17" t="str">
        <f ca="1">IFERROR(INDEX(INDIRECT(zoneFichierBaseCatalogue),Q461,1),"")</f>
        <v/>
      </c>
      <c r="S461" s="2" t="e">
        <f ca="1">MATCH(B461,INDIRECT(nomFichierFiltreCatalogue &amp; "!B:B"),0)</f>
        <v>#N/A</v>
      </c>
      <c r="T461" s="17"/>
    </row>
    <row r="462" spans="1:20" s="24" customFormat="1" ht="15.75" customHeight="1" x14ac:dyDescent="0.25">
      <c r="A462" s="30">
        <f ca="1">INDEX(INDIRECT(zoneFichierTraite),$J461+offsetInitialFichierTraite,2)</f>
        <v>0</v>
      </c>
      <c r="B462" s="29" t="str">
        <f ca="1">IFERROR(INDEX(INDIRECT(zoneFichierEAN13Valmag),$P461,3),"")</f>
        <v/>
      </c>
      <c r="C462" s="22" t="str">
        <f ca="1">IFERROR(INDEX(INDIRECT(zoneFichierEAN13Valmag),$O461,3),"")</f>
        <v/>
      </c>
      <c r="D462" s="23" t="str">
        <f ca="1">IFERROR(INDEX(INDIRECT(zoneFichierEAN13Valmag),$O461,4),"")</f>
        <v/>
      </c>
      <c r="E462" s="38" t="str">
        <f ca="1">IFERROR(INDEX(INDIRECT(zoneFichierFiltreCatalogue),S461,3),"")</f>
        <v/>
      </c>
      <c r="F462" s="23"/>
      <c r="G462" s="21"/>
      <c r="H462" s="39" t="str">
        <f ca="1">IFERROR(INDEX(INDIRECT(zoneFichierFiltreCatalogue),S461,6),"")</f>
        <v/>
      </c>
      <c r="R462" s="25"/>
      <c r="S462" s="25"/>
    </row>
    <row r="463" spans="1:20" ht="39" customHeight="1" thickBot="1" x14ac:dyDescent="0.65">
      <c r="A463" s="11">
        <f ca="1">INDEX(INDIRECT(zoneFichierTraite),$J463+offsetInitialFichierTraite,6)</f>
        <v>0</v>
      </c>
      <c r="B463" s="7">
        <f ca="1">INDEX(INDIRECT(zoneFichierTraite),$J463+offsetInitialFichierTraite,4)</f>
        <v>0</v>
      </c>
      <c r="C463" s="31">
        <f ca="1">INDEX(INDIRECT(zoneFichierTraite),$J463+offsetInitialFichierTraite,5)</f>
        <v>0</v>
      </c>
      <c r="D463" s="32">
        <f ca="1">INDEX(INDIRECT(zoneFichierTraite),$J463+offsetInitialFichierTraite,13)</f>
        <v>0</v>
      </c>
      <c r="E463" s="35">
        <f ca="1">INDEX(INDIRECT(zoneFichierTraite),$J463+offsetInitialFichierTraite,7)</f>
        <v>0</v>
      </c>
      <c r="F463" s="33">
        <f ca="1">INDEX(INDIRECT(zoneFichierTraite),$J463+offsetInitialFichierTraite,8)</f>
        <v>0</v>
      </c>
      <c r="G463" s="34">
        <f t="shared" ref="G463" ca="1" si="462">ROUNDUP(F463*3,0)</f>
        <v>0</v>
      </c>
      <c r="H463" s="37" t="str">
        <f t="shared" ref="H463" ca="1" si="463">IF(ISNUMBER(N463),codeEAN13(INT(N463/10)),"")</f>
        <v/>
      </c>
      <c r="J463" s="18">
        <f t="shared" si="459"/>
        <v>227</v>
      </c>
      <c r="L463" s="7">
        <f ca="1">INDEX(INDIRECT(zoneFichierTraite),$J463+offsetInitialFichierTraite,1)</f>
        <v>0</v>
      </c>
      <c r="M463" s="14">
        <f ca="1">INDEX(INDIRECT(zoneFichierTraite),$J463+offsetInitialFichierTraite,9)</f>
        <v>0</v>
      </c>
      <c r="N463" s="17">
        <f ca="1">INDEX(INDIRECT(zoneFichierTraite),$J463+offsetInitialFichierTraite,3)</f>
        <v>0</v>
      </c>
      <c r="O463" s="2" t="e">
        <f ca="1">MATCH(N463,INDIRECT(nomFichierEAN13Valmag &amp; "!A:A"),0)</f>
        <v>#N/A</v>
      </c>
      <c r="P463" s="2" t="e">
        <f ca="1">MATCH(R463,INDIRECT(nomFichierEAN13Valmag &amp; "!A:A"),0)</f>
        <v>#N/A</v>
      </c>
      <c r="Q463" s="2" t="e">
        <f ca="1">MATCH(LEFT(B463,14) &amp; "*",INDIRECT(nomFichierBaseCatalogue &amp; "!B:B"),0)</f>
        <v>#N/A</v>
      </c>
      <c r="R463" s="17" t="str">
        <f ca="1">IFERROR(INDEX(INDIRECT(zoneFichierBaseCatalogue),Q463,1),"")</f>
        <v/>
      </c>
      <c r="S463" s="2" t="e">
        <f ca="1">MATCH(B463,INDIRECT(nomFichierFiltreCatalogue &amp; "!B:B"),0)</f>
        <v>#N/A</v>
      </c>
      <c r="T463" s="17"/>
    </row>
    <row r="464" spans="1:20" s="24" customFormat="1" ht="15.75" customHeight="1" x14ac:dyDescent="0.25">
      <c r="A464" s="30">
        <f ca="1">INDEX(INDIRECT(zoneFichierTraite),$J463+offsetInitialFichierTraite,2)</f>
        <v>0</v>
      </c>
      <c r="B464" s="29" t="str">
        <f ca="1">IFERROR(INDEX(INDIRECT(zoneFichierEAN13Valmag),$P463,3),"")</f>
        <v/>
      </c>
      <c r="C464" s="22" t="str">
        <f ca="1">IFERROR(INDEX(INDIRECT(zoneFichierEAN13Valmag),$O463,3),"")</f>
        <v/>
      </c>
      <c r="D464" s="23" t="str">
        <f ca="1">IFERROR(INDEX(INDIRECT(zoneFichierEAN13Valmag),$O463,4),"")</f>
        <v/>
      </c>
      <c r="E464" s="38" t="str">
        <f ca="1">IFERROR(INDEX(INDIRECT(zoneFichierFiltreCatalogue),S463,3),"")</f>
        <v/>
      </c>
      <c r="F464" s="23"/>
      <c r="G464" s="21"/>
      <c r="H464" s="39" t="str">
        <f ca="1">IFERROR(INDEX(INDIRECT(zoneFichierFiltreCatalogue),S463,6),"")</f>
        <v/>
      </c>
      <c r="R464" s="25"/>
      <c r="S464" s="25"/>
    </row>
    <row r="465" spans="1:20" ht="39" customHeight="1" thickBot="1" x14ac:dyDescent="0.65">
      <c r="A465" s="11">
        <f ca="1">INDEX(INDIRECT(zoneFichierTraite),$J465+offsetInitialFichierTraite,6)</f>
        <v>0</v>
      </c>
      <c r="B465" s="7">
        <f ca="1">INDEX(INDIRECT(zoneFichierTraite),$J465+offsetInitialFichierTraite,4)</f>
        <v>0</v>
      </c>
      <c r="C465" s="31">
        <f ca="1">INDEX(INDIRECT(zoneFichierTraite),$J465+offsetInitialFichierTraite,5)</f>
        <v>0</v>
      </c>
      <c r="D465" s="32">
        <f ca="1">INDEX(INDIRECT(zoneFichierTraite),$J465+offsetInitialFichierTraite,13)</f>
        <v>0</v>
      </c>
      <c r="E465" s="35">
        <f ca="1">INDEX(INDIRECT(zoneFichierTraite),$J465+offsetInitialFichierTraite,7)</f>
        <v>0</v>
      </c>
      <c r="F465" s="33">
        <f ca="1">INDEX(INDIRECT(zoneFichierTraite),$J465+offsetInitialFichierTraite,8)</f>
        <v>0</v>
      </c>
      <c r="G465" s="34">
        <f t="shared" ref="G465" ca="1" si="464">ROUNDUP(F465*3,0)</f>
        <v>0</v>
      </c>
      <c r="H465" s="37" t="str">
        <f t="shared" ref="H465" ca="1" si="465">IF(ISNUMBER(N465),codeEAN13(INT(N465/10)),"")</f>
        <v/>
      </c>
      <c r="J465" s="18">
        <f t="shared" si="459"/>
        <v>228</v>
      </c>
      <c r="L465" s="7">
        <f ca="1">INDEX(INDIRECT(zoneFichierTraite),$J465+offsetInitialFichierTraite,1)</f>
        <v>0</v>
      </c>
      <c r="M465" s="14">
        <f ca="1">INDEX(INDIRECT(zoneFichierTraite),$J465+offsetInitialFichierTraite,9)</f>
        <v>0</v>
      </c>
      <c r="N465" s="17">
        <f ca="1">INDEX(INDIRECT(zoneFichierTraite),$J465+offsetInitialFichierTraite,3)</f>
        <v>0</v>
      </c>
      <c r="O465" s="2" t="e">
        <f ca="1">MATCH(N465,INDIRECT(nomFichierEAN13Valmag &amp; "!A:A"),0)</f>
        <v>#N/A</v>
      </c>
      <c r="P465" s="2" t="e">
        <f ca="1">MATCH(R465,INDIRECT(nomFichierEAN13Valmag &amp; "!A:A"),0)</f>
        <v>#N/A</v>
      </c>
      <c r="Q465" s="2" t="e">
        <f ca="1">MATCH(LEFT(B465,14) &amp; "*",INDIRECT(nomFichierBaseCatalogue &amp; "!B:B"),0)</f>
        <v>#N/A</v>
      </c>
      <c r="R465" s="17" t="str">
        <f ca="1">IFERROR(INDEX(INDIRECT(zoneFichierBaseCatalogue),Q465,1),"")</f>
        <v/>
      </c>
      <c r="S465" s="2" t="e">
        <f ca="1">MATCH(B465,INDIRECT(nomFichierFiltreCatalogue &amp; "!B:B"),0)</f>
        <v>#N/A</v>
      </c>
      <c r="T465" s="17"/>
    </row>
    <row r="466" spans="1:20" s="24" customFormat="1" ht="15.75" customHeight="1" x14ac:dyDescent="0.25">
      <c r="A466" s="30">
        <f ca="1">INDEX(INDIRECT(zoneFichierTraite),$J465+offsetInitialFichierTraite,2)</f>
        <v>0</v>
      </c>
      <c r="B466" s="29" t="str">
        <f ca="1">IFERROR(INDEX(INDIRECT(zoneFichierEAN13Valmag),$P465,3),"")</f>
        <v/>
      </c>
      <c r="C466" s="22" t="str">
        <f ca="1">IFERROR(INDEX(INDIRECT(zoneFichierEAN13Valmag),$O465,3),"")</f>
        <v/>
      </c>
      <c r="D466" s="23" t="str">
        <f ca="1">IFERROR(INDEX(INDIRECT(zoneFichierEAN13Valmag),$O465,4),"")</f>
        <v/>
      </c>
      <c r="E466" s="38" t="str">
        <f ca="1">IFERROR(INDEX(INDIRECT(zoneFichierFiltreCatalogue),S465,3),"")</f>
        <v/>
      </c>
      <c r="F466" s="23"/>
      <c r="G466" s="21"/>
      <c r="H466" s="39" t="str">
        <f ca="1">IFERROR(INDEX(INDIRECT(zoneFichierFiltreCatalogue),S465,6),"")</f>
        <v/>
      </c>
      <c r="R466" s="25"/>
      <c r="S466" s="25"/>
    </row>
    <row r="467" spans="1:20" ht="39" customHeight="1" thickBot="1" x14ac:dyDescent="0.65">
      <c r="A467" s="11">
        <f ca="1">INDEX(INDIRECT(zoneFichierTraite),$J467+offsetInitialFichierTraite,6)</f>
        <v>0</v>
      </c>
      <c r="B467" s="7">
        <f ca="1">INDEX(INDIRECT(zoneFichierTraite),$J467+offsetInitialFichierTraite,4)</f>
        <v>0</v>
      </c>
      <c r="C467" s="31">
        <f ca="1">INDEX(INDIRECT(zoneFichierTraite),$J467+offsetInitialFichierTraite,5)</f>
        <v>0</v>
      </c>
      <c r="D467" s="32">
        <f ca="1">INDEX(INDIRECT(zoneFichierTraite),$J467+offsetInitialFichierTraite,13)</f>
        <v>0</v>
      </c>
      <c r="E467" s="35">
        <f ca="1">INDEX(INDIRECT(zoneFichierTraite),$J467+offsetInitialFichierTraite,7)</f>
        <v>0</v>
      </c>
      <c r="F467" s="33">
        <f ca="1">INDEX(INDIRECT(zoneFichierTraite),$J467+offsetInitialFichierTraite,8)</f>
        <v>0</v>
      </c>
      <c r="G467" s="34">
        <f t="shared" ref="G467" ca="1" si="466">ROUNDUP(F467*3,0)</f>
        <v>0</v>
      </c>
      <c r="H467" s="37" t="str">
        <f t="shared" ref="H467" ca="1" si="467">IF(ISNUMBER(N467),codeEAN13(INT(N467/10)),"")</f>
        <v/>
      </c>
      <c r="J467" s="18">
        <f t="shared" si="459"/>
        <v>229</v>
      </c>
      <c r="L467" s="7">
        <f ca="1">INDEX(INDIRECT(zoneFichierTraite),$J467+offsetInitialFichierTraite,1)</f>
        <v>0</v>
      </c>
      <c r="M467" s="14">
        <f ca="1">INDEX(INDIRECT(zoneFichierTraite),$J467+offsetInitialFichierTraite,9)</f>
        <v>0</v>
      </c>
      <c r="N467" s="17">
        <f ca="1">INDEX(INDIRECT(zoneFichierTraite),$J467+offsetInitialFichierTraite,3)</f>
        <v>0</v>
      </c>
      <c r="O467" s="2" t="e">
        <f ca="1">MATCH(N467,INDIRECT(nomFichierEAN13Valmag &amp; "!A:A"),0)</f>
        <v>#N/A</v>
      </c>
      <c r="P467" s="2" t="e">
        <f ca="1">MATCH(R467,INDIRECT(nomFichierEAN13Valmag &amp; "!A:A"),0)</f>
        <v>#N/A</v>
      </c>
      <c r="Q467" s="2" t="e">
        <f ca="1">MATCH(LEFT(B467,14) &amp; "*",INDIRECT(nomFichierBaseCatalogue &amp; "!B:B"),0)</f>
        <v>#N/A</v>
      </c>
      <c r="R467" s="17" t="str">
        <f ca="1">IFERROR(INDEX(INDIRECT(zoneFichierBaseCatalogue),Q467,1),"")</f>
        <v/>
      </c>
      <c r="S467" s="2" t="e">
        <f ca="1">MATCH(B467,INDIRECT(nomFichierFiltreCatalogue &amp; "!B:B"),0)</f>
        <v>#N/A</v>
      </c>
      <c r="T467" s="17"/>
    </row>
    <row r="468" spans="1:20" s="24" customFormat="1" ht="15.75" customHeight="1" x14ac:dyDescent="0.25">
      <c r="A468" s="30">
        <f ca="1">INDEX(INDIRECT(zoneFichierTraite),$J467+offsetInitialFichierTraite,2)</f>
        <v>0</v>
      </c>
      <c r="B468" s="29" t="str">
        <f ca="1">IFERROR(INDEX(INDIRECT(zoneFichierEAN13Valmag),$P467,3),"")</f>
        <v/>
      </c>
      <c r="C468" s="22" t="str">
        <f ca="1">IFERROR(INDEX(INDIRECT(zoneFichierEAN13Valmag),$O467,3),"")</f>
        <v/>
      </c>
      <c r="D468" s="23" t="str">
        <f ca="1">IFERROR(INDEX(INDIRECT(zoneFichierEAN13Valmag),$O467,4),"")</f>
        <v/>
      </c>
      <c r="E468" s="38" t="str">
        <f ca="1">IFERROR(INDEX(INDIRECT(zoneFichierFiltreCatalogue),S467,3),"")</f>
        <v/>
      </c>
      <c r="F468" s="23"/>
      <c r="G468" s="21"/>
      <c r="H468" s="39" t="str">
        <f ca="1">IFERROR(INDEX(INDIRECT(zoneFichierFiltreCatalogue),S467,6),"")</f>
        <v/>
      </c>
      <c r="R468" s="25"/>
      <c r="S468" s="25"/>
    </row>
    <row r="469" spans="1:20" ht="39" customHeight="1" thickBot="1" x14ac:dyDescent="0.65">
      <c r="A469" s="11">
        <f ca="1">INDEX(INDIRECT(zoneFichierTraite),$J469+offsetInitialFichierTraite,6)</f>
        <v>0</v>
      </c>
      <c r="B469" s="7">
        <f ca="1">INDEX(INDIRECT(zoneFichierTraite),$J469+offsetInitialFichierTraite,4)</f>
        <v>0</v>
      </c>
      <c r="C469" s="31">
        <f ca="1">INDEX(INDIRECT(zoneFichierTraite),$J469+offsetInitialFichierTraite,5)</f>
        <v>0</v>
      </c>
      <c r="D469" s="32">
        <f ca="1">INDEX(INDIRECT(zoneFichierTraite),$J469+offsetInitialFichierTraite,13)</f>
        <v>0</v>
      </c>
      <c r="E469" s="35">
        <f ca="1">INDEX(INDIRECT(zoneFichierTraite),$J469+offsetInitialFichierTraite,7)</f>
        <v>0</v>
      </c>
      <c r="F469" s="33">
        <f ca="1">INDEX(INDIRECT(zoneFichierTraite),$J469+offsetInitialFichierTraite,8)</f>
        <v>0</v>
      </c>
      <c r="G469" s="34">
        <f t="shared" ref="G469" ca="1" si="468">ROUNDUP(F469*3,0)</f>
        <v>0</v>
      </c>
      <c r="H469" s="37" t="str">
        <f t="shared" ref="H469" ca="1" si="469">IF(ISNUMBER(N469),codeEAN13(INT(N469/10)),"")</f>
        <v/>
      </c>
      <c r="J469" s="18">
        <f t="shared" si="459"/>
        <v>230</v>
      </c>
      <c r="L469" s="7">
        <f ca="1">INDEX(INDIRECT(zoneFichierTraite),$J469+offsetInitialFichierTraite,1)</f>
        <v>0</v>
      </c>
      <c r="M469" s="14">
        <f ca="1">INDEX(INDIRECT(zoneFichierTraite),$J469+offsetInitialFichierTraite,9)</f>
        <v>0</v>
      </c>
      <c r="N469" s="17">
        <f ca="1">INDEX(INDIRECT(zoneFichierTraite),$J469+offsetInitialFichierTraite,3)</f>
        <v>0</v>
      </c>
      <c r="O469" s="2" t="e">
        <f ca="1">MATCH(N469,INDIRECT(nomFichierEAN13Valmag &amp; "!A:A"),0)</f>
        <v>#N/A</v>
      </c>
      <c r="P469" s="2" t="e">
        <f ca="1">MATCH(R469,INDIRECT(nomFichierEAN13Valmag &amp; "!A:A"),0)</f>
        <v>#N/A</v>
      </c>
      <c r="Q469" s="2" t="e">
        <f ca="1">MATCH(LEFT(B469,14) &amp; "*",INDIRECT(nomFichierBaseCatalogue &amp; "!B:B"),0)</f>
        <v>#N/A</v>
      </c>
      <c r="R469" s="17" t="str">
        <f ca="1">IFERROR(INDEX(INDIRECT(zoneFichierBaseCatalogue),Q469,1),"")</f>
        <v/>
      </c>
      <c r="S469" s="2" t="e">
        <f ca="1">MATCH(B469,INDIRECT(nomFichierFiltreCatalogue &amp; "!B:B"),0)</f>
        <v>#N/A</v>
      </c>
      <c r="T469" s="17"/>
    </row>
    <row r="470" spans="1:20" s="24" customFormat="1" ht="15.75" customHeight="1" x14ac:dyDescent="0.25">
      <c r="A470" s="30">
        <f ca="1">INDEX(INDIRECT(zoneFichierTraite),$J469+offsetInitialFichierTraite,2)</f>
        <v>0</v>
      </c>
      <c r="B470" s="29" t="str">
        <f ca="1">IFERROR(INDEX(INDIRECT(zoneFichierEAN13Valmag),$P469,3),"")</f>
        <v/>
      </c>
      <c r="C470" s="22" t="str">
        <f ca="1">IFERROR(INDEX(INDIRECT(zoneFichierEAN13Valmag),$O469,3),"")</f>
        <v/>
      </c>
      <c r="D470" s="23" t="str">
        <f ca="1">IFERROR(INDEX(INDIRECT(zoneFichierEAN13Valmag),$O469,4),"")</f>
        <v/>
      </c>
      <c r="E470" s="38" t="str">
        <f ca="1">IFERROR(INDEX(INDIRECT(zoneFichierFiltreCatalogue),S469,3),"")</f>
        <v/>
      </c>
      <c r="F470" s="23"/>
      <c r="G470" s="21"/>
      <c r="H470" s="39" t="str">
        <f ca="1">IFERROR(INDEX(INDIRECT(zoneFichierFiltreCatalogue),S469,6),"")</f>
        <v/>
      </c>
      <c r="R470" s="25"/>
      <c r="S470" s="25"/>
    </row>
    <row r="471" spans="1:20" ht="39" customHeight="1" thickBot="1" x14ac:dyDescent="0.65">
      <c r="A471" s="11">
        <f ca="1">INDEX(INDIRECT(zoneFichierTraite),$J471+offsetInitialFichierTraite,6)</f>
        <v>0</v>
      </c>
      <c r="B471" s="7">
        <f ca="1">INDEX(INDIRECT(zoneFichierTraite),$J471+offsetInitialFichierTraite,4)</f>
        <v>0</v>
      </c>
      <c r="C471" s="31">
        <f ca="1">INDEX(INDIRECT(zoneFichierTraite),$J471+offsetInitialFichierTraite,5)</f>
        <v>0</v>
      </c>
      <c r="D471" s="32">
        <f ca="1">INDEX(INDIRECT(zoneFichierTraite),$J471+offsetInitialFichierTraite,13)</f>
        <v>0</v>
      </c>
      <c r="E471" s="35">
        <f ca="1">INDEX(INDIRECT(zoneFichierTraite),$J471+offsetInitialFichierTraite,7)</f>
        <v>0</v>
      </c>
      <c r="F471" s="33">
        <f ca="1">INDEX(INDIRECT(zoneFichierTraite),$J471+offsetInitialFichierTraite,8)</f>
        <v>0</v>
      </c>
      <c r="G471" s="34">
        <f t="shared" ref="G471" ca="1" si="470">ROUNDUP(F471*3,0)</f>
        <v>0</v>
      </c>
      <c r="H471" s="37" t="str">
        <f t="shared" ref="H471" ca="1" si="471">IF(ISNUMBER(N471),codeEAN13(INT(N471/10)),"")</f>
        <v/>
      </c>
      <c r="J471" s="18">
        <f t="shared" si="459"/>
        <v>231</v>
      </c>
      <c r="L471" s="7">
        <f ca="1">INDEX(INDIRECT(zoneFichierTraite),$J471+offsetInitialFichierTraite,1)</f>
        <v>0</v>
      </c>
      <c r="M471" s="14">
        <f ca="1">INDEX(INDIRECT(zoneFichierTraite),$J471+offsetInitialFichierTraite,9)</f>
        <v>0</v>
      </c>
      <c r="N471" s="17">
        <f ca="1">INDEX(INDIRECT(zoneFichierTraite),$J471+offsetInitialFichierTraite,3)</f>
        <v>0</v>
      </c>
      <c r="O471" s="2" t="e">
        <f ca="1">MATCH(N471,INDIRECT(nomFichierEAN13Valmag &amp; "!A:A"),0)</f>
        <v>#N/A</v>
      </c>
      <c r="P471" s="2" t="e">
        <f ca="1">MATCH(R471,INDIRECT(nomFichierEAN13Valmag &amp; "!A:A"),0)</f>
        <v>#N/A</v>
      </c>
      <c r="Q471" s="2" t="e">
        <f ca="1">MATCH(LEFT(B471,14) &amp; "*",INDIRECT(nomFichierBaseCatalogue &amp; "!B:B"),0)</f>
        <v>#N/A</v>
      </c>
      <c r="R471" s="17" t="str">
        <f ca="1">IFERROR(INDEX(INDIRECT(zoneFichierBaseCatalogue),Q471,1),"")</f>
        <v/>
      </c>
      <c r="S471" s="2" t="e">
        <f ca="1">MATCH(B471,INDIRECT(nomFichierFiltreCatalogue &amp; "!B:B"),0)</f>
        <v>#N/A</v>
      </c>
      <c r="T471" s="17"/>
    </row>
    <row r="472" spans="1:20" s="24" customFormat="1" ht="15.75" customHeight="1" x14ac:dyDescent="0.25">
      <c r="A472" s="30">
        <f ca="1">INDEX(INDIRECT(zoneFichierTraite),$J471+offsetInitialFichierTraite,2)</f>
        <v>0</v>
      </c>
      <c r="B472" s="29" t="str">
        <f ca="1">IFERROR(INDEX(INDIRECT(zoneFichierEAN13Valmag),$P471,3),"")</f>
        <v/>
      </c>
      <c r="C472" s="22" t="str">
        <f ca="1">IFERROR(INDEX(INDIRECT(zoneFichierEAN13Valmag),$O471,3),"")</f>
        <v/>
      </c>
      <c r="D472" s="23" t="str">
        <f ca="1">IFERROR(INDEX(INDIRECT(zoneFichierEAN13Valmag),$O471,4),"")</f>
        <v/>
      </c>
      <c r="E472" s="38" t="str">
        <f ca="1">IFERROR(INDEX(INDIRECT(zoneFichierFiltreCatalogue),S471,3),"")</f>
        <v/>
      </c>
      <c r="F472" s="23"/>
      <c r="G472" s="21"/>
      <c r="H472" s="39" t="str">
        <f ca="1">IFERROR(INDEX(INDIRECT(zoneFichierFiltreCatalogue),S471,6),"")</f>
        <v/>
      </c>
      <c r="R472" s="25"/>
      <c r="S472" s="25"/>
    </row>
    <row r="473" spans="1:20" ht="39" customHeight="1" thickBot="1" x14ac:dyDescent="0.65">
      <c r="A473" s="11">
        <f ca="1">INDEX(INDIRECT(zoneFichierTraite),$J473+offsetInitialFichierTraite,6)</f>
        <v>0</v>
      </c>
      <c r="B473" s="7">
        <f ca="1">INDEX(INDIRECT(zoneFichierTraite),$J473+offsetInitialFichierTraite,4)</f>
        <v>0</v>
      </c>
      <c r="C473" s="31">
        <f ca="1">INDEX(INDIRECT(zoneFichierTraite),$J473+offsetInitialFichierTraite,5)</f>
        <v>0</v>
      </c>
      <c r="D473" s="32">
        <f ca="1">INDEX(INDIRECT(zoneFichierTraite),$J473+offsetInitialFichierTraite,13)</f>
        <v>0</v>
      </c>
      <c r="E473" s="35">
        <f ca="1">INDEX(INDIRECT(zoneFichierTraite),$J473+offsetInitialFichierTraite,7)</f>
        <v>0</v>
      </c>
      <c r="F473" s="33">
        <f ca="1">INDEX(INDIRECT(zoneFichierTraite),$J473+offsetInitialFichierTraite,8)</f>
        <v>0</v>
      </c>
      <c r="G473" s="34">
        <f t="shared" ref="G473" ca="1" si="472">ROUNDUP(F473*3,0)</f>
        <v>0</v>
      </c>
      <c r="H473" s="37" t="str">
        <f t="shared" ref="H473" ca="1" si="473">IF(ISNUMBER(N473),codeEAN13(INT(N473/10)),"")</f>
        <v/>
      </c>
      <c r="J473" s="18">
        <f t="shared" si="459"/>
        <v>232</v>
      </c>
      <c r="L473" s="7">
        <f ca="1">INDEX(INDIRECT(zoneFichierTraite),$J473+offsetInitialFichierTraite,1)</f>
        <v>0</v>
      </c>
      <c r="M473" s="14">
        <f ca="1">INDEX(INDIRECT(zoneFichierTraite),$J473+offsetInitialFichierTraite,9)</f>
        <v>0</v>
      </c>
      <c r="N473" s="17">
        <f ca="1">INDEX(INDIRECT(zoneFichierTraite),$J473+offsetInitialFichierTraite,3)</f>
        <v>0</v>
      </c>
      <c r="O473" s="2" t="e">
        <f ca="1">MATCH(N473,INDIRECT(nomFichierEAN13Valmag &amp; "!A:A"),0)</f>
        <v>#N/A</v>
      </c>
      <c r="P473" s="2" t="e">
        <f ca="1">MATCH(R473,INDIRECT(nomFichierEAN13Valmag &amp; "!A:A"),0)</f>
        <v>#N/A</v>
      </c>
      <c r="Q473" s="2" t="e">
        <f ca="1">MATCH(LEFT(B473,14) &amp; "*",INDIRECT(nomFichierBaseCatalogue &amp; "!B:B"),0)</f>
        <v>#N/A</v>
      </c>
      <c r="R473" s="17" t="str">
        <f ca="1">IFERROR(INDEX(INDIRECT(zoneFichierBaseCatalogue),Q473,1),"")</f>
        <v/>
      </c>
      <c r="S473" s="2" t="e">
        <f ca="1">MATCH(B473,INDIRECT(nomFichierFiltreCatalogue &amp; "!B:B"),0)</f>
        <v>#N/A</v>
      </c>
      <c r="T473" s="17"/>
    </row>
    <row r="474" spans="1:20" s="24" customFormat="1" ht="15.75" customHeight="1" x14ac:dyDescent="0.25">
      <c r="A474" s="30">
        <f ca="1">INDEX(INDIRECT(zoneFichierTraite),$J473+offsetInitialFichierTraite,2)</f>
        <v>0</v>
      </c>
      <c r="B474" s="29" t="str">
        <f ca="1">IFERROR(INDEX(INDIRECT(zoneFichierEAN13Valmag),$P473,3),"")</f>
        <v/>
      </c>
      <c r="C474" s="22" t="str">
        <f ca="1">IFERROR(INDEX(INDIRECT(zoneFichierEAN13Valmag),$O473,3),"")</f>
        <v/>
      </c>
      <c r="D474" s="23" t="str">
        <f ca="1">IFERROR(INDEX(INDIRECT(zoneFichierEAN13Valmag),$O473,4),"")</f>
        <v/>
      </c>
      <c r="E474" s="38" t="str">
        <f ca="1">IFERROR(INDEX(INDIRECT(zoneFichierFiltreCatalogue),S473,3),"")</f>
        <v/>
      </c>
      <c r="F474" s="23"/>
      <c r="G474" s="21"/>
      <c r="H474" s="39" t="str">
        <f ca="1">IFERROR(INDEX(INDIRECT(zoneFichierFiltreCatalogue),S473,6),"")</f>
        <v/>
      </c>
      <c r="R474" s="25"/>
      <c r="S474" s="25"/>
    </row>
    <row r="475" spans="1:20" ht="39" customHeight="1" thickBot="1" x14ac:dyDescent="0.65">
      <c r="A475" s="11">
        <f ca="1">INDEX(INDIRECT(zoneFichierTraite),$J475+offsetInitialFichierTraite,6)</f>
        <v>0</v>
      </c>
      <c r="B475" s="7">
        <f ca="1">INDEX(INDIRECT(zoneFichierTraite),$J475+offsetInitialFichierTraite,4)</f>
        <v>0</v>
      </c>
      <c r="C475" s="31">
        <f ca="1">INDEX(INDIRECT(zoneFichierTraite),$J475+offsetInitialFichierTraite,5)</f>
        <v>0</v>
      </c>
      <c r="D475" s="32">
        <f ca="1">INDEX(INDIRECT(zoneFichierTraite),$J475+offsetInitialFichierTraite,13)</f>
        <v>0</v>
      </c>
      <c r="E475" s="35">
        <f ca="1">INDEX(INDIRECT(zoneFichierTraite),$J475+offsetInitialFichierTraite,7)</f>
        <v>0</v>
      </c>
      <c r="F475" s="33">
        <f ca="1">INDEX(INDIRECT(zoneFichierTraite),$J475+offsetInitialFichierTraite,8)</f>
        <v>0</v>
      </c>
      <c r="G475" s="34">
        <f t="shared" ref="G475" ca="1" si="474">ROUNDUP(F475*3,0)</f>
        <v>0</v>
      </c>
      <c r="H475" s="37" t="str">
        <f t="shared" ref="H475" ca="1" si="475">IF(ISNUMBER(N475),codeEAN13(INT(N475/10)),"")</f>
        <v/>
      </c>
      <c r="J475" s="18">
        <f t="shared" si="459"/>
        <v>233</v>
      </c>
      <c r="L475" s="7">
        <f ca="1">INDEX(INDIRECT(zoneFichierTraite),$J475+offsetInitialFichierTraite,1)</f>
        <v>0</v>
      </c>
      <c r="M475" s="14">
        <f ca="1">INDEX(INDIRECT(zoneFichierTraite),$J475+offsetInitialFichierTraite,9)</f>
        <v>0</v>
      </c>
      <c r="N475" s="17">
        <f ca="1">INDEX(INDIRECT(zoneFichierTraite),$J475+offsetInitialFichierTraite,3)</f>
        <v>0</v>
      </c>
      <c r="O475" s="2" t="e">
        <f ca="1">MATCH(N475,INDIRECT(nomFichierEAN13Valmag &amp; "!A:A"),0)</f>
        <v>#N/A</v>
      </c>
      <c r="P475" s="2" t="e">
        <f ca="1">MATCH(R475,INDIRECT(nomFichierEAN13Valmag &amp; "!A:A"),0)</f>
        <v>#N/A</v>
      </c>
      <c r="Q475" s="2" t="e">
        <f ca="1">MATCH(LEFT(B475,14) &amp; "*",INDIRECT(nomFichierBaseCatalogue &amp; "!B:B"),0)</f>
        <v>#N/A</v>
      </c>
      <c r="R475" s="17" t="str">
        <f ca="1">IFERROR(INDEX(INDIRECT(zoneFichierBaseCatalogue),Q475,1),"")</f>
        <v/>
      </c>
      <c r="S475" s="2" t="e">
        <f ca="1">MATCH(B475,INDIRECT(nomFichierFiltreCatalogue &amp; "!B:B"),0)</f>
        <v>#N/A</v>
      </c>
      <c r="T475" s="17"/>
    </row>
    <row r="476" spans="1:20" s="24" customFormat="1" ht="15.75" customHeight="1" x14ac:dyDescent="0.25">
      <c r="A476" s="30">
        <f ca="1">INDEX(INDIRECT(zoneFichierTraite),$J475+offsetInitialFichierTraite,2)</f>
        <v>0</v>
      </c>
      <c r="B476" s="29" t="str">
        <f ca="1">IFERROR(INDEX(INDIRECT(zoneFichierEAN13Valmag),$P475,3),"")</f>
        <v/>
      </c>
      <c r="C476" s="22" t="str">
        <f ca="1">IFERROR(INDEX(INDIRECT(zoneFichierEAN13Valmag),$O475,3),"")</f>
        <v/>
      </c>
      <c r="D476" s="23" t="str">
        <f ca="1">IFERROR(INDEX(INDIRECT(zoneFichierEAN13Valmag),$O475,4),"")</f>
        <v/>
      </c>
      <c r="E476" s="38" t="str">
        <f ca="1">IFERROR(INDEX(INDIRECT(zoneFichierFiltreCatalogue),S475,3),"")</f>
        <v/>
      </c>
      <c r="F476" s="23"/>
      <c r="G476" s="21"/>
      <c r="H476" s="39" t="str">
        <f ca="1">IFERROR(INDEX(INDIRECT(zoneFichierFiltreCatalogue),S475,6),"")</f>
        <v/>
      </c>
      <c r="R476" s="25"/>
      <c r="S476" s="25"/>
    </row>
    <row r="477" spans="1:20" ht="39" customHeight="1" thickBot="1" x14ac:dyDescent="0.65">
      <c r="A477" s="11">
        <f ca="1">INDEX(INDIRECT(zoneFichierTraite),$J477+offsetInitialFichierTraite,6)</f>
        <v>0</v>
      </c>
      <c r="B477" s="7">
        <f ca="1">INDEX(INDIRECT(zoneFichierTraite),$J477+offsetInitialFichierTraite,4)</f>
        <v>0</v>
      </c>
      <c r="C477" s="31">
        <f ca="1">INDEX(INDIRECT(zoneFichierTraite),$J477+offsetInitialFichierTraite,5)</f>
        <v>0</v>
      </c>
      <c r="D477" s="32">
        <f ca="1">INDEX(INDIRECT(zoneFichierTraite),$J477+offsetInitialFichierTraite,13)</f>
        <v>0</v>
      </c>
      <c r="E477" s="35">
        <f ca="1">INDEX(INDIRECT(zoneFichierTraite),$J477+offsetInitialFichierTraite,7)</f>
        <v>0</v>
      </c>
      <c r="F477" s="33">
        <f ca="1">INDEX(INDIRECT(zoneFichierTraite),$J477+offsetInitialFichierTraite,8)</f>
        <v>0</v>
      </c>
      <c r="G477" s="34">
        <f t="shared" ref="G477" ca="1" si="476">ROUNDUP(F477*3,0)</f>
        <v>0</v>
      </c>
      <c r="H477" s="37" t="str">
        <f t="shared" ref="H477" ca="1" si="477">IF(ISNUMBER(N477),codeEAN13(INT(N477/10)),"")</f>
        <v/>
      </c>
      <c r="J477" s="18">
        <f t="shared" si="459"/>
        <v>234</v>
      </c>
      <c r="L477" s="7">
        <f ca="1">INDEX(INDIRECT(zoneFichierTraite),$J477+offsetInitialFichierTraite,1)</f>
        <v>0</v>
      </c>
      <c r="M477" s="14">
        <f ca="1">INDEX(INDIRECT(zoneFichierTraite),$J477+offsetInitialFichierTraite,9)</f>
        <v>0</v>
      </c>
      <c r="N477" s="17">
        <f ca="1">INDEX(INDIRECT(zoneFichierTraite),$J477+offsetInitialFichierTraite,3)</f>
        <v>0</v>
      </c>
      <c r="O477" s="2" t="e">
        <f ca="1">MATCH(N477,INDIRECT(nomFichierEAN13Valmag &amp; "!A:A"),0)</f>
        <v>#N/A</v>
      </c>
      <c r="P477" s="2" t="e">
        <f ca="1">MATCH(R477,INDIRECT(nomFichierEAN13Valmag &amp; "!A:A"),0)</f>
        <v>#N/A</v>
      </c>
      <c r="Q477" s="2" t="e">
        <f ca="1">MATCH(LEFT(B477,14) &amp; "*",INDIRECT(nomFichierBaseCatalogue &amp; "!B:B"),0)</f>
        <v>#N/A</v>
      </c>
      <c r="R477" s="17" t="str">
        <f ca="1">IFERROR(INDEX(INDIRECT(zoneFichierBaseCatalogue),Q477,1),"")</f>
        <v/>
      </c>
      <c r="S477" s="2" t="e">
        <f ca="1">MATCH(B477,INDIRECT(nomFichierFiltreCatalogue &amp; "!B:B"),0)</f>
        <v>#N/A</v>
      </c>
      <c r="T477" s="17"/>
    </row>
    <row r="478" spans="1:20" s="24" customFormat="1" ht="15.75" customHeight="1" x14ac:dyDescent="0.25">
      <c r="A478" s="30">
        <f ca="1">INDEX(INDIRECT(zoneFichierTraite),$J477+offsetInitialFichierTraite,2)</f>
        <v>0</v>
      </c>
      <c r="B478" s="29" t="str">
        <f ca="1">IFERROR(INDEX(INDIRECT(zoneFichierEAN13Valmag),$P477,3),"")</f>
        <v/>
      </c>
      <c r="C478" s="22" t="str">
        <f ca="1">IFERROR(INDEX(INDIRECT(zoneFichierEAN13Valmag),$O477,3),"")</f>
        <v/>
      </c>
      <c r="D478" s="23" t="str">
        <f ca="1">IFERROR(INDEX(INDIRECT(zoneFichierEAN13Valmag),$O477,4),"")</f>
        <v/>
      </c>
      <c r="E478" s="38" t="str">
        <f ca="1">IFERROR(INDEX(INDIRECT(zoneFichierFiltreCatalogue),S477,3),"")</f>
        <v/>
      </c>
      <c r="F478" s="23"/>
      <c r="G478" s="21"/>
      <c r="H478" s="39" t="str">
        <f ca="1">IFERROR(INDEX(INDIRECT(zoneFichierFiltreCatalogue),S477,6),"")</f>
        <v/>
      </c>
      <c r="R478" s="25"/>
      <c r="S478" s="25"/>
    </row>
    <row r="479" spans="1:20" ht="39" customHeight="1" thickBot="1" x14ac:dyDescent="0.65">
      <c r="A479" s="11">
        <f ca="1">INDEX(INDIRECT(zoneFichierTraite),$J479+offsetInitialFichierTraite,6)</f>
        <v>0</v>
      </c>
      <c r="B479" s="7">
        <f ca="1">INDEX(INDIRECT(zoneFichierTraite),$J479+offsetInitialFichierTraite,4)</f>
        <v>0</v>
      </c>
      <c r="C479" s="31">
        <f ca="1">INDEX(INDIRECT(zoneFichierTraite),$J479+offsetInitialFichierTraite,5)</f>
        <v>0</v>
      </c>
      <c r="D479" s="32">
        <f ca="1">INDEX(INDIRECT(zoneFichierTraite),$J479+offsetInitialFichierTraite,13)</f>
        <v>0</v>
      </c>
      <c r="E479" s="35">
        <f ca="1">INDEX(INDIRECT(zoneFichierTraite),$J479+offsetInitialFichierTraite,7)</f>
        <v>0</v>
      </c>
      <c r="F479" s="33">
        <f ca="1">INDEX(INDIRECT(zoneFichierTraite),$J479+offsetInitialFichierTraite,8)</f>
        <v>0</v>
      </c>
      <c r="G479" s="34">
        <f t="shared" ref="G479" ca="1" si="478">ROUNDUP(F479*3,0)</f>
        <v>0</v>
      </c>
      <c r="H479" s="37" t="str">
        <f t="shared" ref="H479" ca="1" si="479">IF(ISNUMBER(N479),codeEAN13(INT(N479/10)),"")</f>
        <v/>
      </c>
      <c r="J479" s="18">
        <f t="shared" si="459"/>
        <v>235</v>
      </c>
      <c r="L479" s="7">
        <f ca="1">INDEX(INDIRECT(zoneFichierTraite),$J479+offsetInitialFichierTraite,1)</f>
        <v>0</v>
      </c>
      <c r="M479" s="14">
        <f ca="1">INDEX(INDIRECT(zoneFichierTraite),$J479+offsetInitialFichierTraite,9)</f>
        <v>0</v>
      </c>
      <c r="N479" s="17">
        <f ca="1">INDEX(INDIRECT(zoneFichierTraite),$J479+offsetInitialFichierTraite,3)</f>
        <v>0</v>
      </c>
      <c r="O479" s="2" t="e">
        <f ca="1">MATCH(N479,INDIRECT(nomFichierEAN13Valmag &amp; "!A:A"),0)</f>
        <v>#N/A</v>
      </c>
      <c r="P479" s="2" t="e">
        <f ca="1">MATCH(R479,INDIRECT(nomFichierEAN13Valmag &amp; "!A:A"),0)</f>
        <v>#N/A</v>
      </c>
      <c r="Q479" s="2" t="e">
        <f ca="1">MATCH(LEFT(B479,14) &amp; "*",INDIRECT(nomFichierBaseCatalogue &amp; "!B:B"),0)</f>
        <v>#N/A</v>
      </c>
      <c r="R479" s="17" t="str">
        <f ca="1">IFERROR(INDEX(INDIRECT(zoneFichierBaseCatalogue),Q479,1),"")</f>
        <v/>
      </c>
      <c r="S479" s="2" t="e">
        <f ca="1">MATCH(B479,INDIRECT(nomFichierFiltreCatalogue &amp; "!B:B"),0)</f>
        <v>#N/A</v>
      </c>
      <c r="T479" s="17"/>
    </row>
    <row r="480" spans="1:20" s="24" customFormat="1" ht="15.75" customHeight="1" x14ac:dyDescent="0.25">
      <c r="A480" s="30">
        <f ca="1">INDEX(INDIRECT(zoneFichierTraite),$J479+offsetInitialFichierTraite,2)</f>
        <v>0</v>
      </c>
      <c r="B480" s="29" t="str">
        <f ca="1">IFERROR(INDEX(INDIRECT(zoneFichierEAN13Valmag),$P479,3),"")</f>
        <v/>
      </c>
      <c r="C480" s="22" t="str">
        <f ca="1">IFERROR(INDEX(INDIRECT(zoneFichierEAN13Valmag),$O479,3),"")</f>
        <v/>
      </c>
      <c r="D480" s="23" t="str">
        <f ca="1">IFERROR(INDEX(INDIRECT(zoneFichierEAN13Valmag),$O479,4),"")</f>
        <v/>
      </c>
      <c r="E480" s="38" t="str">
        <f ca="1">IFERROR(INDEX(INDIRECT(zoneFichierFiltreCatalogue),S479,3),"")</f>
        <v/>
      </c>
      <c r="F480" s="23"/>
      <c r="G480" s="21"/>
      <c r="H480" s="39" t="str">
        <f ca="1">IFERROR(INDEX(INDIRECT(zoneFichierFiltreCatalogue),S479,6),"")</f>
        <v/>
      </c>
      <c r="R480" s="25"/>
      <c r="S480" s="25"/>
    </row>
    <row r="481" spans="1:20" ht="39" customHeight="1" thickBot="1" x14ac:dyDescent="0.65">
      <c r="A481" s="11">
        <f ca="1">INDEX(INDIRECT(zoneFichierTraite),$J481+offsetInitialFichierTraite,6)</f>
        <v>0</v>
      </c>
      <c r="B481" s="7">
        <f ca="1">INDEX(INDIRECT(zoneFichierTraite),$J481+offsetInitialFichierTraite,4)</f>
        <v>0</v>
      </c>
      <c r="C481" s="31">
        <f ca="1">INDEX(INDIRECT(zoneFichierTraite),$J481+offsetInitialFichierTraite,5)</f>
        <v>0</v>
      </c>
      <c r="D481" s="32">
        <f ca="1">INDEX(INDIRECT(zoneFichierTraite),$J481+offsetInitialFichierTraite,13)</f>
        <v>0</v>
      </c>
      <c r="E481" s="35">
        <f ca="1">INDEX(INDIRECT(zoneFichierTraite),$J481+offsetInitialFichierTraite,7)</f>
        <v>0</v>
      </c>
      <c r="F481" s="33">
        <f ca="1">INDEX(INDIRECT(zoneFichierTraite),$J481+offsetInitialFichierTraite,8)</f>
        <v>0</v>
      </c>
      <c r="G481" s="34">
        <f t="shared" ref="G481" ca="1" si="480">ROUNDUP(F481*3,0)</f>
        <v>0</v>
      </c>
      <c r="H481" s="37" t="str">
        <f t="shared" ref="H481" ca="1" si="481">IF(ISNUMBER(N481),codeEAN13(INT(N481/10)),"")</f>
        <v/>
      </c>
      <c r="J481" s="18">
        <f t="shared" si="459"/>
        <v>236</v>
      </c>
      <c r="L481" s="7">
        <f ca="1">INDEX(INDIRECT(zoneFichierTraite),$J481+offsetInitialFichierTraite,1)</f>
        <v>0</v>
      </c>
      <c r="M481" s="14">
        <f ca="1">INDEX(INDIRECT(zoneFichierTraite),$J481+offsetInitialFichierTraite,9)</f>
        <v>0</v>
      </c>
      <c r="N481" s="17">
        <f ca="1">INDEX(INDIRECT(zoneFichierTraite),$J481+offsetInitialFichierTraite,3)</f>
        <v>0</v>
      </c>
      <c r="O481" s="2" t="e">
        <f ca="1">MATCH(N481,INDIRECT(nomFichierEAN13Valmag &amp; "!A:A"),0)</f>
        <v>#N/A</v>
      </c>
      <c r="P481" s="2" t="e">
        <f ca="1">MATCH(R481,INDIRECT(nomFichierEAN13Valmag &amp; "!A:A"),0)</f>
        <v>#N/A</v>
      </c>
      <c r="Q481" s="2" t="e">
        <f ca="1">MATCH(LEFT(B481,14) &amp; "*",INDIRECT(nomFichierBaseCatalogue &amp; "!B:B"),0)</f>
        <v>#N/A</v>
      </c>
      <c r="R481" s="17" t="str">
        <f ca="1">IFERROR(INDEX(INDIRECT(zoneFichierBaseCatalogue),Q481,1),"")</f>
        <v/>
      </c>
      <c r="S481" s="2" t="e">
        <f ca="1">MATCH(B481,INDIRECT(nomFichierFiltreCatalogue &amp; "!B:B"),0)</f>
        <v>#N/A</v>
      </c>
      <c r="T481" s="17"/>
    </row>
    <row r="482" spans="1:20" s="24" customFormat="1" ht="15.75" customHeight="1" x14ac:dyDescent="0.25">
      <c r="A482" s="30">
        <f ca="1">INDEX(INDIRECT(zoneFichierTraite),$J481+offsetInitialFichierTraite,2)</f>
        <v>0</v>
      </c>
      <c r="B482" s="29" t="str">
        <f ca="1">IFERROR(INDEX(INDIRECT(zoneFichierEAN13Valmag),$P481,3),"")</f>
        <v/>
      </c>
      <c r="C482" s="22" t="str">
        <f ca="1">IFERROR(INDEX(INDIRECT(zoneFichierEAN13Valmag),$O481,3),"")</f>
        <v/>
      </c>
      <c r="D482" s="23" t="str">
        <f ca="1">IFERROR(INDEX(INDIRECT(zoneFichierEAN13Valmag),$O481,4),"")</f>
        <v/>
      </c>
      <c r="E482" s="38" t="str">
        <f ca="1">IFERROR(INDEX(INDIRECT(zoneFichierFiltreCatalogue),S481,3),"")</f>
        <v/>
      </c>
      <c r="F482" s="23"/>
      <c r="G482" s="21"/>
      <c r="H482" s="39" t="str">
        <f ca="1">IFERROR(INDEX(INDIRECT(zoneFichierFiltreCatalogue),S481,6),"")</f>
        <v/>
      </c>
      <c r="R482" s="25"/>
      <c r="S482" s="25"/>
    </row>
    <row r="483" spans="1:20" ht="39" customHeight="1" thickBot="1" x14ac:dyDescent="0.65">
      <c r="A483" s="11">
        <f ca="1">INDEX(INDIRECT(zoneFichierTraite),$J483+offsetInitialFichierTraite,6)</f>
        <v>0</v>
      </c>
      <c r="B483" s="7">
        <f ca="1">INDEX(INDIRECT(zoneFichierTraite),$J483+offsetInitialFichierTraite,4)</f>
        <v>0</v>
      </c>
      <c r="C483" s="31">
        <f ca="1">INDEX(INDIRECT(zoneFichierTraite),$J483+offsetInitialFichierTraite,5)</f>
        <v>0</v>
      </c>
      <c r="D483" s="32">
        <f ca="1">INDEX(INDIRECT(zoneFichierTraite),$J483+offsetInitialFichierTraite,13)</f>
        <v>0</v>
      </c>
      <c r="E483" s="35">
        <f ca="1">INDEX(INDIRECT(zoneFichierTraite),$J483+offsetInitialFichierTraite,7)</f>
        <v>0</v>
      </c>
      <c r="F483" s="33">
        <f ca="1">INDEX(INDIRECT(zoneFichierTraite),$J483+offsetInitialFichierTraite,8)</f>
        <v>0</v>
      </c>
      <c r="G483" s="34">
        <f t="shared" ref="G483" ca="1" si="482">ROUNDUP(F483*3,0)</f>
        <v>0</v>
      </c>
      <c r="H483" s="37" t="str">
        <f t="shared" ref="H483" ca="1" si="483">IF(ISNUMBER(N483),codeEAN13(INT(N483/10)),"")</f>
        <v/>
      </c>
      <c r="J483" s="18">
        <f t="shared" si="459"/>
        <v>237</v>
      </c>
      <c r="L483" s="7">
        <f ca="1">INDEX(INDIRECT(zoneFichierTraite),$J483+offsetInitialFichierTraite,1)</f>
        <v>0</v>
      </c>
      <c r="M483" s="14">
        <f ca="1">INDEX(INDIRECT(zoneFichierTraite),$J483+offsetInitialFichierTraite,9)</f>
        <v>0</v>
      </c>
      <c r="N483" s="17">
        <f ca="1">INDEX(INDIRECT(zoneFichierTraite),$J483+offsetInitialFichierTraite,3)</f>
        <v>0</v>
      </c>
      <c r="O483" s="2" t="e">
        <f ca="1">MATCH(N483,INDIRECT(nomFichierEAN13Valmag &amp; "!A:A"),0)</f>
        <v>#N/A</v>
      </c>
      <c r="P483" s="2" t="e">
        <f ca="1">MATCH(R483,INDIRECT(nomFichierEAN13Valmag &amp; "!A:A"),0)</f>
        <v>#N/A</v>
      </c>
      <c r="Q483" s="2" t="e">
        <f ca="1">MATCH(LEFT(B483,14) &amp; "*",INDIRECT(nomFichierBaseCatalogue &amp; "!B:B"),0)</f>
        <v>#N/A</v>
      </c>
      <c r="R483" s="17" t="str">
        <f ca="1">IFERROR(INDEX(INDIRECT(zoneFichierBaseCatalogue),Q483,1),"")</f>
        <v/>
      </c>
      <c r="S483" s="2" t="e">
        <f ca="1">MATCH(B483,INDIRECT(nomFichierFiltreCatalogue &amp; "!B:B"),0)</f>
        <v>#N/A</v>
      </c>
      <c r="T483" s="17"/>
    </row>
    <row r="484" spans="1:20" s="24" customFormat="1" ht="15.75" customHeight="1" x14ac:dyDescent="0.25">
      <c r="A484" s="30">
        <f ca="1">INDEX(INDIRECT(zoneFichierTraite),$J483+offsetInitialFichierTraite,2)</f>
        <v>0</v>
      </c>
      <c r="B484" s="29" t="str">
        <f ca="1">IFERROR(INDEX(INDIRECT(zoneFichierEAN13Valmag),$P483,3),"")</f>
        <v/>
      </c>
      <c r="C484" s="22" t="str">
        <f ca="1">IFERROR(INDEX(INDIRECT(zoneFichierEAN13Valmag),$O483,3),"")</f>
        <v/>
      </c>
      <c r="D484" s="23" t="str">
        <f ca="1">IFERROR(INDEX(INDIRECT(zoneFichierEAN13Valmag),$O483,4),"")</f>
        <v/>
      </c>
      <c r="E484" s="38" t="str">
        <f ca="1">IFERROR(INDEX(INDIRECT(zoneFichierFiltreCatalogue),S483,3),"")</f>
        <v/>
      </c>
      <c r="F484" s="23"/>
      <c r="G484" s="21"/>
      <c r="H484" s="39" t="str">
        <f ca="1">IFERROR(INDEX(INDIRECT(zoneFichierFiltreCatalogue),S483,6),"")</f>
        <v/>
      </c>
      <c r="R484" s="25"/>
      <c r="S484" s="25"/>
    </row>
    <row r="485" spans="1:20" ht="39" customHeight="1" thickBot="1" x14ac:dyDescent="0.65">
      <c r="A485" s="11">
        <f ca="1">INDEX(INDIRECT(zoneFichierTraite),$J485+offsetInitialFichierTraite,6)</f>
        <v>0</v>
      </c>
      <c r="B485" s="7">
        <f ca="1">INDEX(INDIRECT(zoneFichierTraite),$J485+offsetInitialFichierTraite,4)</f>
        <v>0</v>
      </c>
      <c r="C485" s="31">
        <f ca="1">INDEX(INDIRECT(zoneFichierTraite),$J485+offsetInitialFichierTraite,5)</f>
        <v>0</v>
      </c>
      <c r="D485" s="32">
        <f ca="1">INDEX(INDIRECT(zoneFichierTraite),$J485+offsetInitialFichierTraite,13)</f>
        <v>0</v>
      </c>
      <c r="E485" s="35">
        <f ca="1">INDEX(INDIRECT(zoneFichierTraite),$J485+offsetInitialFichierTraite,7)</f>
        <v>0</v>
      </c>
      <c r="F485" s="33">
        <f ca="1">INDEX(INDIRECT(zoneFichierTraite),$J485+offsetInitialFichierTraite,8)</f>
        <v>0</v>
      </c>
      <c r="G485" s="34">
        <f t="shared" ref="G485" ca="1" si="484">ROUNDUP(F485*3,0)</f>
        <v>0</v>
      </c>
      <c r="H485" s="37" t="str">
        <f t="shared" ref="H485" ca="1" si="485">IF(ISNUMBER(N485),codeEAN13(INT(N485/10)),"")</f>
        <v/>
      </c>
      <c r="J485" s="18">
        <f t="shared" si="459"/>
        <v>238</v>
      </c>
      <c r="L485" s="7">
        <f ca="1">INDEX(INDIRECT(zoneFichierTraite),$J485+offsetInitialFichierTraite,1)</f>
        <v>0</v>
      </c>
      <c r="M485" s="14">
        <f ca="1">INDEX(INDIRECT(zoneFichierTraite),$J485+offsetInitialFichierTraite,9)</f>
        <v>0</v>
      </c>
      <c r="N485" s="17">
        <f ca="1">INDEX(INDIRECT(zoneFichierTraite),$J485+offsetInitialFichierTraite,3)</f>
        <v>0</v>
      </c>
      <c r="O485" s="2" t="e">
        <f ca="1">MATCH(N485,INDIRECT(nomFichierEAN13Valmag &amp; "!A:A"),0)</f>
        <v>#N/A</v>
      </c>
      <c r="P485" s="2" t="e">
        <f ca="1">MATCH(R485,INDIRECT(nomFichierEAN13Valmag &amp; "!A:A"),0)</f>
        <v>#N/A</v>
      </c>
      <c r="Q485" s="2" t="e">
        <f ca="1">MATCH(LEFT(B485,14) &amp; "*",INDIRECT(nomFichierBaseCatalogue &amp; "!B:B"),0)</f>
        <v>#N/A</v>
      </c>
      <c r="R485" s="17" t="str">
        <f ca="1">IFERROR(INDEX(INDIRECT(zoneFichierBaseCatalogue),Q485,1),"")</f>
        <v/>
      </c>
      <c r="S485" s="2" t="e">
        <f ca="1">MATCH(B485,INDIRECT(nomFichierFiltreCatalogue &amp; "!B:B"),0)</f>
        <v>#N/A</v>
      </c>
      <c r="T485" s="17"/>
    </row>
    <row r="486" spans="1:20" s="24" customFormat="1" ht="15.75" customHeight="1" x14ac:dyDescent="0.25">
      <c r="A486" s="30">
        <f ca="1">INDEX(INDIRECT(zoneFichierTraite),$J485+offsetInitialFichierTraite,2)</f>
        <v>0</v>
      </c>
      <c r="B486" s="29" t="str">
        <f ca="1">IFERROR(INDEX(INDIRECT(zoneFichierEAN13Valmag),$P485,3),"")</f>
        <v/>
      </c>
      <c r="C486" s="22" t="str">
        <f ca="1">IFERROR(INDEX(INDIRECT(zoneFichierEAN13Valmag),$O485,3),"")</f>
        <v/>
      </c>
      <c r="D486" s="23" t="str">
        <f ca="1">IFERROR(INDEX(INDIRECT(zoneFichierEAN13Valmag),$O485,4),"")</f>
        <v/>
      </c>
      <c r="E486" s="38" t="str">
        <f ca="1">IFERROR(INDEX(INDIRECT(zoneFichierFiltreCatalogue),S485,3),"")</f>
        <v/>
      </c>
      <c r="F486" s="23"/>
      <c r="G486" s="21"/>
      <c r="H486" s="39" t="str">
        <f ca="1">IFERROR(INDEX(INDIRECT(zoneFichierFiltreCatalogue),S485,6),"")</f>
        <v/>
      </c>
      <c r="R486" s="25"/>
      <c r="S486" s="25"/>
    </row>
    <row r="487" spans="1:20" ht="39" customHeight="1" thickBot="1" x14ac:dyDescent="0.65">
      <c r="A487" s="11">
        <f ca="1">INDEX(INDIRECT(zoneFichierTraite),$J487+offsetInitialFichierTraite,6)</f>
        <v>0</v>
      </c>
      <c r="B487" s="7">
        <f ca="1">INDEX(INDIRECT(zoneFichierTraite),$J487+offsetInitialFichierTraite,4)</f>
        <v>0</v>
      </c>
      <c r="C487" s="31">
        <f ca="1">INDEX(INDIRECT(zoneFichierTraite),$J487+offsetInitialFichierTraite,5)</f>
        <v>0</v>
      </c>
      <c r="D487" s="32">
        <f ca="1">INDEX(INDIRECT(zoneFichierTraite),$J487+offsetInitialFichierTraite,13)</f>
        <v>0</v>
      </c>
      <c r="E487" s="35">
        <f ca="1">INDEX(INDIRECT(zoneFichierTraite),$J487+offsetInitialFichierTraite,7)</f>
        <v>0</v>
      </c>
      <c r="F487" s="33">
        <f ca="1">INDEX(INDIRECT(zoneFichierTraite),$J487+offsetInitialFichierTraite,8)</f>
        <v>0</v>
      </c>
      <c r="G487" s="34">
        <f t="shared" ref="G487" ca="1" si="486">ROUNDUP(F487*3,0)</f>
        <v>0</v>
      </c>
      <c r="H487" s="37" t="str">
        <f t="shared" ref="H487" ca="1" si="487">IF(ISNUMBER(N487),codeEAN13(INT(N487/10)),"")</f>
        <v/>
      </c>
      <c r="J487" s="18">
        <f t="shared" si="459"/>
        <v>239</v>
      </c>
      <c r="L487" s="7">
        <f ca="1">INDEX(INDIRECT(zoneFichierTraite),$J487+offsetInitialFichierTraite,1)</f>
        <v>0</v>
      </c>
      <c r="M487" s="14">
        <f ca="1">INDEX(INDIRECT(zoneFichierTraite),$J487+offsetInitialFichierTraite,9)</f>
        <v>0</v>
      </c>
      <c r="N487" s="17">
        <f ca="1">INDEX(INDIRECT(zoneFichierTraite),$J487+offsetInitialFichierTraite,3)</f>
        <v>0</v>
      </c>
      <c r="O487" s="2" t="e">
        <f ca="1">MATCH(N487,INDIRECT(nomFichierEAN13Valmag &amp; "!A:A"),0)</f>
        <v>#N/A</v>
      </c>
      <c r="P487" s="2" t="e">
        <f ca="1">MATCH(R487,INDIRECT(nomFichierEAN13Valmag &amp; "!A:A"),0)</f>
        <v>#N/A</v>
      </c>
      <c r="Q487" s="2" t="e">
        <f ca="1">MATCH(LEFT(B487,14) &amp; "*",INDIRECT(nomFichierBaseCatalogue &amp; "!B:B"),0)</f>
        <v>#N/A</v>
      </c>
      <c r="R487" s="17" t="str">
        <f ca="1">IFERROR(INDEX(INDIRECT(zoneFichierBaseCatalogue),Q487,1),"")</f>
        <v/>
      </c>
      <c r="S487" s="2" t="e">
        <f ca="1">MATCH(B487,INDIRECT(nomFichierFiltreCatalogue &amp; "!B:B"),0)</f>
        <v>#N/A</v>
      </c>
      <c r="T487" s="17"/>
    </row>
    <row r="488" spans="1:20" s="24" customFormat="1" ht="15.75" customHeight="1" x14ac:dyDescent="0.25">
      <c r="A488" s="30">
        <f ca="1">INDEX(INDIRECT(zoneFichierTraite),$J487+offsetInitialFichierTraite,2)</f>
        <v>0</v>
      </c>
      <c r="B488" s="29" t="str">
        <f ca="1">IFERROR(INDEX(INDIRECT(zoneFichierEAN13Valmag),$P487,3),"")</f>
        <v/>
      </c>
      <c r="C488" s="22" t="str">
        <f ca="1">IFERROR(INDEX(INDIRECT(zoneFichierEAN13Valmag),$O487,3),"")</f>
        <v/>
      </c>
      <c r="D488" s="23" t="str">
        <f ca="1">IFERROR(INDEX(INDIRECT(zoneFichierEAN13Valmag),$O487,4),"")</f>
        <v/>
      </c>
      <c r="E488" s="38" t="str">
        <f ca="1">IFERROR(INDEX(INDIRECT(zoneFichierFiltreCatalogue),S487,3),"")</f>
        <v/>
      </c>
      <c r="F488" s="23"/>
      <c r="G488" s="21"/>
      <c r="H488" s="39" t="str">
        <f ca="1">IFERROR(INDEX(INDIRECT(zoneFichierFiltreCatalogue),S487,6),"")</f>
        <v/>
      </c>
      <c r="R488" s="25"/>
      <c r="S488" s="25"/>
    </row>
    <row r="489" spans="1:20" ht="39" customHeight="1" thickBot="1" x14ac:dyDescent="0.65">
      <c r="A489" s="11">
        <f ca="1">INDEX(INDIRECT(zoneFichierTraite),$J489+offsetInitialFichierTraite,6)</f>
        <v>0</v>
      </c>
      <c r="B489" s="7">
        <f ca="1">INDEX(INDIRECT(zoneFichierTraite),$J489+offsetInitialFichierTraite,4)</f>
        <v>0</v>
      </c>
      <c r="C489" s="31">
        <f ca="1">INDEX(INDIRECT(zoneFichierTraite),$J489+offsetInitialFichierTraite,5)</f>
        <v>0</v>
      </c>
      <c r="D489" s="32">
        <f ca="1">INDEX(INDIRECT(zoneFichierTraite),$J489+offsetInitialFichierTraite,13)</f>
        <v>0</v>
      </c>
      <c r="E489" s="35">
        <f ca="1">INDEX(INDIRECT(zoneFichierTraite),$J489+offsetInitialFichierTraite,7)</f>
        <v>0</v>
      </c>
      <c r="F489" s="33">
        <f ca="1">INDEX(INDIRECT(zoneFichierTraite),$J489+offsetInitialFichierTraite,8)</f>
        <v>0</v>
      </c>
      <c r="G489" s="34">
        <f t="shared" ref="G489" ca="1" si="488">ROUNDUP(F489*3,0)</f>
        <v>0</v>
      </c>
      <c r="H489" s="37" t="str">
        <f t="shared" ref="H489" ca="1" si="489">IF(ISNUMBER(N489),codeEAN13(INT(N489/10)),"")</f>
        <v/>
      </c>
      <c r="J489" s="18">
        <f t="shared" si="459"/>
        <v>240</v>
      </c>
      <c r="L489" s="7">
        <f ca="1">INDEX(INDIRECT(zoneFichierTraite),$J489+offsetInitialFichierTraite,1)</f>
        <v>0</v>
      </c>
      <c r="M489" s="14">
        <f ca="1">INDEX(INDIRECT(zoneFichierTraite),$J489+offsetInitialFichierTraite,9)</f>
        <v>0</v>
      </c>
      <c r="N489" s="17">
        <f ca="1">INDEX(INDIRECT(zoneFichierTraite),$J489+offsetInitialFichierTraite,3)</f>
        <v>0</v>
      </c>
      <c r="O489" s="2" t="e">
        <f ca="1">MATCH(N489,INDIRECT(nomFichierEAN13Valmag &amp; "!A:A"),0)</f>
        <v>#N/A</v>
      </c>
      <c r="P489" s="2" t="e">
        <f ca="1">MATCH(R489,INDIRECT(nomFichierEAN13Valmag &amp; "!A:A"),0)</f>
        <v>#N/A</v>
      </c>
      <c r="Q489" s="2" t="e">
        <f ca="1">MATCH(LEFT(B489,14) &amp; "*",INDIRECT(nomFichierBaseCatalogue &amp; "!B:B"),0)</f>
        <v>#N/A</v>
      </c>
      <c r="R489" s="17" t="str">
        <f ca="1">IFERROR(INDEX(INDIRECT(zoneFichierBaseCatalogue),Q489,1),"")</f>
        <v/>
      </c>
      <c r="S489" s="2" t="e">
        <f ca="1">MATCH(B489,INDIRECT(nomFichierFiltreCatalogue &amp; "!B:B"),0)</f>
        <v>#N/A</v>
      </c>
      <c r="T489" s="17"/>
    </row>
    <row r="490" spans="1:20" s="24" customFormat="1" ht="15.75" customHeight="1" x14ac:dyDescent="0.25">
      <c r="A490" s="30">
        <f ca="1">INDEX(INDIRECT(zoneFichierTraite),$J489+offsetInitialFichierTraite,2)</f>
        <v>0</v>
      </c>
      <c r="B490" s="29" t="str">
        <f ca="1">IFERROR(INDEX(INDIRECT(zoneFichierEAN13Valmag),$P489,3),"")</f>
        <v/>
      </c>
      <c r="C490" s="22" t="str">
        <f ca="1">IFERROR(INDEX(INDIRECT(zoneFichierEAN13Valmag),$O489,3),"")</f>
        <v/>
      </c>
      <c r="D490" s="23" t="str">
        <f ca="1">IFERROR(INDEX(INDIRECT(zoneFichierEAN13Valmag),$O489,4),"")</f>
        <v/>
      </c>
      <c r="E490" s="38" t="str">
        <f ca="1">IFERROR(INDEX(INDIRECT(zoneFichierFiltreCatalogue),S489,3),"")</f>
        <v/>
      </c>
      <c r="F490" s="23"/>
      <c r="G490" s="21"/>
      <c r="H490" s="39" t="str">
        <f ca="1">IFERROR(INDEX(INDIRECT(zoneFichierFiltreCatalogue),S489,6),"")</f>
        <v/>
      </c>
      <c r="R490" s="25"/>
      <c r="S490" s="25"/>
    </row>
    <row r="491" spans="1:20" ht="39" customHeight="1" thickBot="1" x14ac:dyDescent="0.65">
      <c r="A491" s="11">
        <f ca="1">INDEX(INDIRECT(zoneFichierTraite),$J491+offsetInitialFichierTraite,6)</f>
        <v>0</v>
      </c>
      <c r="B491" s="7">
        <f ca="1">INDEX(INDIRECT(zoneFichierTraite),$J491+offsetInitialFichierTraite,4)</f>
        <v>0</v>
      </c>
      <c r="C491" s="31">
        <f ca="1">INDEX(INDIRECT(zoneFichierTraite),$J491+offsetInitialFichierTraite,5)</f>
        <v>0</v>
      </c>
      <c r="D491" s="32">
        <f ca="1">INDEX(INDIRECT(zoneFichierTraite),$J491+offsetInitialFichierTraite,13)</f>
        <v>0</v>
      </c>
      <c r="E491" s="35">
        <f ca="1">INDEX(INDIRECT(zoneFichierTraite),$J491+offsetInitialFichierTraite,7)</f>
        <v>0</v>
      </c>
      <c r="F491" s="33">
        <f ca="1">INDEX(INDIRECT(zoneFichierTraite),$J491+offsetInitialFichierTraite,8)</f>
        <v>0</v>
      </c>
      <c r="G491" s="34">
        <f t="shared" ref="G491" ca="1" si="490">ROUNDUP(F491*3,0)</f>
        <v>0</v>
      </c>
      <c r="H491" s="37" t="str">
        <f t="shared" ref="H491" ca="1" si="491">IF(ISNUMBER(N491),codeEAN13(INT(N491/10)),"")</f>
        <v/>
      </c>
      <c r="J491" s="18">
        <f t="shared" si="459"/>
        <v>241</v>
      </c>
      <c r="L491" s="7">
        <f ca="1">INDEX(INDIRECT(zoneFichierTraite),$J491+offsetInitialFichierTraite,1)</f>
        <v>0</v>
      </c>
      <c r="M491" s="14">
        <f ca="1">INDEX(INDIRECT(zoneFichierTraite),$J491+offsetInitialFichierTraite,9)</f>
        <v>0</v>
      </c>
      <c r="N491" s="17">
        <f ca="1">INDEX(INDIRECT(zoneFichierTraite),$J491+offsetInitialFichierTraite,3)</f>
        <v>0</v>
      </c>
      <c r="O491" s="2" t="e">
        <f ca="1">MATCH(N491,INDIRECT(nomFichierEAN13Valmag &amp; "!A:A"),0)</f>
        <v>#N/A</v>
      </c>
      <c r="P491" s="2" t="e">
        <f ca="1">MATCH(R491,INDIRECT(nomFichierEAN13Valmag &amp; "!A:A"),0)</f>
        <v>#N/A</v>
      </c>
      <c r="Q491" s="2" t="e">
        <f ca="1">MATCH(LEFT(B491,14) &amp; "*",INDIRECT(nomFichierBaseCatalogue &amp; "!B:B"),0)</f>
        <v>#N/A</v>
      </c>
      <c r="R491" s="17" t="str">
        <f ca="1">IFERROR(INDEX(INDIRECT(zoneFichierBaseCatalogue),Q491,1),"")</f>
        <v/>
      </c>
      <c r="S491" s="2" t="e">
        <f ca="1">MATCH(B491,INDIRECT(nomFichierFiltreCatalogue &amp; "!B:B"),0)</f>
        <v>#N/A</v>
      </c>
      <c r="T491" s="17"/>
    </row>
    <row r="492" spans="1:20" s="24" customFormat="1" ht="15.75" customHeight="1" x14ac:dyDescent="0.25">
      <c r="A492" s="30">
        <f ca="1">INDEX(INDIRECT(zoneFichierTraite),$J491+offsetInitialFichierTraite,2)</f>
        <v>0</v>
      </c>
      <c r="B492" s="29" t="str">
        <f ca="1">IFERROR(INDEX(INDIRECT(zoneFichierEAN13Valmag),$P491,3),"")</f>
        <v/>
      </c>
      <c r="C492" s="22" t="str">
        <f ca="1">IFERROR(INDEX(INDIRECT(zoneFichierEAN13Valmag),$O491,3),"")</f>
        <v/>
      </c>
      <c r="D492" s="23" t="str">
        <f ca="1">IFERROR(INDEX(INDIRECT(zoneFichierEAN13Valmag),$O491,4),"")</f>
        <v/>
      </c>
      <c r="E492" s="38" t="str">
        <f ca="1">IFERROR(INDEX(INDIRECT(zoneFichierFiltreCatalogue),S491,3),"")</f>
        <v/>
      </c>
      <c r="F492" s="23"/>
      <c r="G492" s="21"/>
      <c r="H492" s="39" t="str">
        <f ca="1">IFERROR(INDEX(INDIRECT(zoneFichierFiltreCatalogue),S491,6),"")</f>
        <v/>
      </c>
      <c r="R492" s="25"/>
      <c r="S492" s="25"/>
    </row>
    <row r="493" spans="1:20" ht="39" customHeight="1" thickBot="1" x14ac:dyDescent="0.65">
      <c r="A493" s="11">
        <f ca="1">INDEX(INDIRECT(zoneFichierTraite),$J493+offsetInitialFichierTraite,6)</f>
        <v>0</v>
      </c>
      <c r="B493" s="7">
        <f ca="1">INDEX(INDIRECT(zoneFichierTraite),$J493+offsetInitialFichierTraite,4)</f>
        <v>0</v>
      </c>
      <c r="C493" s="31">
        <f ca="1">INDEX(INDIRECT(zoneFichierTraite),$J493+offsetInitialFichierTraite,5)</f>
        <v>0</v>
      </c>
      <c r="D493" s="32">
        <f ca="1">INDEX(INDIRECT(zoneFichierTraite),$J493+offsetInitialFichierTraite,13)</f>
        <v>0</v>
      </c>
      <c r="E493" s="35">
        <f ca="1">INDEX(INDIRECT(zoneFichierTraite),$J493+offsetInitialFichierTraite,7)</f>
        <v>0</v>
      </c>
      <c r="F493" s="33">
        <f ca="1">INDEX(INDIRECT(zoneFichierTraite),$J493+offsetInitialFichierTraite,8)</f>
        <v>0</v>
      </c>
      <c r="G493" s="34">
        <f t="shared" ref="G493" ca="1" si="492">ROUNDUP(F493*3,0)</f>
        <v>0</v>
      </c>
      <c r="H493" s="37" t="str">
        <f t="shared" ref="H493" ca="1" si="493">IF(ISNUMBER(N493),codeEAN13(INT(N493/10)),"")</f>
        <v/>
      </c>
      <c r="J493" s="18">
        <f t="shared" si="459"/>
        <v>242</v>
      </c>
      <c r="L493" s="7">
        <f ca="1">INDEX(INDIRECT(zoneFichierTraite),$J493+offsetInitialFichierTraite,1)</f>
        <v>0</v>
      </c>
      <c r="M493" s="14">
        <f ca="1">INDEX(INDIRECT(zoneFichierTraite),$J493+offsetInitialFichierTraite,9)</f>
        <v>0</v>
      </c>
      <c r="N493" s="17">
        <f ca="1">INDEX(INDIRECT(zoneFichierTraite),$J493+offsetInitialFichierTraite,3)</f>
        <v>0</v>
      </c>
      <c r="O493" s="2" t="e">
        <f ca="1">MATCH(N493,INDIRECT(nomFichierEAN13Valmag &amp; "!A:A"),0)</f>
        <v>#N/A</v>
      </c>
      <c r="P493" s="2" t="e">
        <f ca="1">MATCH(R493,INDIRECT(nomFichierEAN13Valmag &amp; "!A:A"),0)</f>
        <v>#N/A</v>
      </c>
      <c r="Q493" s="2" t="e">
        <f ca="1">MATCH(LEFT(B493,14) &amp; "*",INDIRECT(nomFichierBaseCatalogue &amp; "!B:B"),0)</f>
        <v>#N/A</v>
      </c>
      <c r="R493" s="17" t="str">
        <f ca="1">IFERROR(INDEX(INDIRECT(zoneFichierBaseCatalogue),Q493,1),"")</f>
        <v/>
      </c>
      <c r="S493" s="2" t="e">
        <f ca="1">MATCH(B493,INDIRECT(nomFichierFiltreCatalogue &amp; "!B:B"),0)</f>
        <v>#N/A</v>
      </c>
      <c r="T493" s="17"/>
    </row>
    <row r="494" spans="1:20" s="24" customFormat="1" ht="15.75" customHeight="1" x14ac:dyDescent="0.25">
      <c r="A494" s="30">
        <f ca="1">INDEX(INDIRECT(zoneFichierTraite),$J493+offsetInitialFichierTraite,2)</f>
        <v>0</v>
      </c>
      <c r="B494" s="29" t="str">
        <f ca="1">IFERROR(INDEX(INDIRECT(zoneFichierEAN13Valmag),$P493,3),"")</f>
        <v/>
      </c>
      <c r="C494" s="22" t="str">
        <f ca="1">IFERROR(INDEX(INDIRECT(zoneFichierEAN13Valmag),$O493,3),"")</f>
        <v/>
      </c>
      <c r="D494" s="23" t="str">
        <f ca="1">IFERROR(INDEX(INDIRECT(zoneFichierEAN13Valmag),$O493,4),"")</f>
        <v/>
      </c>
      <c r="E494" s="38" t="str">
        <f ca="1">IFERROR(INDEX(INDIRECT(zoneFichierFiltreCatalogue),S493,3),"")</f>
        <v/>
      </c>
      <c r="F494" s="23"/>
      <c r="G494" s="21"/>
      <c r="H494" s="39" t="str">
        <f ca="1">IFERROR(INDEX(INDIRECT(zoneFichierFiltreCatalogue),S493,6),"")</f>
        <v/>
      </c>
      <c r="R494" s="25"/>
      <c r="S494" s="25"/>
    </row>
    <row r="495" spans="1:20" ht="39" customHeight="1" thickBot="1" x14ac:dyDescent="0.65">
      <c r="A495" s="11">
        <f ca="1">INDEX(INDIRECT(zoneFichierTraite),$J495+offsetInitialFichierTraite,6)</f>
        <v>0</v>
      </c>
      <c r="B495" s="7">
        <f ca="1">INDEX(INDIRECT(zoneFichierTraite),$J495+offsetInitialFichierTraite,4)</f>
        <v>0</v>
      </c>
      <c r="C495" s="31">
        <f ca="1">INDEX(INDIRECT(zoneFichierTraite),$J495+offsetInitialFichierTraite,5)</f>
        <v>0</v>
      </c>
      <c r="D495" s="32">
        <f ca="1">INDEX(INDIRECT(zoneFichierTraite),$J495+offsetInitialFichierTraite,13)</f>
        <v>0</v>
      </c>
      <c r="E495" s="35">
        <f ca="1">INDEX(INDIRECT(zoneFichierTraite),$J495+offsetInitialFichierTraite,7)</f>
        <v>0</v>
      </c>
      <c r="F495" s="33">
        <f ca="1">INDEX(INDIRECT(zoneFichierTraite),$J495+offsetInitialFichierTraite,8)</f>
        <v>0</v>
      </c>
      <c r="G495" s="34">
        <f t="shared" ref="G495" ca="1" si="494">ROUNDUP(F495*3,0)</f>
        <v>0</v>
      </c>
      <c r="H495" s="37" t="str">
        <f t="shared" ref="H495" ca="1" si="495">IF(ISNUMBER(N495),codeEAN13(INT(N495/10)),"")</f>
        <v/>
      </c>
      <c r="J495" s="18">
        <f t="shared" si="459"/>
        <v>243</v>
      </c>
      <c r="L495" s="7">
        <f ca="1">INDEX(INDIRECT(zoneFichierTraite),$J495+offsetInitialFichierTraite,1)</f>
        <v>0</v>
      </c>
      <c r="M495" s="14">
        <f ca="1">INDEX(INDIRECT(zoneFichierTraite),$J495+offsetInitialFichierTraite,9)</f>
        <v>0</v>
      </c>
      <c r="N495" s="17">
        <f ca="1">INDEX(INDIRECT(zoneFichierTraite),$J495+offsetInitialFichierTraite,3)</f>
        <v>0</v>
      </c>
      <c r="O495" s="2" t="e">
        <f ca="1">MATCH(N495,INDIRECT(nomFichierEAN13Valmag &amp; "!A:A"),0)</f>
        <v>#N/A</v>
      </c>
      <c r="P495" s="2" t="e">
        <f ca="1">MATCH(R495,INDIRECT(nomFichierEAN13Valmag &amp; "!A:A"),0)</f>
        <v>#N/A</v>
      </c>
      <c r="Q495" s="2" t="e">
        <f ca="1">MATCH(LEFT(B495,14) &amp; "*",INDIRECT(nomFichierBaseCatalogue &amp; "!B:B"),0)</f>
        <v>#N/A</v>
      </c>
      <c r="R495" s="17" t="str">
        <f ca="1">IFERROR(INDEX(INDIRECT(zoneFichierBaseCatalogue),Q495,1),"")</f>
        <v/>
      </c>
      <c r="S495" s="2" t="e">
        <f ca="1">MATCH(B495,INDIRECT(nomFichierFiltreCatalogue &amp; "!B:B"),0)</f>
        <v>#N/A</v>
      </c>
      <c r="T495" s="17"/>
    </row>
    <row r="496" spans="1:20" s="24" customFormat="1" ht="15.75" customHeight="1" x14ac:dyDescent="0.25">
      <c r="A496" s="30">
        <f ca="1">INDEX(INDIRECT(zoneFichierTraite),$J495+offsetInitialFichierTraite,2)</f>
        <v>0</v>
      </c>
      <c r="B496" s="29" t="str">
        <f ca="1">IFERROR(INDEX(INDIRECT(zoneFichierEAN13Valmag),$P495,3),"")</f>
        <v/>
      </c>
      <c r="C496" s="22" t="str">
        <f ca="1">IFERROR(INDEX(INDIRECT(zoneFichierEAN13Valmag),$O495,3),"")</f>
        <v/>
      </c>
      <c r="D496" s="23" t="str">
        <f ca="1">IFERROR(INDEX(INDIRECT(zoneFichierEAN13Valmag),$O495,4),"")</f>
        <v/>
      </c>
      <c r="E496" s="38" t="str">
        <f ca="1">IFERROR(INDEX(INDIRECT(zoneFichierFiltreCatalogue),S495,3),"")</f>
        <v/>
      </c>
      <c r="F496" s="23"/>
      <c r="G496" s="21"/>
      <c r="H496" s="39" t="str">
        <f ca="1">IFERROR(INDEX(INDIRECT(zoneFichierFiltreCatalogue),S495,6),"")</f>
        <v/>
      </c>
      <c r="R496" s="25"/>
      <c r="S496" s="25"/>
    </row>
  </sheetData>
  <pageMargins left="0.39370078740157483" right="0.39370078740157483" top="0.39370078740157483" bottom="0.39370078740157483" header="0.31496062992125984" footer="0.31496062992125984"/>
  <pageSetup paperSize="9" scale="65" fitToHeight="0" orientation="landscape" horizontalDpi="0" verticalDpi="0" r:id="rId1"/>
  <headerFooter>
    <oddFooter>&amp;L&amp;A&amp;C&amp;P / &amp;N&amp;R&amp;D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13</vt:i4>
      </vt:variant>
    </vt:vector>
  </HeadingPairs>
  <TitlesOfParts>
    <vt:vector size="15" baseType="lpstr">
      <vt:lpstr>Requêteur</vt:lpstr>
      <vt:lpstr>Synthèse Proforma</vt:lpstr>
      <vt:lpstr>baseFichierEAN13</vt:lpstr>
      <vt:lpstr>baseFichierTraite</vt:lpstr>
      <vt:lpstr>listeFichierPDF</vt:lpstr>
      <vt:lpstr>nomFichierBaseCatalogue</vt:lpstr>
      <vt:lpstr>nomFichierEAN13Valmag</vt:lpstr>
      <vt:lpstr>nomFichierFiltreCatalogue</vt:lpstr>
      <vt:lpstr>nomFichierTraite</vt:lpstr>
      <vt:lpstr>offsetInitialFichierTraite</vt:lpstr>
      <vt:lpstr>'Synthèse Proforma'!Zone_d_impression</vt:lpstr>
      <vt:lpstr>zoneFichierBaseCatalogue</vt:lpstr>
      <vt:lpstr>zoneFichierEAN13Valmag</vt:lpstr>
      <vt:lpstr>zoneFichierFiltreCatalogue</vt:lpstr>
      <vt:lpstr>zoneFichierTraite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NH RC) - AF</dc:creator>
  <cp:lastModifiedBy>Lestang, Jean (DI NH RC) - AF</cp:lastModifiedBy>
  <cp:lastPrinted>2019-10-05T06:15:28Z</cp:lastPrinted>
  <dcterms:created xsi:type="dcterms:W3CDTF">2019-10-04T18:50:53Z</dcterms:created>
  <dcterms:modified xsi:type="dcterms:W3CDTF">2019-10-05T06:15:43Z</dcterms:modified>
</cp:coreProperties>
</file>