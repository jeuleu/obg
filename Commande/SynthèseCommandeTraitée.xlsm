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312742\Documents\Perso\obg\Commande\"/>
    </mc:Choice>
  </mc:AlternateContent>
  <bookViews>
    <workbookView xWindow="0" yWindow="0" windowWidth="28800" windowHeight="12435"/>
  </bookViews>
  <sheets>
    <sheet name="Synthèse Proforma" sheetId="2" r:id="rId1"/>
    <sheet name="Paramètres" sheetId="3" r:id="rId2"/>
    <sheet name="Requêteur" sheetId="1" r:id="rId3"/>
  </sheets>
  <functionGroups builtInGroupCount="18"/>
  <definedNames>
    <definedName name="listeFichierPDF">Requêteur!$A:$A</definedName>
    <definedName name="msgCodeValmagVide">Paramètres!$B$13</definedName>
    <definedName name="msgRefValmagAcreer">Paramètres!$B$12</definedName>
    <definedName name="nomFichierBaseCatalogue">Paramètres!$A$5</definedName>
    <definedName name="nomFichierEAN13Valmag">Paramètres!$A$7</definedName>
    <definedName name="nomFichierEAN13ValmagUniq">Paramètres!$A$8</definedName>
    <definedName name="nomFichierFiltreCatalogue">'Synthèse Proforma'!$I$6</definedName>
    <definedName name="nomFichierTraite">Paramètres!$A$3</definedName>
    <definedName name="offsetInitialFichierTraite">Paramètres!$B$3</definedName>
    <definedName name="_xlnm.Print_Area" localSheetId="0">'Synthèse Proforma'!$A:$H</definedName>
    <definedName name="zoneFichierBaseCatalogue">Paramètres!$C$5</definedName>
    <definedName name="zoneFichierEAN13Valmag">Paramètres!$C$7</definedName>
    <definedName name="zoneFichierEAN13ValmagUniq">Paramètres!$C$8</definedName>
    <definedName name="zoneFichierFiltreCatalogue">'Synthèse Proforma'!$K$7</definedName>
    <definedName name="zoneFichierTraite">Paramètres!$C$3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4" i="2" l="1"/>
  <c r="M144" i="2"/>
  <c r="J146" i="2" l="1"/>
  <c r="J10" i="2"/>
  <c r="J12" i="2" s="1"/>
  <c r="J14" i="2" s="1"/>
  <c r="I5" i="2"/>
  <c r="I4" i="2"/>
  <c r="I3" i="2"/>
  <c r="C8" i="3"/>
  <c r="I2" i="2"/>
  <c r="G2" i="1"/>
  <c r="B144" i="2"/>
  <c r="D144" i="2"/>
  <c r="A144" i="2"/>
  <c r="E144" i="2"/>
  <c r="A145" i="2"/>
  <c r="F144" i="2"/>
  <c r="L144" i="2"/>
  <c r="C144" i="2"/>
  <c r="N144" i="2"/>
  <c r="B94" i="2"/>
  <c r="B78" i="2"/>
  <c r="B70" i="2"/>
  <c r="B62" i="2"/>
  <c r="B50" i="2"/>
  <c r="B42" i="2"/>
  <c r="B38" i="2"/>
  <c r="B30" i="2"/>
  <c r="B22" i="2"/>
  <c r="B14" i="2"/>
  <c r="B140" i="2"/>
  <c r="B136" i="2"/>
  <c r="B132" i="2"/>
  <c r="B128" i="2"/>
  <c r="B124" i="2"/>
  <c r="B120" i="2"/>
  <c r="B116" i="2"/>
  <c r="B110" i="2"/>
  <c r="B106" i="2"/>
  <c r="B102" i="2"/>
  <c r="B98" i="2"/>
  <c r="B90" i="2"/>
  <c r="B86" i="2"/>
  <c r="B82" i="2"/>
  <c r="B74" i="2"/>
  <c r="B66" i="2"/>
  <c r="B58" i="2"/>
  <c r="B54" i="2"/>
  <c r="B46" i="2"/>
  <c r="B34" i="2"/>
  <c r="B26" i="2"/>
  <c r="B18" i="2"/>
  <c r="B10" i="2"/>
  <c r="B88" i="2"/>
  <c r="B76" i="2"/>
  <c r="B68" i="2"/>
  <c r="B60" i="2"/>
  <c r="B48" i="2"/>
  <c r="B40" i="2"/>
  <c r="B32" i="2"/>
  <c r="B24" i="2"/>
  <c r="B20" i="2"/>
  <c r="B12" i="2"/>
  <c r="B142" i="2"/>
  <c r="B138" i="2"/>
  <c r="B134" i="2"/>
  <c r="B130" i="2"/>
  <c r="B126" i="2"/>
  <c r="B122" i="2"/>
  <c r="B118" i="2"/>
  <c r="B112" i="2"/>
  <c r="B108" i="2"/>
  <c r="B104" i="2"/>
  <c r="B100" i="2"/>
  <c r="B96" i="2"/>
  <c r="B92" i="2"/>
  <c r="B84" i="2"/>
  <c r="B80" i="2"/>
  <c r="B72" i="2"/>
  <c r="B64" i="2"/>
  <c r="B56" i="2"/>
  <c r="B52" i="2"/>
  <c r="B44" i="2"/>
  <c r="B36" i="2"/>
  <c r="B28" i="2"/>
  <c r="B16" i="2"/>
  <c r="B114" i="2"/>
  <c r="G144" i="2" l="1"/>
  <c r="K144" i="2"/>
  <c r="R144" i="2"/>
  <c r="J148" i="2"/>
  <c r="J16" i="2"/>
  <c r="A3" i="1"/>
  <c r="A2" i="1"/>
  <c r="C5" i="3"/>
  <c r="C7" i="3"/>
  <c r="C3" i="3"/>
  <c r="H144" i="2"/>
  <c r="AC144" i="2"/>
  <c r="A146" i="2"/>
  <c r="L146" i="2"/>
  <c r="F146" i="2"/>
  <c r="B146" i="2"/>
  <c r="P144" i="2"/>
  <c r="A147" i="2"/>
  <c r="D146" i="2"/>
  <c r="N146" i="2"/>
  <c r="M146" i="2"/>
  <c r="C146" i="2"/>
  <c r="E146" i="2"/>
  <c r="L12" i="2"/>
  <c r="M10" i="2"/>
  <c r="A13" i="2"/>
  <c r="D10" i="2"/>
  <c r="N10" i="2"/>
  <c r="D12" i="2"/>
  <c r="F12" i="2"/>
  <c r="C14" i="2"/>
  <c r="H10" i="2"/>
  <c r="E14" i="2"/>
  <c r="A14" i="2"/>
  <c r="E12" i="2"/>
  <c r="A12" i="2"/>
  <c r="L10" i="2"/>
  <c r="E10" i="2"/>
  <c r="C6" i="2"/>
  <c r="C12" i="2"/>
  <c r="C10" i="2"/>
  <c r="B6" i="2"/>
  <c r="C4" i="2"/>
  <c r="C7" i="2"/>
  <c r="M14" i="2"/>
  <c r="P10" i="2"/>
  <c r="C3" i="2"/>
  <c r="N14" i="2"/>
  <c r="F14" i="2"/>
  <c r="L14" i="2"/>
  <c r="A15" i="2"/>
  <c r="F10" i="2"/>
  <c r="A10" i="2"/>
  <c r="P10" i="1"/>
  <c r="D14" i="2"/>
  <c r="N12" i="2"/>
  <c r="M12" i="2"/>
  <c r="A11" i="2"/>
  <c r="E10" i="1"/>
  <c r="H1" i="2"/>
  <c r="L10" i="1"/>
  <c r="M10" i="1"/>
  <c r="I144" i="2" l="1"/>
  <c r="K146" i="2"/>
  <c r="R146" i="2"/>
  <c r="G146" i="2"/>
  <c r="J150" i="2"/>
  <c r="R10" i="2"/>
  <c r="R12" i="2"/>
  <c r="G12" i="2"/>
  <c r="K12" i="2"/>
  <c r="I12" i="2"/>
  <c r="K14" i="2"/>
  <c r="R14" i="2"/>
  <c r="G14" i="2"/>
  <c r="J18" i="2"/>
  <c r="K10" i="2"/>
  <c r="G10" i="2"/>
  <c r="I6" i="2"/>
  <c r="P146" i="2"/>
  <c r="B145" i="2"/>
  <c r="E148" i="2"/>
  <c r="N148" i="2"/>
  <c r="C148" i="2"/>
  <c r="H146" i="2"/>
  <c r="D145" i="2"/>
  <c r="E145" i="2"/>
  <c r="A148" i="2"/>
  <c r="B148" i="2"/>
  <c r="F148" i="2"/>
  <c r="M148" i="2"/>
  <c r="D148" i="2"/>
  <c r="AC146" i="2"/>
  <c r="H145" i="2"/>
  <c r="A149" i="2"/>
  <c r="L148" i="2"/>
  <c r="S144" i="2"/>
  <c r="B11" i="2"/>
  <c r="AC12" i="2"/>
  <c r="H14" i="2"/>
  <c r="H12" i="2"/>
  <c r="N10" i="1"/>
  <c r="A16" i="2"/>
  <c r="D16" i="2"/>
  <c r="L16" i="2"/>
  <c r="D11" i="2"/>
  <c r="E11" i="1"/>
  <c r="E16" i="2"/>
  <c r="P14" i="2"/>
  <c r="A11" i="1"/>
  <c r="S12" i="2"/>
  <c r="M16" i="2"/>
  <c r="AC10" i="2"/>
  <c r="B11" i="1"/>
  <c r="A17" i="2"/>
  <c r="P12" i="2"/>
  <c r="F16" i="2"/>
  <c r="S10" i="2"/>
  <c r="C10" i="1"/>
  <c r="A10" i="1"/>
  <c r="C16" i="2"/>
  <c r="N16" i="2"/>
  <c r="P11" i="1"/>
  <c r="AC14" i="2"/>
  <c r="B10" i="1"/>
  <c r="N11" i="1"/>
  <c r="L11" i="1"/>
  <c r="M11" i="1"/>
  <c r="I146" i="2" l="1"/>
  <c r="K148" i="2"/>
  <c r="G148" i="2"/>
  <c r="R148" i="2"/>
  <c r="J152" i="2"/>
  <c r="G16" i="2"/>
  <c r="I14" i="2"/>
  <c r="K16" i="2"/>
  <c r="R16" i="2"/>
  <c r="J20" i="2"/>
  <c r="I10" i="2"/>
  <c r="K7" i="2"/>
  <c r="T144" i="2"/>
  <c r="H147" i="2"/>
  <c r="AC148" i="2"/>
  <c r="D147" i="2"/>
  <c r="M150" i="2"/>
  <c r="C150" i="2"/>
  <c r="S146" i="2"/>
  <c r="E150" i="2"/>
  <c r="N150" i="2"/>
  <c r="D150" i="2"/>
  <c r="U144" i="2"/>
  <c r="E147" i="2"/>
  <c r="H148" i="2"/>
  <c r="B150" i="2"/>
  <c r="P148" i="2"/>
  <c r="A150" i="2"/>
  <c r="L150" i="2"/>
  <c r="F150" i="2"/>
  <c r="B147" i="2"/>
  <c r="A151" i="2"/>
  <c r="B13" i="2"/>
  <c r="B15" i="2"/>
  <c r="H13" i="2"/>
  <c r="E13" i="2"/>
  <c r="H16" i="2"/>
  <c r="C11" i="1"/>
  <c r="P16" i="2"/>
  <c r="M18" i="2"/>
  <c r="L18" i="2"/>
  <c r="D15" i="2"/>
  <c r="F18" i="2"/>
  <c r="U10" i="2"/>
  <c r="A12" i="1"/>
  <c r="C13" i="1"/>
  <c r="B14" i="1"/>
  <c r="E17" i="1"/>
  <c r="E18" i="1"/>
  <c r="C18" i="1"/>
  <c r="B16" i="1"/>
  <c r="B20" i="1"/>
  <c r="C15" i="1"/>
  <c r="C19" i="1"/>
  <c r="C20" i="1"/>
  <c r="E14" i="1"/>
  <c r="E22" i="1"/>
  <c r="B19" i="1"/>
  <c r="D13" i="2"/>
  <c r="U12" i="2"/>
  <c r="N18" i="2"/>
  <c r="E15" i="2"/>
  <c r="A18" i="2"/>
  <c r="T10" i="2"/>
  <c r="C12" i="1"/>
  <c r="A13" i="1"/>
  <c r="C14" i="1"/>
  <c r="E16" i="1"/>
  <c r="B18" i="1"/>
  <c r="C16" i="1"/>
  <c r="C17" i="1"/>
  <c r="C22" i="1"/>
  <c r="A16" i="1"/>
  <c r="B15" i="1"/>
  <c r="E21" i="1"/>
  <c r="S14" i="2"/>
  <c r="D18" i="2"/>
  <c r="H11" i="2"/>
  <c r="P12" i="1"/>
  <c r="E19" i="1"/>
  <c r="A19" i="1"/>
  <c r="A15" i="1"/>
  <c r="B21" i="1"/>
  <c r="T12" i="2"/>
  <c r="A19" i="2"/>
  <c r="H15" i="2"/>
  <c r="E18" i="2"/>
  <c r="AC16" i="2"/>
  <c r="E11" i="2"/>
  <c r="E12" i="1"/>
  <c r="M12" i="1"/>
  <c r="E13" i="1"/>
  <c r="A14" i="1"/>
  <c r="A21" i="1"/>
  <c r="A20" i="1"/>
  <c r="A18" i="1"/>
  <c r="B17" i="1"/>
  <c r="A22" i="1"/>
  <c r="C21" i="1"/>
  <c r="E20" i="1"/>
  <c r="C18" i="2"/>
  <c r="N12" i="1"/>
  <c r="E15" i="1"/>
  <c r="A17" i="1"/>
  <c r="B22" i="1"/>
  <c r="P13" i="1"/>
  <c r="N13" i="1"/>
  <c r="M13" i="1"/>
  <c r="L13" i="1"/>
  <c r="P14" i="1"/>
  <c r="M14" i="1"/>
  <c r="L14" i="1"/>
  <c r="P15" i="1"/>
  <c r="N14" i="1"/>
  <c r="P16" i="1"/>
  <c r="L15" i="1"/>
  <c r="M16" i="1"/>
  <c r="N16" i="1"/>
  <c r="P17" i="1"/>
  <c r="N15" i="1"/>
  <c r="M15" i="1"/>
  <c r="M17" i="1"/>
  <c r="L17" i="1"/>
  <c r="L16" i="1"/>
  <c r="N17" i="1"/>
  <c r="P18" i="1"/>
  <c r="N18" i="1"/>
  <c r="M18" i="1"/>
  <c r="L18" i="1"/>
  <c r="P19" i="1"/>
  <c r="M19" i="1"/>
  <c r="L19" i="1"/>
  <c r="P20" i="1"/>
  <c r="N19" i="1"/>
  <c r="P21" i="1"/>
  <c r="M21" i="1"/>
  <c r="M20" i="1"/>
  <c r="N20" i="1"/>
  <c r="L20" i="1"/>
  <c r="P22" i="1"/>
  <c r="N21" i="1"/>
  <c r="P23" i="1"/>
  <c r="M22" i="1"/>
  <c r="M23" i="1"/>
  <c r="L21" i="1"/>
  <c r="L22" i="1"/>
  <c r="N22" i="1"/>
  <c r="P24" i="1"/>
  <c r="L23" i="1"/>
  <c r="N23" i="1"/>
  <c r="P25" i="1"/>
  <c r="N24" i="1"/>
  <c r="M25" i="1"/>
  <c r="P26" i="1"/>
  <c r="M24" i="1"/>
  <c r="P27" i="1"/>
  <c r="L24" i="1"/>
  <c r="N25" i="1"/>
  <c r="M26" i="1"/>
  <c r="L27" i="1"/>
  <c r="L25" i="1"/>
  <c r="P28" i="1"/>
  <c r="M27" i="1"/>
  <c r="L26" i="1"/>
  <c r="L28" i="1"/>
  <c r="N27" i="1"/>
  <c r="N26" i="1"/>
  <c r="P29" i="1"/>
  <c r="P30" i="1"/>
  <c r="N28" i="1"/>
  <c r="P31" i="1"/>
  <c r="N29" i="1"/>
  <c r="M28" i="1"/>
  <c r="L29" i="1"/>
  <c r="M30" i="1"/>
  <c r="N31" i="1"/>
  <c r="M29" i="1"/>
  <c r="P32" i="1"/>
  <c r="L30" i="1"/>
  <c r="N30" i="1"/>
  <c r="M32" i="1"/>
  <c r="L31" i="1"/>
  <c r="P33" i="1"/>
  <c r="L32" i="1"/>
  <c r="M31" i="1"/>
  <c r="L33" i="1"/>
  <c r="M33" i="1"/>
  <c r="N32" i="1"/>
  <c r="N33" i="1"/>
  <c r="P34" i="1"/>
  <c r="P35" i="1"/>
  <c r="M34" i="1"/>
  <c r="M35" i="1"/>
  <c r="N35" i="1"/>
  <c r="N34" i="1"/>
  <c r="L35" i="1"/>
  <c r="P36" i="1"/>
  <c r="L34" i="1"/>
  <c r="N36" i="1"/>
  <c r="M36" i="1"/>
  <c r="P37" i="1"/>
  <c r="L36" i="1"/>
  <c r="L41" i="1"/>
  <c r="M37" i="1"/>
  <c r="P40" i="1"/>
  <c r="N42" i="1"/>
  <c r="N41" i="1"/>
  <c r="M38" i="1"/>
  <c r="P41" i="1"/>
  <c r="N40" i="1"/>
  <c r="M41" i="1"/>
  <c r="N38" i="1"/>
  <c r="N39" i="1"/>
  <c r="P38" i="1"/>
  <c r="M42" i="1"/>
  <c r="L38" i="1"/>
  <c r="L39" i="1"/>
  <c r="L37" i="1"/>
  <c r="M39" i="1"/>
  <c r="M40" i="1"/>
  <c r="L42" i="1"/>
  <c r="L40" i="1"/>
  <c r="P39" i="1"/>
  <c r="N37" i="1"/>
  <c r="I148" i="2" l="1"/>
  <c r="K150" i="2"/>
  <c r="G150" i="2"/>
  <c r="R150" i="2"/>
  <c r="V144" i="2"/>
  <c r="J154" i="2"/>
  <c r="G18" i="2"/>
  <c r="I16" i="2"/>
  <c r="K18" i="2"/>
  <c r="V12" i="2"/>
  <c r="R18" i="2"/>
  <c r="J22" i="2"/>
  <c r="V10" i="2"/>
  <c r="H150" i="2"/>
  <c r="E149" i="2"/>
  <c r="C152" i="2"/>
  <c r="L152" i="2"/>
  <c r="AC150" i="2"/>
  <c r="T146" i="2"/>
  <c r="M152" i="2"/>
  <c r="D152" i="2"/>
  <c r="D149" i="2"/>
  <c r="U146" i="2"/>
  <c r="S148" i="2"/>
  <c r="E152" i="2"/>
  <c r="N152" i="2"/>
  <c r="A153" i="2"/>
  <c r="B149" i="2"/>
  <c r="P150" i="2"/>
  <c r="H149" i="2"/>
  <c r="A152" i="2"/>
  <c r="F152" i="2"/>
  <c r="B152" i="2"/>
  <c r="B17" i="2"/>
  <c r="H18" i="2"/>
  <c r="B13" i="1"/>
  <c r="P42" i="1"/>
  <c r="M20" i="2"/>
  <c r="E17" i="2"/>
  <c r="S16" i="2"/>
  <c r="D17" i="2"/>
  <c r="P18" i="2"/>
  <c r="A21" i="2"/>
  <c r="B12" i="1"/>
  <c r="D20" i="2"/>
  <c r="N20" i="2"/>
  <c r="U14" i="2"/>
  <c r="F20" i="2"/>
  <c r="L12" i="1"/>
  <c r="E20" i="2"/>
  <c r="A20" i="2"/>
  <c r="J10" i="1"/>
  <c r="C20" i="2"/>
  <c r="T14" i="2"/>
  <c r="L20" i="2"/>
  <c r="H17" i="2"/>
  <c r="AC18" i="2"/>
  <c r="R152" i="2" l="1"/>
  <c r="G152" i="2"/>
  <c r="I150" i="2"/>
  <c r="K152" i="2"/>
  <c r="V146" i="2"/>
  <c r="J156" i="2"/>
  <c r="H10" i="1"/>
  <c r="G10" i="1"/>
  <c r="K20" i="2"/>
  <c r="I18" i="2"/>
  <c r="R20" i="2"/>
  <c r="G20" i="2"/>
  <c r="V14" i="2"/>
  <c r="J24" i="2"/>
  <c r="AC152" i="2"/>
  <c r="B151" i="2"/>
  <c r="P152" i="2"/>
  <c r="X144" i="2"/>
  <c r="A155" i="2"/>
  <c r="S150" i="2"/>
  <c r="A154" i="2"/>
  <c r="T148" i="2"/>
  <c r="H151" i="2"/>
  <c r="M154" i="2"/>
  <c r="B154" i="2"/>
  <c r="C154" i="2"/>
  <c r="D151" i="2"/>
  <c r="W144" i="2"/>
  <c r="D154" i="2"/>
  <c r="U148" i="2"/>
  <c r="E151" i="2"/>
  <c r="E154" i="2"/>
  <c r="L154" i="2"/>
  <c r="N154" i="2"/>
  <c r="H152" i="2"/>
  <c r="F154" i="2"/>
  <c r="B19" i="2"/>
  <c r="H20" i="2"/>
  <c r="N22" i="2"/>
  <c r="S18" i="2"/>
  <c r="P20" i="2"/>
  <c r="W12" i="2"/>
  <c r="L22" i="2"/>
  <c r="H19" i="2"/>
  <c r="U16" i="2"/>
  <c r="E22" i="2"/>
  <c r="F22" i="2"/>
  <c r="D19" i="2"/>
  <c r="E19" i="2"/>
  <c r="X12" i="2"/>
  <c r="C22" i="2"/>
  <c r="M22" i="2"/>
  <c r="X10" i="2"/>
  <c r="D22" i="2"/>
  <c r="A22" i="2"/>
  <c r="AC20" i="2"/>
  <c r="W10" i="2"/>
  <c r="J11" i="1"/>
  <c r="T16" i="2"/>
  <c r="A23" i="2"/>
  <c r="J12" i="1"/>
  <c r="J13" i="1"/>
  <c r="J14" i="1"/>
  <c r="J15" i="1"/>
  <c r="J16" i="1"/>
  <c r="J17" i="1"/>
  <c r="G154" i="2" l="1"/>
  <c r="V148" i="2"/>
  <c r="R154" i="2"/>
  <c r="I152" i="2"/>
  <c r="K154" i="2"/>
  <c r="Y144" i="2"/>
  <c r="J158" i="2"/>
  <c r="H11" i="1"/>
  <c r="H16" i="1"/>
  <c r="H13" i="1"/>
  <c r="H12" i="1"/>
  <c r="G11" i="1"/>
  <c r="G15" i="1"/>
  <c r="H17" i="1"/>
  <c r="H14" i="1"/>
  <c r="G12" i="1"/>
  <c r="G13" i="1"/>
  <c r="G17" i="1"/>
  <c r="G16" i="1"/>
  <c r="G14" i="1"/>
  <c r="H15" i="1"/>
  <c r="Y12" i="2"/>
  <c r="I20" i="2"/>
  <c r="K22" i="2"/>
  <c r="R22" i="2"/>
  <c r="V16" i="2"/>
  <c r="G22" i="2"/>
  <c r="J26" i="2"/>
  <c r="Y10" i="2"/>
  <c r="T150" i="2"/>
  <c r="Z144" i="2"/>
  <c r="H153" i="2"/>
  <c r="A156" i="2"/>
  <c r="L156" i="2"/>
  <c r="F156" i="2"/>
  <c r="H154" i="2"/>
  <c r="AC154" i="2"/>
  <c r="U150" i="2"/>
  <c r="B153" i="2"/>
  <c r="W146" i="2"/>
  <c r="C156" i="2"/>
  <c r="D156" i="2"/>
  <c r="P154" i="2"/>
  <c r="D153" i="2"/>
  <c r="X146" i="2"/>
  <c r="M156" i="2"/>
  <c r="A157" i="2"/>
  <c r="E153" i="2"/>
  <c r="S152" i="2"/>
  <c r="E156" i="2"/>
  <c r="B156" i="2"/>
  <c r="N156" i="2"/>
  <c r="B21" i="2"/>
  <c r="H22" i="2"/>
  <c r="J18" i="1"/>
  <c r="Z12" i="2"/>
  <c r="E21" i="2"/>
  <c r="F24" i="2"/>
  <c r="AC22" i="2"/>
  <c r="E24" i="2"/>
  <c r="N24" i="2"/>
  <c r="Z10" i="2"/>
  <c r="H21" i="2"/>
  <c r="W14" i="2"/>
  <c r="A24" i="2"/>
  <c r="X14" i="2"/>
  <c r="A25" i="2"/>
  <c r="D24" i="2"/>
  <c r="C24" i="2"/>
  <c r="M24" i="2"/>
  <c r="P22" i="2"/>
  <c r="D21" i="2"/>
  <c r="L24" i="2"/>
  <c r="S20" i="2"/>
  <c r="T18" i="2"/>
  <c r="U18" i="2"/>
  <c r="J19" i="1"/>
  <c r="J20" i="1"/>
  <c r="J21" i="1"/>
  <c r="J22" i="1" s="1"/>
  <c r="R156" i="2" l="1"/>
  <c r="I154" i="2"/>
  <c r="K156" i="2"/>
  <c r="Y146" i="2"/>
  <c r="V150" i="2"/>
  <c r="G156" i="2"/>
  <c r="AA144" i="2"/>
  <c r="C145" i="2" s="1"/>
  <c r="J160" i="2"/>
  <c r="H21" i="1"/>
  <c r="H20" i="1"/>
  <c r="G21" i="1"/>
  <c r="G19" i="1"/>
  <c r="G20" i="1"/>
  <c r="G18" i="1"/>
  <c r="H22" i="1"/>
  <c r="H18" i="1"/>
  <c r="G22" i="1"/>
  <c r="H19" i="1"/>
  <c r="V18" i="2"/>
  <c r="R24" i="2"/>
  <c r="I22" i="2"/>
  <c r="K24" i="2"/>
  <c r="Y14" i="2"/>
  <c r="G24" i="2"/>
  <c r="AA12" i="2"/>
  <c r="C13" i="2" s="1"/>
  <c r="J28" i="2"/>
  <c r="AA10" i="2"/>
  <c r="C11" i="2" s="1"/>
  <c r="H156" i="2"/>
  <c r="U152" i="2"/>
  <c r="B155" i="2"/>
  <c r="H155" i="2"/>
  <c r="E158" i="2"/>
  <c r="B158" i="2"/>
  <c r="N158" i="2"/>
  <c r="AC156" i="2"/>
  <c r="D155" i="2"/>
  <c r="E155" i="2"/>
  <c r="W148" i="2"/>
  <c r="A158" i="2"/>
  <c r="L158" i="2"/>
  <c r="F158" i="2"/>
  <c r="M158" i="2"/>
  <c r="C158" i="2"/>
  <c r="X148" i="2"/>
  <c r="A159" i="2"/>
  <c r="D158" i="2"/>
  <c r="S154" i="2"/>
  <c r="P156" i="2"/>
  <c r="T152" i="2"/>
  <c r="Z146" i="2"/>
  <c r="B23" i="2"/>
  <c r="H24" i="2"/>
  <c r="S22" i="2"/>
  <c r="D26" i="2"/>
  <c r="AC24" i="2"/>
  <c r="E26" i="2"/>
  <c r="L26" i="2"/>
  <c r="W16" i="2"/>
  <c r="P24" i="2"/>
  <c r="N26" i="2"/>
  <c r="A26" i="2"/>
  <c r="D23" i="2"/>
  <c r="X16" i="2"/>
  <c r="F26" i="2"/>
  <c r="U20" i="2"/>
  <c r="A27" i="2"/>
  <c r="E23" i="2"/>
  <c r="H23" i="2"/>
  <c r="T20" i="2"/>
  <c r="Z14" i="2"/>
  <c r="M26" i="2"/>
  <c r="C26" i="2"/>
  <c r="AA146" i="2" l="1"/>
  <c r="C147" i="2" s="1"/>
  <c r="I156" i="2"/>
  <c r="K158" i="2"/>
  <c r="Y148" i="2"/>
  <c r="G158" i="2"/>
  <c r="R158" i="2"/>
  <c r="V152" i="2"/>
  <c r="J162" i="2"/>
  <c r="I24" i="2"/>
  <c r="K26" i="2"/>
  <c r="V20" i="2"/>
  <c r="G26" i="2"/>
  <c r="AA14" i="2"/>
  <c r="C15" i="2" s="1"/>
  <c r="Y16" i="2"/>
  <c r="R26" i="2"/>
  <c r="J30" i="2"/>
  <c r="T154" i="2"/>
  <c r="Z148" i="2"/>
  <c r="H157" i="2"/>
  <c r="S156" i="2"/>
  <c r="E160" i="2"/>
  <c r="L160" i="2"/>
  <c r="N160" i="2"/>
  <c r="U154" i="2"/>
  <c r="P158" i="2"/>
  <c r="A160" i="2"/>
  <c r="D160" i="2"/>
  <c r="F160" i="2"/>
  <c r="B157" i="2"/>
  <c r="H158" i="2"/>
  <c r="W150" i="2"/>
  <c r="A161" i="2"/>
  <c r="C160" i="2"/>
  <c r="D157" i="2"/>
  <c r="E157" i="2"/>
  <c r="AC158" i="2"/>
  <c r="X150" i="2"/>
  <c r="M160" i="2"/>
  <c r="B160" i="2"/>
  <c r="B25" i="2"/>
  <c r="H26" i="2"/>
  <c r="D25" i="2"/>
  <c r="F28" i="2"/>
  <c r="T22" i="2"/>
  <c r="M28" i="2"/>
  <c r="W18" i="2"/>
  <c r="E25" i="2"/>
  <c r="C28" i="2"/>
  <c r="U22" i="2"/>
  <c r="H25" i="2"/>
  <c r="A28" i="2"/>
  <c r="S24" i="2"/>
  <c r="A29" i="2"/>
  <c r="N28" i="2"/>
  <c r="Z16" i="2"/>
  <c r="D28" i="2"/>
  <c r="P26" i="2"/>
  <c r="E28" i="2"/>
  <c r="X18" i="2"/>
  <c r="AC26" i="2"/>
  <c r="L28" i="2"/>
  <c r="R160" i="2" l="1"/>
  <c r="Y150" i="2"/>
  <c r="I158" i="2"/>
  <c r="K160" i="2"/>
  <c r="G160" i="2"/>
  <c r="V154" i="2"/>
  <c r="AA148" i="2"/>
  <c r="C149" i="2" s="1"/>
  <c r="J164" i="2"/>
  <c r="K28" i="2"/>
  <c r="I26" i="2"/>
  <c r="V22" i="2"/>
  <c r="R28" i="2"/>
  <c r="G28" i="2"/>
  <c r="Y18" i="2"/>
  <c r="AA16" i="2"/>
  <c r="C17" i="2" s="1"/>
  <c r="J32" i="2"/>
  <c r="E159" i="2"/>
  <c r="P160" i="2"/>
  <c r="A162" i="2"/>
  <c r="F162" i="2"/>
  <c r="B162" i="2"/>
  <c r="AC160" i="2"/>
  <c r="B159" i="2"/>
  <c r="H160" i="2"/>
  <c r="C162" i="2"/>
  <c r="L162" i="2"/>
  <c r="W152" i="2"/>
  <c r="Z150" i="2"/>
  <c r="D159" i="2"/>
  <c r="T156" i="2"/>
  <c r="M162" i="2"/>
  <c r="D162" i="2"/>
  <c r="X152" i="2"/>
  <c r="E162" i="2"/>
  <c r="N162" i="2"/>
  <c r="S158" i="2"/>
  <c r="A163" i="2"/>
  <c r="H159" i="2"/>
  <c r="U156" i="2"/>
  <c r="B27" i="2"/>
  <c r="H28" i="2"/>
  <c r="M30" i="2"/>
  <c r="N30" i="2"/>
  <c r="U24" i="2"/>
  <c r="S26" i="2"/>
  <c r="X20" i="2"/>
  <c r="L30" i="2"/>
  <c r="E30" i="2"/>
  <c r="F30" i="2"/>
  <c r="P28" i="2"/>
  <c r="W20" i="2"/>
  <c r="A30" i="2"/>
  <c r="Z18" i="2"/>
  <c r="D27" i="2"/>
  <c r="AC28" i="2"/>
  <c r="T24" i="2"/>
  <c r="D30" i="2"/>
  <c r="H27" i="2"/>
  <c r="E27" i="2"/>
  <c r="C30" i="2"/>
  <c r="A31" i="2"/>
  <c r="V156" i="2" l="1"/>
  <c r="I160" i="2"/>
  <c r="K162" i="2"/>
  <c r="Y152" i="2"/>
  <c r="AA150" i="2"/>
  <c r="C151" i="2" s="1"/>
  <c r="R162" i="2"/>
  <c r="G162" i="2"/>
  <c r="J166" i="2"/>
  <c r="I28" i="2"/>
  <c r="K30" i="2"/>
  <c r="R30" i="2"/>
  <c r="G30" i="2"/>
  <c r="V24" i="2"/>
  <c r="AA18" i="2"/>
  <c r="C19" i="2" s="1"/>
  <c r="Y20" i="2"/>
  <c r="J34" i="2"/>
  <c r="P162" i="2"/>
  <c r="AC162" i="2"/>
  <c r="B161" i="2"/>
  <c r="E164" i="2"/>
  <c r="L164" i="2"/>
  <c r="N164" i="2"/>
  <c r="H162" i="2"/>
  <c r="W154" i="2"/>
  <c r="A164" i="2"/>
  <c r="D164" i="2"/>
  <c r="F164" i="2"/>
  <c r="T158" i="2"/>
  <c r="Z152" i="2"/>
  <c r="H161" i="2"/>
  <c r="X154" i="2"/>
  <c r="A165" i="2"/>
  <c r="S160" i="2"/>
  <c r="U158" i="2"/>
  <c r="E161" i="2"/>
  <c r="D161" i="2"/>
  <c r="M164" i="2"/>
  <c r="B164" i="2"/>
  <c r="C164" i="2"/>
  <c r="B29" i="2"/>
  <c r="H30" i="2"/>
  <c r="E29" i="2"/>
  <c r="P30" i="2"/>
  <c r="X22" i="2"/>
  <c r="D32" i="2"/>
  <c r="A32" i="2"/>
  <c r="C32" i="2"/>
  <c r="Z20" i="2"/>
  <c r="S28" i="2"/>
  <c r="E32" i="2"/>
  <c r="T26" i="2"/>
  <c r="A33" i="2"/>
  <c r="M32" i="2"/>
  <c r="N32" i="2"/>
  <c r="F32" i="2"/>
  <c r="U26" i="2"/>
  <c r="AC30" i="2"/>
  <c r="W22" i="2"/>
  <c r="L32" i="2"/>
  <c r="D29" i="2"/>
  <c r="H29" i="2"/>
  <c r="R164" i="2" l="1"/>
  <c r="V158" i="2"/>
  <c r="I162" i="2"/>
  <c r="K164" i="2"/>
  <c r="Y154" i="2"/>
  <c r="AA152" i="2"/>
  <c r="C153" i="2" s="1"/>
  <c r="G164" i="2"/>
  <c r="J168" i="2"/>
  <c r="V26" i="2"/>
  <c r="G32" i="2"/>
  <c r="AA20" i="2"/>
  <c r="C21" i="2" s="1"/>
  <c r="Y22" i="2"/>
  <c r="R32" i="2"/>
  <c r="I30" i="2"/>
  <c r="K32" i="2"/>
  <c r="J36" i="2"/>
  <c r="AC164" i="2"/>
  <c r="U160" i="2"/>
  <c r="P164" i="2"/>
  <c r="B163" i="2"/>
  <c r="M166" i="2"/>
  <c r="B166" i="2"/>
  <c r="C166" i="2"/>
  <c r="E163" i="2"/>
  <c r="W156" i="2"/>
  <c r="A166" i="2"/>
  <c r="F166" i="2"/>
  <c r="X156" i="2"/>
  <c r="H164" i="2"/>
  <c r="D163" i="2"/>
  <c r="E166" i="2"/>
  <c r="L166" i="2"/>
  <c r="N166" i="2"/>
  <c r="D166" i="2"/>
  <c r="T160" i="2"/>
  <c r="Z154" i="2"/>
  <c r="H163" i="2"/>
  <c r="A167" i="2"/>
  <c r="S162" i="2"/>
  <c r="B31" i="2"/>
  <c r="H32" i="2"/>
  <c r="H31" i="2"/>
  <c r="A34" i="2"/>
  <c r="M34" i="2"/>
  <c r="S30" i="2"/>
  <c r="T28" i="2"/>
  <c r="W24" i="2"/>
  <c r="N34" i="2"/>
  <c r="C34" i="2"/>
  <c r="F34" i="2"/>
  <c r="AC32" i="2"/>
  <c r="D31" i="2"/>
  <c r="U28" i="2"/>
  <c r="X24" i="2"/>
  <c r="L34" i="2"/>
  <c r="A35" i="2"/>
  <c r="D34" i="2"/>
  <c r="P32" i="2"/>
  <c r="E31" i="2"/>
  <c r="Z22" i="2"/>
  <c r="E34" i="2"/>
  <c r="I164" i="2" l="1"/>
  <c r="K166" i="2"/>
  <c r="AA154" i="2"/>
  <c r="C155" i="2" s="1"/>
  <c r="Y156" i="2"/>
  <c r="G166" i="2"/>
  <c r="R166" i="2"/>
  <c r="V160" i="2"/>
  <c r="J170" i="2"/>
  <c r="AA22" i="2"/>
  <c r="C23" i="2" s="1"/>
  <c r="R34" i="2"/>
  <c r="G34" i="2"/>
  <c r="Y24" i="2"/>
  <c r="I32" i="2"/>
  <c r="K34" i="2"/>
  <c r="V28" i="2"/>
  <c r="J38" i="2"/>
  <c r="T162" i="2"/>
  <c r="Z156" i="2"/>
  <c r="A168" i="2"/>
  <c r="W158" i="2"/>
  <c r="U162" i="2"/>
  <c r="B165" i="2"/>
  <c r="H166" i="2"/>
  <c r="D165" i="2"/>
  <c r="M168" i="2"/>
  <c r="B168" i="2"/>
  <c r="C168" i="2"/>
  <c r="X158" i="2"/>
  <c r="P166" i="2"/>
  <c r="AC166" i="2"/>
  <c r="E168" i="2"/>
  <c r="L168" i="2"/>
  <c r="N168" i="2"/>
  <c r="S164" i="2"/>
  <c r="E165" i="2"/>
  <c r="D168" i="2"/>
  <c r="F168" i="2"/>
  <c r="H165" i="2"/>
  <c r="A169" i="2"/>
  <c r="B33" i="2"/>
  <c r="H34" i="2"/>
  <c r="T30" i="2"/>
  <c r="E36" i="2"/>
  <c r="X26" i="2"/>
  <c r="A37" i="2"/>
  <c r="S32" i="2"/>
  <c r="D36" i="2"/>
  <c r="F36" i="2"/>
  <c r="E33" i="2"/>
  <c r="P34" i="2"/>
  <c r="C36" i="2"/>
  <c r="W26" i="2"/>
  <c r="H33" i="2"/>
  <c r="A36" i="2"/>
  <c r="AC34" i="2"/>
  <c r="M36" i="2"/>
  <c r="N36" i="2"/>
  <c r="Z24" i="2"/>
  <c r="U30" i="2"/>
  <c r="L36" i="2"/>
  <c r="D33" i="2"/>
  <c r="I166" i="2" l="1"/>
  <c r="K168" i="2"/>
  <c r="G168" i="2"/>
  <c r="Y158" i="2"/>
  <c r="R168" i="2"/>
  <c r="V162" i="2"/>
  <c r="AA156" i="2"/>
  <c r="C157" i="2" s="1"/>
  <c r="J172" i="2"/>
  <c r="K36" i="2"/>
  <c r="I34" i="2"/>
  <c r="R36" i="2"/>
  <c r="V30" i="2"/>
  <c r="G36" i="2"/>
  <c r="Y26" i="2"/>
  <c r="AA24" i="2"/>
  <c r="C25" i="2" s="1"/>
  <c r="J40" i="2"/>
  <c r="B170" i="2"/>
  <c r="H168" i="2"/>
  <c r="B167" i="2"/>
  <c r="A170" i="2"/>
  <c r="F170" i="2"/>
  <c r="P168" i="2"/>
  <c r="D167" i="2"/>
  <c r="S166" i="2"/>
  <c r="X160" i="2"/>
  <c r="A171" i="2"/>
  <c r="D170" i="2"/>
  <c r="T164" i="2"/>
  <c r="E167" i="2"/>
  <c r="Z158" i="2"/>
  <c r="M170" i="2"/>
  <c r="C170" i="2"/>
  <c r="U164" i="2"/>
  <c r="H167" i="2"/>
  <c r="AC168" i="2"/>
  <c r="E170" i="2"/>
  <c r="N170" i="2"/>
  <c r="W160" i="2"/>
  <c r="L170" i="2"/>
  <c r="B35" i="2"/>
  <c r="H36" i="2"/>
  <c r="H35" i="2"/>
  <c r="L38" i="2"/>
  <c r="D35" i="2"/>
  <c r="E38" i="2"/>
  <c r="U32" i="2"/>
  <c r="A38" i="2"/>
  <c r="Z26" i="2"/>
  <c r="T32" i="2"/>
  <c r="E35" i="2"/>
  <c r="P36" i="2"/>
  <c r="AC36" i="2"/>
  <c r="D38" i="2"/>
  <c r="C38" i="2"/>
  <c r="M38" i="2"/>
  <c r="S34" i="2"/>
  <c r="A39" i="2"/>
  <c r="W28" i="2"/>
  <c r="X28" i="2"/>
  <c r="N38" i="2"/>
  <c r="F38" i="2"/>
  <c r="V164" i="2" l="1"/>
  <c r="AA158" i="2"/>
  <c r="C159" i="2" s="1"/>
  <c r="I168" i="2"/>
  <c r="K170" i="2"/>
  <c r="Y160" i="2"/>
  <c r="G170" i="2"/>
  <c r="R170" i="2"/>
  <c r="J174" i="2"/>
  <c r="Y28" i="2"/>
  <c r="G38" i="2"/>
  <c r="AA26" i="2"/>
  <c r="C27" i="2" s="1"/>
  <c r="V32" i="2"/>
  <c r="I36" i="2"/>
  <c r="K38" i="2"/>
  <c r="R38" i="2"/>
  <c r="J42" i="2"/>
  <c r="W162" i="2"/>
  <c r="P170" i="2"/>
  <c r="M172" i="2"/>
  <c r="X162" i="2"/>
  <c r="H170" i="2"/>
  <c r="Z160" i="2"/>
  <c r="D169" i="2"/>
  <c r="S168" i="2"/>
  <c r="E172" i="2"/>
  <c r="B172" i="2"/>
  <c r="N172" i="2"/>
  <c r="E169" i="2"/>
  <c r="T166" i="2"/>
  <c r="A172" i="2"/>
  <c r="L172" i="2"/>
  <c r="F172" i="2"/>
  <c r="H169" i="2"/>
  <c r="U166" i="2"/>
  <c r="AC170" i="2"/>
  <c r="C172" i="2"/>
  <c r="D172" i="2"/>
  <c r="B169" i="2"/>
  <c r="A173" i="2"/>
  <c r="B37" i="2"/>
  <c r="H38" i="2"/>
  <c r="Z28" i="2"/>
  <c r="S36" i="2"/>
  <c r="M40" i="2"/>
  <c r="U34" i="2"/>
  <c r="C40" i="2"/>
  <c r="P38" i="2"/>
  <c r="X30" i="2"/>
  <c r="AC38" i="2"/>
  <c r="N40" i="2"/>
  <c r="T34" i="2"/>
  <c r="A40" i="2"/>
  <c r="L40" i="2"/>
  <c r="H37" i="2"/>
  <c r="W30" i="2"/>
  <c r="E40" i="2"/>
  <c r="D37" i="2"/>
  <c r="D40" i="2"/>
  <c r="E37" i="2"/>
  <c r="A41" i="2"/>
  <c r="F40" i="2"/>
  <c r="I170" i="2" l="1"/>
  <c r="K172" i="2"/>
  <c r="V166" i="2"/>
  <c r="G172" i="2"/>
  <c r="R172" i="2"/>
  <c r="AA160" i="2"/>
  <c r="C161" i="2" s="1"/>
  <c r="Y162" i="2"/>
  <c r="J176" i="2"/>
  <c r="G40" i="2"/>
  <c r="I38" i="2"/>
  <c r="K40" i="2"/>
  <c r="V34" i="2"/>
  <c r="Y30" i="2"/>
  <c r="R40" i="2"/>
  <c r="AA28" i="2"/>
  <c r="C29" i="2" s="1"/>
  <c r="J44" i="2"/>
  <c r="C174" i="2"/>
  <c r="W164" i="2"/>
  <c r="H171" i="2"/>
  <c r="Z162" i="2"/>
  <c r="M174" i="2"/>
  <c r="A175" i="2"/>
  <c r="X164" i="2"/>
  <c r="E171" i="2"/>
  <c r="H172" i="2"/>
  <c r="T168" i="2"/>
  <c r="B171" i="2"/>
  <c r="E174" i="2"/>
  <c r="B174" i="2"/>
  <c r="N174" i="2"/>
  <c r="S170" i="2"/>
  <c r="P172" i="2"/>
  <c r="U168" i="2"/>
  <c r="D171" i="2"/>
  <c r="A174" i="2"/>
  <c r="L174" i="2"/>
  <c r="F174" i="2"/>
  <c r="AC172" i="2"/>
  <c r="D174" i="2"/>
  <c r="B39" i="2"/>
  <c r="H40" i="2"/>
  <c r="H39" i="2"/>
  <c r="N42" i="2"/>
  <c r="AC40" i="2"/>
  <c r="A43" i="2"/>
  <c r="D42" i="2"/>
  <c r="L42" i="2"/>
  <c r="E39" i="2"/>
  <c r="E42" i="2"/>
  <c r="F42" i="2"/>
  <c r="S38" i="2"/>
  <c r="T36" i="2"/>
  <c r="W32" i="2"/>
  <c r="U36" i="2"/>
  <c r="D39" i="2"/>
  <c r="P40" i="2"/>
  <c r="X32" i="2"/>
  <c r="Z30" i="2"/>
  <c r="A42" i="2"/>
  <c r="C42" i="2"/>
  <c r="M42" i="2"/>
  <c r="G174" i="2" l="1"/>
  <c r="V168" i="2"/>
  <c r="R174" i="2"/>
  <c r="Y164" i="2"/>
  <c r="I172" i="2"/>
  <c r="K174" i="2"/>
  <c r="AA162" i="2"/>
  <c r="C163" i="2" s="1"/>
  <c r="J178" i="2"/>
  <c r="V36" i="2"/>
  <c r="G42" i="2"/>
  <c r="AA30" i="2"/>
  <c r="C31" i="2" s="1"/>
  <c r="I40" i="2"/>
  <c r="K42" i="2"/>
  <c r="R42" i="2"/>
  <c r="Y32" i="2"/>
  <c r="J46" i="2"/>
  <c r="H173" i="2"/>
  <c r="B173" i="2"/>
  <c r="H174" i="2"/>
  <c r="M176" i="2"/>
  <c r="A177" i="2"/>
  <c r="W166" i="2"/>
  <c r="F176" i="2"/>
  <c r="U170" i="2"/>
  <c r="X166" i="2"/>
  <c r="E173" i="2"/>
  <c r="D173" i="2"/>
  <c r="P174" i="2"/>
  <c r="Z164" i="2"/>
  <c r="E176" i="2"/>
  <c r="B176" i="2"/>
  <c r="N176" i="2"/>
  <c r="T170" i="2"/>
  <c r="AC174" i="2"/>
  <c r="A176" i="2"/>
  <c r="L176" i="2"/>
  <c r="C176" i="2"/>
  <c r="S172" i="2"/>
  <c r="D176" i="2"/>
  <c r="B41" i="2"/>
  <c r="H42" i="2"/>
  <c r="D41" i="2"/>
  <c r="E44" i="2"/>
  <c r="S40" i="2"/>
  <c r="A45" i="2"/>
  <c r="A44" i="2"/>
  <c r="M44" i="2"/>
  <c r="E41" i="2"/>
  <c r="D44" i="2"/>
  <c r="F44" i="2"/>
  <c r="H41" i="2"/>
  <c r="U38" i="2"/>
  <c r="X34" i="2"/>
  <c r="N44" i="2"/>
  <c r="C44" i="2"/>
  <c r="L44" i="2"/>
  <c r="P42" i="2"/>
  <c r="T38" i="2"/>
  <c r="W34" i="2"/>
  <c r="AC42" i="2"/>
  <c r="Z32" i="2"/>
  <c r="R176" i="2" l="1"/>
  <c r="AA164" i="2"/>
  <c r="C165" i="2" s="1"/>
  <c r="Y166" i="2"/>
  <c r="V170" i="2"/>
  <c r="G176" i="2"/>
  <c r="I174" i="2"/>
  <c r="K176" i="2"/>
  <c r="J180" i="2"/>
  <c r="K44" i="2"/>
  <c r="I42" i="2"/>
  <c r="R44" i="2"/>
  <c r="V38" i="2"/>
  <c r="Y34" i="2"/>
  <c r="G44" i="2"/>
  <c r="AA32" i="2"/>
  <c r="C33" i="2" s="1"/>
  <c r="J48" i="2"/>
  <c r="H175" i="2"/>
  <c r="P176" i="2"/>
  <c r="B175" i="2"/>
  <c r="S174" i="2"/>
  <c r="X168" i="2"/>
  <c r="A179" i="2"/>
  <c r="D178" i="2"/>
  <c r="Z166" i="2"/>
  <c r="B178" i="2"/>
  <c r="U172" i="2"/>
  <c r="F178" i="2"/>
  <c r="E175" i="2"/>
  <c r="AC176" i="2"/>
  <c r="D175" i="2"/>
  <c r="M178" i="2"/>
  <c r="C178" i="2"/>
  <c r="T172" i="2"/>
  <c r="E178" i="2"/>
  <c r="N178" i="2"/>
  <c r="H176" i="2"/>
  <c r="W168" i="2"/>
  <c r="A178" i="2"/>
  <c r="L178" i="2"/>
  <c r="B43" i="2"/>
  <c r="H44" i="2"/>
  <c r="U40" i="2"/>
  <c r="A47" i="2"/>
  <c r="AC44" i="2"/>
  <c r="M46" i="2"/>
  <c r="W36" i="2"/>
  <c r="P44" i="2"/>
  <c r="E46" i="2"/>
  <c r="A46" i="2"/>
  <c r="Z34" i="2"/>
  <c r="X36" i="2"/>
  <c r="E43" i="2"/>
  <c r="C46" i="2"/>
  <c r="H43" i="2"/>
  <c r="L46" i="2"/>
  <c r="F46" i="2"/>
  <c r="D46" i="2"/>
  <c r="T40" i="2"/>
  <c r="N46" i="2"/>
  <c r="D43" i="2"/>
  <c r="S42" i="2"/>
  <c r="G178" i="2" l="1"/>
  <c r="V172" i="2"/>
  <c r="R178" i="2"/>
  <c r="AA166" i="2"/>
  <c r="C167" i="2" s="1"/>
  <c r="I176" i="2"/>
  <c r="K178" i="2"/>
  <c r="Y168" i="2"/>
  <c r="J182" i="2"/>
  <c r="AA34" i="2"/>
  <c r="C35" i="2" s="1"/>
  <c r="G46" i="2"/>
  <c r="R46" i="2"/>
  <c r="I44" i="2"/>
  <c r="K46" i="2"/>
  <c r="Y36" i="2"/>
  <c r="V40" i="2"/>
  <c r="J50" i="2"/>
  <c r="P178" i="2"/>
  <c r="H177" i="2"/>
  <c r="Z168" i="2"/>
  <c r="D177" i="2"/>
  <c r="A180" i="2"/>
  <c r="L180" i="2"/>
  <c r="F180" i="2"/>
  <c r="H178" i="2"/>
  <c r="T174" i="2"/>
  <c r="W170" i="2"/>
  <c r="C180" i="2"/>
  <c r="U174" i="2"/>
  <c r="X170" i="2"/>
  <c r="M180" i="2"/>
  <c r="A181" i="2"/>
  <c r="E177" i="2"/>
  <c r="AC178" i="2"/>
  <c r="B177" i="2"/>
  <c r="S176" i="2"/>
  <c r="E180" i="2"/>
  <c r="B180" i="2"/>
  <c r="N180" i="2"/>
  <c r="D180" i="2"/>
  <c r="B45" i="2"/>
  <c r="H46" i="2"/>
  <c r="A49" i="2"/>
  <c r="X38" i="2"/>
  <c r="L48" i="2"/>
  <c r="E48" i="2"/>
  <c r="E45" i="2"/>
  <c r="A48" i="2"/>
  <c r="M48" i="2"/>
  <c r="Z36" i="2"/>
  <c r="D45" i="2"/>
  <c r="U42" i="2"/>
  <c r="AC46" i="2"/>
  <c r="C48" i="2"/>
  <c r="T42" i="2"/>
  <c r="N48" i="2"/>
  <c r="D48" i="2"/>
  <c r="P46" i="2"/>
  <c r="H45" i="2"/>
  <c r="S44" i="2"/>
  <c r="F48" i="2"/>
  <c r="W38" i="2"/>
  <c r="R180" i="2" l="1"/>
  <c r="I178" i="2"/>
  <c r="K180" i="2"/>
  <c r="Y170" i="2"/>
  <c r="V174" i="2"/>
  <c r="G180" i="2"/>
  <c r="AA168" i="2"/>
  <c r="C169" i="2" s="1"/>
  <c r="J184" i="2"/>
  <c r="R48" i="2"/>
  <c r="AA36" i="2"/>
  <c r="C37" i="2" s="1"/>
  <c r="V42" i="2"/>
  <c r="Y38" i="2"/>
  <c r="G48" i="2"/>
  <c r="I46" i="2"/>
  <c r="K48" i="2"/>
  <c r="J52" i="2"/>
  <c r="H180" i="2"/>
  <c r="T176" i="2"/>
  <c r="B179" i="2"/>
  <c r="A182" i="2"/>
  <c r="D182" i="2"/>
  <c r="F182" i="2"/>
  <c r="N182" i="2"/>
  <c r="P180" i="2"/>
  <c r="U176" i="2"/>
  <c r="D179" i="2"/>
  <c r="A183" i="2"/>
  <c r="C182" i="2"/>
  <c r="W172" i="2"/>
  <c r="E182" i="2"/>
  <c r="L182" i="2"/>
  <c r="S178" i="2"/>
  <c r="AC180" i="2"/>
  <c r="H179" i="2"/>
  <c r="Z170" i="2"/>
  <c r="M182" i="2"/>
  <c r="B182" i="2"/>
  <c r="X172" i="2"/>
  <c r="E179" i="2"/>
  <c r="B47" i="2"/>
  <c r="H48" i="2"/>
  <c r="AC48" i="2"/>
  <c r="U44" i="2"/>
  <c r="M50" i="2"/>
  <c r="A50" i="2"/>
  <c r="N50" i="2"/>
  <c r="L50" i="2"/>
  <c r="E47" i="2"/>
  <c r="T44" i="2"/>
  <c r="A51" i="2"/>
  <c r="H47" i="2"/>
  <c r="P48" i="2"/>
  <c r="Z38" i="2"/>
  <c r="S46" i="2"/>
  <c r="D47" i="2"/>
  <c r="X40" i="2"/>
  <c r="C50" i="2"/>
  <c r="W40" i="2"/>
  <c r="F50" i="2"/>
  <c r="E50" i="2"/>
  <c r="D50" i="2"/>
  <c r="Y172" i="2" l="1"/>
  <c r="R182" i="2"/>
  <c r="AA170" i="2"/>
  <c r="C171" i="2" s="1"/>
  <c r="I180" i="2"/>
  <c r="K182" i="2"/>
  <c r="V176" i="2"/>
  <c r="G182" i="2"/>
  <c r="J186" i="2"/>
  <c r="G50" i="2"/>
  <c r="V44" i="2"/>
  <c r="Y40" i="2"/>
  <c r="AA38" i="2"/>
  <c r="C39" i="2" s="1"/>
  <c r="K50" i="2"/>
  <c r="I48" i="2"/>
  <c r="R50" i="2"/>
  <c r="J54" i="2"/>
  <c r="Z172" i="2"/>
  <c r="E181" i="2"/>
  <c r="B181" i="2"/>
  <c r="A184" i="2"/>
  <c r="L184" i="2"/>
  <c r="B184" i="2"/>
  <c r="S180" i="2"/>
  <c r="H181" i="2"/>
  <c r="D181" i="2"/>
  <c r="A185" i="2"/>
  <c r="D184" i="2"/>
  <c r="W174" i="2"/>
  <c r="H182" i="2"/>
  <c r="AC182" i="2"/>
  <c r="T178" i="2"/>
  <c r="P182" i="2"/>
  <c r="M184" i="2"/>
  <c r="N184" i="2"/>
  <c r="C184" i="2"/>
  <c r="X174" i="2"/>
  <c r="U178" i="2"/>
  <c r="E184" i="2"/>
  <c r="F184" i="2"/>
  <c r="B49" i="2"/>
  <c r="H50" i="2"/>
  <c r="T46" i="2"/>
  <c r="P50" i="2"/>
  <c r="F52" i="2"/>
  <c r="S48" i="2"/>
  <c r="H49" i="2"/>
  <c r="W42" i="2"/>
  <c r="A53" i="2"/>
  <c r="L52" i="2"/>
  <c r="E49" i="2"/>
  <c r="Z40" i="2"/>
  <c r="U46" i="2"/>
  <c r="A52" i="2"/>
  <c r="E52" i="2"/>
  <c r="M52" i="2"/>
  <c r="X42" i="2"/>
  <c r="D49" i="2"/>
  <c r="C52" i="2"/>
  <c r="N52" i="2"/>
  <c r="AC50" i="2"/>
  <c r="D52" i="2"/>
  <c r="G184" i="2" l="1"/>
  <c r="V178" i="2"/>
  <c r="Y174" i="2"/>
  <c r="I182" i="2"/>
  <c r="K184" i="2"/>
  <c r="R184" i="2"/>
  <c r="AA172" i="2"/>
  <c r="C173" i="2" s="1"/>
  <c r="J188" i="2"/>
  <c r="AA40" i="2"/>
  <c r="C41" i="2" s="1"/>
  <c r="I50" i="2"/>
  <c r="K52" i="2"/>
  <c r="R52" i="2"/>
  <c r="G52" i="2"/>
  <c r="V46" i="2"/>
  <c r="Y42" i="2"/>
  <c r="J56" i="2"/>
  <c r="H184" i="2"/>
  <c r="E183" i="2"/>
  <c r="AC184" i="2"/>
  <c r="A186" i="2"/>
  <c r="F186" i="2"/>
  <c r="B186" i="2"/>
  <c r="D186" i="2"/>
  <c r="D183" i="2"/>
  <c r="H183" i="2"/>
  <c r="T180" i="2"/>
  <c r="C186" i="2"/>
  <c r="L186" i="2"/>
  <c r="W176" i="2"/>
  <c r="Z174" i="2"/>
  <c r="B183" i="2"/>
  <c r="U180" i="2"/>
  <c r="M186" i="2"/>
  <c r="X176" i="2"/>
  <c r="P184" i="2"/>
  <c r="E186" i="2"/>
  <c r="N186" i="2"/>
  <c r="A187" i="2"/>
  <c r="S182" i="2"/>
  <c r="B51" i="2"/>
  <c r="H52" i="2"/>
  <c r="H51" i="2"/>
  <c r="D54" i="2"/>
  <c r="AC52" i="2"/>
  <c r="A54" i="2"/>
  <c r="C54" i="2"/>
  <c r="D51" i="2"/>
  <c r="F54" i="2"/>
  <c r="E51" i="2"/>
  <c r="T48" i="2"/>
  <c r="W44" i="2"/>
  <c r="Z42" i="2"/>
  <c r="M54" i="2"/>
  <c r="S50" i="2"/>
  <c r="U48" i="2"/>
  <c r="E54" i="2"/>
  <c r="N54" i="2"/>
  <c r="P52" i="2"/>
  <c r="A55" i="2"/>
  <c r="L54" i="2"/>
  <c r="X44" i="2"/>
  <c r="I184" i="2" l="1"/>
  <c r="K186" i="2"/>
  <c r="Y176" i="2"/>
  <c r="V180" i="2"/>
  <c r="AA174" i="2"/>
  <c r="C175" i="2" s="1"/>
  <c r="R186" i="2"/>
  <c r="G186" i="2"/>
  <c r="J190" i="2"/>
  <c r="V48" i="2"/>
  <c r="I52" i="2"/>
  <c r="K54" i="2"/>
  <c r="Y44" i="2"/>
  <c r="R54" i="2"/>
  <c r="G54" i="2"/>
  <c r="AA42" i="2"/>
  <c r="C43" i="2" s="1"/>
  <c r="J58" i="2"/>
  <c r="T182" i="2"/>
  <c r="H186" i="2"/>
  <c r="Z176" i="2"/>
  <c r="H185" i="2"/>
  <c r="A189" i="2"/>
  <c r="W178" i="2"/>
  <c r="L188" i="2"/>
  <c r="U182" i="2"/>
  <c r="P186" i="2"/>
  <c r="AC186" i="2"/>
  <c r="E185" i="2"/>
  <c r="M188" i="2"/>
  <c r="C188" i="2"/>
  <c r="S184" i="2"/>
  <c r="D185" i="2"/>
  <c r="E188" i="2"/>
  <c r="B185" i="2"/>
  <c r="A188" i="2"/>
  <c r="D188" i="2"/>
  <c r="F188" i="2"/>
  <c r="B188" i="2"/>
  <c r="X178" i="2"/>
  <c r="N188" i="2"/>
  <c r="B53" i="2"/>
  <c r="H54" i="2"/>
  <c r="L56" i="2"/>
  <c r="T50" i="2"/>
  <c r="A56" i="2"/>
  <c r="A57" i="2"/>
  <c r="U50" i="2"/>
  <c r="D53" i="2"/>
  <c r="N56" i="2"/>
  <c r="H53" i="2"/>
  <c r="C56" i="2"/>
  <c r="E53" i="2"/>
  <c r="E56" i="2"/>
  <c r="D56" i="2"/>
  <c r="M56" i="2"/>
  <c r="AC54" i="2"/>
  <c r="W46" i="2"/>
  <c r="P54" i="2"/>
  <c r="S52" i="2"/>
  <c r="F56" i="2"/>
  <c r="Z44" i="2"/>
  <c r="X46" i="2"/>
  <c r="Y178" i="2" l="1"/>
  <c r="R188" i="2"/>
  <c r="G188" i="2"/>
  <c r="V182" i="2"/>
  <c r="I186" i="2"/>
  <c r="K188" i="2"/>
  <c r="AA176" i="2"/>
  <c r="C177" i="2" s="1"/>
  <c r="J192" i="2"/>
  <c r="Y46" i="2"/>
  <c r="V50" i="2"/>
  <c r="AA44" i="2"/>
  <c r="C45" i="2" s="1"/>
  <c r="I54" i="2"/>
  <c r="K56" i="2"/>
  <c r="R56" i="2"/>
  <c r="G56" i="2"/>
  <c r="J60" i="2"/>
  <c r="H188" i="2"/>
  <c r="E187" i="2"/>
  <c r="E190" i="2"/>
  <c r="B190" i="2"/>
  <c r="N190" i="2"/>
  <c r="P188" i="2"/>
  <c r="H187" i="2"/>
  <c r="W180" i="2"/>
  <c r="A190" i="2"/>
  <c r="L190" i="2"/>
  <c r="F190" i="2"/>
  <c r="C190" i="2"/>
  <c r="D190" i="2"/>
  <c r="AC188" i="2"/>
  <c r="D187" i="2"/>
  <c r="M190" i="2"/>
  <c r="A191" i="2"/>
  <c r="Z178" i="2"/>
  <c r="T184" i="2"/>
  <c r="B187" i="2"/>
  <c r="S186" i="2"/>
  <c r="X180" i="2"/>
  <c r="U184" i="2"/>
  <c r="B55" i="2"/>
  <c r="H56" i="2"/>
  <c r="Z46" i="2"/>
  <c r="M58" i="2"/>
  <c r="H55" i="2"/>
  <c r="W48" i="2"/>
  <c r="X48" i="2"/>
  <c r="F58" i="2"/>
  <c r="U52" i="2"/>
  <c r="L58" i="2"/>
  <c r="N58" i="2"/>
  <c r="A58" i="2"/>
  <c r="P56" i="2"/>
  <c r="T52" i="2"/>
  <c r="E58" i="2"/>
  <c r="A59" i="2"/>
  <c r="D55" i="2"/>
  <c r="S54" i="2"/>
  <c r="E55" i="2"/>
  <c r="C58" i="2"/>
  <c r="D58" i="2"/>
  <c r="AC56" i="2"/>
  <c r="V184" i="2" l="1"/>
  <c r="Y180" i="2"/>
  <c r="AA178" i="2"/>
  <c r="C179" i="2" s="1"/>
  <c r="I188" i="2"/>
  <c r="K190" i="2"/>
  <c r="G190" i="2"/>
  <c r="R190" i="2"/>
  <c r="J194" i="2"/>
  <c r="R58" i="2"/>
  <c r="Y48" i="2"/>
  <c r="G58" i="2"/>
  <c r="K58" i="2"/>
  <c r="I56" i="2"/>
  <c r="V52" i="2"/>
  <c r="AA46" i="2"/>
  <c r="C47" i="2" s="1"/>
  <c r="J62" i="2"/>
  <c r="H189" i="2"/>
  <c r="B189" i="2"/>
  <c r="AC190" i="2"/>
  <c r="A192" i="2"/>
  <c r="L192" i="2"/>
  <c r="F192" i="2"/>
  <c r="Z180" i="2"/>
  <c r="E189" i="2"/>
  <c r="D189" i="2"/>
  <c r="A193" i="2"/>
  <c r="D192" i="2"/>
  <c r="T186" i="2"/>
  <c r="H190" i="2"/>
  <c r="M192" i="2"/>
  <c r="C192" i="2"/>
  <c r="X182" i="2"/>
  <c r="U186" i="2"/>
  <c r="P190" i="2"/>
  <c r="E192" i="2"/>
  <c r="B192" i="2"/>
  <c r="N192" i="2"/>
  <c r="S188" i="2"/>
  <c r="W182" i="2"/>
  <c r="B57" i="2"/>
  <c r="H58" i="2"/>
  <c r="H57" i="2"/>
  <c r="C60" i="2"/>
  <c r="M60" i="2"/>
  <c r="N60" i="2"/>
  <c r="Z48" i="2"/>
  <c r="A60" i="2"/>
  <c r="L60" i="2"/>
  <c r="P58" i="2"/>
  <c r="W50" i="2"/>
  <c r="E60" i="2"/>
  <c r="E57" i="2"/>
  <c r="S56" i="2"/>
  <c r="U54" i="2"/>
  <c r="D57" i="2"/>
  <c r="D60" i="2"/>
  <c r="A61" i="2"/>
  <c r="T54" i="2"/>
  <c r="AC58" i="2"/>
  <c r="F60" i="2"/>
  <c r="X50" i="2"/>
  <c r="R192" i="2" l="1"/>
  <c r="V186" i="2"/>
  <c r="Y182" i="2"/>
  <c r="I190" i="2"/>
  <c r="K192" i="2"/>
  <c r="AA180" i="2"/>
  <c r="C181" i="2" s="1"/>
  <c r="G192" i="2"/>
  <c r="J196" i="2"/>
  <c r="Y50" i="2"/>
  <c r="G60" i="2"/>
  <c r="V54" i="2"/>
  <c r="AA48" i="2"/>
  <c r="C49" i="2" s="1"/>
  <c r="I58" i="2"/>
  <c r="K60" i="2"/>
  <c r="R60" i="2"/>
  <c r="J64" i="2"/>
  <c r="H60" i="2"/>
  <c r="S190" i="2"/>
  <c r="AC192" i="2"/>
  <c r="H191" i="2"/>
  <c r="Z182" i="2"/>
  <c r="P192" i="2"/>
  <c r="B191" i="2"/>
  <c r="E194" i="2"/>
  <c r="N194" i="2"/>
  <c r="H192" i="2"/>
  <c r="D191" i="2"/>
  <c r="E191" i="2"/>
  <c r="A194" i="2"/>
  <c r="B194" i="2"/>
  <c r="F194" i="2"/>
  <c r="W184" i="2"/>
  <c r="T188" i="2"/>
  <c r="A195" i="2"/>
  <c r="L194" i="2"/>
  <c r="X184" i="2"/>
  <c r="U188" i="2"/>
  <c r="M194" i="2"/>
  <c r="C194" i="2"/>
  <c r="D194" i="2"/>
  <c r="B59" i="2"/>
  <c r="T56" i="2"/>
  <c r="W52" i="2"/>
  <c r="F62" i="2"/>
  <c r="AC60" i="2"/>
  <c r="X52" i="2"/>
  <c r="P60" i="2"/>
  <c r="S58" i="2"/>
  <c r="E59" i="2"/>
  <c r="E62" i="2"/>
  <c r="D59" i="2"/>
  <c r="U56" i="2"/>
  <c r="A63" i="2"/>
  <c r="M62" i="2"/>
  <c r="Z50" i="2"/>
  <c r="D62" i="2"/>
  <c r="A62" i="2"/>
  <c r="H59" i="2"/>
  <c r="L62" i="2"/>
  <c r="C62" i="2"/>
  <c r="N62" i="2"/>
  <c r="V188" i="2" l="1"/>
  <c r="Y184" i="2"/>
  <c r="I192" i="2"/>
  <c r="K194" i="2"/>
  <c r="G194" i="2"/>
  <c r="R194" i="2"/>
  <c r="AA182" i="2"/>
  <c r="C183" i="2" s="1"/>
  <c r="J198" i="2"/>
  <c r="B61" i="2"/>
  <c r="AA50" i="2"/>
  <c r="C51" i="2" s="1"/>
  <c r="Y52" i="2"/>
  <c r="G62" i="2"/>
  <c r="I60" i="2"/>
  <c r="K62" i="2"/>
  <c r="V56" i="2"/>
  <c r="R62" i="2"/>
  <c r="J66" i="2"/>
  <c r="B193" i="2"/>
  <c r="T190" i="2"/>
  <c r="S192" i="2"/>
  <c r="E196" i="2"/>
  <c r="D196" i="2"/>
  <c r="N196" i="2"/>
  <c r="U190" i="2"/>
  <c r="A196" i="2"/>
  <c r="F196" i="2"/>
  <c r="Z184" i="2"/>
  <c r="H194" i="2"/>
  <c r="P194" i="2"/>
  <c r="H193" i="2"/>
  <c r="W186" i="2"/>
  <c r="B196" i="2"/>
  <c r="C196" i="2"/>
  <c r="AC194" i="2"/>
  <c r="D193" i="2"/>
  <c r="E193" i="2"/>
  <c r="X186" i="2"/>
  <c r="M196" i="2"/>
  <c r="L196" i="2"/>
  <c r="A197" i="2"/>
  <c r="H62" i="2"/>
  <c r="H61" i="2"/>
  <c r="A64" i="2"/>
  <c r="N64" i="2"/>
  <c r="W54" i="2"/>
  <c r="X54" i="2"/>
  <c r="AC62" i="2"/>
  <c r="U58" i="2"/>
  <c r="E61" i="2"/>
  <c r="C64" i="2"/>
  <c r="S60" i="2"/>
  <c r="M64" i="2"/>
  <c r="D64" i="2"/>
  <c r="A65" i="2"/>
  <c r="T58" i="2"/>
  <c r="L64" i="2"/>
  <c r="F64" i="2"/>
  <c r="P62" i="2"/>
  <c r="D61" i="2"/>
  <c r="Z52" i="2"/>
  <c r="E64" i="2"/>
  <c r="I194" i="2" l="1"/>
  <c r="K196" i="2"/>
  <c r="Y186" i="2"/>
  <c r="R196" i="2"/>
  <c r="AA184" i="2"/>
  <c r="C185" i="2" s="1"/>
  <c r="G196" i="2"/>
  <c r="V190" i="2"/>
  <c r="J200" i="2"/>
  <c r="AA52" i="2"/>
  <c r="C53" i="2" s="1"/>
  <c r="Y54" i="2"/>
  <c r="R64" i="2"/>
  <c r="I62" i="2"/>
  <c r="K64" i="2"/>
  <c r="V58" i="2"/>
  <c r="G64" i="2"/>
  <c r="J68" i="2"/>
  <c r="H195" i="2"/>
  <c r="B195" i="2"/>
  <c r="U192" i="2"/>
  <c r="A198" i="2"/>
  <c r="D198" i="2"/>
  <c r="B198" i="2"/>
  <c r="W188" i="2"/>
  <c r="E198" i="2"/>
  <c r="D195" i="2"/>
  <c r="P196" i="2"/>
  <c r="N198" i="2"/>
  <c r="A199" i="2"/>
  <c r="S194" i="2"/>
  <c r="X188" i="2"/>
  <c r="Z186" i="2"/>
  <c r="AC196" i="2"/>
  <c r="H196" i="2"/>
  <c r="M198" i="2"/>
  <c r="F198" i="2"/>
  <c r="C198" i="2"/>
  <c r="E195" i="2"/>
  <c r="T192" i="2"/>
  <c r="L198" i="2"/>
  <c r="B63" i="2"/>
  <c r="H64" i="2"/>
  <c r="P64" i="2"/>
  <c r="X56" i="2"/>
  <c r="AC64" i="2"/>
  <c r="E63" i="2"/>
  <c r="D63" i="2"/>
  <c r="U60" i="2"/>
  <c r="L66" i="2"/>
  <c r="S62" i="2"/>
  <c r="F66" i="2"/>
  <c r="D66" i="2"/>
  <c r="C66" i="2"/>
  <c r="Z54" i="2"/>
  <c r="A66" i="2"/>
  <c r="T60" i="2"/>
  <c r="M66" i="2"/>
  <c r="H63" i="2"/>
  <c r="W56" i="2"/>
  <c r="A67" i="2"/>
  <c r="N66" i="2"/>
  <c r="E66" i="2"/>
  <c r="G198" i="2" l="1"/>
  <c r="AA186" i="2"/>
  <c r="C187" i="2" s="1"/>
  <c r="Y188" i="2"/>
  <c r="I196" i="2"/>
  <c r="K198" i="2"/>
  <c r="R198" i="2"/>
  <c r="V192" i="2"/>
  <c r="J202" i="2"/>
  <c r="R66" i="2"/>
  <c r="AA54" i="2"/>
  <c r="C55" i="2" s="1"/>
  <c r="V60" i="2"/>
  <c r="K66" i="2"/>
  <c r="I64" i="2"/>
  <c r="Y56" i="2"/>
  <c r="G66" i="2"/>
  <c r="J70" i="2"/>
  <c r="D197" i="2"/>
  <c r="AC198" i="2"/>
  <c r="A201" i="2"/>
  <c r="D200" i="2"/>
  <c r="W190" i="2"/>
  <c r="S196" i="2"/>
  <c r="H197" i="2"/>
  <c r="U194" i="2"/>
  <c r="B200" i="2"/>
  <c r="Z188" i="2"/>
  <c r="B197" i="2"/>
  <c r="M200" i="2"/>
  <c r="N200" i="2"/>
  <c r="C200" i="2"/>
  <c r="X190" i="2"/>
  <c r="E197" i="2"/>
  <c r="T194" i="2"/>
  <c r="P198" i="2"/>
  <c r="E200" i="2"/>
  <c r="F200" i="2"/>
  <c r="H198" i="2"/>
  <c r="L200" i="2"/>
  <c r="A200" i="2"/>
  <c r="B65" i="2"/>
  <c r="H66" i="2"/>
  <c r="U62" i="2"/>
  <c r="AC66" i="2"/>
  <c r="E65" i="2"/>
  <c r="L68" i="2"/>
  <c r="N68" i="2"/>
  <c r="A69" i="2"/>
  <c r="D65" i="2"/>
  <c r="Z56" i="2"/>
  <c r="H65" i="2"/>
  <c r="P66" i="2"/>
  <c r="S64" i="2"/>
  <c r="X58" i="2"/>
  <c r="W58" i="2"/>
  <c r="D68" i="2"/>
  <c r="A68" i="2"/>
  <c r="M68" i="2"/>
  <c r="E68" i="2"/>
  <c r="C68" i="2"/>
  <c r="T62" i="2"/>
  <c r="F68" i="2"/>
  <c r="G200" i="2" l="1"/>
  <c r="Y190" i="2"/>
  <c r="AA188" i="2"/>
  <c r="C189" i="2" s="1"/>
  <c r="R200" i="2"/>
  <c r="V194" i="2"/>
  <c r="I198" i="2"/>
  <c r="K200" i="2"/>
  <c r="J204" i="2"/>
  <c r="G68" i="2"/>
  <c r="Y58" i="2"/>
  <c r="AA56" i="2"/>
  <c r="C57" i="2" s="1"/>
  <c r="I66" i="2"/>
  <c r="K68" i="2"/>
  <c r="R68" i="2"/>
  <c r="V62" i="2"/>
  <c r="J72" i="2"/>
  <c r="Z190" i="2"/>
  <c r="U196" i="2"/>
  <c r="E199" i="2"/>
  <c r="E202" i="2"/>
  <c r="L202" i="2"/>
  <c r="B202" i="2"/>
  <c r="D199" i="2"/>
  <c r="H200" i="2"/>
  <c r="AC200" i="2"/>
  <c r="H199" i="2"/>
  <c r="W192" i="2"/>
  <c r="A202" i="2"/>
  <c r="D202" i="2"/>
  <c r="A203" i="2"/>
  <c r="N202" i="2"/>
  <c r="M202" i="2"/>
  <c r="B199" i="2"/>
  <c r="P200" i="2"/>
  <c r="S198" i="2"/>
  <c r="X192" i="2"/>
  <c r="C202" i="2"/>
  <c r="T196" i="2"/>
  <c r="F202" i="2"/>
  <c r="B67" i="2"/>
  <c r="H68" i="2"/>
  <c r="P68" i="2"/>
  <c r="E70" i="2"/>
  <c r="D67" i="2"/>
  <c r="S66" i="2"/>
  <c r="C70" i="2"/>
  <c r="L70" i="2"/>
  <c r="H67" i="2"/>
  <c r="U64" i="2"/>
  <c r="D70" i="2"/>
  <c r="M70" i="2"/>
  <c r="Z58" i="2"/>
  <c r="W60" i="2"/>
  <c r="F70" i="2"/>
  <c r="AC68" i="2"/>
  <c r="N70" i="2"/>
  <c r="X60" i="2"/>
  <c r="A70" i="2"/>
  <c r="A71" i="2"/>
  <c r="T64" i="2"/>
  <c r="E67" i="2"/>
  <c r="G202" i="2" l="1"/>
  <c r="Y192" i="2"/>
  <c r="I200" i="2"/>
  <c r="K202" i="2"/>
  <c r="R202" i="2"/>
  <c r="V196" i="2"/>
  <c r="AA190" i="2"/>
  <c r="C191" i="2" s="1"/>
  <c r="J206" i="2"/>
  <c r="I68" i="2"/>
  <c r="K70" i="2"/>
  <c r="AA58" i="2"/>
  <c r="C59" i="2" s="1"/>
  <c r="Y60" i="2"/>
  <c r="G70" i="2"/>
  <c r="R70" i="2"/>
  <c r="V64" i="2"/>
  <c r="J74" i="2"/>
  <c r="U198" i="2"/>
  <c r="P202" i="2"/>
  <c r="E201" i="2"/>
  <c r="A204" i="2"/>
  <c r="D204" i="2"/>
  <c r="C204" i="2"/>
  <c r="X194" i="2"/>
  <c r="H202" i="2"/>
  <c r="D201" i="2"/>
  <c r="H201" i="2"/>
  <c r="N204" i="2"/>
  <c r="W194" i="2"/>
  <c r="B204" i="2"/>
  <c r="T198" i="2"/>
  <c r="AC202" i="2"/>
  <c r="L204" i="2"/>
  <c r="Z192" i="2"/>
  <c r="B201" i="2"/>
  <c r="M204" i="2"/>
  <c r="F204" i="2"/>
  <c r="E204" i="2"/>
  <c r="A205" i="2"/>
  <c r="S200" i="2"/>
  <c r="B69" i="2"/>
  <c r="H70" i="2"/>
  <c r="A73" i="2"/>
  <c r="U66" i="2"/>
  <c r="W62" i="2"/>
  <c r="E69" i="2"/>
  <c r="H69" i="2"/>
  <c r="D69" i="2"/>
  <c r="A72" i="2"/>
  <c r="N72" i="2"/>
  <c r="L72" i="2"/>
  <c r="S68" i="2"/>
  <c r="T66" i="2"/>
  <c r="D72" i="2"/>
  <c r="AC70" i="2"/>
  <c r="M72" i="2"/>
  <c r="C72" i="2"/>
  <c r="P70" i="2"/>
  <c r="F72" i="2"/>
  <c r="E72" i="2"/>
  <c r="X62" i="2"/>
  <c r="Z60" i="2"/>
  <c r="I202" i="2" l="1"/>
  <c r="K204" i="2"/>
  <c r="G204" i="2"/>
  <c r="AA192" i="2"/>
  <c r="C193" i="2" s="1"/>
  <c r="R204" i="2"/>
  <c r="Y194" i="2"/>
  <c r="V198" i="2"/>
  <c r="J208" i="2"/>
  <c r="R72" i="2"/>
  <c r="G72" i="2"/>
  <c r="V66" i="2"/>
  <c r="Y62" i="2"/>
  <c r="I70" i="2"/>
  <c r="K72" i="2"/>
  <c r="AA60" i="2"/>
  <c r="C61" i="2" s="1"/>
  <c r="J76" i="2"/>
  <c r="T200" i="2"/>
  <c r="H204" i="2"/>
  <c r="B203" i="2"/>
  <c r="D206" i="2"/>
  <c r="W196" i="2"/>
  <c r="C206" i="2"/>
  <c r="U200" i="2"/>
  <c r="P204" i="2"/>
  <c r="M206" i="2"/>
  <c r="N206" i="2"/>
  <c r="B206" i="2"/>
  <c r="X196" i="2"/>
  <c r="A206" i="2"/>
  <c r="H203" i="2"/>
  <c r="AC204" i="2"/>
  <c r="Z194" i="2"/>
  <c r="S202" i="2"/>
  <c r="E206" i="2"/>
  <c r="F206" i="2"/>
  <c r="A207" i="2"/>
  <c r="E203" i="2"/>
  <c r="D203" i="2"/>
  <c r="L206" i="2"/>
  <c r="B71" i="2"/>
  <c r="H72" i="2"/>
  <c r="S70" i="2"/>
  <c r="AC72" i="2"/>
  <c r="E71" i="2"/>
  <c r="U68" i="2"/>
  <c r="N74" i="2"/>
  <c r="C74" i="2"/>
  <c r="Z62" i="2"/>
  <c r="A75" i="2"/>
  <c r="L74" i="2"/>
  <c r="E74" i="2"/>
  <c r="D74" i="2"/>
  <c r="T68" i="2"/>
  <c r="W64" i="2"/>
  <c r="P72" i="2"/>
  <c r="X64" i="2"/>
  <c r="A74" i="2"/>
  <c r="D71" i="2"/>
  <c r="M74" i="2"/>
  <c r="H71" i="2"/>
  <c r="F74" i="2"/>
  <c r="I204" i="2" l="1"/>
  <c r="K206" i="2"/>
  <c r="G206" i="2"/>
  <c r="AA194" i="2"/>
  <c r="C195" i="2" s="1"/>
  <c r="Y196" i="2"/>
  <c r="R206" i="2"/>
  <c r="V200" i="2"/>
  <c r="J210" i="2"/>
  <c r="G74" i="2"/>
  <c r="Y64" i="2"/>
  <c r="K74" i="2"/>
  <c r="I72" i="2"/>
  <c r="AA62" i="2"/>
  <c r="C63" i="2" s="1"/>
  <c r="V68" i="2"/>
  <c r="R74" i="2"/>
  <c r="J78" i="2"/>
  <c r="U202" i="2"/>
  <c r="Z196" i="2"/>
  <c r="P206" i="2"/>
  <c r="S204" i="2"/>
  <c r="E208" i="2"/>
  <c r="L208" i="2"/>
  <c r="A209" i="2"/>
  <c r="H206" i="2"/>
  <c r="D205" i="2"/>
  <c r="A208" i="2"/>
  <c r="D208" i="2"/>
  <c r="C208" i="2"/>
  <c r="T202" i="2"/>
  <c r="E205" i="2"/>
  <c r="X198" i="2"/>
  <c r="H205" i="2"/>
  <c r="AC206" i="2"/>
  <c r="B205" i="2"/>
  <c r="W198" i="2"/>
  <c r="N208" i="2"/>
  <c r="M208" i="2"/>
  <c r="B208" i="2"/>
  <c r="F208" i="2"/>
  <c r="B73" i="2"/>
  <c r="H74" i="2"/>
  <c r="Z64" i="2"/>
  <c r="M76" i="2"/>
  <c r="N76" i="2"/>
  <c r="F76" i="2"/>
  <c r="T70" i="2"/>
  <c r="L76" i="2"/>
  <c r="D76" i="2"/>
  <c r="A76" i="2"/>
  <c r="E76" i="2"/>
  <c r="P74" i="2"/>
  <c r="S72" i="2"/>
  <c r="AC74" i="2"/>
  <c r="C76" i="2"/>
  <c r="U70" i="2"/>
  <c r="W66" i="2"/>
  <c r="H73" i="2"/>
  <c r="E73" i="2"/>
  <c r="A77" i="2"/>
  <c r="X66" i="2"/>
  <c r="D73" i="2"/>
  <c r="G208" i="2" l="1"/>
  <c r="R208" i="2"/>
  <c r="Y198" i="2"/>
  <c r="I206" i="2"/>
  <c r="K208" i="2"/>
  <c r="AA196" i="2"/>
  <c r="C197" i="2" s="1"/>
  <c r="V202" i="2"/>
  <c r="J212" i="2"/>
  <c r="Y66" i="2"/>
  <c r="I74" i="2"/>
  <c r="K76" i="2"/>
  <c r="R76" i="2"/>
  <c r="G76" i="2"/>
  <c r="V70" i="2"/>
  <c r="AA64" i="2"/>
  <c r="C65" i="2" s="1"/>
  <c r="J80" i="2"/>
  <c r="P208" i="2"/>
  <c r="Z198" i="2"/>
  <c r="T204" i="2"/>
  <c r="A210" i="2"/>
  <c r="D210" i="2"/>
  <c r="C210" i="2"/>
  <c r="N210" i="2"/>
  <c r="H207" i="2"/>
  <c r="M210" i="2"/>
  <c r="F210" i="2"/>
  <c r="X200" i="2"/>
  <c r="H208" i="2"/>
  <c r="L210" i="2"/>
  <c r="S206" i="2"/>
  <c r="AC208" i="2"/>
  <c r="U204" i="2"/>
  <c r="W200" i="2"/>
  <c r="B207" i="2"/>
  <c r="B210" i="2"/>
  <c r="E207" i="2"/>
  <c r="D207" i="2"/>
  <c r="E210" i="2"/>
  <c r="A211" i="2"/>
  <c r="B75" i="2"/>
  <c r="H76" i="2"/>
  <c r="AC76" i="2"/>
  <c r="T72" i="2"/>
  <c r="X68" i="2"/>
  <c r="M78" i="2"/>
  <c r="E78" i="2"/>
  <c r="H75" i="2"/>
  <c r="D75" i="2"/>
  <c r="L78" i="2"/>
  <c r="D78" i="2"/>
  <c r="S74" i="2"/>
  <c r="A79" i="2"/>
  <c r="U72" i="2"/>
  <c r="N78" i="2"/>
  <c r="F78" i="2"/>
  <c r="Z66" i="2"/>
  <c r="A78" i="2"/>
  <c r="E75" i="2"/>
  <c r="C78" i="2"/>
  <c r="P76" i="2"/>
  <c r="W68" i="2"/>
  <c r="I208" i="2" l="1"/>
  <c r="K210" i="2"/>
  <c r="R210" i="2"/>
  <c r="V204" i="2"/>
  <c r="Y200" i="2"/>
  <c r="G210" i="2"/>
  <c r="AA198" i="2"/>
  <c r="C199" i="2" s="1"/>
  <c r="J214" i="2"/>
  <c r="G78" i="2"/>
  <c r="V72" i="2"/>
  <c r="Y68" i="2"/>
  <c r="I76" i="2"/>
  <c r="K78" i="2"/>
  <c r="R78" i="2"/>
  <c r="AA66" i="2"/>
  <c r="C67" i="2" s="1"/>
  <c r="J82" i="2"/>
  <c r="T206" i="2"/>
  <c r="H210" i="2"/>
  <c r="B209" i="2"/>
  <c r="N212" i="2"/>
  <c r="W202" i="2"/>
  <c r="S208" i="2"/>
  <c r="L212" i="2"/>
  <c r="E209" i="2"/>
  <c r="A212" i="2"/>
  <c r="D212" i="2"/>
  <c r="C212" i="2"/>
  <c r="U206" i="2"/>
  <c r="P210" i="2"/>
  <c r="D209" i="2"/>
  <c r="M212" i="2"/>
  <c r="B212" i="2"/>
  <c r="F212" i="2"/>
  <c r="X202" i="2"/>
  <c r="AC210" i="2"/>
  <c r="H209" i="2"/>
  <c r="Z200" i="2"/>
  <c r="E212" i="2"/>
  <c r="A213" i="2"/>
  <c r="B77" i="2"/>
  <c r="H78" i="2"/>
  <c r="H77" i="2"/>
  <c r="M80" i="2"/>
  <c r="N80" i="2"/>
  <c r="E77" i="2"/>
  <c r="D80" i="2"/>
  <c r="X70" i="2"/>
  <c r="L80" i="2"/>
  <c r="A81" i="2"/>
  <c r="AC78" i="2"/>
  <c r="E80" i="2"/>
  <c r="U74" i="2"/>
  <c r="P78" i="2"/>
  <c r="C80" i="2"/>
  <c r="S76" i="2"/>
  <c r="F80" i="2"/>
  <c r="T74" i="2"/>
  <c r="W70" i="2"/>
  <c r="D77" i="2"/>
  <c r="A80" i="2"/>
  <c r="Z68" i="2"/>
  <c r="I210" i="2" l="1"/>
  <c r="K212" i="2"/>
  <c r="AA200" i="2"/>
  <c r="C201" i="2" s="1"/>
  <c r="Y202" i="2"/>
  <c r="G212" i="2"/>
  <c r="R212" i="2"/>
  <c r="V206" i="2"/>
  <c r="J216" i="2"/>
  <c r="V74" i="2"/>
  <c r="AA68" i="2"/>
  <c r="C69" i="2" s="1"/>
  <c r="G80" i="2"/>
  <c r="R80" i="2"/>
  <c r="I78" i="2"/>
  <c r="K80" i="2"/>
  <c r="Y70" i="2"/>
  <c r="J84" i="2"/>
  <c r="E211" i="2"/>
  <c r="AC212" i="2"/>
  <c r="T208" i="2"/>
  <c r="P212" i="2"/>
  <c r="E214" i="2"/>
  <c r="B214" i="2"/>
  <c r="A215" i="2"/>
  <c r="D214" i="2"/>
  <c r="Z202" i="2"/>
  <c r="B211" i="2"/>
  <c r="U208" i="2"/>
  <c r="W204" i="2"/>
  <c r="A214" i="2"/>
  <c r="L214" i="2"/>
  <c r="C214" i="2"/>
  <c r="D211" i="2"/>
  <c r="S210" i="2"/>
  <c r="X204" i="2"/>
  <c r="H211" i="2"/>
  <c r="H212" i="2"/>
  <c r="M214" i="2"/>
  <c r="N214" i="2"/>
  <c r="F214" i="2"/>
  <c r="B79" i="2"/>
  <c r="H80" i="2"/>
  <c r="H79" i="2"/>
  <c r="L82" i="2"/>
  <c r="E79" i="2"/>
  <c r="D82" i="2"/>
  <c r="F82" i="2"/>
  <c r="Z70" i="2"/>
  <c r="U76" i="2"/>
  <c r="D79" i="2"/>
  <c r="W72" i="2"/>
  <c r="C82" i="2"/>
  <c r="AC80" i="2"/>
  <c r="N82" i="2"/>
  <c r="A82" i="2"/>
  <c r="A83" i="2"/>
  <c r="M82" i="2"/>
  <c r="P80" i="2"/>
  <c r="E82" i="2"/>
  <c r="S78" i="2"/>
  <c r="T76" i="2"/>
  <c r="X72" i="2"/>
  <c r="G214" i="2" l="1"/>
  <c r="Y204" i="2"/>
  <c r="V208" i="2"/>
  <c r="AA202" i="2"/>
  <c r="C203" i="2" s="1"/>
  <c r="I212" i="2"/>
  <c r="K214" i="2"/>
  <c r="R214" i="2"/>
  <c r="J218" i="2"/>
  <c r="K82" i="2"/>
  <c r="I80" i="2"/>
  <c r="G82" i="2"/>
  <c r="Y72" i="2"/>
  <c r="R82" i="2"/>
  <c r="V76" i="2"/>
  <c r="AA70" i="2"/>
  <c r="C71" i="2" s="1"/>
  <c r="J86" i="2"/>
  <c r="P214" i="2"/>
  <c r="D213" i="2"/>
  <c r="W206" i="2"/>
  <c r="M216" i="2"/>
  <c r="F216" i="2"/>
  <c r="T210" i="2"/>
  <c r="H214" i="2"/>
  <c r="B213" i="2"/>
  <c r="D216" i="2"/>
  <c r="Z204" i="2"/>
  <c r="X206" i="2"/>
  <c r="A217" i="2"/>
  <c r="E216" i="2"/>
  <c r="B216" i="2"/>
  <c r="AC214" i="2"/>
  <c r="H213" i="2"/>
  <c r="S212" i="2"/>
  <c r="C216" i="2"/>
  <c r="A216" i="2"/>
  <c r="L216" i="2"/>
  <c r="U210" i="2"/>
  <c r="E213" i="2"/>
  <c r="N216" i="2"/>
  <c r="B81" i="2"/>
  <c r="H82" i="2"/>
  <c r="E84" i="2"/>
  <c r="W74" i="2"/>
  <c r="F84" i="2"/>
  <c r="T78" i="2"/>
  <c r="A84" i="2"/>
  <c r="A85" i="2"/>
  <c r="X74" i="2"/>
  <c r="P82" i="2"/>
  <c r="S80" i="2"/>
  <c r="U78" i="2"/>
  <c r="D84" i="2"/>
  <c r="AC82" i="2"/>
  <c r="D81" i="2"/>
  <c r="C84" i="2"/>
  <c r="N84" i="2"/>
  <c r="M84" i="2"/>
  <c r="E81" i="2"/>
  <c r="H81" i="2"/>
  <c r="L84" i="2"/>
  <c r="Z72" i="2"/>
  <c r="V210" i="2" l="1"/>
  <c r="R216" i="2"/>
  <c r="K216" i="2"/>
  <c r="I214" i="2"/>
  <c r="Y206" i="2"/>
  <c r="AA204" i="2"/>
  <c r="C205" i="2" s="1"/>
  <c r="G216" i="2"/>
  <c r="J220" i="2"/>
  <c r="I82" i="2"/>
  <c r="K84" i="2"/>
  <c r="R84" i="2"/>
  <c r="G84" i="2"/>
  <c r="Y74" i="2"/>
  <c r="V78" i="2"/>
  <c r="AA72" i="2"/>
  <c r="C73" i="2" s="1"/>
  <c r="J88" i="2"/>
  <c r="P216" i="2"/>
  <c r="U212" i="2"/>
  <c r="D215" i="2"/>
  <c r="C218" i="2"/>
  <c r="B218" i="2"/>
  <c r="D218" i="2"/>
  <c r="H216" i="2"/>
  <c r="H215" i="2"/>
  <c r="B215" i="2"/>
  <c r="W208" i="2"/>
  <c r="M218" i="2"/>
  <c r="L218" i="2"/>
  <c r="E215" i="2"/>
  <c r="S214" i="2"/>
  <c r="X208" i="2"/>
  <c r="N218" i="2"/>
  <c r="E218" i="2"/>
  <c r="T212" i="2"/>
  <c r="AC216" i="2"/>
  <c r="Z206" i="2"/>
  <c r="A219" i="2"/>
  <c r="F218" i="2"/>
  <c r="A218" i="2"/>
  <c r="B83" i="2"/>
  <c r="H84" i="2"/>
  <c r="T80" i="2"/>
  <c r="A86" i="2"/>
  <c r="A87" i="2"/>
  <c r="X76" i="2"/>
  <c r="F86" i="2"/>
  <c r="Z74" i="2"/>
  <c r="L86" i="2"/>
  <c r="E83" i="2"/>
  <c r="N86" i="2"/>
  <c r="C86" i="2"/>
  <c r="H83" i="2"/>
  <c r="AC84" i="2"/>
  <c r="D83" i="2"/>
  <c r="M86" i="2"/>
  <c r="P84" i="2"/>
  <c r="U80" i="2"/>
  <c r="W76" i="2"/>
  <c r="E86" i="2"/>
  <c r="S82" i="2"/>
  <c r="D86" i="2"/>
  <c r="G218" i="2" l="1"/>
  <c r="K218" i="2"/>
  <c r="I216" i="2"/>
  <c r="AA206" i="2"/>
  <c r="C207" i="2" s="1"/>
  <c r="Y208" i="2"/>
  <c r="R218" i="2"/>
  <c r="V212" i="2"/>
  <c r="J222" i="2"/>
  <c r="R86" i="2"/>
  <c r="G86" i="2"/>
  <c r="AA74" i="2"/>
  <c r="C75" i="2" s="1"/>
  <c r="Y76" i="2"/>
  <c r="I84" i="2"/>
  <c r="K86" i="2"/>
  <c r="V80" i="2"/>
  <c r="J90" i="2"/>
  <c r="E217" i="2"/>
  <c r="H218" i="2"/>
  <c r="D217" i="2"/>
  <c r="A221" i="2"/>
  <c r="F220" i="2"/>
  <c r="A220" i="2"/>
  <c r="H217" i="2"/>
  <c r="Z208" i="2"/>
  <c r="AC218" i="2"/>
  <c r="B217" i="2"/>
  <c r="C220" i="2"/>
  <c r="B220" i="2"/>
  <c r="D220" i="2"/>
  <c r="S216" i="2"/>
  <c r="T214" i="2"/>
  <c r="W210" i="2"/>
  <c r="M220" i="2"/>
  <c r="L220" i="2"/>
  <c r="N220" i="2"/>
  <c r="E220" i="2"/>
  <c r="P218" i="2"/>
  <c r="U214" i="2"/>
  <c r="X210" i="2"/>
  <c r="B85" i="2"/>
  <c r="H86" i="2"/>
  <c r="P86" i="2"/>
  <c r="M88" i="2"/>
  <c r="U82" i="2"/>
  <c r="X78" i="2"/>
  <c r="E88" i="2"/>
  <c r="D85" i="2"/>
  <c r="S84" i="2"/>
  <c r="A88" i="2"/>
  <c r="A89" i="2"/>
  <c r="W78" i="2"/>
  <c r="C88" i="2"/>
  <c r="E85" i="2"/>
  <c r="N88" i="2"/>
  <c r="D88" i="2"/>
  <c r="AC86" i="2"/>
  <c r="H85" i="2"/>
  <c r="L88" i="2"/>
  <c r="F88" i="2"/>
  <c r="T82" i="2"/>
  <c r="Z76" i="2"/>
  <c r="Y210" i="2" l="1"/>
  <c r="V214" i="2"/>
  <c r="R220" i="2"/>
  <c r="AA208" i="2"/>
  <c r="C209" i="2" s="1"/>
  <c r="G220" i="2"/>
  <c r="K220" i="2"/>
  <c r="I218" i="2"/>
  <c r="J224" i="2"/>
  <c r="Y78" i="2"/>
  <c r="I86" i="2"/>
  <c r="K88" i="2"/>
  <c r="V82" i="2"/>
  <c r="AA76" i="2"/>
  <c r="C77" i="2" s="1"/>
  <c r="R88" i="2"/>
  <c r="G88" i="2"/>
  <c r="J92" i="2"/>
  <c r="Z210" i="2"/>
  <c r="P220" i="2"/>
  <c r="T216" i="2"/>
  <c r="E219" i="2"/>
  <c r="A223" i="2"/>
  <c r="F222" i="2"/>
  <c r="A222" i="2"/>
  <c r="H219" i="2"/>
  <c r="L222" i="2"/>
  <c r="H220" i="2"/>
  <c r="U216" i="2"/>
  <c r="C222" i="2"/>
  <c r="B222" i="2"/>
  <c r="S218" i="2"/>
  <c r="D219" i="2"/>
  <c r="AC220" i="2"/>
  <c r="W212" i="2"/>
  <c r="M222" i="2"/>
  <c r="D222" i="2"/>
  <c r="B219" i="2"/>
  <c r="X212" i="2"/>
  <c r="N222" i="2"/>
  <c r="E222" i="2"/>
  <c r="B87" i="2"/>
  <c r="H88" i="2"/>
  <c r="U84" i="2"/>
  <c r="AC88" i="2"/>
  <c r="H87" i="2"/>
  <c r="E87" i="2"/>
  <c r="P88" i="2"/>
  <c r="T84" i="2"/>
  <c r="L90" i="2"/>
  <c r="E90" i="2"/>
  <c r="A91" i="2"/>
  <c r="Z78" i="2"/>
  <c r="N90" i="2"/>
  <c r="X80" i="2"/>
  <c r="D87" i="2"/>
  <c r="S86" i="2"/>
  <c r="F90" i="2"/>
  <c r="D90" i="2"/>
  <c r="W80" i="2"/>
  <c r="C90" i="2"/>
  <c r="A90" i="2"/>
  <c r="M90" i="2"/>
  <c r="Y212" i="2" l="1"/>
  <c r="R222" i="2"/>
  <c r="V216" i="2"/>
  <c r="G222" i="2"/>
  <c r="K222" i="2"/>
  <c r="I220" i="2"/>
  <c r="AA210" i="2"/>
  <c r="C211" i="2" s="1"/>
  <c r="J226" i="2"/>
  <c r="K90" i="2"/>
  <c r="I88" i="2"/>
  <c r="AA78" i="2"/>
  <c r="C79" i="2" s="1"/>
  <c r="R90" i="2"/>
  <c r="V84" i="2"/>
  <c r="G90" i="2"/>
  <c r="Y80" i="2"/>
  <c r="J94" i="2"/>
  <c r="P222" i="2"/>
  <c r="E221" i="2"/>
  <c r="AC222" i="2"/>
  <c r="B221" i="2"/>
  <c r="S220" i="2"/>
  <c r="N224" i="2"/>
  <c r="E224" i="2"/>
  <c r="W214" i="2"/>
  <c r="H222" i="2"/>
  <c r="H221" i="2"/>
  <c r="A225" i="2"/>
  <c r="A224" i="2"/>
  <c r="Z212" i="2"/>
  <c r="T218" i="2"/>
  <c r="C224" i="2"/>
  <c r="B224" i="2"/>
  <c r="D224" i="2"/>
  <c r="M224" i="2"/>
  <c r="F224" i="2"/>
  <c r="X214" i="2"/>
  <c r="U218" i="2"/>
  <c r="D221" i="2"/>
  <c r="L224" i="2"/>
  <c r="B89" i="2"/>
  <c r="H90" i="2"/>
  <c r="U86" i="2"/>
  <c r="F92" i="2"/>
  <c r="AC90" i="2"/>
  <c r="A93" i="2"/>
  <c r="T86" i="2"/>
  <c r="P90" i="2"/>
  <c r="L92" i="2"/>
  <c r="A92" i="2"/>
  <c r="H89" i="2"/>
  <c r="N92" i="2"/>
  <c r="X82" i="2"/>
  <c r="D89" i="2"/>
  <c r="C92" i="2"/>
  <c r="D92" i="2"/>
  <c r="M92" i="2"/>
  <c r="S88" i="2"/>
  <c r="E89" i="2"/>
  <c r="W82" i="2"/>
  <c r="Z80" i="2"/>
  <c r="E92" i="2"/>
  <c r="V218" i="2" l="1"/>
  <c r="Y214" i="2"/>
  <c r="G224" i="2"/>
  <c r="R224" i="2"/>
  <c r="AA212" i="2"/>
  <c r="C213" i="2" s="1"/>
  <c r="K224" i="2"/>
  <c r="I222" i="2"/>
  <c r="J228" i="2"/>
  <c r="AA80" i="2"/>
  <c r="C81" i="2" s="1"/>
  <c r="Y82" i="2"/>
  <c r="I90" i="2"/>
  <c r="K92" i="2"/>
  <c r="R92" i="2"/>
  <c r="G92" i="2"/>
  <c r="V86" i="2"/>
  <c r="J96" i="2"/>
  <c r="T220" i="2"/>
  <c r="D223" i="2"/>
  <c r="M226" i="2"/>
  <c r="L226" i="2"/>
  <c r="Z214" i="2"/>
  <c r="U220" i="2"/>
  <c r="B223" i="2"/>
  <c r="N226" i="2"/>
  <c r="E226" i="2"/>
  <c r="W216" i="2"/>
  <c r="S222" i="2"/>
  <c r="A226" i="2"/>
  <c r="P224" i="2"/>
  <c r="E223" i="2"/>
  <c r="A227" i="2"/>
  <c r="F226" i="2"/>
  <c r="X216" i="2"/>
  <c r="AC224" i="2"/>
  <c r="H224" i="2"/>
  <c r="H223" i="2"/>
  <c r="C226" i="2"/>
  <c r="B226" i="2"/>
  <c r="D226" i="2"/>
  <c r="B91" i="2"/>
  <c r="H92" i="2"/>
  <c r="E91" i="2"/>
  <c r="P92" i="2"/>
  <c r="A95" i="2"/>
  <c r="L94" i="2"/>
  <c r="E94" i="2"/>
  <c r="T88" i="2"/>
  <c r="AC92" i="2"/>
  <c r="C94" i="2"/>
  <c r="N94" i="2"/>
  <c r="F94" i="2"/>
  <c r="D94" i="2"/>
  <c r="H91" i="2"/>
  <c r="M94" i="2"/>
  <c r="S90" i="2"/>
  <c r="D91" i="2"/>
  <c r="W84" i="2"/>
  <c r="X84" i="2"/>
  <c r="A94" i="2"/>
  <c r="U88" i="2"/>
  <c r="Z82" i="2"/>
  <c r="R226" i="2" l="1"/>
  <c r="Y216" i="2"/>
  <c r="G226" i="2"/>
  <c r="K226" i="2"/>
  <c r="I224" i="2"/>
  <c r="V220" i="2"/>
  <c r="AA214" i="2"/>
  <c r="C215" i="2" s="1"/>
  <c r="J230" i="2"/>
  <c r="AA82" i="2"/>
  <c r="C83" i="2" s="1"/>
  <c r="Y84" i="2"/>
  <c r="G94" i="2"/>
  <c r="R94" i="2"/>
  <c r="I92" i="2"/>
  <c r="K94" i="2"/>
  <c r="V88" i="2"/>
  <c r="J98" i="2"/>
  <c r="E225" i="2"/>
  <c r="T222" i="2"/>
  <c r="H226" i="2"/>
  <c r="A229" i="2"/>
  <c r="F228" i="2"/>
  <c r="A228" i="2"/>
  <c r="B225" i="2"/>
  <c r="N228" i="2"/>
  <c r="H225" i="2"/>
  <c r="U222" i="2"/>
  <c r="C228" i="2"/>
  <c r="B228" i="2"/>
  <c r="D228" i="2"/>
  <c r="S224" i="2"/>
  <c r="AC226" i="2"/>
  <c r="Z216" i="2"/>
  <c r="D225" i="2"/>
  <c r="M228" i="2"/>
  <c r="L228" i="2"/>
  <c r="W218" i="2"/>
  <c r="P226" i="2"/>
  <c r="E228" i="2"/>
  <c r="X218" i="2"/>
  <c r="B93" i="2"/>
  <c r="H94" i="2"/>
  <c r="E96" i="2"/>
  <c r="N96" i="2"/>
  <c r="T90" i="2"/>
  <c r="M96" i="2"/>
  <c r="X86" i="2"/>
  <c r="AC94" i="2"/>
  <c r="A96" i="2"/>
  <c r="W86" i="2"/>
  <c r="P94" i="2"/>
  <c r="U90" i="2"/>
  <c r="A97" i="2"/>
  <c r="D93" i="2"/>
  <c r="D96" i="2"/>
  <c r="E93" i="2"/>
  <c r="S92" i="2"/>
  <c r="Z84" i="2"/>
  <c r="C96" i="2"/>
  <c r="L96" i="2"/>
  <c r="H93" i="2"/>
  <c r="F96" i="2"/>
  <c r="Y218" i="2" l="1"/>
  <c r="AA216" i="2"/>
  <c r="C217" i="2" s="1"/>
  <c r="R228" i="2"/>
  <c r="V222" i="2"/>
  <c r="G228" i="2"/>
  <c r="K228" i="2"/>
  <c r="I226" i="2"/>
  <c r="J232" i="2"/>
  <c r="R96" i="2"/>
  <c r="Y86" i="2"/>
  <c r="V90" i="2"/>
  <c r="G96" i="2"/>
  <c r="I94" i="2"/>
  <c r="K96" i="2"/>
  <c r="AA84" i="2"/>
  <c r="C85" i="2" s="1"/>
  <c r="J100" i="2"/>
  <c r="Z218" i="2"/>
  <c r="U224" i="2"/>
  <c r="P228" i="2"/>
  <c r="N230" i="2"/>
  <c r="D227" i="2"/>
  <c r="E227" i="2"/>
  <c r="AC228" i="2"/>
  <c r="H228" i="2"/>
  <c r="A231" i="2"/>
  <c r="F230" i="2"/>
  <c r="A230" i="2"/>
  <c r="X220" i="2"/>
  <c r="B227" i="2"/>
  <c r="H227" i="2"/>
  <c r="C230" i="2"/>
  <c r="B230" i="2"/>
  <c r="D230" i="2"/>
  <c r="E230" i="2"/>
  <c r="T224" i="2"/>
  <c r="M230" i="2"/>
  <c r="L230" i="2"/>
  <c r="S226" i="2"/>
  <c r="W220" i="2"/>
  <c r="B95" i="2"/>
  <c r="H96" i="2"/>
  <c r="AC96" i="2"/>
  <c r="A98" i="2"/>
  <c r="X88" i="2"/>
  <c r="C98" i="2"/>
  <c r="E98" i="2"/>
  <c r="E95" i="2"/>
  <c r="A99" i="2"/>
  <c r="N98" i="2"/>
  <c r="H95" i="2"/>
  <c r="S94" i="2"/>
  <c r="Z86" i="2"/>
  <c r="U92" i="2"/>
  <c r="F98" i="2"/>
  <c r="D95" i="2"/>
  <c r="D98" i="2"/>
  <c r="P96" i="2"/>
  <c r="L98" i="2"/>
  <c r="W88" i="2"/>
  <c r="T92" i="2"/>
  <c r="M98" i="2"/>
  <c r="R230" i="2" l="1"/>
  <c r="Y220" i="2"/>
  <c r="G230" i="2"/>
  <c r="K230" i="2"/>
  <c r="I228" i="2"/>
  <c r="V224" i="2"/>
  <c r="AA218" i="2"/>
  <c r="C219" i="2" s="1"/>
  <c r="J234" i="2"/>
  <c r="V92" i="2"/>
  <c r="K98" i="2"/>
  <c r="I96" i="2"/>
  <c r="AA86" i="2"/>
  <c r="C87" i="2" s="1"/>
  <c r="Y88" i="2"/>
  <c r="R98" i="2"/>
  <c r="G98" i="2"/>
  <c r="J102" i="2"/>
  <c r="AC230" i="2"/>
  <c r="P230" i="2"/>
  <c r="M232" i="2"/>
  <c r="D232" i="2"/>
  <c r="W222" i="2"/>
  <c r="T226" i="2"/>
  <c r="H230" i="2"/>
  <c r="N232" i="2"/>
  <c r="E232" i="2"/>
  <c r="S228" i="2"/>
  <c r="U226" i="2"/>
  <c r="Z220" i="2"/>
  <c r="E229" i="2"/>
  <c r="D229" i="2"/>
  <c r="A233" i="2"/>
  <c r="F232" i="2"/>
  <c r="A232" i="2"/>
  <c r="X222" i="2"/>
  <c r="H229" i="2"/>
  <c r="C232" i="2"/>
  <c r="B232" i="2"/>
  <c r="L232" i="2"/>
  <c r="B229" i="2"/>
  <c r="B97" i="2"/>
  <c r="H98" i="2"/>
  <c r="P98" i="2"/>
  <c r="N100" i="2"/>
  <c r="D97" i="2"/>
  <c r="F100" i="2"/>
  <c r="AC98" i="2"/>
  <c r="M100" i="2"/>
  <c r="T94" i="2"/>
  <c r="U94" i="2"/>
  <c r="L100" i="2"/>
  <c r="S96" i="2"/>
  <c r="H97" i="2"/>
  <c r="X90" i="2"/>
  <c r="E100" i="2"/>
  <c r="Z88" i="2"/>
  <c r="A100" i="2"/>
  <c r="W90" i="2"/>
  <c r="D100" i="2"/>
  <c r="C100" i="2"/>
  <c r="E97" i="2"/>
  <c r="A101" i="2"/>
  <c r="R232" i="2" l="1"/>
  <c r="Y222" i="2"/>
  <c r="G232" i="2"/>
  <c r="K232" i="2"/>
  <c r="I230" i="2"/>
  <c r="AA220" i="2"/>
  <c r="C221" i="2" s="1"/>
  <c r="V226" i="2"/>
  <c r="J236" i="2"/>
  <c r="I98" i="2"/>
  <c r="K100" i="2"/>
  <c r="R100" i="2"/>
  <c r="G100" i="2"/>
  <c r="V94" i="2"/>
  <c r="AA88" i="2"/>
  <c r="C89" i="2" s="1"/>
  <c r="Y90" i="2"/>
  <c r="J104" i="2"/>
  <c r="AC232" i="2"/>
  <c r="T228" i="2"/>
  <c r="E231" i="2"/>
  <c r="S230" i="2"/>
  <c r="N234" i="2"/>
  <c r="E234" i="2"/>
  <c r="W224" i="2"/>
  <c r="H232" i="2"/>
  <c r="U228" i="2"/>
  <c r="H231" i="2"/>
  <c r="A235" i="2"/>
  <c r="F234" i="2"/>
  <c r="A234" i="2"/>
  <c r="X224" i="2"/>
  <c r="B234" i="2"/>
  <c r="L234" i="2"/>
  <c r="Z222" i="2"/>
  <c r="P232" i="2"/>
  <c r="D231" i="2"/>
  <c r="C234" i="2"/>
  <c r="D234" i="2"/>
  <c r="B231" i="2"/>
  <c r="M234" i="2"/>
  <c r="B99" i="2"/>
  <c r="H100" i="2"/>
  <c r="H99" i="2"/>
  <c r="F102" i="2"/>
  <c r="X92" i="2"/>
  <c r="L102" i="2"/>
  <c r="Z90" i="2"/>
  <c r="P100" i="2"/>
  <c r="W92" i="2"/>
  <c r="AC100" i="2"/>
  <c r="D99" i="2"/>
  <c r="E99" i="2"/>
  <c r="A103" i="2"/>
  <c r="U96" i="2"/>
  <c r="S98" i="2"/>
  <c r="D102" i="2"/>
  <c r="A102" i="2"/>
  <c r="T96" i="2"/>
  <c r="C102" i="2"/>
  <c r="M102" i="2"/>
  <c r="N102" i="2"/>
  <c r="E102" i="2"/>
  <c r="AA222" i="2" l="1"/>
  <c r="C223" i="2" s="1"/>
  <c r="R234" i="2"/>
  <c r="Y224" i="2"/>
  <c r="G234" i="2"/>
  <c r="K234" i="2"/>
  <c r="I232" i="2"/>
  <c r="V228" i="2"/>
  <c r="J238" i="2"/>
  <c r="AA90" i="2"/>
  <c r="C91" i="2" s="1"/>
  <c r="R102" i="2"/>
  <c r="V96" i="2"/>
  <c r="Y92" i="2"/>
  <c r="I100" i="2"/>
  <c r="K102" i="2"/>
  <c r="G102" i="2"/>
  <c r="J106" i="2"/>
  <c r="D233" i="2"/>
  <c r="H234" i="2"/>
  <c r="E233" i="2"/>
  <c r="A237" i="2"/>
  <c r="F236" i="2"/>
  <c r="A236" i="2"/>
  <c r="U230" i="2"/>
  <c r="AC234" i="2"/>
  <c r="X226" i="2"/>
  <c r="B233" i="2"/>
  <c r="Z224" i="2"/>
  <c r="T230" i="2"/>
  <c r="H233" i="2"/>
  <c r="C236" i="2"/>
  <c r="B236" i="2"/>
  <c r="L236" i="2"/>
  <c r="S232" i="2"/>
  <c r="W226" i="2"/>
  <c r="M236" i="2"/>
  <c r="D236" i="2"/>
  <c r="P234" i="2"/>
  <c r="N236" i="2"/>
  <c r="E236" i="2"/>
  <c r="B101" i="2"/>
  <c r="H102" i="2"/>
  <c r="U98" i="2"/>
  <c r="E101" i="2"/>
  <c r="L104" i="2"/>
  <c r="A105" i="2"/>
  <c r="D101" i="2"/>
  <c r="T98" i="2"/>
  <c r="H101" i="2"/>
  <c r="N104" i="2"/>
  <c r="A104" i="2"/>
  <c r="D104" i="2"/>
  <c r="W94" i="2"/>
  <c r="E104" i="2"/>
  <c r="X94" i="2"/>
  <c r="M104" i="2"/>
  <c r="AC102" i="2"/>
  <c r="F104" i="2"/>
  <c r="C104" i="2"/>
  <c r="P102" i="2"/>
  <c r="S100" i="2"/>
  <c r="Z92" i="2"/>
  <c r="R236" i="2" l="1"/>
  <c r="AA224" i="2"/>
  <c r="C225" i="2" s="1"/>
  <c r="Y226" i="2"/>
  <c r="V230" i="2"/>
  <c r="G236" i="2"/>
  <c r="K236" i="2"/>
  <c r="I234" i="2"/>
  <c r="J240" i="2"/>
  <c r="R104" i="2"/>
  <c r="G104" i="2"/>
  <c r="AA92" i="2"/>
  <c r="C93" i="2" s="1"/>
  <c r="I102" i="2"/>
  <c r="K104" i="2"/>
  <c r="Y94" i="2"/>
  <c r="V98" i="2"/>
  <c r="J108" i="2"/>
  <c r="P236" i="2"/>
  <c r="E235" i="2"/>
  <c r="M238" i="2"/>
  <c r="L238" i="2"/>
  <c r="E238" i="2"/>
  <c r="S234" i="2"/>
  <c r="B235" i="2"/>
  <c r="H236" i="2"/>
  <c r="T232" i="2"/>
  <c r="H235" i="2"/>
  <c r="N238" i="2"/>
  <c r="W228" i="2"/>
  <c r="AC236" i="2"/>
  <c r="C238" i="2"/>
  <c r="D238" i="2"/>
  <c r="D235" i="2"/>
  <c r="U232" i="2"/>
  <c r="A239" i="2"/>
  <c r="F238" i="2"/>
  <c r="A238" i="2"/>
  <c r="X228" i="2"/>
  <c r="Z226" i="2"/>
  <c r="B238" i="2"/>
  <c r="B103" i="2"/>
  <c r="H104" i="2"/>
  <c r="Z94" i="2"/>
  <c r="U100" i="2"/>
  <c r="W96" i="2"/>
  <c r="AC104" i="2"/>
  <c r="F106" i="2"/>
  <c r="C106" i="2"/>
  <c r="E103" i="2"/>
  <c r="N106" i="2"/>
  <c r="P104" i="2"/>
  <c r="A106" i="2"/>
  <c r="A107" i="2"/>
  <c r="M106" i="2"/>
  <c r="E106" i="2"/>
  <c r="D103" i="2"/>
  <c r="L106" i="2"/>
  <c r="T100" i="2"/>
  <c r="H103" i="2"/>
  <c r="S102" i="2"/>
  <c r="D106" i="2"/>
  <c r="X96" i="2"/>
  <c r="R238" i="2" l="1"/>
  <c r="AA226" i="2"/>
  <c r="C227" i="2" s="1"/>
  <c r="Y228" i="2"/>
  <c r="G238" i="2"/>
  <c r="K238" i="2"/>
  <c r="I236" i="2"/>
  <c r="V232" i="2"/>
  <c r="J242" i="2"/>
  <c r="G106" i="2"/>
  <c r="Y96" i="2"/>
  <c r="V100" i="2"/>
  <c r="K106" i="2"/>
  <c r="I104" i="2"/>
  <c r="R106" i="2"/>
  <c r="AA94" i="2"/>
  <c r="C95" i="2" s="1"/>
  <c r="J110" i="2"/>
  <c r="AC238" i="2"/>
  <c r="E237" i="2"/>
  <c r="H238" i="2"/>
  <c r="D237" i="2"/>
  <c r="A241" i="2"/>
  <c r="F240" i="2"/>
  <c r="A240" i="2"/>
  <c r="T234" i="2"/>
  <c r="Z228" i="2"/>
  <c r="X230" i="2"/>
  <c r="H237" i="2"/>
  <c r="B237" i="2"/>
  <c r="C240" i="2"/>
  <c r="B240" i="2"/>
  <c r="L240" i="2"/>
  <c r="S236" i="2"/>
  <c r="W230" i="2"/>
  <c r="D240" i="2"/>
  <c r="P238" i="2"/>
  <c r="U234" i="2"/>
  <c r="M240" i="2"/>
  <c r="N240" i="2"/>
  <c r="E240" i="2"/>
  <c r="B105" i="2"/>
  <c r="H106" i="2"/>
  <c r="U102" i="2"/>
  <c r="X98" i="2"/>
  <c r="H105" i="2"/>
  <c r="S104" i="2"/>
  <c r="AC106" i="2"/>
  <c r="D108" i="2"/>
  <c r="F108" i="2"/>
  <c r="A108" i="2"/>
  <c r="A109" i="2"/>
  <c r="P106" i="2"/>
  <c r="N108" i="2"/>
  <c r="C108" i="2"/>
  <c r="E105" i="2"/>
  <c r="Z96" i="2"/>
  <c r="L108" i="2"/>
  <c r="M108" i="2"/>
  <c r="W98" i="2"/>
  <c r="T102" i="2"/>
  <c r="D105" i="2"/>
  <c r="E108" i="2"/>
  <c r="V234" i="2" l="1"/>
  <c r="R240" i="2"/>
  <c r="Y230" i="2"/>
  <c r="AA228" i="2"/>
  <c r="C229" i="2" s="1"/>
  <c r="G240" i="2"/>
  <c r="K240" i="2"/>
  <c r="I238" i="2"/>
  <c r="J244" i="2"/>
  <c r="G108" i="2"/>
  <c r="V102" i="2"/>
  <c r="I106" i="2"/>
  <c r="K108" i="2"/>
  <c r="AA96" i="2"/>
  <c r="C97" i="2" s="1"/>
  <c r="R108" i="2"/>
  <c r="Y98" i="2"/>
  <c r="J112" i="2"/>
  <c r="P240" i="2"/>
  <c r="B239" i="2"/>
  <c r="AC240" i="2"/>
  <c r="E239" i="2"/>
  <c r="C242" i="2"/>
  <c r="B242" i="2"/>
  <c r="D242" i="2"/>
  <c r="M242" i="2"/>
  <c r="L242" i="2"/>
  <c r="D239" i="2"/>
  <c r="F242" i="2"/>
  <c r="H240" i="2"/>
  <c r="H239" i="2"/>
  <c r="U236" i="2"/>
  <c r="A243" i="2"/>
  <c r="A242" i="2"/>
  <c r="T236" i="2"/>
  <c r="Z230" i="2"/>
  <c r="W232" i="2"/>
  <c r="S238" i="2"/>
  <c r="N242" i="2"/>
  <c r="E242" i="2"/>
  <c r="X232" i="2"/>
  <c r="B107" i="2"/>
  <c r="H108" i="2"/>
  <c r="C110" i="2"/>
  <c r="D107" i="2"/>
  <c r="W100" i="2"/>
  <c r="P108" i="2"/>
  <c r="AC108" i="2"/>
  <c r="N110" i="2"/>
  <c r="X100" i="2"/>
  <c r="F110" i="2"/>
  <c r="S106" i="2"/>
  <c r="E110" i="2"/>
  <c r="E107" i="2"/>
  <c r="U104" i="2"/>
  <c r="A110" i="2"/>
  <c r="D110" i="2"/>
  <c r="H107" i="2"/>
  <c r="M110" i="2"/>
  <c r="A111" i="2"/>
  <c r="T104" i="2"/>
  <c r="Z98" i="2"/>
  <c r="L110" i="2"/>
  <c r="Y232" i="2" l="1"/>
  <c r="AA230" i="2"/>
  <c r="C231" i="2" s="1"/>
  <c r="K242" i="2"/>
  <c r="I240" i="2"/>
  <c r="V236" i="2"/>
  <c r="G242" i="2"/>
  <c r="R242" i="2"/>
  <c r="J246" i="2"/>
  <c r="R110" i="2"/>
  <c r="G110" i="2"/>
  <c r="AA98" i="2"/>
  <c r="C99" i="2" s="1"/>
  <c r="V104" i="2"/>
  <c r="Y100" i="2"/>
  <c r="K110" i="2"/>
  <c r="I108" i="2"/>
  <c r="J114" i="2"/>
  <c r="Z232" i="2"/>
  <c r="U238" i="2"/>
  <c r="AC242" i="2"/>
  <c r="D241" i="2"/>
  <c r="A245" i="2"/>
  <c r="F244" i="2"/>
  <c r="A244" i="2"/>
  <c r="L244" i="2"/>
  <c r="H241" i="2"/>
  <c r="N244" i="2"/>
  <c r="P242" i="2"/>
  <c r="B241" i="2"/>
  <c r="C244" i="2"/>
  <c r="B244" i="2"/>
  <c r="S240" i="2"/>
  <c r="E244" i="2"/>
  <c r="H242" i="2"/>
  <c r="E241" i="2"/>
  <c r="W234" i="2"/>
  <c r="M244" i="2"/>
  <c r="D244" i="2"/>
  <c r="T238" i="2"/>
  <c r="X234" i="2"/>
  <c r="B109" i="2"/>
  <c r="H110" i="2"/>
  <c r="N112" i="2"/>
  <c r="E112" i="2"/>
  <c r="C112" i="2"/>
  <c r="F112" i="2"/>
  <c r="A113" i="2"/>
  <c r="U106" i="2"/>
  <c r="W102" i="2"/>
  <c r="E109" i="2"/>
  <c r="X102" i="2"/>
  <c r="H109" i="2"/>
  <c r="L112" i="2"/>
  <c r="D109" i="2"/>
  <c r="S108" i="2"/>
  <c r="M112" i="2"/>
  <c r="AC110" i="2"/>
  <c r="A112" i="2"/>
  <c r="P110" i="2"/>
  <c r="Z100" i="2"/>
  <c r="D112" i="2"/>
  <c r="T106" i="2"/>
  <c r="Y234" i="2" l="1"/>
  <c r="R244" i="2"/>
  <c r="G244" i="2"/>
  <c r="K244" i="2"/>
  <c r="I242" i="2"/>
  <c r="V238" i="2"/>
  <c r="AA232" i="2"/>
  <c r="C233" i="2" s="1"/>
  <c r="J248" i="2"/>
  <c r="I110" i="2"/>
  <c r="K112" i="2"/>
  <c r="R112" i="2"/>
  <c r="AA100" i="2"/>
  <c r="C101" i="2" s="1"/>
  <c r="G112" i="2"/>
  <c r="Y102" i="2"/>
  <c r="V106" i="2"/>
  <c r="J116" i="2"/>
  <c r="Z234" i="2"/>
  <c r="U240" i="2"/>
  <c r="B243" i="2"/>
  <c r="M246" i="2"/>
  <c r="D246" i="2"/>
  <c r="N246" i="2"/>
  <c r="E246" i="2"/>
  <c r="S242" i="2"/>
  <c r="AC244" i="2"/>
  <c r="P244" i="2"/>
  <c r="W236" i="2"/>
  <c r="H243" i="2"/>
  <c r="C246" i="2"/>
  <c r="H244" i="2"/>
  <c r="E243" i="2"/>
  <c r="A247" i="2"/>
  <c r="F246" i="2"/>
  <c r="A246" i="2"/>
  <c r="X236" i="2"/>
  <c r="T240" i="2"/>
  <c r="D243" i="2"/>
  <c r="B246" i="2"/>
  <c r="L246" i="2"/>
  <c r="B111" i="2"/>
  <c r="H112" i="2"/>
  <c r="T108" i="2"/>
  <c r="C114" i="2"/>
  <c r="H111" i="2"/>
  <c r="S110" i="2"/>
  <c r="P112" i="2"/>
  <c r="N114" i="2"/>
  <c r="L114" i="2"/>
  <c r="W104" i="2"/>
  <c r="A114" i="2"/>
  <c r="A115" i="2"/>
  <c r="D111" i="2"/>
  <c r="F114" i="2"/>
  <c r="Z102" i="2"/>
  <c r="M114" i="2"/>
  <c r="AC112" i="2"/>
  <c r="E111" i="2"/>
  <c r="U108" i="2"/>
  <c r="E114" i="2"/>
  <c r="D114" i="2"/>
  <c r="X104" i="2"/>
  <c r="R246" i="2" l="1"/>
  <c r="Y236" i="2"/>
  <c r="G246" i="2"/>
  <c r="K246" i="2"/>
  <c r="I244" i="2"/>
  <c r="V240" i="2"/>
  <c r="AA234" i="2"/>
  <c r="C235" i="2" s="1"/>
  <c r="J250" i="2"/>
  <c r="G114" i="2"/>
  <c r="R114" i="2"/>
  <c r="V108" i="2"/>
  <c r="AA102" i="2"/>
  <c r="C103" i="2" s="1"/>
  <c r="I112" i="2"/>
  <c r="K114" i="2"/>
  <c r="Y104" i="2"/>
  <c r="J118" i="2"/>
  <c r="AC246" i="2"/>
  <c r="D245" i="2"/>
  <c r="T242" i="2"/>
  <c r="S244" i="2"/>
  <c r="N248" i="2"/>
  <c r="E248" i="2"/>
  <c r="W238" i="2"/>
  <c r="U242" i="2"/>
  <c r="A249" i="2"/>
  <c r="F248" i="2"/>
  <c r="X238" i="2"/>
  <c r="E245" i="2"/>
  <c r="P246" i="2"/>
  <c r="C248" i="2"/>
  <c r="D248" i="2"/>
  <c r="Z236" i="2"/>
  <c r="H245" i="2"/>
  <c r="H246" i="2"/>
  <c r="M248" i="2"/>
  <c r="L248" i="2"/>
  <c r="B245" i="2"/>
  <c r="A248" i="2"/>
  <c r="B248" i="2"/>
  <c r="B113" i="2"/>
  <c r="H114" i="2"/>
  <c r="P114" i="2"/>
  <c r="X106" i="2"/>
  <c r="S112" i="2"/>
  <c r="D113" i="2"/>
  <c r="F116" i="2"/>
  <c r="A117" i="2"/>
  <c r="N116" i="2"/>
  <c r="W106" i="2"/>
  <c r="A116" i="2"/>
  <c r="AC114" i="2"/>
  <c r="M116" i="2"/>
  <c r="D116" i="2"/>
  <c r="C116" i="2"/>
  <c r="U110" i="2"/>
  <c r="H113" i="2"/>
  <c r="L116" i="2"/>
  <c r="T110" i="2"/>
  <c r="E116" i="2"/>
  <c r="E113" i="2"/>
  <c r="Z104" i="2"/>
  <c r="R248" i="2" l="1"/>
  <c r="AA236" i="2"/>
  <c r="C237" i="2" s="1"/>
  <c r="Y238" i="2"/>
  <c r="G248" i="2"/>
  <c r="K248" i="2"/>
  <c r="I246" i="2"/>
  <c r="V242" i="2"/>
  <c r="J252" i="2"/>
  <c r="G116" i="2"/>
  <c r="AA104" i="2"/>
  <c r="C105" i="2" s="1"/>
  <c r="Y106" i="2"/>
  <c r="I114" i="2"/>
  <c r="K116" i="2"/>
  <c r="R116" i="2"/>
  <c r="V110" i="2"/>
  <c r="J120" i="2"/>
  <c r="Z238" i="2"/>
  <c r="T244" i="2"/>
  <c r="H247" i="2"/>
  <c r="N250" i="2"/>
  <c r="E250" i="2"/>
  <c r="X240" i="2"/>
  <c r="U244" i="2"/>
  <c r="A251" i="2"/>
  <c r="A250" i="2"/>
  <c r="D247" i="2"/>
  <c r="P248" i="2"/>
  <c r="C250" i="2"/>
  <c r="B250" i="2"/>
  <c r="D250" i="2"/>
  <c r="S246" i="2"/>
  <c r="AC248" i="2"/>
  <c r="B247" i="2"/>
  <c r="H248" i="2"/>
  <c r="E247" i="2"/>
  <c r="M250" i="2"/>
  <c r="L250" i="2"/>
  <c r="W240" i="2"/>
  <c r="F250" i="2"/>
  <c r="B115" i="2"/>
  <c r="H116" i="2"/>
  <c r="P116" i="2"/>
  <c r="M118" i="2"/>
  <c r="D115" i="2"/>
  <c r="F118" i="2"/>
  <c r="AC116" i="2"/>
  <c r="U112" i="2"/>
  <c r="T112" i="2"/>
  <c r="L118" i="2"/>
  <c r="W108" i="2"/>
  <c r="C118" i="2"/>
  <c r="D118" i="2"/>
  <c r="S114" i="2"/>
  <c r="H115" i="2"/>
  <c r="A119" i="2"/>
  <c r="E115" i="2"/>
  <c r="N118" i="2"/>
  <c r="A118" i="2"/>
  <c r="X108" i="2"/>
  <c r="E118" i="2"/>
  <c r="Z106" i="2"/>
  <c r="G250" i="2" l="1"/>
  <c r="R250" i="2"/>
  <c r="K250" i="2"/>
  <c r="I248" i="2"/>
  <c r="V244" i="2"/>
  <c r="Y240" i="2"/>
  <c r="H250" i="2"/>
  <c r="AA238" i="2"/>
  <c r="C239" i="2" s="1"/>
  <c r="J254" i="2"/>
  <c r="K118" i="2"/>
  <c r="I116" i="2"/>
  <c r="R118" i="2"/>
  <c r="Y108" i="2"/>
  <c r="G118" i="2"/>
  <c r="V112" i="2"/>
  <c r="AA106" i="2"/>
  <c r="C107" i="2" s="1"/>
  <c r="J122" i="2"/>
  <c r="T246" i="2"/>
  <c r="U246" i="2"/>
  <c r="B249" i="2"/>
  <c r="Z240" i="2"/>
  <c r="N252" i="2"/>
  <c r="E252" i="2"/>
  <c r="W242" i="2"/>
  <c r="S248" i="2"/>
  <c r="B252" i="2"/>
  <c r="L252" i="2"/>
  <c r="D249" i="2"/>
  <c r="D252" i="2"/>
  <c r="E249" i="2"/>
  <c r="AC250" i="2"/>
  <c r="P250" i="2"/>
  <c r="A253" i="2"/>
  <c r="F252" i="2"/>
  <c r="A252" i="2"/>
  <c r="X242" i="2"/>
  <c r="H249" i="2"/>
  <c r="C252" i="2"/>
  <c r="M252" i="2"/>
  <c r="B117" i="2"/>
  <c r="H118" i="2"/>
  <c r="Z108" i="2"/>
  <c r="D117" i="2"/>
  <c r="E117" i="2"/>
  <c r="T114" i="2"/>
  <c r="A120" i="2"/>
  <c r="L120" i="2"/>
  <c r="P118" i="2"/>
  <c r="C120" i="2"/>
  <c r="U114" i="2"/>
  <c r="A121" i="2"/>
  <c r="H117" i="2"/>
  <c r="W110" i="2"/>
  <c r="E120" i="2"/>
  <c r="N120" i="2"/>
  <c r="S116" i="2"/>
  <c r="F120" i="2"/>
  <c r="X110" i="2"/>
  <c r="D120" i="2"/>
  <c r="M120" i="2"/>
  <c r="AC118" i="2"/>
  <c r="Y242" i="2" l="1"/>
  <c r="G252" i="2"/>
  <c r="K252" i="2"/>
  <c r="I250" i="2"/>
  <c r="B251" i="2"/>
  <c r="R252" i="2"/>
  <c r="AA240" i="2"/>
  <c r="C241" i="2" s="1"/>
  <c r="V246" i="2"/>
  <c r="J256" i="2"/>
  <c r="I118" i="2"/>
  <c r="K120" i="2"/>
  <c r="R120" i="2"/>
  <c r="V114" i="2"/>
  <c r="Y110" i="2"/>
  <c r="G120" i="2"/>
  <c r="AA108" i="2"/>
  <c r="C109" i="2" s="1"/>
  <c r="J124" i="2"/>
  <c r="Z242" i="2"/>
  <c r="D251" i="2"/>
  <c r="AC252" i="2"/>
  <c r="C254" i="2"/>
  <c r="B254" i="2"/>
  <c r="L254" i="2"/>
  <c r="A254" i="2"/>
  <c r="P252" i="2"/>
  <c r="M254" i="2"/>
  <c r="D254" i="2"/>
  <c r="E251" i="2"/>
  <c r="T248" i="2"/>
  <c r="H252" i="2"/>
  <c r="W244" i="2"/>
  <c r="S250" i="2"/>
  <c r="N254" i="2"/>
  <c r="E254" i="2"/>
  <c r="H251" i="2"/>
  <c r="U248" i="2"/>
  <c r="X244" i="2"/>
  <c r="A255" i="2"/>
  <c r="F254" i="2"/>
  <c r="B119" i="2"/>
  <c r="H120" i="2"/>
  <c r="A122" i="2"/>
  <c r="E119" i="2"/>
  <c r="L122" i="2"/>
  <c r="C122" i="2"/>
  <c r="F122" i="2"/>
  <c r="D119" i="2"/>
  <c r="T116" i="2"/>
  <c r="D122" i="2"/>
  <c r="P120" i="2"/>
  <c r="M122" i="2"/>
  <c r="E122" i="2"/>
  <c r="H119" i="2"/>
  <c r="N122" i="2"/>
  <c r="U116" i="2"/>
  <c r="A123" i="2"/>
  <c r="W112" i="2"/>
  <c r="X112" i="2"/>
  <c r="S118" i="2"/>
  <c r="AC120" i="2"/>
  <c r="Z110" i="2"/>
  <c r="G254" i="2" l="1"/>
  <c r="K254" i="2"/>
  <c r="I252" i="2"/>
  <c r="Y244" i="2"/>
  <c r="V248" i="2"/>
  <c r="R254" i="2"/>
  <c r="AA242" i="2"/>
  <c r="C243" i="2" s="1"/>
  <c r="J258" i="2"/>
  <c r="Y112" i="2"/>
  <c r="I120" i="2"/>
  <c r="K122" i="2"/>
  <c r="G122" i="2"/>
  <c r="V116" i="2"/>
  <c r="R122" i="2"/>
  <c r="AA110" i="2"/>
  <c r="C111" i="2" s="1"/>
  <c r="J126" i="2"/>
  <c r="U250" i="2"/>
  <c r="B253" i="2"/>
  <c r="H253" i="2"/>
  <c r="M256" i="2"/>
  <c r="L256" i="2"/>
  <c r="W246" i="2"/>
  <c r="P254" i="2"/>
  <c r="AC254" i="2"/>
  <c r="N256" i="2"/>
  <c r="E256" i="2"/>
  <c r="X246" i="2"/>
  <c r="H254" i="2"/>
  <c r="A257" i="2"/>
  <c r="F256" i="2"/>
  <c r="A256" i="2"/>
  <c r="Z244" i="2"/>
  <c r="T250" i="2"/>
  <c r="D253" i="2"/>
  <c r="E253" i="2"/>
  <c r="C256" i="2"/>
  <c r="B256" i="2"/>
  <c r="D256" i="2"/>
  <c r="S252" i="2"/>
  <c r="B121" i="2"/>
  <c r="H122" i="2"/>
  <c r="D121" i="2"/>
  <c r="A124" i="2"/>
  <c r="C124" i="2"/>
  <c r="P122" i="2"/>
  <c r="M124" i="2"/>
  <c r="E121" i="2"/>
  <c r="S120" i="2"/>
  <c r="L124" i="2"/>
  <c r="X114" i="2"/>
  <c r="N124" i="2"/>
  <c r="D124" i="2"/>
  <c r="AC122" i="2"/>
  <c r="H121" i="2"/>
  <c r="W114" i="2"/>
  <c r="E124" i="2"/>
  <c r="Z112" i="2"/>
  <c r="F124" i="2"/>
  <c r="A125" i="2"/>
  <c r="T118" i="2"/>
  <c r="U118" i="2"/>
  <c r="R256" i="2" l="1"/>
  <c r="AA244" i="2"/>
  <c r="C245" i="2" s="1"/>
  <c r="G256" i="2"/>
  <c r="K256" i="2"/>
  <c r="I254" i="2"/>
  <c r="Y246" i="2"/>
  <c r="V250" i="2"/>
  <c r="J260" i="2"/>
  <c r="V118" i="2"/>
  <c r="R124" i="2"/>
  <c r="Y114" i="2"/>
  <c r="I122" i="2"/>
  <c r="K124" i="2"/>
  <c r="G124" i="2"/>
  <c r="AA112" i="2"/>
  <c r="C113" i="2" s="1"/>
  <c r="J128" i="2"/>
  <c r="T252" i="2"/>
  <c r="E255" i="2"/>
  <c r="S254" i="2"/>
  <c r="N258" i="2"/>
  <c r="E258" i="2"/>
  <c r="W248" i="2"/>
  <c r="H255" i="2"/>
  <c r="F258" i="2"/>
  <c r="A258" i="2"/>
  <c r="U252" i="2"/>
  <c r="Z246" i="2"/>
  <c r="A259" i="2"/>
  <c r="X248" i="2"/>
  <c r="AC256" i="2"/>
  <c r="P256" i="2"/>
  <c r="D255" i="2"/>
  <c r="B258" i="2"/>
  <c r="L258" i="2"/>
  <c r="H256" i="2"/>
  <c r="B255" i="2"/>
  <c r="C258" i="2"/>
  <c r="M258" i="2"/>
  <c r="D258" i="2"/>
  <c r="B123" i="2"/>
  <c r="H124" i="2"/>
  <c r="P124" i="2"/>
  <c r="W116" i="2"/>
  <c r="N126" i="2"/>
  <c r="H123" i="2"/>
  <c r="E126" i="2"/>
  <c r="S122" i="2"/>
  <c r="AC124" i="2"/>
  <c r="A127" i="2"/>
  <c r="D123" i="2"/>
  <c r="Z114" i="2"/>
  <c r="D126" i="2"/>
  <c r="A126" i="2"/>
  <c r="T120" i="2"/>
  <c r="C126" i="2"/>
  <c r="M126" i="2"/>
  <c r="E123" i="2"/>
  <c r="X116" i="2"/>
  <c r="F126" i="2"/>
  <c r="U120" i="2"/>
  <c r="L126" i="2"/>
  <c r="R258" i="2" l="1"/>
  <c r="Y248" i="2"/>
  <c r="K258" i="2"/>
  <c r="I256" i="2"/>
  <c r="AA246" i="2"/>
  <c r="C247" i="2" s="1"/>
  <c r="V252" i="2"/>
  <c r="G258" i="2"/>
  <c r="J262" i="2"/>
  <c r="Y116" i="2"/>
  <c r="AA114" i="2"/>
  <c r="C115" i="2" s="1"/>
  <c r="R126" i="2"/>
  <c r="V120" i="2"/>
  <c r="I124" i="2"/>
  <c r="K126" i="2"/>
  <c r="G126" i="2"/>
  <c r="J130" i="2"/>
  <c r="H257" i="2"/>
  <c r="P258" i="2"/>
  <c r="A261" i="2"/>
  <c r="F260" i="2"/>
  <c r="E260" i="2"/>
  <c r="X250" i="2"/>
  <c r="D257" i="2"/>
  <c r="Z248" i="2"/>
  <c r="H258" i="2"/>
  <c r="C260" i="2"/>
  <c r="B260" i="2"/>
  <c r="D260" i="2"/>
  <c r="B257" i="2"/>
  <c r="T254" i="2"/>
  <c r="A260" i="2"/>
  <c r="L260" i="2"/>
  <c r="AC258" i="2"/>
  <c r="E257" i="2"/>
  <c r="U254" i="2"/>
  <c r="S256" i="2"/>
  <c r="N260" i="2"/>
  <c r="M260" i="2"/>
  <c r="W250" i="2"/>
  <c r="B125" i="2"/>
  <c r="H126" i="2"/>
  <c r="Z116" i="2"/>
  <c r="U122" i="2"/>
  <c r="AC126" i="2"/>
  <c r="X118" i="2"/>
  <c r="C128" i="2"/>
  <c r="M128" i="2"/>
  <c r="D128" i="2"/>
  <c r="A128" i="2"/>
  <c r="D125" i="2"/>
  <c r="E125" i="2"/>
  <c r="N128" i="2"/>
  <c r="L128" i="2"/>
  <c r="H125" i="2"/>
  <c r="W118" i="2"/>
  <c r="F128" i="2"/>
  <c r="T122" i="2"/>
  <c r="S124" i="2"/>
  <c r="P126" i="2"/>
  <c r="A129" i="2"/>
  <c r="E128" i="2"/>
  <c r="V254" i="2" l="1"/>
  <c r="R260" i="2"/>
  <c r="AA248" i="2"/>
  <c r="C249" i="2" s="1"/>
  <c r="Y250" i="2"/>
  <c r="G260" i="2"/>
  <c r="K260" i="2"/>
  <c r="I258" i="2"/>
  <c r="J264" i="2"/>
  <c r="R128" i="2"/>
  <c r="G128" i="2"/>
  <c r="I126" i="2"/>
  <c r="K128" i="2"/>
  <c r="Y118" i="2"/>
  <c r="V122" i="2"/>
  <c r="AA116" i="2"/>
  <c r="C117" i="2" s="1"/>
  <c r="J132" i="2"/>
  <c r="U256" i="2"/>
  <c r="Z250" i="2"/>
  <c r="B259" i="2"/>
  <c r="A262" i="2"/>
  <c r="L262" i="2"/>
  <c r="S258" i="2"/>
  <c r="P260" i="2"/>
  <c r="AC260" i="2"/>
  <c r="D259" i="2"/>
  <c r="N262" i="2"/>
  <c r="M262" i="2"/>
  <c r="W252" i="2"/>
  <c r="H260" i="2"/>
  <c r="E259" i="2"/>
  <c r="A263" i="2"/>
  <c r="F262" i="2"/>
  <c r="E262" i="2"/>
  <c r="X252" i="2"/>
  <c r="C262" i="2"/>
  <c r="B262" i="2"/>
  <c r="T256" i="2"/>
  <c r="H259" i="2"/>
  <c r="D262" i="2"/>
  <c r="B127" i="2"/>
  <c r="H128" i="2"/>
  <c r="D130" i="2"/>
  <c r="Z118" i="2"/>
  <c r="C130" i="2"/>
  <c r="E127" i="2"/>
  <c r="W120" i="2"/>
  <c r="M130" i="2"/>
  <c r="E130" i="2"/>
  <c r="N130" i="2"/>
  <c r="D127" i="2"/>
  <c r="L130" i="2"/>
  <c r="H127" i="2"/>
  <c r="AC128" i="2"/>
  <c r="S126" i="2"/>
  <c r="X120" i="2"/>
  <c r="P128" i="2"/>
  <c r="T124" i="2"/>
  <c r="F130" i="2"/>
  <c r="U124" i="2"/>
  <c r="A131" i="2"/>
  <c r="A130" i="2"/>
  <c r="R262" i="2" l="1"/>
  <c r="Y252" i="2"/>
  <c r="G262" i="2"/>
  <c r="K262" i="2"/>
  <c r="I260" i="2"/>
  <c r="AA250" i="2"/>
  <c r="C251" i="2" s="1"/>
  <c r="V256" i="2"/>
  <c r="J266" i="2"/>
  <c r="G130" i="2"/>
  <c r="I128" i="2"/>
  <c r="K130" i="2"/>
  <c r="Y120" i="2"/>
  <c r="R130" i="2"/>
  <c r="AA118" i="2"/>
  <c r="C119" i="2" s="1"/>
  <c r="V124" i="2"/>
  <c r="J134" i="2"/>
  <c r="AC262" i="2"/>
  <c r="H262" i="2"/>
  <c r="B261" i="2"/>
  <c r="W254" i="2"/>
  <c r="A264" i="2"/>
  <c r="L264" i="2"/>
  <c r="E261" i="2"/>
  <c r="T258" i="2"/>
  <c r="X254" i="2"/>
  <c r="N264" i="2"/>
  <c r="M264" i="2"/>
  <c r="D264" i="2"/>
  <c r="Z252" i="2"/>
  <c r="H261" i="2"/>
  <c r="U258" i="2"/>
  <c r="A265" i="2"/>
  <c r="F264" i="2"/>
  <c r="E264" i="2"/>
  <c r="P262" i="2"/>
  <c r="D261" i="2"/>
  <c r="S260" i="2"/>
  <c r="C264" i="2"/>
  <c r="B264" i="2"/>
  <c r="B129" i="2"/>
  <c r="H130" i="2"/>
  <c r="D132" i="2"/>
  <c r="C132" i="2"/>
  <c r="H129" i="2"/>
  <c r="L132" i="2"/>
  <c r="F132" i="2"/>
  <c r="W122" i="2"/>
  <c r="A132" i="2"/>
  <c r="P130" i="2"/>
  <c r="A133" i="2"/>
  <c r="U126" i="2"/>
  <c r="AC130" i="2"/>
  <c r="T126" i="2"/>
  <c r="N132" i="2"/>
  <c r="E129" i="2"/>
  <c r="M132" i="2"/>
  <c r="S128" i="2"/>
  <c r="D129" i="2"/>
  <c r="Z120" i="2"/>
  <c r="E132" i="2"/>
  <c r="X122" i="2"/>
  <c r="R264" i="2" l="1"/>
  <c r="G264" i="2"/>
  <c r="K264" i="2"/>
  <c r="I262" i="2"/>
  <c r="V258" i="2"/>
  <c r="AA252" i="2"/>
  <c r="C253" i="2" s="1"/>
  <c r="Y254" i="2"/>
  <c r="J268" i="2"/>
  <c r="G132" i="2"/>
  <c r="Y122" i="2"/>
  <c r="V126" i="2"/>
  <c r="AA120" i="2"/>
  <c r="C121" i="2" s="1"/>
  <c r="K132" i="2"/>
  <c r="I130" i="2"/>
  <c r="R132" i="2"/>
  <c r="J136" i="2"/>
  <c r="AC264" i="2"/>
  <c r="D263" i="2"/>
  <c r="H264" i="2"/>
  <c r="E263" i="2"/>
  <c r="S262" i="2"/>
  <c r="W256" i="2"/>
  <c r="B263" i="2"/>
  <c r="Z254" i="2"/>
  <c r="H263" i="2"/>
  <c r="A267" i="2"/>
  <c r="F266" i="2"/>
  <c r="E266" i="2"/>
  <c r="X256" i="2"/>
  <c r="D266" i="2"/>
  <c r="T260" i="2"/>
  <c r="C266" i="2"/>
  <c r="B266" i="2"/>
  <c r="U260" i="2"/>
  <c r="P264" i="2"/>
  <c r="A266" i="2"/>
  <c r="L266" i="2"/>
  <c r="N266" i="2"/>
  <c r="M266" i="2"/>
  <c r="B131" i="2"/>
  <c r="H132" i="2"/>
  <c r="P132" i="2"/>
  <c r="A134" i="2"/>
  <c r="X124" i="2"/>
  <c r="S130" i="2"/>
  <c r="N134" i="2"/>
  <c r="D131" i="2"/>
  <c r="C134" i="2"/>
  <c r="H131" i="2"/>
  <c r="Z122" i="2"/>
  <c r="M134" i="2"/>
  <c r="E134" i="2"/>
  <c r="T128" i="2"/>
  <c r="E131" i="2"/>
  <c r="AC132" i="2"/>
  <c r="L134" i="2"/>
  <c r="D134" i="2"/>
  <c r="U128" i="2"/>
  <c r="F134" i="2"/>
  <c r="A135" i="2"/>
  <c r="W124" i="2"/>
  <c r="V260" i="2" l="1"/>
  <c r="R266" i="2"/>
  <c r="Y256" i="2"/>
  <c r="G266" i="2"/>
  <c r="K266" i="2"/>
  <c r="I264" i="2"/>
  <c r="AA254" i="2"/>
  <c r="C255" i="2" s="1"/>
  <c r="J270" i="2"/>
  <c r="AA122" i="2"/>
  <c r="C123" i="2" s="1"/>
  <c r="Y124" i="2"/>
  <c r="I132" i="2"/>
  <c r="K134" i="2"/>
  <c r="R134" i="2"/>
  <c r="G134" i="2"/>
  <c r="V128" i="2"/>
  <c r="J138" i="2"/>
  <c r="H266" i="2"/>
  <c r="AC266" i="2"/>
  <c r="H265" i="2"/>
  <c r="N268" i="2"/>
  <c r="M268" i="2"/>
  <c r="W258" i="2"/>
  <c r="S264" i="2"/>
  <c r="D265" i="2"/>
  <c r="T262" i="2"/>
  <c r="A269" i="2"/>
  <c r="F268" i="2"/>
  <c r="E268" i="2"/>
  <c r="X258" i="2"/>
  <c r="B265" i="2"/>
  <c r="U262" i="2"/>
  <c r="C268" i="2"/>
  <c r="B268" i="2"/>
  <c r="D268" i="2"/>
  <c r="P266" i="2"/>
  <c r="Z256" i="2"/>
  <c r="E265" i="2"/>
  <c r="A268" i="2"/>
  <c r="L268" i="2"/>
  <c r="B133" i="2"/>
  <c r="H134" i="2"/>
  <c r="T130" i="2"/>
  <c r="M136" i="2"/>
  <c r="E136" i="2"/>
  <c r="A136" i="2"/>
  <c r="A137" i="2"/>
  <c r="E133" i="2"/>
  <c r="P134" i="2"/>
  <c r="Z124" i="2"/>
  <c r="F136" i="2"/>
  <c r="C136" i="2"/>
  <c r="S132" i="2"/>
  <c r="W126" i="2"/>
  <c r="L136" i="2"/>
  <c r="D133" i="2"/>
  <c r="U130" i="2"/>
  <c r="AC134" i="2"/>
  <c r="H133" i="2"/>
  <c r="D136" i="2"/>
  <c r="N136" i="2"/>
  <c r="X126" i="2"/>
  <c r="AA256" i="2" l="1"/>
  <c r="C257" i="2" s="1"/>
  <c r="R268" i="2"/>
  <c r="V262" i="2"/>
  <c r="Y258" i="2"/>
  <c r="G268" i="2"/>
  <c r="K268" i="2"/>
  <c r="I266" i="2"/>
  <c r="J272" i="2"/>
  <c r="I134" i="2"/>
  <c r="K136" i="2"/>
  <c r="Y126" i="2"/>
  <c r="G136" i="2"/>
  <c r="AA124" i="2"/>
  <c r="C125" i="2" s="1"/>
  <c r="V130" i="2"/>
  <c r="R136" i="2"/>
  <c r="J140" i="2"/>
  <c r="B267" i="2"/>
  <c r="Z258" i="2"/>
  <c r="P268" i="2"/>
  <c r="A271" i="2"/>
  <c r="F270" i="2"/>
  <c r="E270" i="2"/>
  <c r="X260" i="2"/>
  <c r="E267" i="2"/>
  <c r="A270" i="2"/>
  <c r="N270" i="2"/>
  <c r="W260" i="2"/>
  <c r="AC268" i="2"/>
  <c r="T264" i="2"/>
  <c r="H268" i="2"/>
  <c r="C270" i="2"/>
  <c r="B270" i="2"/>
  <c r="D270" i="2"/>
  <c r="U264" i="2"/>
  <c r="L270" i="2"/>
  <c r="D267" i="2"/>
  <c r="H267" i="2"/>
  <c r="M270" i="2"/>
  <c r="S266" i="2"/>
  <c r="B135" i="2"/>
  <c r="H136" i="2"/>
  <c r="A138" i="2"/>
  <c r="U132" i="2"/>
  <c r="H135" i="2"/>
  <c r="F138" i="2"/>
  <c r="AC136" i="2"/>
  <c r="S134" i="2"/>
  <c r="C138" i="2"/>
  <c r="N138" i="2"/>
  <c r="W128" i="2"/>
  <c r="M138" i="2"/>
  <c r="E135" i="2"/>
  <c r="L138" i="2"/>
  <c r="P136" i="2"/>
  <c r="E138" i="2"/>
  <c r="X128" i="2"/>
  <c r="Z126" i="2"/>
  <c r="T132" i="2"/>
  <c r="D135" i="2"/>
  <c r="D138" i="2"/>
  <c r="A139" i="2"/>
  <c r="V264" i="2" l="1"/>
  <c r="R270" i="2"/>
  <c r="Y260" i="2"/>
  <c r="G270" i="2"/>
  <c r="K270" i="2"/>
  <c r="I268" i="2"/>
  <c r="AA258" i="2"/>
  <c r="C259" i="2" s="1"/>
  <c r="J274" i="2"/>
  <c r="Y128" i="2"/>
  <c r="I136" i="2"/>
  <c r="K138" i="2"/>
  <c r="R138" i="2"/>
  <c r="AA126" i="2"/>
  <c r="C127" i="2" s="1"/>
  <c r="G138" i="2"/>
  <c r="V132" i="2"/>
  <c r="J142" i="2"/>
  <c r="U266" i="2"/>
  <c r="P270" i="2"/>
  <c r="A272" i="2"/>
  <c r="L272" i="2"/>
  <c r="E269" i="2"/>
  <c r="H270" i="2"/>
  <c r="W262" i="2"/>
  <c r="S268" i="2"/>
  <c r="N272" i="2"/>
  <c r="M272" i="2"/>
  <c r="AC270" i="2"/>
  <c r="H269" i="2"/>
  <c r="Z260" i="2"/>
  <c r="D269" i="2"/>
  <c r="X262" i="2"/>
  <c r="A273" i="2"/>
  <c r="F272" i="2"/>
  <c r="E272" i="2"/>
  <c r="T266" i="2"/>
  <c r="B269" i="2"/>
  <c r="C272" i="2"/>
  <c r="B272" i="2"/>
  <c r="D272" i="2"/>
  <c r="B137" i="2"/>
  <c r="H138" i="2"/>
  <c r="U134" i="2"/>
  <c r="H137" i="2"/>
  <c r="W130" i="2"/>
  <c r="M140" i="2"/>
  <c r="D137" i="2"/>
  <c r="P138" i="2"/>
  <c r="S136" i="2"/>
  <c r="T134" i="2"/>
  <c r="N140" i="2"/>
  <c r="E137" i="2"/>
  <c r="X130" i="2"/>
  <c r="F140" i="2"/>
  <c r="AC138" i="2"/>
  <c r="E140" i="2"/>
  <c r="A141" i="2"/>
  <c r="C140" i="2"/>
  <c r="D140" i="2"/>
  <c r="A140" i="2"/>
  <c r="L140" i="2"/>
  <c r="Z128" i="2"/>
  <c r="R272" i="2" l="1"/>
  <c r="G272" i="2"/>
  <c r="K272" i="2"/>
  <c r="I270" i="2"/>
  <c r="Y262" i="2"/>
  <c r="AA260" i="2"/>
  <c r="C261" i="2" s="1"/>
  <c r="V266" i="2"/>
  <c r="J276" i="2"/>
  <c r="AA128" i="2"/>
  <c r="C129" i="2" s="1"/>
  <c r="Y130" i="2"/>
  <c r="K140" i="2"/>
  <c r="I138" i="2"/>
  <c r="R140" i="2"/>
  <c r="G140" i="2"/>
  <c r="V134" i="2"/>
  <c r="AC272" i="2"/>
  <c r="E271" i="2"/>
  <c r="T268" i="2"/>
  <c r="B271" i="2"/>
  <c r="S270" i="2"/>
  <c r="C274" i="2"/>
  <c r="B274" i="2"/>
  <c r="D274" i="2"/>
  <c r="W264" i="2"/>
  <c r="A274" i="2"/>
  <c r="H271" i="2"/>
  <c r="U268" i="2"/>
  <c r="L274" i="2"/>
  <c r="Z262" i="2"/>
  <c r="P272" i="2"/>
  <c r="X264" i="2"/>
  <c r="N274" i="2"/>
  <c r="M274" i="2"/>
  <c r="H272" i="2"/>
  <c r="D271" i="2"/>
  <c r="A275" i="2"/>
  <c r="F274" i="2"/>
  <c r="E274" i="2"/>
  <c r="B139" i="2"/>
  <c r="H140" i="2"/>
  <c r="A142" i="2"/>
  <c r="AC140" i="2"/>
  <c r="E139" i="2"/>
  <c r="N142" i="2"/>
  <c r="E142" i="2"/>
  <c r="L142" i="2"/>
  <c r="U136" i="2"/>
  <c r="S138" i="2"/>
  <c r="M142" i="2"/>
  <c r="F142" i="2"/>
  <c r="A143" i="2"/>
  <c r="D139" i="2"/>
  <c r="X132" i="2"/>
  <c r="D142" i="2"/>
  <c r="P140" i="2"/>
  <c r="C142" i="2"/>
  <c r="T136" i="2"/>
  <c r="H139" i="2"/>
  <c r="W132" i="2"/>
  <c r="Z130" i="2"/>
  <c r="G274" i="2" l="1"/>
  <c r="K274" i="2"/>
  <c r="I272" i="2"/>
  <c r="Y264" i="2"/>
  <c r="AA262" i="2"/>
  <c r="C263" i="2" s="1"/>
  <c r="V268" i="2"/>
  <c r="R274" i="2"/>
  <c r="J278" i="2"/>
  <c r="V136" i="2"/>
  <c r="Y132" i="2"/>
  <c r="I140" i="2"/>
  <c r="K142" i="2"/>
  <c r="R142" i="2"/>
  <c r="AA130" i="2"/>
  <c r="C131" i="2" s="1"/>
  <c r="G142" i="2"/>
  <c r="Z264" i="2"/>
  <c r="T270" i="2"/>
  <c r="H273" i="2"/>
  <c r="A277" i="2"/>
  <c r="F276" i="2"/>
  <c r="E276" i="2"/>
  <c r="X266" i="2"/>
  <c r="D273" i="2"/>
  <c r="U270" i="2"/>
  <c r="C276" i="2"/>
  <c r="B276" i="2"/>
  <c r="D276" i="2"/>
  <c r="N276" i="2"/>
  <c r="M276" i="2"/>
  <c r="P274" i="2"/>
  <c r="B273" i="2"/>
  <c r="AC274" i="2"/>
  <c r="A276" i="2"/>
  <c r="L276" i="2"/>
  <c r="H274" i="2"/>
  <c r="E273" i="2"/>
  <c r="S272" i="2"/>
  <c r="W266" i="2"/>
  <c r="B141" i="2"/>
  <c r="H142" i="2"/>
  <c r="X134" i="2"/>
  <c r="D141" i="2"/>
  <c r="W134" i="2"/>
  <c r="E141" i="2"/>
  <c r="H141" i="2"/>
  <c r="U138" i="2"/>
  <c r="AC142" i="2"/>
  <c r="P142" i="2"/>
  <c r="S140" i="2"/>
  <c r="T138" i="2"/>
  <c r="Z132" i="2"/>
  <c r="R276" i="2" l="1"/>
  <c r="V270" i="2"/>
  <c r="Y266" i="2"/>
  <c r="G276" i="2"/>
  <c r="K276" i="2"/>
  <c r="I274" i="2"/>
  <c r="AA264" i="2"/>
  <c r="C265" i="2" s="1"/>
  <c r="J280" i="2"/>
  <c r="V138" i="2"/>
  <c r="AA132" i="2"/>
  <c r="C133" i="2" s="1"/>
  <c r="I142" i="2"/>
  <c r="Y134" i="2"/>
  <c r="T272" i="2"/>
  <c r="D275" i="2"/>
  <c r="AC276" i="2"/>
  <c r="A279" i="2"/>
  <c r="F278" i="2"/>
  <c r="E278" i="2"/>
  <c r="X268" i="2"/>
  <c r="E275" i="2"/>
  <c r="P276" i="2"/>
  <c r="A278" i="2"/>
  <c r="L278" i="2"/>
  <c r="H275" i="2"/>
  <c r="H276" i="2"/>
  <c r="Z266" i="2"/>
  <c r="S274" i="2"/>
  <c r="N278" i="2"/>
  <c r="M278" i="2"/>
  <c r="W268" i="2"/>
  <c r="U272" i="2"/>
  <c r="B275" i="2"/>
  <c r="C278" i="2"/>
  <c r="B278" i="2"/>
  <c r="D278" i="2"/>
  <c r="B143" i="2"/>
  <c r="D143" i="2"/>
  <c r="U140" i="2"/>
  <c r="S142" i="2"/>
  <c r="H143" i="2"/>
  <c r="X136" i="2"/>
  <c r="Z134" i="2"/>
  <c r="T140" i="2"/>
  <c r="E143" i="2"/>
  <c r="W136" i="2"/>
  <c r="R278" i="2" l="1"/>
  <c r="V272" i="2"/>
  <c r="AA266" i="2"/>
  <c r="C267" i="2" s="1"/>
  <c r="Y268" i="2"/>
  <c r="G278" i="2"/>
  <c r="K278" i="2"/>
  <c r="I276" i="2"/>
  <c r="J282" i="2"/>
  <c r="AA134" i="2"/>
  <c r="C135" i="2" s="1"/>
  <c r="V140" i="2"/>
  <c r="Y136" i="2"/>
  <c r="P278" i="2"/>
  <c r="H277" i="2"/>
  <c r="S276" i="2"/>
  <c r="N280" i="2"/>
  <c r="M280" i="2"/>
  <c r="W270" i="2"/>
  <c r="H278" i="2"/>
  <c r="D277" i="2"/>
  <c r="A281" i="2"/>
  <c r="F280" i="2"/>
  <c r="E280" i="2"/>
  <c r="X270" i="2"/>
  <c r="U274" i="2"/>
  <c r="Z268" i="2"/>
  <c r="E277" i="2"/>
  <c r="A280" i="2"/>
  <c r="T274" i="2"/>
  <c r="B277" i="2"/>
  <c r="C280" i="2"/>
  <c r="B280" i="2"/>
  <c r="D280" i="2"/>
  <c r="AC278" i="2"/>
  <c r="L280" i="2"/>
  <c r="U142" i="2"/>
  <c r="X138" i="2"/>
  <c r="T142" i="2"/>
  <c r="Z136" i="2"/>
  <c r="W138" i="2"/>
  <c r="R280" i="2" l="1"/>
  <c r="AA268" i="2"/>
  <c r="C269" i="2" s="1"/>
  <c r="V274" i="2"/>
  <c r="Y270" i="2"/>
  <c r="G280" i="2"/>
  <c r="K280" i="2"/>
  <c r="I278" i="2"/>
  <c r="J284" i="2"/>
  <c r="V142" i="2"/>
  <c r="AA136" i="2"/>
  <c r="C137" i="2" s="1"/>
  <c r="Y138" i="2"/>
  <c r="H279" i="2"/>
  <c r="P280" i="2"/>
  <c r="D279" i="2"/>
  <c r="A282" i="2"/>
  <c r="L282" i="2"/>
  <c r="Z270" i="2"/>
  <c r="T276" i="2"/>
  <c r="A283" i="2"/>
  <c r="F282" i="2"/>
  <c r="E282" i="2"/>
  <c r="X272" i="2"/>
  <c r="E279" i="2"/>
  <c r="U276" i="2"/>
  <c r="C282" i="2"/>
  <c r="B282" i="2"/>
  <c r="D282" i="2"/>
  <c r="AC280" i="2"/>
  <c r="H280" i="2"/>
  <c r="B279" i="2"/>
  <c r="N282" i="2"/>
  <c r="M282" i="2"/>
  <c r="W272" i="2"/>
  <c r="S278" i="2"/>
  <c r="W140" i="2"/>
  <c r="X140" i="2"/>
  <c r="Z138" i="2"/>
  <c r="R282" i="2" l="1"/>
  <c r="V276" i="2"/>
  <c r="Y272" i="2"/>
  <c r="G282" i="2"/>
  <c r="K282" i="2"/>
  <c r="I280" i="2"/>
  <c r="AA270" i="2"/>
  <c r="C271" i="2" s="1"/>
  <c r="J286" i="2"/>
  <c r="Y140" i="2"/>
  <c r="AA138" i="2"/>
  <c r="C139" i="2" s="1"/>
  <c r="T278" i="2"/>
  <c r="P282" i="2"/>
  <c r="AC282" i="2"/>
  <c r="Z272" i="2"/>
  <c r="A284" i="2"/>
  <c r="L284" i="2"/>
  <c r="B281" i="2"/>
  <c r="C284" i="2"/>
  <c r="B284" i="2"/>
  <c r="U278" i="2"/>
  <c r="H282" i="2"/>
  <c r="W274" i="2"/>
  <c r="S280" i="2"/>
  <c r="N284" i="2"/>
  <c r="M284" i="2"/>
  <c r="D284" i="2"/>
  <c r="E281" i="2"/>
  <c r="D281" i="2"/>
  <c r="X274" i="2"/>
  <c r="A285" i="2"/>
  <c r="F284" i="2"/>
  <c r="E284" i="2"/>
  <c r="H281" i="2"/>
  <c r="W142" i="2"/>
  <c r="X142" i="2"/>
  <c r="Z140" i="2"/>
  <c r="G284" i="2" l="1"/>
  <c r="K284" i="2"/>
  <c r="I282" i="2"/>
  <c r="Y274" i="2"/>
  <c r="V278" i="2"/>
  <c r="R284" i="2"/>
  <c r="AA272" i="2"/>
  <c r="C273" i="2" s="1"/>
  <c r="J288" i="2"/>
  <c r="Y142" i="2"/>
  <c r="AA140" i="2"/>
  <c r="C141" i="2" s="1"/>
  <c r="U280" i="2"/>
  <c r="D283" i="2"/>
  <c r="W276" i="2"/>
  <c r="S282" i="2"/>
  <c r="N286" i="2"/>
  <c r="M286" i="2"/>
  <c r="L286" i="2"/>
  <c r="P284" i="2"/>
  <c r="B283" i="2"/>
  <c r="X276" i="2"/>
  <c r="A287" i="2"/>
  <c r="F286" i="2"/>
  <c r="E286" i="2"/>
  <c r="H284" i="2"/>
  <c r="E283" i="2"/>
  <c r="B286" i="2"/>
  <c r="D286" i="2"/>
  <c r="T280" i="2"/>
  <c r="H283" i="2"/>
  <c r="Z274" i="2"/>
  <c r="C286" i="2"/>
  <c r="AC284" i="2"/>
  <c r="A286" i="2"/>
  <c r="Z142" i="2"/>
  <c r="AA274" i="2" l="1"/>
  <c r="C275" i="2" s="1"/>
  <c r="R286" i="2"/>
  <c r="G286" i="2"/>
  <c r="K286" i="2"/>
  <c r="I284" i="2"/>
  <c r="Y276" i="2"/>
  <c r="V280" i="2"/>
  <c r="J290" i="2"/>
  <c r="AA142" i="2"/>
  <c r="C143" i="2" s="1"/>
  <c r="E285" i="2"/>
  <c r="AC286" i="2"/>
  <c r="B285" i="2"/>
  <c r="T282" i="2"/>
  <c r="W278" i="2"/>
  <c r="A288" i="2"/>
  <c r="L288" i="2"/>
  <c r="N288" i="2"/>
  <c r="M288" i="2"/>
  <c r="P286" i="2"/>
  <c r="F288" i="2"/>
  <c r="E288" i="2"/>
  <c r="D285" i="2"/>
  <c r="H286" i="2"/>
  <c r="S284" i="2"/>
  <c r="H285" i="2"/>
  <c r="U282" i="2"/>
  <c r="X278" i="2"/>
  <c r="Z276" i="2"/>
  <c r="A289" i="2"/>
  <c r="C288" i="2"/>
  <c r="B288" i="2"/>
  <c r="D288" i="2"/>
  <c r="R288" i="2" l="1"/>
  <c r="K288" i="2"/>
  <c r="I286" i="2"/>
  <c r="AA276" i="2"/>
  <c r="C277" i="2" s="1"/>
  <c r="Y278" i="2"/>
  <c r="V282" i="2"/>
  <c r="G288" i="2"/>
  <c r="J292" i="2"/>
  <c r="AC288" i="2"/>
  <c r="U284" i="2"/>
  <c r="P288" i="2"/>
  <c r="E287" i="2"/>
  <c r="X280" i="2"/>
  <c r="S286" i="2"/>
  <c r="N290" i="2"/>
  <c r="M290" i="2"/>
  <c r="A291" i="2"/>
  <c r="F290" i="2"/>
  <c r="E290" i="2"/>
  <c r="C290" i="2"/>
  <c r="B290" i="2"/>
  <c r="D290" i="2"/>
  <c r="T284" i="2"/>
  <c r="B287" i="2"/>
  <c r="W280" i="2"/>
  <c r="A290" i="2"/>
  <c r="Z278" i="2"/>
  <c r="H288" i="2"/>
  <c r="H287" i="2"/>
  <c r="L290" i="2"/>
  <c r="D287" i="2"/>
  <c r="AA278" i="2" l="1"/>
  <c r="C279" i="2" s="1"/>
  <c r="R290" i="2"/>
  <c r="G290" i="2"/>
  <c r="K290" i="2"/>
  <c r="I288" i="2"/>
  <c r="Y280" i="2"/>
  <c r="V284" i="2"/>
  <c r="J294" i="2"/>
  <c r="P290" i="2"/>
  <c r="Z280" i="2"/>
  <c r="X282" i="2"/>
  <c r="A293" i="2"/>
  <c r="F292" i="2"/>
  <c r="E292" i="2"/>
  <c r="E289" i="2"/>
  <c r="C292" i="2"/>
  <c r="B292" i="2"/>
  <c r="D292" i="2"/>
  <c r="H290" i="2"/>
  <c r="T286" i="2"/>
  <c r="D289" i="2"/>
  <c r="H289" i="2"/>
  <c r="A292" i="2"/>
  <c r="L292" i="2"/>
  <c r="AC290" i="2"/>
  <c r="U286" i="2"/>
  <c r="B289" i="2"/>
  <c r="W282" i="2"/>
  <c r="S288" i="2"/>
  <c r="N292" i="2"/>
  <c r="M292" i="2"/>
  <c r="V286" i="2" l="1"/>
  <c r="R292" i="2"/>
  <c r="G292" i="2"/>
  <c r="K292" i="2"/>
  <c r="I290" i="2"/>
  <c r="Y282" i="2"/>
  <c r="AA280" i="2"/>
  <c r="C281" i="2" s="1"/>
  <c r="J296" i="2"/>
  <c r="P292" i="2"/>
  <c r="D291" i="2"/>
  <c r="A294" i="2"/>
  <c r="L294" i="2"/>
  <c r="H292" i="2"/>
  <c r="AC292" i="2"/>
  <c r="B291" i="2"/>
  <c r="N294" i="2"/>
  <c r="M294" i="2"/>
  <c r="W284" i="2"/>
  <c r="S290" i="2"/>
  <c r="C294" i="2"/>
  <c r="D294" i="2"/>
  <c r="T288" i="2"/>
  <c r="E291" i="2"/>
  <c r="Z282" i="2"/>
  <c r="A295" i="2"/>
  <c r="F294" i="2"/>
  <c r="E294" i="2"/>
  <c r="X284" i="2"/>
  <c r="U288" i="2"/>
  <c r="H291" i="2"/>
  <c r="B294" i="2"/>
  <c r="R294" i="2" l="1"/>
  <c r="V288" i="2"/>
  <c r="Y284" i="2"/>
  <c r="G294" i="2"/>
  <c r="K294" i="2"/>
  <c r="I292" i="2"/>
  <c r="AA282" i="2"/>
  <c r="C283" i="2" s="1"/>
  <c r="J298" i="2"/>
  <c r="T290" i="2"/>
  <c r="H294" i="2"/>
  <c r="B293" i="2"/>
  <c r="W286" i="2"/>
  <c r="A296" i="2"/>
  <c r="L296" i="2"/>
  <c r="U290" i="2"/>
  <c r="E293" i="2"/>
  <c r="X286" i="2"/>
  <c r="M296" i="2"/>
  <c r="Z284" i="2"/>
  <c r="H293" i="2"/>
  <c r="A297" i="2"/>
  <c r="F296" i="2"/>
  <c r="E296" i="2"/>
  <c r="AC294" i="2"/>
  <c r="P294" i="2"/>
  <c r="D293" i="2"/>
  <c r="S292" i="2"/>
  <c r="C296" i="2"/>
  <c r="B296" i="2"/>
  <c r="D296" i="2"/>
  <c r="N296" i="2"/>
  <c r="R296" i="2" l="1"/>
  <c r="G296" i="2"/>
  <c r="K296" i="2"/>
  <c r="I294" i="2"/>
  <c r="AA284" i="2"/>
  <c r="C285" i="2" s="1"/>
  <c r="Y286" i="2"/>
  <c r="V290" i="2"/>
  <c r="J300" i="2"/>
  <c r="H296" i="2"/>
  <c r="U292" i="2"/>
  <c r="H295" i="2"/>
  <c r="C298" i="2"/>
  <c r="B298" i="2"/>
  <c r="D298" i="2"/>
  <c r="S294" i="2"/>
  <c r="AC296" i="2"/>
  <c r="D295" i="2"/>
  <c r="W288" i="2"/>
  <c r="A298" i="2"/>
  <c r="B295" i="2"/>
  <c r="X288" i="2"/>
  <c r="N298" i="2"/>
  <c r="M298" i="2"/>
  <c r="P296" i="2"/>
  <c r="T292" i="2"/>
  <c r="E295" i="2"/>
  <c r="A299" i="2"/>
  <c r="F298" i="2"/>
  <c r="E298" i="2"/>
  <c r="Z286" i="2"/>
  <c r="L298" i="2"/>
  <c r="AA286" i="2" l="1"/>
  <c r="C287" i="2" s="1"/>
  <c r="G298" i="2"/>
  <c r="K298" i="2"/>
  <c r="I296" i="2"/>
  <c r="Y288" i="2"/>
  <c r="R298" i="2"/>
  <c r="V292" i="2"/>
  <c r="J302" i="2"/>
  <c r="D297" i="2"/>
  <c r="Z288" i="2"/>
  <c r="T294" i="2"/>
  <c r="A300" i="2"/>
  <c r="L300" i="2"/>
  <c r="B297" i="2"/>
  <c r="U294" i="2"/>
  <c r="W290" i="2"/>
  <c r="S296" i="2"/>
  <c r="N300" i="2"/>
  <c r="M300" i="2"/>
  <c r="C300" i="2"/>
  <c r="D300" i="2"/>
  <c r="P298" i="2"/>
  <c r="E297" i="2"/>
  <c r="AC298" i="2"/>
  <c r="X290" i="2"/>
  <c r="A301" i="2"/>
  <c r="F300" i="2"/>
  <c r="E300" i="2"/>
  <c r="H298" i="2"/>
  <c r="H297" i="2"/>
  <c r="B300" i="2"/>
  <c r="R300" i="2" l="1"/>
  <c r="G300" i="2"/>
  <c r="K300" i="2"/>
  <c r="I298" i="2"/>
  <c r="Y290" i="2"/>
  <c r="V294" i="2"/>
  <c r="AA288" i="2"/>
  <c r="C289" i="2" s="1"/>
  <c r="J304" i="2"/>
  <c r="AC300" i="2"/>
  <c r="D299" i="2"/>
  <c r="T296" i="2"/>
  <c r="S298" i="2"/>
  <c r="N302" i="2"/>
  <c r="M302" i="2"/>
  <c r="W292" i="2"/>
  <c r="F302" i="2"/>
  <c r="X292" i="2"/>
  <c r="Z290" i="2"/>
  <c r="B299" i="2"/>
  <c r="U296" i="2"/>
  <c r="A303" i="2"/>
  <c r="E302" i="2"/>
  <c r="L302" i="2"/>
  <c r="E299" i="2"/>
  <c r="P300" i="2"/>
  <c r="C302" i="2"/>
  <c r="B302" i="2"/>
  <c r="D302" i="2"/>
  <c r="H299" i="2"/>
  <c r="H300" i="2"/>
  <c r="A302" i="2"/>
  <c r="R302" i="2" l="1"/>
  <c r="K302" i="2"/>
  <c r="I300" i="2"/>
  <c r="V296" i="2"/>
  <c r="AA290" i="2"/>
  <c r="C291" i="2" s="1"/>
  <c r="Y292" i="2"/>
  <c r="G302" i="2"/>
  <c r="J306" i="2"/>
  <c r="AC302" i="2"/>
  <c r="Z292" i="2"/>
  <c r="H302" i="2"/>
  <c r="E301" i="2"/>
  <c r="A304" i="2"/>
  <c r="L304" i="2"/>
  <c r="B304" i="2"/>
  <c r="T298" i="2"/>
  <c r="H301" i="2"/>
  <c r="N304" i="2"/>
  <c r="M304" i="2"/>
  <c r="W294" i="2"/>
  <c r="S300" i="2"/>
  <c r="B301" i="2"/>
  <c r="P302" i="2"/>
  <c r="C304" i="2"/>
  <c r="D304" i="2"/>
  <c r="D301" i="2"/>
  <c r="U298" i="2"/>
  <c r="A305" i="2"/>
  <c r="F304" i="2"/>
  <c r="E304" i="2"/>
  <c r="X294" i="2"/>
  <c r="Y294" i="2" l="1"/>
  <c r="G304" i="2"/>
  <c r="K304" i="2"/>
  <c r="I302" i="2"/>
  <c r="V298" i="2"/>
  <c r="R304" i="2"/>
  <c r="AA292" i="2"/>
  <c r="C293" i="2" s="1"/>
  <c r="J308" i="2"/>
  <c r="D303" i="2"/>
  <c r="AC304" i="2"/>
  <c r="H303" i="2"/>
  <c r="A306" i="2"/>
  <c r="L306" i="2"/>
  <c r="B303" i="2"/>
  <c r="P304" i="2"/>
  <c r="W296" i="2"/>
  <c r="S302" i="2"/>
  <c r="N306" i="2"/>
  <c r="M306" i="2"/>
  <c r="B306" i="2"/>
  <c r="T300" i="2"/>
  <c r="H304" i="2"/>
  <c r="X296" i="2"/>
  <c r="A307" i="2"/>
  <c r="F306" i="2"/>
  <c r="E306" i="2"/>
  <c r="Z294" i="2"/>
  <c r="U300" i="2"/>
  <c r="E303" i="2"/>
  <c r="C306" i="2"/>
  <c r="D306" i="2"/>
  <c r="V300" i="2" l="1"/>
  <c r="AA294" i="2"/>
  <c r="C295" i="2" s="1"/>
  <c r="G306" i="2"/>
  <c r="K306" i="2"/>
  <c r="I304" i="2"/>
  <c r="Y296" i="2"/>
  <c r="R306" i="2"/>
  <c r="J310" i="2"/>
  <c r="U302" i="2"/>
  <c r="E305" i="2"/>
  <c r="C308" i="2"/>
  <c r="B308" i="2"/>
  <c r="D308" i="2"/>
  <c r="B305" i="2"/>
  <c r="F308" i="2"/>
  <c r="Z296" i="2"/>
  <c r="P306" i="2"/>
  <c r="H305" i="2"/>
  <c r="A308" i="2"/>
  <c r="L308" i="2"/>
  <c r="AC306" i="2"/>
  <c r="A309" i="2"/>
  <c r="E308" i="2"/>
  <c r="H306" i="2"/>
  <c r="D305" i="2"/>
  <c r="W298" i="2"/>
  <c r="S304" i="2"/>
  <c r="N308" i="2"/>
  <c r="M308" i="2"/>
  <c r="T302" i="2"/>
  <c r="X298" i="2"/>
  <c r="Y298" i="2" l="1"/>
  <c r="K308" i="2"/>
  <c r="I306" i="2"/>
  <c r="AA296" i="2"/>
  <c r="C297" i="2" s="1"/>
  <c r="G308" i="2"/>
  <c r="R308" i="2"/>
  <c r="V302" i="2"/>
  <c r="J312" i="2"/>
  <c r="Z298" i="2"/>
  <c r="T304" i="2"/>
  <c r="B307" i="2"/>
  <c r="N310" i="2"/>
  <c r="L310" i="2"/>
  <c r="U304" i="2"/>
  <c r="E307" i="2"/>
  <c r="F310" i="2"/>
  <c r="X300" i="2"/>
  <c r="P308" i="2"/>
  <c r="H307" i="2"/>
  <c r="A311" i="2"/>
  <c r="B310" i="2"/>
  <c r="E310" i="2"/>
  <c r="W300" i="2"/>
  <c r="H308" i="2"/>
  <c r="D307" i="2"/>
  <c r="AC308" i="2"/>
  <c r="C310" i="2"/>
  <c r="A310" i="2"/>
  <c r="D310" i="2"/>
  <c r="S306" i="2"/>
  <c r="M310" i="2"/>
  <c r="R310" i="2" l="1"/>
  <c r="K310" i="2"/>
  <c r="I308" i="2"/>
  <c r="Y300" i="2"/>
  <c r="G310" i="2"/>
  <c r="V304" i="2"/>
  <c r="AA298" i="2"/>
  <c r="C299" i="2" s="1"/>
  <c r="J314" i="2"/>
  <c r="U306" i="2"/>
  <c r="AC310" i="2"/>
  <c r="D309" i="2"/>
  <c r="A313" i="2"/>
  <c r="B312" i="2"/>
  <c r="E312" i="2"/>
  <c r="S308" i="2"/>
  <c r="E309" i="2"/>
  <c r="B309" i="2"/>
  <c r="P310" i="2"/>
  <c r="W302" i="2"/>
  <c r="L312" i="2"/>
  <c r="H309" i="2"/>
  <c r="Z300" i="2"/>
  <c r="H310" i="2"/>
  <c r="X302" i="2"/>
  <c r="N312" i="2"/>
  <c r="A312" i="2"/>
  <c r="T306" i="2"/>
  <c r="M312" i="2"/>
  <c r="F312" i="2"/>
  <c r="C312" i="2"/>
  <c r="D312" i="2"/>
  <c r="G312" i="2" l="1"/>
  <c r="Y302" i="2"/>
  <c r="AA300" i="2"/>
  <c r="C301" i="2" s="1"/>
  <c r="R312" i="2"/>
  <c r="K312" i="2"/>
  <c r="I310" i="2"/>
  <c r="V306" i="2"/>
  <c r="J316" i="2"/>
  <c r="Z302" i="2"/>
  <c r="B311" i="2"/>
  <c r="AC312" i="2"/>
  <c r="H311" i="2"/>
  <c r="A314" i="2"/>
  <c r="F314" i="2"/>
  <c r="B314" i="2"/>
  <c r="W304" i="2"/>
  <c r="N314" i="2"/>
  <c r="T308" i="2"/>
  <c r="A315" i="2"/>
  <c r="L314" i="2"/>
  <c r="X304" i="2"/>
  <c r="D311" i="2"/>
  <c r="E311" i="2"/>
  <c r="E314" i="2"/>
  <c r="D314" i="2"/>
  <c r="P312" i="2"/>
  <c r="U308" i="2"/>
  <c r="M314" i="2"/>
  <c r="C314" i="2"/>
  <c r="H312" i="2"/>
  <c r="S310" i="2"/>
  <c r="V308" i="2" l="1"/>
  <c r="Y304" i="2"/>
  <c r="I312" i="2"/>
  <c r="K314" i="2"/>
  <c r="R314" i="2"/>
  <c r="G314" i="2"/>
  <c r="AA302" i="2"/>
  <c r="C303" i="2" s="1"/>
  <c r="J318" i="2"/>
  <c r="T310" i="2"/>
  <c r="B313" i="2"/>
  <c r="H313" i="2"/>
  <c r="A317" i="2"/>
  <c r="L316" i="2"/>
  <c r="W306" i="2"/>
  <c r="M316" i="2"/>
  <c r="C316" i="2"/>
  <c r="X306" i="2"/>
  <c r="U310" i="2"/>
  <c r="Z304" i="2"/>
  <c r="P314" i="2"/>
  <c r="AC314" i="2"/>
  <c r="E313" i="2"/>
  <c r="F316" i="2"/>
  <c r="H314" i="2"/>
  <c r="S312" i="2"/>
  <c r="E316" i="2"/>
  <c r="N316" i="2"/>
  <c r="D316" i="2"/>
  <c r="D313" i="2"/>
  <c r="A316" i="2"/>
  <c r="B316" i="2"/>
  <c r="R316" i="2" l="1"/>
  <c r="G316" i="2"/>
  <c r="AA304" i="2"/>
  <c r="C305" i="2" s="1"/>
  <c r="V310" i="2"/>
  <c r="Y306" i="2"/>
  <c r="I314" i="2"/>
  <c r="K316" i="2"/>
  <c r="J320" i="2"/>
  <c r="T312" i="2"/>
  <c r="H315" i="2"/>
  <c r="M318" i="2"/>
  <c r="C318" i="2"/>
  <c r="E315" i="2"/>
  <c r="X308" i="2"/>
  <c r="AC316" i="2"/>
  <c r="U312" i="2"/>
  <c r="D315" i="2"/>
  <c r="Z306" i="2"/>
  <c r="E318" i="2"/>
  <c r="N318" i="2"/>
  <c r="D318" i="2"/>
  <c r="S314" i="2"/>
  <c r="P316" i="2"/>
  <c r="B315" i="2"/>
  <c r="W308" i="2"/>
  <c r="A318" i="2"/>
  <c r="F318" i="2"/>
  <c r="B318" i="2"/>
  <c r="H316" i="2"/>
  <c r="A319" i="2"/>
  <c r="L318" i="2"/>
  <c r="I316" i="2" l="1"/>
  <c r="K318" i="2"/>
  <c r="R318" i="2"/>
  <c r="G318" i="2"/>
  <c r="AA306" i="2"/>
  <c r="C307" i="2" s="1"/>
  <c r="V312" i="2"/>
  <c r="Y308" i="2"/>
  <c r="J322" i="2"/>
  <c r="T314" i="2"/>
  <c r="Z308" i="2"/>
  <c r="A320" i="2"/>
  <c r="F320" i="2"/>
  <c r="U314" i="2"/>
  <c r="A321" i="2"/>
  <c r="L320" i="2"/>
  <c r="W310" i="2"/>
  <c r="AC318" i="2"/>
  <c r="B317" i="2"/>
  <c r="H317" i="2"/>
  <c r="E320" i="2"/>
  <c r="D320" i="2"/>
  <c r="B320" i="2"/>
  <c r="D317" i="2"/>
  <c r="P318" i="2"/>
  <c r="E317" i="2"/>
  <c r="M320" i="2"/>
  <c r="C320" i="2"/>
  <c r="X310" i="2"/>
  <c r="H318" i="2"/>
  <c r="N320" i="2"/>
  <c r="S316" i="2"/>
  <c r="Y310" i="2" l="1"/>
  <c r="R320" i="2"/>
  <c r="I318" i="2"/>
  <c r="K320" i="2"/>
  <c r="V314" i="2"/>
  <c r="G320" i="2"/>
  <c r="AA308" i="2"/>
  <c r="C309" i="2" s="1"/>
  <c r="J324" i="2"/>
  <c r="T316" i="2"/>
  <c r="Z310" i="2"/>
  <c r="AC320" i="2"/>
  <c r="A322" i="2"/>
  <c r="U316" i="2"/>
  <c r="D319" i="2"/>
  <c r="E319" i="2"/>
  <c r="A323" i="2"/>
  <c r="L322" i="2"/>
  <c r="S318" i="2"/>
  <c r="X312" i="2"/>
  <c r="B322" i="2"/>
  <c r="P320" i="2"/>
  <c r="B319" i="2"/>
  <c r="H319" i="2"/>
  <c r="M322" i="2"/>
  <c r="C322" i="2"/>
  <c r="H320" i="2"/>
  <c r="E322" i="2"/>
  <c r="N322" i="2"/>
  <c r="D322" i="2"/>
  <c r="F322" i="2"/>
  <c r="W312" i="2"/>
  <c r="G322" i="2" l="1"/>
  <c r="R322" i="2"/>
  <c r="Y312" i="2"/>
  <c r="I320" i="2"/>
  <c r="K322" i="2"/>
  <c r="V316" i="2"/>
  <c r="AA310" i="2"/>
  <c r="C311" i="2" s="1"/>
  <c r="J326" i="2"/>
  <c r="D321" i="2"/>
  <c r="Z312" i="2"/>
  <c r="A325" i="2"/>
  <c r="L324" i="2"/>
  <c r="W314" i="2"/>
  <c r="C324" i="2"/>
  <c r="AC322" i="2"/>
  <c r="H321" i="2"/>
  <c r="A324" i="2"/>
  <c r="B321" i="2"/>
  <c r="T318" i="2"/>
  <c r="M324" i="2"/>
  <c r="X314" i="2"/>
  <c r="B324" i="2"/>
  <c r="P322" i="2"/>
  <c r="U318" i="2"/>
  <c r="E321" i="2"/>
  <c r="S320" i="2"/>
  <c r="E324" i="2"/>
  <c r="N324" i="2"/>
  <c r="D324" i="2"/>
  <c r="H322" i="2"/>
  <c r="F324" i="2"/>
  <c r="G324" i="2" l="1"/>
  <c r="V318" i="2"/>
  <c r="R324" i="2"/>
  <c r="Y314" i="2"/>
  <c r="I322" i="2"/>
  <c r="K324" i="2"/>
  <c r="AA312" i="2"/>
  <c r="C313" i="2" s="1"/>
  <c r="J328" i="2"/>
  <c r="U320" i="2"/>
  <c r="E323" i="2"/>
  <c r="E326" i="2"/>
  <c r="N326" i="2"/>
  <c r="D326" i="2"/>
  <c r="W316" i="2"/>
  <c r="A326" i="2"/>
  <c r="B326" i="2"/>
  <c r="P324" i="2"/>
  <c r="AC324" i="2"/>
  <c r="H323" i="2"/>
  <c r="F326" i="2"/>
  <c r="C326" i="2"/>
  <c r="H324" i="2"/>
  <c r="D323" i="2"/>
  <c r="Z314" i="2"/>
  <c r="S322" i="2"/>
  <c r="X316" i="2"/>
  <c r="A327" i="2"/>
  <c r="L326" i="2"/>
  <c r="T320" i="2"/>
  <c r="B323" i="2"/>
  <c r="M326" i="2"/>
  <c r="I324" i="2" l="1"/>
  <c r="K326" i="2"/>
  <c r="Y316" i="2"/>
  <c r="AA314" i="2"/>
  <c r="C315" i="2" s="1"/>
  <c r="G326" i="2"/>
  <c r="R326" i="2"/>
  <c r="V320" i="2"/>
  <c r="J330" i="2"/>
  <c r="T322" i="2"/>
  <c r="E325" i="2"/>
  <c r="H326" i="2"/>
  <c r="A328" i="2"/>
  <c r="F328" i="2"/>
  <c r="B328" i="2"/>
  <c r="P326" i="2"/>
  <c r="S324" i="2"/>
  <c r="U322" i="2"/>
  <c r="H325" i="2"/>
  <c r="AC326" i="2"/>
  <c r="A329" i="2"/>
  <c r="L328" i="2"/>
  <c r="W318" i="2"/>
  <c r="B325" i="2"/>
  <c r="N328" i="2"/>
  <c r="D325" i="2"/>
  <c r="M328" i="2"/>
  <c r="C328" i="2"/>
  <c r="X318" i="2"/>
  <c r="Z316" i="2"/>
  <c r="E328" i="2"/>
  <c r="D328" i="2"/>
  <c r="AA316" i="2" l="1"/>
  <c r="C317" i="2" s="1"/>
  <c r="Y318" i="2"/>
  <c r="I326" i="2"/>
  <c r="K328" i="2"/>
  <c r="V322" i="2"/>
  <c r="R328" i="2"/>
  <c r="G328" i="2"/>
  <c r="J332" i="2"/>
  <c r="Z318" i="2"/>
  <c r="B327" i="2"/>
  <c r="A331" i="2"/>
  <c r="L330" i="2"/>
  <c r="W320" i="2"/>
  <c r="P328" i="2"/>
  <c r="T324" i="2"/>
  <c r="M330" i="2"/>
  <c r="C330" i="2"/>
  <c r="X320" i="2"/>
  <c r="H328" i="2"/>
  <c r="E327" i="2"/>
  <c r="U324" i="2"/>
  <c r="AC328" i="2"/>
  <c r="E330" i="2"/>
  <c r="N330" i="2"/>
  <c r="D330" i="2"/>
  <c r="S326" i="2"/>
  <c r="H327" i="2"/>
  <c r="D327" i="2"/>
  <c r="A330" i="2"/>
  <c r="F330" i="2"/>
  <c r="B330" i="2"/>
  <c r="R330" i="2" l="1"/>
  <c r="G330" i="2"/>
  <c r="V324" i="2"/>
  <c r="Y320" i="2"/>
  <c r="I328" i="2"/>
  <c r="K330" i="2"/>
  <c r="AA318" i="2"/>
  <c r="C319" i="2" s="1"/>
  <c r="J334" i="2"/>
  <c r="H330" i="2"/>
  <c r="Z320" i="2"/>
  <c r="M332" i="2"/>
  <c r="C332" i="2"/>
  <c r="U326" i="2"/>
  <c r="A332" i="2"/>
  <c r="B332" i="2"/>
  <c r="AC330" i="2"/>
  <c r="S328" i="2"/>
  <c r="T326" i="2"/>
  <c r="E329" i="2"/>
  <c r="E332" i="2"/>
  <c r="N332" i="2"/>
  <c r="D332" i="2"/>
  <c r="H329" i="2"/>
  <c r="D329" i="2"/>
  <c r="F332" i="2"/>
  <c r="W322" i="2"/>
  <c r="P330" i="2"/>
  <c r="B329" i="2"/>
  <c r="A333" i="2"/>
  <c r="L332" i="2"/>
  <c r="X322" i="2"/>
  <c r="Y322" i="2" l="1"/>
  <c r="I330" i="2"/>
  <c r="K332" i="2"/>
  <c r="G332" i="2"/>
  <c r="R332" i="2"/>
  <c r="V326" i="2"/>
  <c r="AA320" i="2"/>
  <c r="C321" i="2" s="1"/>
  <c r="J336" i="2"/>
  <c r="H331" i="2"/>
  <c r="W324" i="2"/>
  <c r="A334" i="2"/>
  <c r="F334" i="2"/>
  <c r="B334" i="2"/>
  <c r="T328" i="2"/>
  <c r="S330" i="2"/>
  <c r="X324" i="2"/>
  <c r="D331" i="2"/>
  <c r="P332" i="2"/>
  <c r="U328" i="2"/>
  <c r="AC332" i="2"/>
  <c r="M334" i="2"/>
  <c r="C334" i="2"/>
  <c r="Z322" i="2"/>
  <c r="B331" i="2"/>
  <c r="H332" i="2"/>
  <c r="E331" i="2"/>
  <c r="E334" i="2"/>
  <c r="N334" i="2"/>
  <c r="D334" i="2"/>
  <c r="A335" i="2"/>
  <c r="L334" i="2"/>
  <c r="I332" i="2" l="1"/>
  <c r="K334" i="2"/>
  <c r="AA322" i="2"/>
  <c r="C323" i="2" s="1"/>
  <c r="V328" i="2"/>
  <c r="Y324" i="2"/>
  <c r="R334" i="2"/>
  <c r="G334" i="2"/>
  <c r="J338" i="2"/>
  <c r="D333" i="2"/>
  <c r="U330" i="2"/>
  <c r="C336" i="2"/>
  <c r="E333" i="2"/>
  <c r="B333" i="2"/>
  <c r="E336" i="2"/>
  <c r="N336" i="2"/>
  <c r="D336" i="2"/>
  <c r="W326" i="2"/>
  <c r="F336" i="2"/>
  <c r="B336" i="2"/>
  <c r="T330" i="2"/>
  <c r="X326" i="2"/>
  <c r="M336" i="2"/>
  <c r="P334" i="2"/>
  <c r="H333" i="2"/>
  <c r="Z324" i="2"/>
  <c r="A336" i="2"/>
  <c r="H334" i="2"/>
  <c r="AC334" i="2"/>
  <c r="A337" i="2"/>
  <c r="L336" i="2"/>
  <c r="S332" i="2"/>
  <c r="I334" i="2" l="1"/>
  <c r="K336" i="2"/>
  <c r="AA324" i="2"/>
  <c r="C325" i="2" s="1"/>
  <c r="Y326" i="2"/>
  <c r="R336" i="2"/>
  <c r="G336" i="2"/>
  <c r="V330" i="2"/>
  <c r="J340" i="2"/>
  <c r="U332" i="2"/>
  <c r="H335" i="2"/>
  <c r="Z326" i="2"/>
  <c r="M338" i="2"/>
  <c r="C338" i="2"/>
  <c r="X328" i="2"/>
  <c r="N338" i="2"/>
  <c r="D335" i="2"/>
  <c r="P336" i="2"/>
  <c r="A338" i="2"/>
  <c r="F338" i="2"/>
  <c r="B338" i="2"/>
  <c r="T332" i="2"/>
  <c r="E335" i="2"/>
  <c r="B335" i="2"/>
  <c r="AC336" i="2"/>
  <c r="H336" i="2"/>
  <c r="A339" i="2"/>
  <c r="L338" i="2"/>
  <c r="W328" i="2"/>
  <c r="S334" i="2"/>
  <c r="E338" i="2"/>
  <c r="D338" i="2"/>
  <c r="I336" i="2" l="1"/>
  <c r="K338" i="2"/>
  <c r="R338" i="2"/>
  <c r="G338" i="2"/>
  <c r="Y328" i="2"/>
  <c r="AA326" i="2"/>
  <c r="C327" i="2" s="1"/>
  <c r="V332" i="2"/>
  <c r="J342" i="2"/>
  <c r="T334" i="2"/>
  <c r="B337" i="2"/>
  <c r="A341" i="2"/>
  <c r="L340" i="2"/>
  <c r="W330" i="2"/>
  <c r="F340" i="2"/>
  <c r="U334" i="2"/>
  <c r="E337" i="2"/>
  <c r="AC338" i="2"/>
  <c r="P338" i="2"/>
  <c r="M340" i="2"/>
  <c r="C340" i="2"/>
  <c r="X330" i="2"/>
  <c r="A340" i="2"/>
  <c r="B340" i="2"/>
  <c r="H337" i="2"/>
  <c r="H338" i="2"/>
  <c r="S336" i="2"/>
  <c r="E340" i="2"/>
  <c r="N340" i="2"/>
  <c r="D340" i="2"/>
  <c r="D337" i="2"/>
  <c r="Z328" i="2"/>
  <c r="AA328" i="2" l="1"/>
  <c r="C329" i="2" s="1"/>
  <c r="R340" i="2"/>
  <c r="Y330" i="2"/>
  <c r="V334" i="2"/>
  <c r="G340" i="2"/>
  <c r="I338" i="2"/>
  <c r="K340" i="2"/>
  <c r="J344" i="2"/>
  <c r="U336" i="2"/>
  <c r="D339" i="2"/>
  <c r="A342" i="2"/>
  <c r="F342" i="2"/>
  <c r="B342" i="2"/>
  <c r="A343" i="2"/>
  <c r="W332" i="2"/>
  <c r="P340" i="2"/>
  <c r="B339" i="2"/>
  <c r="L342" i="2"/>
  <c r="E342" i="2"/>
  <c r="S338" i="2"/>
  <c r="H340" i="2"/>
  <c r="AC340" i="2"/>
  <c r="E339" i="2"/>
  <c r="M342" i="2"/>
  <c r="C342" i="2"/>
  <c r="X332" i="2"/>
  <c r="T336" i="2"/>
  <c r="Z330" i="2"/>
  <c r="H339" i="2"/>
  <c r="N342" i="2"/>
  <c r="D342" i="2"/>
  <c r="AA330" i="2" l="1"/>
  <c r="C331" i="2" s="1"/>
  <c r="Y332" i="2"/>
  <c r="I340" i="2"/>
  <c r="K342" i="2"/>
  <c r="R342" i="2"/>
  <c r="G342" i="2"/>
  <c r="V336" i="2"/>
  <c r="J346" i="2"/>
  <c r="P342" i="2"/>
  <c r="Z332" i="2"/>
  <c r="U338" i="2"/>
  <c r="A344" i="2"/>
  <c r="W334" i="2"/>
  <c r="H342" i="2"/>
  <c r="E341" i="2"/>
  <c r="D341" i="2"/>
  <c r="A345" i="2"/>
  <c r="L344" i="2"/>
  <c r="S340" i="2"/>
  <c r="X334" i="2"/>
  <c r="F344" i="2"/>
  <c r="H341" i="2"/>
  <c r="B341" i="2"/>
  <c r="M344" i="2"/>
  <c r="C344" i="2"/>
  <c r="T338" i="2"/>
  <c r="AC342" i="2"/>
  <c r="E344" i="2"/>
  <c r="N344" i="2"/>
  <c r="D344" i="2"/>
  <c r="B344" i="2"/>
  <c r="R344" i="2" l="1"/>
  <c r="G344" i="2"/>
  <c r="Y334" i="2"/>
  <c r="I342" i="2"/>
  <c r="K344" i="2"/>
  <c r="V338" i="2"/>
  <c r="AA332" i="2"/>
  <c r="C333" i="2" s="1"/>
  <c r="J348" i="2"/>
  <c r="P344" i="2"/>
  <c r="U340" i="2"/>
  <c r="M346" i="2"/>
  <c r="C346" i="2"/>
  <c r="D346" i="2"/>
  <c r="D343" i="2"/>
  <c r="F346" i="2"/>
  <c r="W336" i="2"/>
  <c r="H343" i="2"/>
  <c r="T340" i="2"/>
  <c r="B343" i="2"/>
  <c r="S342" i="2"/>
  <c r="H344" i="2"/>
  <c r="E346" i="2"/>
  <c r="N346" i="2"/>
  <c r="E343" i="2"/>
  <c r="Z334" i="2"/>
  <c r="A346" i="2"/>
  <c r="B346" i="2"/>
  <c r="AC344" i="2"/>
  <c r="A347" i="2"/>
  <c r="L346" i="2"/>
  <c r="X336" i="2"/>
  <c r="Y336" i="2" l="1"/>
  <c r="I344" i="2"/>
  <c r="K346" i="2"/>
  <c r="R346" i="2"/>
  <c r="AA334" i="2"/>
  <c r="C335" i="2" s="1"/>
  <c r="G346" i="2"/>
  <c r="V340" i="2"/>
  <c r="J350" i="2"/>
  <c r="Z336" i="2"/>
  <c r="H345" i="2"/>
  <c r="P346" i="2"/>
  <c r="D345" i="2"/>
  <c r="A349" i="2"/>
  <c r="L348" i="2"/>
  <c r="W338" i="2"/>
  <c r="M348" i="2"/>
  <c r="C348" i="2"/>
  <c r="X338" i="2"/>
  <c r="H346" i="2"/>
  <c r="B345" i="2"/>
  <c r="B348" i="2"/>
  <c r="AC346" i="2"/>
  <c r="T342" i="2"/>
  <c r="S344" i="2"/>
  <c r="E348" i="2"/>
  <c r="N348" i="2"/>
  <c r="D348" i="2"/>
  <c r="F348" i="2"/>
  <c r="E345" i="2"/>
  <c r="U342" i="2"/>
  <c r="A348" i="2"/>
  <c r="V342" i="2" l="1"/>
  <c r="G348" i="2"/>
  <c r="R348" i="2"/>
  <c r="Y338" i="2"/>
  <c r="I346" i="2"/>
  <c r="K348" i="2"/>
  <c r="AA336" i="2"/>
  <c r="C337" i="2" s="1"/>
  <c r="J352" i="2"/>
  <c r="U344" i="2"/>
  <c r="E350" i="2"/>
  <c r="N350" i="2"/>
  <c r="D350" i="2"/>
  <c r="P348" i="2"/>
  <c r="AC348" i="2"/>
  <c r="A350" i="2"/>
  <c r="B350" i="2"/>
  <c r="H348" i="2"/>
  <c r="E347" i="2"/>
  <c r="Z338" i="2"/>
  <c r="D347" i="2"/>
  <c r="X340" i="2"/>
  <c r="A351" i="2"/>
  <c r="L350" i="2"/>
  <c r="S346" i="2"/>
  <c r="T344" i="2"/>
  <c r="H347" i="2"/>
  <c r="B347" i="2"/>
  <c r="M350" i="2"/>
  <c r="C350" i="2"/>
  <c r="W340" i="2"/>
  <c r="F350" i="2"/>
  <c r="G350" i="2" l="1"/>
  <c r="I348" i="2"/>
  <c r="K350" i="2"/>
  <c r="Y340" i="2"/>
  <c r="AA338" i="2"/>
  <c r="C339" i="2" s="1"/>
  <c r="R350" i="2"/>
  <c r="V344" i="2"/>
  <c r="J354" i="2"/>
  <c r="U346" i="2"/>
  <c r="F352" i="2"/>
  <c r="D349" i="2"/>
  <c r="A353" i="2"/>
  <c r="L352" i="2"/>
  <c r="W342" i="2"/>
  <c r="H350" i="2"/>
  <c r="AC350" i="2"/>
  <c r="B349" i="2"/>
  <c r="M352" i="2"/>
  <c r="C352" i="2"/>
  <c r="X342" i="2"/>
  <c r="B352" i="2"/>
  <c r="T346" i="2"/>
  <c r="Z340" i="2"/>
  <c r="E349" i="2"/>
  <c r="P350" i="2"/>
  <c r="E352" i="2"/>
  <c r="N352" i="2"/>
  <c r="D352" i="2"/>
  <c r="S348" i="2"/>
  <c r="H349" i="2"/>
  <c r="A352" i="2"/>
  <c r="AA340" i="2" l="1"/>
  <c r="C341" i="2" s="1"/>
  <c r="R352" i="2"/>
  <c r="Y342" i="2"/>
  <c r="I350" i="2"/>
  <c r="K352" i="2"/>
  <c r="G352" i="2"/>
  <c r="V346" i="2"/>
  <c r="J356" i="2"/>
  <c r="U348" i="2"/>
  <c r="B351" i="2"/>
  <c r="AC352" i="2"/>
  <c r="A355" i="2"/>
  <c r="L354" i="2"/>
  <c r="W344" i="2"/>
  <c r="P352" i="2"/>
  <c r="Z342" i="2"/>
  <c r="H352" i="2"/>
  <c r="E351" i="2"/>
  <c r="E354" i="2"/>
  <c r="N354" i="2"/>
  <c r="D354" i="2"/>
  <c r="S350" i="2"/>
  <c r="T348" i="2"/>
  <c r="D351" i="2"/>
  <c r="H351" i="2"/>
  <c r="A354" i="2"/>
  <c r="F354" i="2"/>
  <c r="B354" i="2"/>
  <c r="M354" i="2"/>
  <c r="C354" i="2"/>
  <c r="X344" i="2"/>
  <c r="Y344" i="2" l="1"/>
  <c r="R354" i="2"/>
  <c r="G354" i="2"/>
  <c r="AA342" i="2"/>
  <c r="C343" i="2" s="1"/>
  <c r="I352" i="2"/>
  <c r="K354" i="2"/>
  <c r="V348" i="2"/>
  <c r="J358" i="2"/>
  <c r="Z344" i="2"/>
  <c r="H354" i="2"/>
  <c r="H353" i="2"/>
  <c r="L356" i="2"/>
  <c r="D356" i="2"/>
  <c r="T350" i="2"/>
  <c r="M356" i="2"/>
  <c r="A357" i="2"/>
  <c r="C356" i="2"/>
  <c r="AC354" i="2"/>
  <c r="U350" i="2"/>
  <c r="D353" i="2"/>
  <c r="S352" i="2"/>
  <c r="E356" i="2"/>
  <c r="P354" i="2"/>
  <c r="B353" i="2"/>
  <c r="E353" i="2"/>
  <c r="A356" i="2"/>
  <c r="F356" i="2"/>
  <c r="B356" i="2"/>
  <c r="N356" i="2"/>
  <c r="W346" i="2"/>
  <c r="X346" i="2"/>
  <c r="Y346" i="2" l="1"/>
  <c r="R356" i="2"/>
  <c r="G356" i="2"/>
  <c r="V350" i="2"/>
  <c r="I354" i="2"/>
  <c r="K356" i="2"/>
  <c r="AA344" i="2"/>
  <c r="C345" i="2" s="1"/>
  <c r="J360" i="2"/>
  <c r="AC356" i="2"/>
  <c r="T352" i="2"/>
  <c r="H355" i="2"/>
  <c r="L358" i="2"/>
  <c r="F358" i="2"/>
  <c r="W348" i="2"/>
  <c r="P356" i="2"/>
  <c r="U352" i="2"/>
  <c r="B358" i="2"/>
  <c r="H356" i="2"/>
  <c r="D355" i="2"/>
  <c r="E358" i="2"/>
  <c r="A359" i="2"/>
  <c r="N358" i="2"/>
  <c r="S354" i="2"/>
  <c r="Z346" i="2"/>
  <c r="B355" i="2"/>
  <c r="E355" i="2"/>
  <c r="A358" i="2"/>
  <c r="C358" i="2"/>
  <c r="M358" i="2"/>
  <c r="D358" i="2"/>
  <c r="X348" i="2"/>
  <c r="Y348" i="2" l="1"/>
  <c r="AA346" i="2"/>
  <c r="C347" i="2" s="1"/>
  <c r="I356" i="2"/>
  <c r="K358" i="2"/>
  <c r="R358" i="2"/>
  <c r="V352" i="2"/>
  <c r="G358" i="2"/>
  <c r="J362" i="2"/>
  <c r="Z348" i="2"/>
  <c r="H358" i="2"/>
  <c r="D357" i="2"/>
  <c r="F360" i="2"/>
  <c r="P358" i="2"/>
  <c r="AC358" i="2"/>
  <c r="E357" i="2"/>
  <c r="T354" i="2"/>
  <c r="M360" i="2"/>
  <c r="D360" i="2"/>
  <c r="B360" i="2"/>
  <c r="H357" i="2"/>
  <c r="C360" i="2"/>
  <c r="L360" i="2"/>
  <c r="S356" i="2"/>
  <c r="U354" i="2"/>
  <c r="B357" i="2"/>
  <c r="E360" i="2"/>
  <c r="A361" i="2"/>
  <c r="N360" i="2"/>
  <c r="A360" i="2"/>
  <c r="W350" i="2"/>
  <c r="X350" i="2"/>
  <c r="Y350" i="2" l="1"/>
  <c r="I358" i="2"/>
  <c r="K360" i="2"/>
  <c r="V354" i="2"/>
  <c r="R360" i="2"/>
  <c r="G360" i="2"/>
  <c r="AA348" i="2"/>
  <c r="C349" i="2" s="1"/>
  <c r="J364" i="2"/>
  <c r="E359" i="2"/>
  <c r="W352" i="2"/>
  <c r="A362" i="2"/>
  <c r="C362" i="2"/>
  <c r="H360" i="2"/>
  <c r="AC360" i="2"/>
  <c r="B359" i="2"/>
  <c r="S358" i="2"/>
  <c r="X352" i="2"/>
  <c r="P360" i="2"/>
  <c r="T356" i="2"/>
  <c r="D359" i="2"/>
  <c r="M362" i="2"/>
  <c r="D362" i="2"/>
  <c r="B362" i="2"/>
  <c r="Z350" i="2"/>
  <c r="U356" i="2"/>
  <c r="H359" i="2"/>
  <c r="E362" i="2"/>
  <c r="A363" i="2"/>
  <c r="N362" i="2"/>
  <c r="L362" i="2"/>
  <c r="F362" i="2"/>
  <c r="G362" i="2" l="1"/>
  <c r="I360" i="2"/>
  <c r="K362" i="2"/>
  <c r="V356" i="2"/>
  <c r="AA350" i="2"/>
  <c r="C351" i="2" s="1"/>
  <c r="R362" i="2"/>
  <c r="Y352" i="2"/>
  <c r="J366" i="2"/>
  <c r="P362" i="2"/>
  <c r="B361" i="2"/>
  <c r="U358" i="2"/>
  <c r="W354" i="2"/>
  <c r="A364" i="2"/>
  <c r="C364" i="2"/>
  <c r="E361" i="2"/>
  <c r="M364" i="2"/>
  <c r="B364" i="2"/>
  <c r="H362" i="2"/>
  <c r="E364" i="2"/>
  <c r="N364" i="2"/>
  <c r="D361" i="2"/>
  <c r="H361" i="2"/>
  <c r="X354" i="2"/>
  <c r="L364" i="2"/>
  <c r="F364" i="2"/>
  <c r="S360" i="2"/>
  <c r="AC362" i="2"/>
  <c r="Z352" i="2"/>
  <c r="D364" i="2"/>
  <c r="T358" i="2"/>
  <c r="A365" i="2"/>
  <c r="I362" i="2" l="1"/>
  <c r="K364" i="2"/>
  <c r="AA352" i="2"/>
  <c r="C353" i="2" s="1"/>
  <c r="G364" i="2"/>
  <c r="Y354" i="2"/>
  <c r="R364" i="2"/>
  <c r="V358" i="2"/>
  <c r="J368" i="2"/>
  <c r="H363" i="2"/>
  <c r="B363" i="2"/>
  <c r="S362" i="2"/>
  <c r="E366" i="2"/>
  <c r="A367" i="2"/>
  <c r="N366" i="2"/>
  <c r="E363" i="2"/>
  <c r="Z354" i="2"/>
  <c r="AC364" i="2"/>
  <c r="D363" i="2"/>
  <c r="A366" i="2"/>
  <c r="C366" i="2"/>
  <c r="U360" i="2"/>
  <c r="X356" i="2"/>
  <c r="T360" i="2"/>
  <c r="H364" i="2"/>
  <c r="W356" i="2"/>
  <c r="L366" i="2"/>
  <c r="F366" i="2"/>
  <c r="P364" i="2"/>
  <c r="M366" i="2"/>
  <c r="D366" i="2"/>
  <c r="B366" i="2"/>
  <c r="R366" i="2" l="1"/>
  <c r="G366" i="2"/>
  <c r="Y356" i="2"/>
  <c r="V360" i="2"/>
  <c r="AA354" i="2"/>
  <c r="C355" i="2" s="1"/>
  <c r="I364" i="2"/>
  <c r="K366" i="2"/>
  <c r="J370" i="2"/>
  <c r="H366" i="2"/>
  <c r="T362" i="2"/>
  <c r="M368" i="2"/>
  <c r="D368" i="2"/>
  <c r="B368" i="2"/>
  <c r="E365" i="2"/>
  <c r="W358" i="2"/>
  <c r="A368" i="2"/>
  <c r="C368" i="2"/>
  <c r="D365" i="2"/>
  <c r="L368" i="2"/>
  <c r="F368" i="2"/>
  <c r="AC366" i="2"/>
  <c r="H365" i="2"/>
  <c r="P366" i="2"/>
  <c r="U362" i="2"/>
  <c r="E368" i="2"/>
  <c r="A369" i="2"/>
  <c r="N368" i="2"/>
  <c r="B365" i="2"/>
  <c r="Z356" i="2"/>
  <c r="X358" i="2"/>
  <c r="S364" i="2"/>
  <c r="Y358" i="2" l="1"/>
  <c r="AA356" i="2"/>
  <c r="C357" i="2" s="1"/>
  <c r="I366" i="2"/>
  <c r="K368" i="2"/>
  <c r="V362" i="2"/>
  <c r="G368" i="2"/>
  <c r="R368" i="2"/>
  <c r="J372" i="2"/>
  <c r="T364" i="2"/>
  <c r="H368" i="2"/>
  <c r="E367" i="2"/>
  <c r="AC368" i="2"/>
  <c r="A370" i="2"/>
  <c r="C370" i="2"/>
  <c r="F370" i="2"/>
  <c r="D367" i="2"/>
  <c r="M370" i="2"/>
  <c r="B370" i="2"/>
  <c r="E370" i="2"/>
  <c r="A371" i="2"/>
  <c r="N370" i="2"/>
  <c r="S366" i="2"/>
  <c r="U364" i="2"/>
  <c r="P368" i="2"/>
  <c r="B367" i="2"/>
  <c r="L370" i="2"/>
  <c r="W360" i="2"/>
  <c r="Z358" i="2"/>
  <c r="D370" i="2"/>
  <c r="X360" i="2"/>
  <c r="H367" i="2"/>
  <c r="Y360" i="2" l="1"/>
  <c r="AA358" i="2"/>
  <c r="C359" i="2" s="1"/>
  <c r="V364" i="2"/>
  <c r="I368" i="2"/>
  <c r="K370" i="2"/>
  <c r="R370" i="2"/>
  <c r="G370" i="2"/>
  <c r="J374" i="2"/>
  <c r="T366" i="2"/>
  <c r="S368" i="2"/>
  <c r="M372" i="2"/>
  <c r="D372" i="2"/>
  <c r="B372" i="2"/>
  <c r="D369" i="2"/>
  <c r="H370" i="2"/>
  <c r="E369" i="2"/>
  <c r="A372" i="2"/>
  <c r="L372" i="2"/>
  <c r="X362" i="2"/>
  <c r="B369" i="2"/>
  <c r="U366" i="2"/>
  <c r="H369" i="2"/>
  <c r="E372" i="2"/>
  <c r="A373" i="2"/>
  <c r="N372" i="2"/>
  <c r="Z360" i="2"/>
  <c r="C372" i="2"/>
  <c r="W362" i="2"/>
  <c r="P370" i="2"/>
  <c r="AC370" i="2"/>
  <c r="F372" i="2"/>
  <c r="G372" i="2" l="1"/>
  <c r="AA360" i="2"/>
  <c r="C361" i="2" s="1"/>
  <c r="I370" i="2"/>
  <c r="K372" i="2"/>
  <c r="V366" i="2"/>
  <c r="Y362" i="2"/>
  <c r="R372" i="2"/>
  <c r="J376" i="2"/>
  <c r="D371" i="2"/>
  <c r="P372" i="2"/>
  <c r="Z362" i="2"/>
  <c r="U368" i="2"/>
  <c r="E374" i="2"/>
  <c r="L374" i="2"/>
  <c r="B374" i="2"/>
  <c r="C374" i="2"/>
  <c r="F374" i="2"/>
  <c r="H371" i="2"/>
  <c r="A374" i="2"/>
  <c r="W364" i="2"/>
  <c r="T368" i="2"/>
  <c r="S370" i="2"/>
  <c r="E371" i="2"/>
  <c r="AC372" i="2"/>
  <c r="M374" i="2"/>
  <c r="N374" i="2"/>
  <c r="A375" i="2"/>
  <c r="X364" i="2"/>
  <c r="B371" i="2"/>
  <c r="H372" i="2"/>
  <c r="D374" i="2"/>
  <c r="Y364" i="2" l="1"/>
  <c r="I372" i="2"/>
  <c r="K374" i="2"/>
  <c r="G374" i="2"/>
  <c r="R374" i="2"/>
  <c r="V368" i="2"/>
  <c r="AA362" i="2"/>
  <c r="C363" i="2" s="1"/>
  <c r="J378" i="2"/>
  <c r="Z364" i="2"/>
  <c r="H374" i="2"/>
  <c r="U370" i="2"/>
  <c r="AC374" i="2"/>
  <c r="B373" i="2"/>
  <c r="W366" i="2"/>
  <c r="H373" i="2"/>
  <c r="D373" i="2"/>
  <c r="M376" i="2"/>
  <c r="D376" i="2"/>
  <c r="B376" i="2"/>
  <c r="X366" i="2"/>
  <c r="A376" i="2"/>
  <c r="C376" i="2"/>
  <c r="F376" i="2"/>
  <c r="L376" i="2"/>
  <c r="E373" i="2"/>
  <c r="S372" i="2"/>
  <c r="E376" i="2"/>
  <c r="N376" i="2"/>
  <c r="A377" i="2"/>
  <c r="P374" i="2"/>
  <c r="T370" i="2"/>
  <c r="I374" i="2" l="1"/>
  <c r="K376" i="2"/>
  <c r="G376" i="2"/>
  <c r="Y366" i="2"/>
  <c r="R376" i="2"/>
  <c r="V370" i="2"/>
  <c r="AA364" i="2"/>
  <c r="C365" i="2" s="1"/>
  <c r="J380" i="2"/>
  <c r="D375" i="2"/>
  <c r="P376" i="2"/>
  <c r="L378" i="2"/>
  <c r="W368" i="2"/>
  <c r="B375" i="2"/>
  <c r="H376" i="2"/>
  <c r="Z366" i="2"/>
  <c r="E375" i="2"/>
  <c r="M378" i="2"/>
  <c r="B378" i="2"/>
  <c r="T372" i="2"/>
  <c r="AC376" i="2"/>
  <c r="H375" i="2"/>
  <c r="E378" i="2"/>
  <c r="N378" i="2"/>
  <c r="A379" i="2"/>
  <c r="S374" i="2"/>
  <c r="U372" i="2"/>
  <c r="A378" i="2"/>
  <c r="C378" i="2"/>
  <c r="F378" i="2"/>
  <c r="D378" i="2"/>
  <c r="X368" i="2"/>
  <c r="Y368" i="2" l="1"/>
  <c r="G378" i="2"/>
  <c r="V372" i="2"/>
  <c r="I376" i="2"/>
  <c r="K378" i="2"/>
  <c r="R378" i="2"/>
  <c r="AA366" i="2"/>
  <c r="C367" i="2" s="1"/>
  <c r="J382" i="2"/>
  <c r="E377" i="2"/>
  <c r="B377" i="2"/>
  <c r="A380" i="2"/>
  <c r="C380" i="2"/>
  <c r="A381" i="2"/>
  <c r="H377" i="2"/>
  <c r="W370" i="2"/>
  <c r="L380" i="2"/>
  <c r="T374" i="2"/>
  <c r="P378" i="2"/>
  <c r="X370" i="2"/>
  <c r="M380" i="2"/>
  <c r="D380" i="2"/>
  <c r="B380" i="2"/>
  <c r="Z368" i="2"/>
  <c r="U374" i="2"/>
  <c r="H378" i="2"/>
  <c r="AC378" i="2"/>
  <c r="D377" i="2"/>
  <c r="S376" i="2"/>
  <c r="E380" i="2"/>
  <c r="N380" i="2"/>
  <c r="F380" i="2"/>
  <c r="G380" i="2" l="1"/>
  <c r="V374" i="2"/>
  <c r="AA368" i="2"/>
  <c r="C369" i="2" s="1"/>
  <c r="R380" i="2"/>
  <c r="Y370" i="2"/>
  <c r="I378" i="2"/>
  <c r="K380" i="2"/>
  <c r="J384" i="2"/>
  <c r="P380" i="2"/>
  <c r="E379" i="2"/>
  <c r="AC380" i="2"/>
  <c r="B379" i="2"/>
  <c r="L382" i="2"/>
  <c r="W372" i="2"/>
  <c r="H380" i="2"/>
  <c r="H379" i="2"/>
  <c r="M382" i="2"/>
  <c r="D382" i="2"/>
  <c r="B382" i="2"/>
  <c r="X372" i="2"/>
  <c r="A382" i="2"/>
  <c r="C382" i="2"/>
  <c r="T376" i="2"/>
  <c r="Z370" i="2"/>
  <c r="E382" i="2"/>
  <c r="N382" i="2"/>
  <c r="A383" i="2"/>
  <c r="S378" i="2"/>
  <c r="U376" i="2"/>
  <c r="D379" i="2"/>
  <c r="F382" i="2"/>
  <c r="G382" i="2" l="1"/>
  <c r="V376" i="2"/>
  <c r="I380" i="2"/>
  <c r="K382" i="2"/>
  <c r="AA370" i="2"/>
  <c r="C371" i="2" s="1"/>
  <c r="Y372" i="2"/>
  <c r="R382" i="2"/>
  <c r="J386" i="2"/>
  <c r="B381" i="2"/>
  <c r="A384" i="2"/>
  <c r="C384" i="2"/>
  <c r="F384" i="2"/>
  <c r="E381" i="2"/>
  <c r="W374" i="2"/>
  <c r="M384" i="2"/>
  <c r="D384" i="2"/>
  <c r="D381" i="2"/>
  <c r="N384" i="2"/>
  <c r="T378" i="2"/>
  <c r="P382" i="2"/>
  <c r="Z372" i="2"/>
  <c r="L384" i="2"/>
  <c r="B384" i="2"/>
  <c r="S380" i="2"/>
  <c r="A385" i="2"/>
  <c r="U378" i="2"/>
  <c r="H382" i="2"/>
  <c r="AC382" i="2"/>
  <c r="H381" i="2"/>
  <c r="X374" i="2"/>
  <c r="E384" i="2"/>
  <c r="Y374" i="2" l="1"/>
  <c r="V378" i="2"/>
  <c r="I382" i="2"/>
  <c r="K384" i="2"/>
  <c r="R384" i="2"/>
  <c r="AA372" i="2"/>
  <c r="C373" i="2" s="1"/>
  <c r="G384" i="2"/>
  <c r="J388" i="2"/>
  <c r="Z374" i="2"/>
  <c r="AC384" i="2"/>
  <c r="B383" i="2"/>
  <c r="A386" i="2"/>
  <c r="C386" i="2"/>
  <c r="F386" i="2"/>
  <c r="W376" i="2"/>
  <c r="S382" i="2"/>
  <c r="E383" i="2"/>
  <c r="L386" i="2"/>
  <c r="H383" i="2"/>
  <c r="T380" i="2"/>
  <c r="P384" i="2"/>
  <c r="M386" i="2"/>
  <c r="D386" i="2"/>
  <c r="B386" i="2"/>
  <c r="X376" i="2"/>
  <c r="U380" i="2"/>
  <c r="D383" i="2"/>
  <c r="H384" i="2"/>
  <c r="E386" i="2"/>
  <c r="N386" i="2"/>
  <c r="A387" i="2"/>
  <c r="I384" i="2" l="1"/>
  <c r="K386" i="2"/>
  <c r="V380" i="2"/>
  <c r="Y376" i="2"/>
  <c r="R386" i="2"/>
  <c r="G386" i="2"/>
  <c r="AA374" i="2"/>
  <c r="C375" i="2" s="1"/>
  <c r="J390" i="2"/>
  <c r="D385" i="2"/>
  <c r="U382" i="2"/>
  <c r="H385" i="2"/>
  <c r="M388" i="2"/>
  <c r="D388" i="2"/>
  <c r="B388" i="2"/>
  <c r="X378" i="2"/>
  <c r="Z376" i="2"/>
  <c r="B385" i="2"/>
  <c r="E388" i="2"/>
  <c r="N388" i="2"/>
  <c r="F388" i="2"/>
  <c r="L388" i="2"/>
  <c r="P386" i="2"/>
  <c r="AC386" i="2"/>
  <c r="W378" i="2"/>
  <c r="A388" i="2"/>
  <c r="C388" i="2"/>
  <c r="A389" i="2"/>
  <c r="H386" i="2"/>
  <c r="T382" i="2"/>
  <c r="E385" i="2"/>
  <c r="S384" i="2"/>
  <c r="I386" i="2" l="1"/>
  <c r="K388" i="2"/>
  <c r="G388" i="2"/>
  <c r="AA376" i="2"/>
  <c r="C377" i="2" s="1"/>
  <c r="Y378" i="2"/>
  <c r="R388" i="2"/>
  <c r="V382" i="2"/>
  <c r="J392" i="2"/>
  <c r="T384" i="2"/>
  <c r="D387" i="2"/>
  <c r="H388" i="2"/>
  <c r="A390" i="2"/>
  <c r="C390" i="2"/>
  <c r="F390" i="2"/>
  <c r="W380" i="2"/>
  <c r="L390" i="2"/>
  <c r="X380" i="2"/>
  <c r="U384" i="2"/>
  <c r="B387" i="2"/>
  <c r="S386" i="2"/>
  <c r="E387" i="2"/>
  <c r="Z378" i="2"/>
  <c r="M390" i="2"/>
  <c r="D390" i="2"/>
  <c r="B390" i="2"/>
  <c r="H387" i="2"/>
  <c r="P388" i="2"/>
  <c r="AC388" i="2"/>
  <c r="E390" i="2"/>
  <c r="N390" i="2"/>
  <c r="A391" i="2"/>
  <c r="I388" i="2" l="1"/>
  <c r="K390" i="2"/>
  <c r="R390" i="2"/>
  <c r="AA378" i="2"/>
  <c r="C379" i="2" s="1"/>
  <c r="V384" i="2"/>
  <c r="Y380" i="2"/>
  <c r="G390" i="2"/>
  <c r="J394" i="2"/>
  <c r="P390" i="2"/>
  <c r="D389" i="2"/>
  <c r="Z380" i="2"/>
  <c r="M392" i="2"/>
  <c r="D392" i="2"/>
  <c r="B392" i="2"/>
  <c r="X382" i="2"/>
  <c r="L392" i="2"/>
  <c r="H390" i="2"/>
  <c r="B389" i="2"/>
  <c r="T386" i="2"/>
  <c r="E392" i="2"/>
  <c r="N392" i="2"/>
  <c r="A393" i="2"/>
  <c r="S388" i="2"/>
  <c r="E389" i="2"/>
  <c r="AC390" i="2"/>
  <c r="U386" i="2"/>
  <c r="A392" i="2"/>
  <c r="C392" i="2"/>
  <c r="F392" i="2"/>
  <c r="H389" i="2"/>
  <c r="W382" i="2"/>
  <c r="G392" i="2" l="1"/>
  <c r="V386" i="2"/>
  <c r="I390" i="2"/>
  <c r="K392" i="2"/>
  <c r="Y382" i="2"/>
  <c r="R392" i="2"/>
  <c r="AA380" i="2"/>
  <c r="C381" i="2" s="1"/>
  <c r="J396" i="2"/>
  <c r="U388" i="2"/>
  <c r="H392" i="2"/>
  <c r="M394" i="2"/>
  <c r="D394" i="2"/>
  <c r="B394" i="2"/>
  <c r="X384" i="2"/>
  <c r="F394" i="2"/>
  <c r="AC392" i="2"/>
  <c r="W384" i="2"/>
  <c r="E391" i="2"/>
  <c r="E394" i="2"/>
  <c r="N394" i="2"/>
  <c r="A395" i="2"/>
  <c r="S390" i="2"/>
  <c r="H391" i="2"/>
  <c r="Z382" i="2"/>
  <c r="D391" i="2"/>
  <c r="A394" i="2"/>
  <c r="C394" i="2"/>
  <c r="T388" i="2"/>
  <c r="P392" i="2"/>
  <c r="B391" i="2"/>
  <c r="L394" i="2"/>
  <c r="AA382" i="2" l="1"/>
  <c r="C383" i="2" s="1"/>
  <c r="I392" i="2"/>
  <c r="K394" i="2"/>
  <c r="G394" i="2"/>
  <c r="Y384" i="2"/>
  <c r="R394" i="2"/>
  <c r="V388" i="2"/>
  <c r="J398" i="2"/>
  <c r="Z384" i="2"/>
  <c r="M396" i="2"/>
  <c r="D396" i="2"/>
  <c r="B396" i="2"/>
  <c r="T390" i="2"/>
  <c r="H393" i="2"/>
  <c r="U390" i="2"/>
  <c r="L396" i="2"/>
  <c r="X386" i="2"/>
  <c r="E393" i="2"/>
  <c r="AC394" i="2"/>
  <c r="E396" i="2"/>
  <c r="N396" i="2"/>
  <c r="F396" i="2"/>
  <c r="D393" i="2"/>
  <c r="P394" i="2"/>
  <c r="A396" i="2"/>
  <c r="C396" i="2"/>
  <c r="A397" i="2"/>
  <c r="W386" i="2"/>
  <c r="B393" i="2"/>
  <c r="H394" i="2"/>
  <c r="S392" i="2"/>
  <c r="I394" i="2" l="1"/>
  <c r="K396" i="2"/>
  <c r="G396" i="2"/>
  <c r="Y386" i="2"/>
  <c r="V390" i="2"/>
  <c r="R396" i="2"/>
  <c r="AA384" i="2"/>
  <c r="C385" i="2" s="1"/>
  <c r="J400" i="2"/>
  <c r="B395" i="2"/>
  <c r="E395" i="2"/>
  <c r="A399" i="2"/>
  <c r="A398" i="2"/>
  <c r="L398" i="2"/>
  <c r="X388" i="2"/>
  <c r="Z386" i="2"/>
  <c r="M398" i="2"/>
  <c r="N398" i="2"/>
  <c r="F398" i="2"/>
  <c r="U392" i="2"/>
  <c r="E398" i="2"/>
  <c r="C398" i="2"/>
  <c r="W388" i="2"/>
  <c r="H395" i="2"/>
  <c r="AC396" i="2"/>
  <c r="D398" i="2"/>
  <c r="B398" i="2"/>
  <c r="S394" i="2"/>
  <c r="T392" i="2"/>
  <c r="P396" i="2"/>
  <c r="D395" i="2"/>
  <c r="H396" i="2"/>
  <c r="R398" i="2" l="1"/>
  <c r="V392" i="2"/>
  <c r="G398" i="2"/>
  <c r="AA386" i="2"/>
  <c r="C387" i="2" s="1"/>
  <c r="Y388" i="2"/>
  <c r="I396" i="2"/>
  <c r="K398" i="2"/>
  <c r="J402" i="2"/>
  <c r="D397" i="2"/>
  <c r="U394" i="2"/>
  <c r="H397" i="2"/>
  <c r="P398" i="2"/>
  <c r="N400" i="2"/>
  <c r="E400" i="2"/>
  <c r="W390" i="2"/>
  <c r="F400" i="2"/>
  <c r="A400" i="2"/>
  <c r="Z388" i="2"/>
  <c r="D400" i="2"/>
  <c r="B397" i="2"/>
  <c r="AC398" i="2"/>
  <c r="H398" i="2"/>
  <c r="A401" i="2"/>
  <c r="X390" i="2"/>
  <c r="S396" i="2"/>
  <c r="C400" i="2"/>
  <c r="B400" i="2"/>
  <c r="L400" i="2"/>
  <c r="T394" i="2"/>
  <c r="E397" i="2"/>
  <c r="M400" i="2"/>
  <c r="R400" i="2" l="1"/>
  <c r="Y390" i="2"/>
  <c r="K400" i="2"/>
  <c r="I398" i="2"/>
  <c r="AA388" i="2"/>
  <c r="C389" i="2" s="1"/>
  <c r="G400" i="2"/>
  <c r="V394" i="2"/>
  <c r="J404" i="2"/>
  <c r="U396" i="2"/>
  <c r="E399" i="2"/>
  <c r="B399" i="2"/>
  <c r="C402" i="2"/>
  <c r="B402" i="2"/>
  <c r="L402" i="2"/>
  <c r="H399" i="2"/>
  <c r="M402" i="2"/>
  <c r="F402" i="2"/>
  <c r="A402" i="2"/>
  <c r="AC400" i="2"/>
  <c r="Z390" i="2"/>
  <c r="P400" i="2"/>
  <c r="S398" i="2"/>
  <c r="D402" i="2"/>
  <c r="H400" i="2"/>
  <c r="W392" i="2"/>
  <c r="N402" i="2"/>
  <c r="E402" i="2"/>
  <c r="X392" i="2"/>
  <c r="T396" i="2"/>
  <c r="D399" i="2"/>
  <c r="A403" i="2"/>
  <c r="K402" i="2" l="1"/>
  <c r="I400" i="2"/>
  <c r="Y392" i="2"/>
  <c r="AA390" i="2"/>
  <c r="C391" i="2" s="1"/>
  <c r="G402" i="2"/>
  <c r="R402" i="2"/>
  <c r="V396" i="2"/>
  <c r="J406" i="2"/>
  <c r="P402" i="2"/>
  <c r="U398" i="2"/>
  <c r="E401" i="2"/>
  <c r="S400" i="2"/>
  <c r="N404" i="2"/>
  <c r="E404" i="2"/>
  <c r="W394" i="2"/>
  <c r="A405" i="2"/>
  <c r="A404" i="2"/>
  <c r="X394" i="2"/>
  <c r="D404" i="2"/>
  <c r="H402" i="2"/>
  <c r="D401" i="2"/>
  <c r="H401" i="2"/>
  <c r="F404" i="2"/>
  <c r="AC402" i="2"/>
  <c r="B401" i="2"/>
  <c r="C404" i="2"/>
  <c r="B404" i="2"/>
  <c r="L404" i="2"/>
  <c r="Z392" i="2"/>
  <c r="T398" i="2"/>
  <c r="M404" i="2"/>
  <c r="AA392" i="2" l="1"/>
  <c r="C393" i="2" s="1"/>
  <c r="R404" i="2"/>
  <c r="G404" i="2"/>
  <c r="Y394" i="2"/>
  <c r="K404" i="2"/>
  <c r="I402" i="2"/>
  <c r="V398" i="2"/>
  <c r="J408" i="2"/>
  <c r="H403" i="2"/>
  <c r="T400" i="2"/>
  <c r="B403" i="2"/>
  <c r="N406" i="2"/>
  <c r="E406" i="2"/>
  <c r="W396" i="2"/>
  <c r="S402" i="2"/>
  <c r="AC404" i="2"/>
  <c r="U400" i="2"/>
  <c r="Z394" i="2"/>
  <c r="P404" i="2"/>
  <c r="C406" i="2"/>
  <c r="B406" i="2"/>
  <c r="L406" i="2"/>
  <c r="E403" i="2"/>
  <c r="H404" i="2"/>
  <c r="D403" i="2"/>
  <c r="M406" i="2"/>
  <c r="D406" i="2"/>
  <c r="A407" i="2"/>
  <c r="F406" i="2"/>
  <c r="A406" i="2"/>
  <c r="X396" i="2"/>
  <c r="Y396" i="2" l="1"/>
  <c r="G406" i="2"/>
  <c r="K406" i="2"/>
  <c r="I404" i="2"/>
  <c r="R406" i="2"/>
  <c r="AA394" i="2"/>
  <c r="C395" i="2" s="1"/>
  <c r="V400" i="2"/>
  <c r="J410" i="2"/>
  <c r="Z396" i="2"/>
  <c r="AC406" i="2"/>
  <c r="T402" i="2"/>
  <c r="H406" i="2"/>
  <c r="C408" i="2"/>
  <c r="M408" i="2"/>
  <c r="D408" i="2"/>
  <c r="E408" i="2"/>
  <c r="W398" i="2"/>
  <c r="U402" i="2"/>
  <c r="N408" i="2"/>
  <c r="S404" i="2"/>
  <c r="D405" i="2"/>
  <c r="E405" i="2"/>
  <c r="F408" i="2"/>
  <c r="A408" i="2"/>
  <c r="X398" i="2"/>
  <c r="B405" i="2"/>
  <c r="H405" i="2"/>
  <c r="P406" i="2"/>
  <c r="A409" i="2"/>
  <c r="B408" i="2"/>
  <c r="L408" i="2"/>
  <c r="R408" i="2" l="1"/>
  <c r="K408" i="2"/>
  <c r="I406" i="2"/>
  <c r="Y398" i="2"/>
  <c r="G408" i="2"/>
  <c r="H408" i="2"/>
  <c r="V402" i="2"/>
  <c r="AA396" i="2"/>
  <c r="C397" i="2" s="1"/>
  <c r="J412" i="2"/>
  <c r="B407" i="2"/>
  <c r="U404" i="2"/>
  <c r="M410" i="2"/>
  <c r="A411" i="2"/>
  <c r="W400" i="2"/>
  <c r="S406" i="2"/>
  <c r="Z398" i="2"/>
  <c r="D410" i="2"/>
  <c r="X400" i="2"/>
  <c r="E407" i="2"/>
  <c r="N410" i="2"/>
  <c r="L410" i="2"/>
  <c r="A410" i="2"/>
  <c r="AC408" i="2"/>
  <c r="D407" i="2"/>
  <c r="T404" i="2"/>
  <c r="H407" i="2"/>
  <c r="F410" i="2"/>
  <c r="C410" i="2"/>
  <c r="E410" i="2"/>
  <c r="P408" i="2"/>
  <c r="B410" i="2"/>
  <c r="R410" i="2" l="1"/>
  <c r="B409" i="2"/>
  <c r="G410" i="2"/>
  <c r="Y400" i="2"/>
  <c r="AA398" i="2"/>
  <c r="C399" i="2" s="1"/>
  <c r="K410" i="2"/>
  <c r="I408" i="2"/>
  <c r="V404" i="2"/>
  <c r="J414" i="2"/>
  <c r="H410" i="2"/>
  <c r="U406" i="2"/>
  <c r="B412" i="2"/>
  <c r="L412" i="2"/>
  <c r="W402" i="2"/>
  <c r="S408" i="2"/>
  <c r="D409" i="2"/>
  <c r="E409" i="2"/>
  <c r="Z400" i="2"/>
  <c r="M412" i="2"/>
  <c r="D412" i="2"/>
  <c r="X402" i="2"/>
  <c r="H409" i="2"/>
  <c r="N412" i="2"/>
  <c r="E412" i="2"/>
  <c r="A413" i="2"/>
  <c r="AC410" i="2"/>
  <c r="P410" i="2"/>
  <c r="T406" i="2"/>
  <c r="F412" i="2"/>
  <c r="A412" i="2"/>
  <c r="C412" i="2"/>
  <c r="G412" i="2" l="1"/>
  <c r="I410" i="2"/>
  <c r="K412" i="2"/>
  <c r="Y402" i="2"/>
  <c r="AA400" i="2"/>
  <c r="C401" i="2" s="1"/>
  <c r="R412" i="2"/>
  <c r="V406" i="2"/>
  <c r="J416" i="2"/>
  <c r="E411" i="2"/>
  <c r="P412" i="2"/>
  <c r="U408" i="2"/>
  <c r="B414" i="2"/>
  <c r="L414" i="2"/>
  <c r="W404" i="2"/>
  <c r="D411" i="2"/>
  <c r="Z402" i="2"/>
  <c r="M414" i="2"/>
  <c r="D414" i="2"/>
  <c r="X404" i="2"/>
  <c r="B411" i="2"/>
  <c r="AC412" i="2"/>
  <c r="N414" i="2"/>
  <c r="E414" i="2"/>
  <c r="A415" i="2"/>
  <c r="H411" i="2"/>
  <c r="H412" i="2"/>
  <c r="T408" i="2"/>
  <c r="F414" i="2"/>
  <c r="A414" i="2"/>
  <c r="C414" i="2"/>
  <c r="S410" i="2"/>
  <c r="G414" i="2" l="1"/>
  <c r="I412" i="2"/>
  <c r="K414" i="2"/>
  <c r="Y404" i="2"/>
  <c r="AA402" i="2"/>
  <c r="C403" i="2" s="1"/>
  <c r="R414" i="2"/>
  <c r="V408" i="2"/>
  <c r="J418" i="2"/>
  <c r="T410" i="2"/>
  <c r="H413" i="2"/>
  <c r="D413" i="2"/>
  <c r="B416" i="2"/>
  <c r="L416" i="2"/>
  <c r="W406" i="2"/>
  <c r="A416" i="2"/>
  <c r="U410" i="2"/>
  <c r="E413" i="2"/>
  <c r="AC414" i="2"/>
  <c r="B413" i="2"/>
  <c r="M416" i="2"/>
  <c r="D416" i="2"/>
  <c r="X406" i="2"/>
  <c r="H414" i="2"/>
  <c r="Z404" i="2"/>
  <c r="N416" i="2"/>
  <c r="E416" i="2"/>
  <c r="A417" i="2"/>
  <c r="P414" i="2"/>
  <c r="S412" i="2"/>
  <c r="F416" i="2"/>
  <c r="C416" i="2"/>
  <c r="G416" i="2" l="1"/>
  <c r="I414" i="2"/>
  <c r="K416" i="2"/>
  <c r="AA404" i="2"/>
  <c r="C405" i="2" s="1"/>
  <c r="Y406" i="2"/>
  <c r="V410" i="2"/>
  <c r="R416" i="2"/>
  <c r="J420" i="2"/>
  <c r="B415" i="2"/>
  <c r="P416" i="2"/>
  <c r="E415" i="2"/>
  <c r="B418" i="2"/>
  <c r="L418" i="2"/>
  <c r="W408" i="2"/>
  <c r="M418" i="2"/>
  <c r="X408" i="2"/>
  <c r="T412" i="2"/>
  <c r="D418" i="2"/>
  <c r="F418" i="2"/>
  <c r="U412" i="2"/>
  <c r="Z406" i="2"/>
  <c r="N418" i="2"/>
  <c r="E418" i="2"/>
  <c r="A419" i="2"/>
  <c r="D415" i="2"/>
  <c r="H416" i="2"/>
  <c r="AC416" i="2"/>
  <c r="S414" i="2"/>
  <c r="C418" i="2"/>
  <c r="H415" i="2"/>
  <c r="A418" i="2"/>
  <c r="I416" i="2" l="1"/>
  <c r="K418" i="2"/>
  <c r="AA406" i="2"/>
  <c r="C407" i="2" s="1"/>
  <c r="V412" i="2"/>
  <c r="G418" i="2"/>
  <c r="Y408" i="2"/>
  <c r="R418" i="2"/>
  <c r="J422" i="2"/>
  <c r="U414" i="2"/>
  <c r="B417" i="2"/>
  <c r="B420" i="2"/>
  <c r="L420" i="2"/>
  <c r="W410" i="2"/>
  <c r="H417" i="2"/>
  <c r="H418" i="2"/>
  <c r="AC418" i="2"/>
  <c r="M420" i="2"/>
  <c r="D420" i="2"/>
  <c r="X410" i="2"/>
  <c r="E417" i="2"/>
  <c r="P418" i="2"/>
  <c r="N420" i="2"/>
  <c r="E420" i="2"/>
  <c r="A421" i="2"/>
  <c r="T414" i="2"/>
  <c r="Z408" i="2"/>
  <c r="D417" i="2"/>
  <c r="F420" i="2"/>
  <c r="A420" i="2"/>
  <c r="C420" i="2"/>
  <c r="S416" i="2"/>
  <c r="G420" i="2" l="1"/>
  <c r="AA408" i="2"/>
  <c r="C409" i="2" s="1"/>
  <c r="I418" i="2"/>
  <c r="K420" i="2"/>
  <c r="Y410" i="2"/>
  <c r="R420" i="2"/>
  <c r="V414" i="2"/>
  <c r="J424" i="2"/>
  <c r="U416" i="2"/>
  <c r="D419" i="2"/>
  <c r="E419" i="2"/>
  <c r="M422" i="2"/>
  <c r="D422" i="2"/>
  <c r="X412" i="2"/>
  <c r="B419" i="2"/>
  <c r="N422" i="2"/>
  <c r="E422" i="2"/>
  <c r="H420" i="2"/>
  <c r="Z410" i="2"/>
  <c r="AC420" i="2"/>
  <c r="S418" i="2"/>
  <c r="F422" i="2"/>
  <c r="A422" i="2"/>
  <c r="A423" i="2"/>
  <c r="T416" i="2"/>
  <c r="P420" i="2"/>
  <c r="H419" i="2"/>
  <c r="B422" i="2"/>
  <c r="L422" i="2"/>
  <c r="W412" i="2"/>
  <c r="C422" i="2"/>
  <c r="R422" i="2" l="1"/>
  <c r="I420" i="2"/>
  <c r="K422" i="2"/>
  <c r="G422" i="2"/>
  <c r="AA410" i="2"/>
  <c r="C411" i="2" s="1"/>
  <c r="Y412" i="2"/>
  <c r="V416" i="2"/>
  <c r="J426" i="2"/>
  <c r="AC422" i="2"/>
  <c r="T418" i="2"/>
  <c r="N424" i="2"/>
  <c r="E424" i="2"/>
  <c r="D424" i="2"/>
  <c r="X414" i="2"/>
  <c r="U418" i="2"/>
  <c r="A424" i="2"/>
  <c r="D421" i="2"/>
  <c r="H421" i="2"/>
  <c r="P422" i="2"/>
  <c r="S420" i="2"/>
  <c r="B424" i="2"/>
  <c r="A425" i="2"/>
  <c r="B421" i="2"/>
  <c r="E421" i="2"/>
  <c r="Z412" i="2"/>
  <c r="M424" i="2"/>
  <c r="L424" i="2"/>
  <c r="W414" i="2"/>
  <c r="H422" i="2"/>
  <c r="F424" i="2"/>
  <c r="C424" i="2"/>
  <c r="G424" i="2" l="1"/>
  <c r="AA412" i="2"/>
  <c r="C413" i="2" s="1"/>
  <c r="I422" i="2"/>
  <c r="K424" i="2"/>
  <c r="R424" i="2"/>
  <c r="V418" i="2"/>
  <c r="Y414" i="2"/>
  <c r="J428" i="2"/>
  <c r="U420" i="2"/>
  <c r="Z414" i="2"/>
  <c r="H423" i="2"/>
  <c r="M426" i="2"/>
  <c r="A426" i="2"/>
  <c r="N426" i="2"/>
  <c r="W416" i="2"/>
  <c r="AC424" i="2"/>
  <c r="D423" i="2"/>
  <c r="H424" i="2"/>
  <c r="E423" i="2"/>
  <c r="B426" i="2"/>
  <c r="X416" i="2"/>
  <c r="T420" i="2"/>
  <c r="D426" i="2"/>
  <c r="C426" i="2"/>
  <c r="B423" i="2"/>
  <c r="P424" i="2"/>
  <c r="L426" i="2"/>
  <c r="A427" i="2"/>
  <c r="E426" i="2"/>
  <c r="S422" i="2"/>
  <c r="F426" i="2"/>
  <c r="G426" i="2" l="1"/>
  <c r="K426" i="2"/>
  <c r="I424" i="2"/>
  <c r="Y416" i="2"/>
  <c r="R426" i="2"/>
  <c r="AA414" i="2"/>
  <c r="C415" i="2" s="1"/>
  <c r="V420" i="2"/>
  <c r="J430" i="2"/>
  <c r="T422" i="2"/>
  <c r="D425" i="2"/>
  <c r="S424" i="2"/>
  <c r="M428" i="2"/>
  <c r="A428" i="2"/>
  <c r="C428" i="2"/>
  <c r="U422" i="2"/>
  <c r="B425" i="2"/>
  <c r="AC426" i="2"/>
  <c r="H426" i="2"/>
  <c r="W418" i="2"/>
  <c r="B428" i="2"/>
  <c r="H425" i="2"/>
  <c r="P426" i="2"/>
  <c r="X418" i="2"/>
  <c r="L428" i="2"/>
  <c r="A429" i="2"/>
  <c r="E428" i="2"/>
  <c r="Z416" i="2"/>
  <c r="E425" i="2"/>
  <c r="D428" i="2"/>
  <c r="F428" i="2"/>
  <c r="N428" i="2"/>
  <c r="G428" i="2" l="1"/>
  <c r="AA416" i="2"/>
  <c r="C417" i="2" s="1"/>
  <c r="K428" i="2"/>
  <c r="I426" i="2"/>
  <c r="Y418" i="2"/>
  <c r="R428" i="2"/>
  <c r="V422" i="2"/>
  <c r="J432" i="2"/>
  <c r="H428" i="2"/>
  <c r="D427" i="2"/>
  <c r="H427" i="2"/>
  <c r="U424" i="2"/>
  <c r="M430" i="2"/>
  <c r="A430" i="2"/>
  <c r="C430" i="2"/>
  <c r="S426" i="2"/>
  <c r="D430" i="2"/>
  <c r="P428" i="2"/>
  <c r="E427" i="2"/>
  <c r="B430" i="2"/>
  <c r="W420" i="2"/>
  <c r="B427" i="2"/>
  <c r="F430" i="2"/>
  <c r="Z418" i="2"/>
  <c r="AC428" i="2"/>
  <c r="L430" i="2"/>
  <c r="A431" i="2"/>
  <c r="E430" i="2"/>
  <c r="X420" i="2"/>
  <c r="T424" i="2"/>
  <c r="N430" i="2"/>
  <c r="Y420" i="2" l="1"/>
  <c r="K430" i="2"/>
  <c r="I428" i="2"/>
  <c r="AA418" i="2"/>
  <c r="C419" i="2" s="1"/>
  <c r="G430" i="2"/>
  <c r="R430" i="2"/>
  <c r="V424" i="2"/>
  <c r="J434" i="2"/>
  <c r="P430" i="2"/>
  <c r="B429" i="2"/>
  <c r="D432" i="2"/>
  <c r="F432" i="2"/>
  <c r="N432" i="2"/>
  <c r="H429" i="2"/>
  <c r="D429" i="2"/>
  <c r="W422" i="2"/>
  <c r="M432" i="2"/>
  <c r="A432" i="2"/>
  <c r="C432" i="2"/>
  <c r="U426" i="2"/>
  <c r="Z420" i="2"/>
  <c r="E429" i="2"/>
  <c r="T426" i="2"/>
  <c r="X422" i="2"/>
  <c r="B432" i="2"/>
  <c r="H430" i="2"/>
  <c r="AC430" i="2"/>
  <c r="L432" i="2"/>
  <c r="A433" i="2"/>
  <c r="E432" i="2"/>
  <c r="S428" i="2"/>
  <c r="K432" i="2" l="1"/>
  <c r="I430" i="2"/>
  <c r="R432" i="2"/>
  <c r="Y422" i="2"/>
  <c r="AA420" i="2"/>
  <c r="C421" i="2" s="1"/>
  <c r="V426" i="2"/>
  <c r="G432" i="2"/>
  <c r="J436" i="2"/>
  <c r="U428" i="2"/>
  <c r="E431" i="2"/>
  <c r="H432" i="2"/>
  <c r="D431" i="2"/>
  <c r="B434" i="2"/>
  <c r="X424" i="2"/>
  <c r="A435" i="2"/>
  <c r="AC432" i="2"/>
  <c r="D434" i="2"/>
  <c r="F434" i="2"/>
  <c r="C434" i="2"/>
  <c r="T428" i="2"/>
  <c r="H431" i="2"/>
  <c r="Z422" i="2"/>
  <c r="B431" i="2"/>
  <c r="M434" i="2"/>
  <c r="A434" i="2"/>
  <c r="N434" i="2"/>
  <c r="W424" i="2"/>
  <c r="P432" i="2"/>
  <c r="L434" i="2"/>
  <c r="E434" i="2"/>
  <c r="S430" i="2"/>
  <c r="AA422" i="2" l="1"/>
  <c r="C423" i="2" s="1"/>
  <c r="G434" i="2"/>
  <c r="K434" i="2"/>
  <c r="I432" i="2"/>
  <c r="Y424" i="2"/>
  <c r="R434" i="2"/>
  <c r="V428" i="2"/>
  <c r="J438" i="2"/>
  <c r="U430" i="2"/>
  <c r="H434" i="2"/>
  <c r="S432" i="2"/>
  <c r="M436" i="2"/>
  <c r="A436" i="2"/>
  <c r="C436" i="2"/>
  <c r="B433" i="2"/>
  <c r="P434" i="2"/>
  <c r="H433" i="2"/>
  <c r="Z424" i="2"/>
  <c r="B436" i="2"/>
  <c r="D433" i="2"/>
  <c r="E433" i="2"/>
  <c r="X426" i="2"/>
  <c r="L436" i="2"/>
  <c r="A437" i="2"/>
  <c r="E436" i="2"/>
  <c r="T430" i="2"/>
  <c r="AC434" i="2"/>
  <c r="D436" i="2"/>
  <c r="F436" i="2"/>
  <c r="N436" i="2"/>
  <c r="W426" i="2"/>
  <c r="G436" i="2" l="1"/>
  <c r="K436" i="2"/>
  <c r="I434" i="2"/>
  <c r="Y426" i="2"/>
  <c r="R436" i="2"/>
  <c r="AA424" i="2"/>
  <c r="C425" i="2" s="1"/>
  <c r="V430" i="2"/>
  <c r="J440" i="2"/>
  <c r="H436" i="2"/>
  <c r="E435" i="2"/>
  <c r="Z426" i="2"/>
  <c r="B435" i="2"/>
  <c r="B438" i="2"/>
  <c r="X428" i="2"/>
  <c r="P436" i="2"/>
  <c r="D435" i="2"/>
  <c r="L438" i="2"/>
  <c r="A439" i="2"/>
  <c r="E438" i="2"/>
  <c r="S434" i="2"/>
  <c r="AC436" i="2"/>
  <c r="T432" i="2"/>
  <c r="D438" i="2"/>
  <c r="F438" i="2"/>
  <c r="N438" i="2"/>
  <c r="H435" i="2"/>
  <c r="U432" i="2"/>
  <c r="M438" i="2"/>
  <c r="A438" i="2"/>
  <c r="C438" i="2"/>
  <c r="W428" i="2"/>
  <c r="V432" i="2" l="1"/>
  <c r="G438" i="2"/>
  <c r="K438" i="2"/>
  <c r="I436" i="2"/>
  <c r="Y428" i="2"/>
  <c r="R438" i="2"/>
  <c r="AA426" i="2"/>
  <c r="C427" i="2" s="1"/>
  <c r="J442" i="2"/>
  <c r="T434" i="2"/>
  <c r="B437" i="2"/>
  <c r="AC438" i="2"/>
  <c r="B440" i="2"/>
  <c r="E440" i="2"/>
  <c r="U434" i="2"/>
  <c r="D437" i="2"/>
  <c r="L440" i="2"/>
  <c r="A441" i="2"/>
  <c r="X430" i="2"/>
  <c r="H438" i="2"/>
  <c r="H437" i="2"/>
  <c r="Z428" i="2"/>
  <c r="D440" i="2"/>
  <c r="F440" i="2"/>
  <c r="N440" i="2"/>
  <c r="P438" i="2"/>
  <c r="E437" i="2"/>
  <c r="S436" i="2"/>
  <c r="M440" i="2"/>
  <c r="A440" i="2"/>
  <c r="C440" i="2"/>
  <c r="W430" i="2"/>
  <c r="G440" i="2" l="1"/>
  <c r="AA428" i="2"/>
  <c r="C429" i="2" s="1"/>
  <c r="Y430" i="2"/>
  <c r="K440" i="2"/>
  <c r="I438" i="2"/>
  <c r="V434" i="2"/>
  <c r="R440" i="2"/>
  <c r="J444" i="2"/>
  <c r="U436" i="2"/>
  <c r="P440" i="2"/>
  <c r="AC440" i="2"/>
  <c r="X432" i="2"/>
  <c r="B442" i="2"/>
  <c r="E439" i="2"/>
  <c r="D442" i="2"/>
  <c r="C442" i="2"/>
  <c r="H440" i="2"/>
  <c r="W432" i="2"/>
  <c r="M442" i="2"/>
  <c r="N442" i="2"/>
  <c r="B439" i="2"/>
  <c r="H439" i="2"/>
  <c r="S438" i="2"/>
  <c r="L442" i="2"/>
  <c r="A443" i="2"/>
  <c r="E442" i="2"/>
  <c r="D439" i="2"/>
  <c r="F442" i="2"/>
  <c r="T436" i="2"/>
  <c r="Z430" i="2"/>
  <c r="A442" i="2"/>
  <c r="AA430" i="2" l="1"/>
  <c r="C431" i="2" s="1"/>
  <c r="G442" i="2"/>
  <c r="K442" i="2"/>
  <c r="I440" i="2"/>
  <c r="R442" i="2"/>
  <c r="Y432" i="2"/>
  <c r="V436" i="2"/>
  <c r="J446" i="2"/>
  <c r="P442" i="2"/>
  <c r="Z432" i="2"/>
  <c r="D441" i="2"/>
  <c r="D444" i="2"/>
  <c r="F444" i="2"/>
  <c r="N444" i="2"/>
  <c r="L444" i="2"/>
  <c r="T438" i="2"/>
  <c r="H441" i="2"/>
  <c r="W434" i="2"/>
  <c r="M444" i="2"/>
  <c r="A444" i="2"/>
  <c r="C444" i="2"/>
  <c r="E441" i="2"/>
  <c r="X434" i="2"/>
  <c r="H442" i="2"/>
  <c r="E444" i="2"/>
  <c r="U438" i="2"/>
  <c r="B444" i="2"/>
  <c r="AC442" i="2"/>
  <c r="B441" i="2"/>
  <c r="S440" i="2"/>
  <c r="A445" i="2"/>
  <c r="K444" i="2" l="1"/>
  <c r="I442" i="2"/>
  <c r="R444" i="2"/>
  <c r="V438" i="2"/>
  <c r="Y434" i="2"/>
  <c r="G444" i="2"/>
  <c r="AA432" i="2"/>
  <c r="C433" i="2" s="1"/>
  <c r="J448" i="2"/>
  <c r="H443" i="2"/>
  <c r="H444" i="2"/>
  <c r="B443" i="2"/>
  <c r="B446" i="2"/>
  <c r="E446" i="2"/>
  <c r="W436" i="2"/>
  <c r="X436" i="2"/>
  <c r="S442" i="2"/>
  <c r="A447" i="2"/>
  <c r="E443" i="2"/>
  <c r="Z434" i="2"/>
  <c r="P444" i="2"/>
  <c r="D443" i="2"/>
  <c r="L446" i="2"/>
  <c r="F446" i="2"/>
  <c r="N446" i="2"/>
  <c r="U440" i="2"/>
  <c r="M446" i="2"/>
  <c r="T440" i="2"/>
  <c r="D446" i="2"/>
  <c r="A446" i="2"/>
  <c r="C446" i="2"/>
  <c r="AC444" i="2"/>
  <c r="V440" i="2" l="1"/>
  <c r="G446" i="2"/>
  <c r="AA434" i="2"/>
  <c r="C435" i="2" s="1"/>
  <c r="K446" i="2"/>
  <c r="I444" i="2"/>
  <c r="Y436" i="2"/>
  <c r="R446" i="2"/>
  <c r="J450" i="2"/>
  <c r="H445" i="2"/>
  <c r="H446" i="2"/>
  <c r="D445" i="2"/>
  <c r="T442" i="2"/>
  <c r="L448" i="2"/>
  <c r="C448" i="2"/>
  <c r="W438" i="2"/>
  <c r="E445" i="2"/>
  <c r="P446" i="2"/>
  <c r="U442" i="2"/>
  <c r="AC446" i="2"/>
  <c r="M448" i="2"/>
  <c r="D448" i="2"/>
  <c r="B448" i="2"/>
  <c r="X438" i="2"/>
  <c r="Z436" i="2"/>
  <c r="E448" i="2"/>
  <c r="N448" i="2"/>
  <c r="A449" i="2"/>
  <c r="S444" i="2"/>
  <c r="B445" i="2"/>
  <c r="A448" i="2"/>
  <c r="F448" i="2"/>
  <c r="G448" i="2" l="1"/>
  <c r="I446" i="2"/>
  <c r="K448" i="2"/>
  <c r="AA436" i="2"/>
  <c r="C437" i="2" s="1"/>
  <c r="Y438" i="2"/>
  <c r="R448" i="2"/>
  <c r="V442" i="2"/>
  <c r="J452" i="2"/>
  <c r="Z438" i="2"/>
  <c r="E447" i="2"/>
  <c r="A450" i="2"/>
  <c r="F450" i="2"/>
  <c r="S446" i="2"/>
  <c r="C450" i="2"/>
  <c r="W440" i="2"/>
  <c r="E450" i="2"/>
  <c r="T444" i="2"/>
  <c r="H448" i="2"/>
  <c r="L450" i="2"/>
  <c r="D447" i="2"/>
  <c r="A451" i="2"/>
  <c r="U444" i="2"/>
  <c r="P448" i="2"/>
  <c r="AC448" i="2"/>
  <c r="B447" i="2"/>
  <c r="M450" i="2"/>
  <c r="D450" i="2"/>
  <c r="B450" i="2"/>
  <c r="X440" i="2"/>
  <c r="H447" i="2"/>
  <c r="N450" i="2"/>
  <c r="Y440" i="2" l="1"/>
  <c r="R450" i="2"/>
  <c r="V444" i="2"/>
  <c r="I448" i="2"/>
  <c r="K450" i="2"/>
  <c r="G450" i="2"/>
  <c r="AA438" i="2"/>
  <c r="C439" i="2" s="1"/>
  <c r="J454" i="2"/>
  <c r="H450" i="2"/>
  <c r="AC450" i="2"/>
  <c r="D449" i="2"/>
  <c r="E452" i="2"/>
  <c r="N452" i="2"/>
  <c r="A453" i="2"/>
  <c r="W442" i="2"/>
  <c r="A452" i="2"/>
  <c r="F452" i="2"/>
  <c r="B449" i="2"/>
  <c r="M452" i="2"/>
  <c r="B452" i="2"/>
  <c r="P450" i="2"/>
  <c r="H449" i="2"/>
  <c r="U446" i="2"/>
  <c r="Z440" i="2"/>
  <c r="E449" i="2"/>
  <c r="T446" i="2"/>
  <c r="S448" i="2"/>
  <c r="X442" i="2"/>
  <c r="L452" i="2"/>
  <c r="C452" i="2"/>
  <c r="D452" i="2"/>
  <c r="Y442" i="2" l="1"/>
  <c r="AA440" i="2"/>
  <c r="C441" i="2" s="1"/>
  <c r="V446" i="2"/>
  <c r="R452" i="2"/>
  <c r="G452" i="2"/>
  <c r="I450" i="2"/>
  <c r="K452" i="2"/>
  <c r="J456" i="2"/>
  <c r="Z442" i="2"/>
  <c r="H451" i="2"/>
  <c r="E454" i="2"/>
  <c r="N454" i="2"/>
  <c r="A455" i="2"/>
  <c r="D454" i="2"/>
  <c r="T448" i="2"/>
  <c r="AC452" i="2"/>
  <c r="E451" i="2"/>
  <c r="W444" i="2"/>
  <c r="A454" i="2"/>
  <c r="F454" i="2"/>
  <c r="C454" i="2"/>
  <c r="D451" i="2"/>
  <c r="B454" i="2"/>
  <c r="U448" i="2"/>
  <c r="B451" i="2"/>
  <c r="H452" i="2"/>
  <c r="S450" i="2"/>
  <c r="X444" i="2"/>
  <c r="L454" i="2"/>
  <c r="P452" i="2"/>
  <c r="M454" i="2"/>
  <c r="B453" i="2" l="1"/>
  <c r="Y444" i="2"/>
  <c r="V448" i="2"/>
  <c r="R454" i="2"/>
  <c r="G454" i="2"/>
  <c r="I452" i="2"/>
  <c r="K454" i="2"/>
  <c r="AA442" i="2"/>
  <c r="C443" i="2" s="1"/>
  <c r="J458" i="2"/>
  <c r="U450" i="2"/>
  <c r="P454" i="2"/>
  <c r="A456" i="2"/>
  <c r="F456" i="2"/>
  <c r="L456" i="2"/>
  <c r="C456" i="2"/>
  <c r="W446" i="2"/>
  <c r="E453" i="2"/>
  <c r="H454" i="2"/>
  <c r="D453" i="2"/>
  <c r="N456" i="2"/>
  <c r="Z444" i="2"/>
  <c r="H453" i="2"/>
  <c r="M456" i="2"/>
  <c r="D456" i="2"/>
  <c r="B456" i="2"/>
  <c r="X446" i="2"/>
  <c r="T450" i="2"/>
  <c r="AC454" i="2"/>
  <c r="E456" i="2"/>
  <c r="A457" i="2"/>
  <c r="S452" i="2"/>
  <c r="I454" i="2" l="1"/>
  <c r="K456" i="2"/>
  <c r="Y446" i="2"/>
  <c r="R456" i="2"/>
  <c r="AA444" i="2"/>
  <c r="C445" i="2" s="1"/>
  <c r="G456" i="2"/>
  <c r="B455" i="2"/>
  <c r="V450" i="2"/>
  <c r="J460" i="2"/>
  <c r="T452" i="2"/>
  <c r="H455" i="2"/>
  <c r="P456" i="2"/>
  <c r="D455" i="2"/>
  <c r="E458" i="2"/>
  <c r="N458" i="2"/>
  <c r="A459" i="2"/>
  <c r="U452" i="2"/>
  <c r="E455" i="2"/>
  <c r="AC456" i="2"/>
  <c r="W448" i="2"/>
  <c r="A458" i="2"/>
  <c r="F458" i="2"/>
  <c r="H456" i="2"/>
  <c r="D458" i="2"/>
  <c r="S454" i="2"/>
  <c r="X448" i="2"/>
  <c r="L458" i="2"/>
  <c r="C458" i="2"/>
  <c r="Z446" i="2"/>
  <c r="M458" i="2"/>
  <c r="B458" i="2"/>
  <c r="R458" i="2" l="1"/>
  <c r="AA446" i="2"/>
  <c r="C447" i="2" s="1"/>
  <c r="Y448" i="2"/>
  <c r="G458" i="2"/>
  <c r="V452" i="2"/>
  <c r="I456" i="2"/>
  <c r="K458" i="2"/>
  <c r="B457" i="2"/>
  <c r="J462" i="2"/>
  <c r="T454" i="2"/>
  <c r="H457" i="2"/>
  <c r="D457" i="2"/>
  <c r="A460" i="2"/>
  <c r="F460" i="2"/>
  <c r="AC458" i="2"/>
  <c r="U454" i="2"/>
  <c r="E457" i="2"/>
  <c r="H458" i="2"/>
  <c r="L460" i="2"/>
  <c r="C460" i="2"/>
  <c r="W450" i="2"/>
  <c r="Z448" i="2"/>
  <c r="E460" i="2"/>
  <c r="A461" i="2"/>
  <c r="P458" i="2"/>
  <c r="M460" i="2"/>
  <c r="D460" i="2"/>
  <c r="B460" i="2"/>
  <c r="X450" i="2"/>
  <c r="N460" i="2"/>
  <c r="S456" i="2"/>
  <c r="Y450" i="2" l="1"/>
  <c r="R460" i="2"/>
  <c r="B459" i="2"/>
  <c r="I458" i="2"/>
  <c r="K460" i="2"/>
  <c r="AA448" i="2"/>
  <c r="C449" i="2" s="1"/>
  <c r="V454" i="2"/>
  <c r="G460" i="2"/>
  <c r="J464" i="2"/>
  <c r="T456" i="2"/>
  <c r="Z450" i="2"/>
  <c r="D459" i="2"/>
  <c r="M462" i="2"/>
  <c r="N462" i="2"/>
  <c r="B462" i="2"/>
  <c r="L462" i="2"/>
  <c r="X452" i="2"/>
  <c r="U456" i="2"/>
  <c r="A463" i="2"/>
  <c r="D462" i="2"/>
  <c r="E459" i="2"/>
  <c r="A462" i="2"/>
  <c r="C462" i="2"/>
  <c r="S458" i="2"/>
  <c r="H460" i="2"/>
  <c r="AC460" i="2"/>
  <c r="H459" i="2"/>
  <c r="W452" i="2"/>
  <c r="E462" i="2"/>
  <c r="F462" i="2"/>
  <c r="P460" i="2"/>
  <c r="B461" i="2" l="1"/>
  <c r="G462" i="2"/>
  <c r="K462" i="2"/>
  <c r="I460" i="2"/>
  <c r="V456" i="2"/>
  <c r="Y452" i="2"/>
  <c r="R462" i="2"/>
  <c r="AA450" i="2"/>
  <c r="C451" i="2" s="1"/>
  <c r="J466" i="2"/>
  <c r="H461" i="2"/>
  <c r="A464" i="2"/>
  <c r="L464" i="2"/>
  <c r="D461" i="2"/>
  <c r="E461" i="2"/>
  <c r="AC462" i="2"/>
  <c r="A465" i="2"/>
  <c r="F464" i="2"/>
  <c r="W454" i="2"/>
  <c r="U458" i="2"/>
  <c r="H462" i="2"/>
  <c r="N464" i="2"/>
  <c r="T458" i="2"/>
  <c r="P462" i="2"/>
  <c r="M464" i="2"/>
  <c r="C464" i="2"/>
  <c r="D464" i="2"/>
  <c r="X454" i="2"/>
  <c r="Z452" i="2"/>
  <c r="E464" i="2"/>
  <c r="B464" i="2"/>
  <c r="S460" i="2"/>
  <c r="R464" i="2" l="1"/>
  <c r="AA452" i="2"/>
  <c r="C453" i="2" s="1"/>
  <c r="Y454" i="2"/>
  <c r="B463" i="2"/>
  <c r="V458" i="2"/>
  <c r="G464" i="2"/>
  <c r="K464" i="2"/>
  <c r="I462" i="2"/>
  <c r="J468" i="2"/>
  <c r="T460" i="2"/>
  <c r="E463" i="2"/>
  <c r="A466" i="2"/>
  <c r="C466" i="2"/>
  <c r="B466" i="2"/>
  <c r="U460" i="2"/>
  <c r="Z454" i="2"/>
  <c r="P464" i="2"/>
  <c r="H463" i="2"/>
  <c r="L466" i="2"/>
  <c r="W456" i="2"/>
  <c r="A467" i="2"/>
  <c r="S462" i="2"/>
  <c r="AC464" i="2"/>
  <c r="D463" i="2"/>
  <c r="H464" i="2"/>
  <c r="M466" i="2"/>
  <c r="D466" i="2"/>
  <c r="F466" i="2"/>
  <c r="X456" i="2"/>
  <c r="E466" i="2"/>
  <c r="N466" i="2"/>
  <c r="Y456" i="2" l="1"/>
  <c r="G466" i="2"/>
  <c r="I464" i="2"/>
  <c r="K466" i="2"/>
  <c r="B465" i="2"/>
  <c r="AA454" i="2"/>
  <c r="C455" i="2" s="1"/>
  <c r="V460" i="2"/>
  <c r="R466" i="2"/>
  <c r="J470" i="2"/>
  <c r="H466" i="2"/>
  <c r="H465" i="2"/>
  <c r="D465" i="2"/>
  <c r="AC466" i="2"/>
  <c r="S464" i="2"/>
  <c r="M468" i="2"/>
  <c r="D468" i="2"/>
  <c r="N468" i="2"/>
  <c r="E468" i="2"/>
  <c r="B468" i="2"/>
  <c r="X458" i="2"/>
  <c r="A469" i="2"/>
  <c r="F468" i="2"/>
  <c r="P466" i="2"/>
  <c r="E465" i="2"/>
  <c r="L468" i="2"/>
  <c r="Z456" i="2"/>
  <c r="T462" i="2"/>
  <c r="W458" i="2"/>
  <c r="A468" i="2"/>
  <c r="C468" i="2"/>
  <c r="U462" i="2"/>
  <c r="V462" i="2" l="1"/>
  <c r="AA456" i="2"/>
  <c r="C457" i="2" s="1"/>
  <c r="B467" i="2"/>
  <c r="G468" i="2"/>
  <c r="I466" i="2"/>
  <c r="K468" i="2"/>
  <c r="Y458" i="2"/>
  <c r="R468" i="2"/>
  <c r="J472" i="2"/>
  <c r="AC468" i="2"/>
  <c r="T464" i="2"/>
  <c r="S466" i="2"/>
  <c r="X460" i="2"/>
  <c r="B470" i="2"/>
  <c r="E470" i="2"/>
  <c r="C470" i="2"/>
  <c r="N470" i="2"/>
  <c r="D467" i="2"/>
  <c r="H468" i="2"/>
  <c r="M470" i="2"/>
  <c r="U464" i="2"/>
  <c r="A471" i="2"/>
  <c r="L470" i="2"/>
  <c r="P468" i="2"/>
  <c r="H467" i="2"/>
  <c r="F470" i="2"/>
  <c r="Z458" i="2"/>
  <c r="E467" i="2"/>
  <c r="W460" i="2"/>
  <c r="A470" i="2"/>
  <c r="D470" i="2"/>
  <c r="AA458" i="2" l="1"/>
  <c r="C459" i="2" s="1"/>
  <c r="G470" i="2"/>
  <c r="B469" i="2"/>
  <c r="K470" i="2"/>
  <c r="I468" i="2"/>
  <c r="V464" i="2"/>
  <c r="R470" i="2"/>
  <c r="Y460" i="2"/>
  <c r="J474" i="2"/>
  <c r="D469" i="2"/>
  <c r="P470" i="2"/>
  <c r="Z460" i="2"/>
  <c r="E469" i="2"/>
  <c r="C472" i="2"/>
  <c r="F472" i="2"/>
  <c r="D472" i="2"/>
  <c r="A472" i="2"/>
  <c r="N472" i="2"/>
  <c r="E472" i="2"/>
  <c r="H470" i="2"/>
  <c r="T466" i="2"/>
  <c r="H469" i="2"/>
  <c r="M472" i="2"/>
  <c r="L472" i="2"/>
  <c r="AC470" i="2"/>
  <c r="U466" i="2"/>
  <c r="W462" i="2"/>
  <c r="S468" i="2"/>
  <c r="B472" i="2"/>
  <c r="A473" i="2"/>
  <c r="X462" i="2"/>
  <c r="Y462" i="2" l="1"/>
  <c r="K472" i="2"/>
  <c r="I470" i="2"/>
  <c r="R472" i="2"/>
  <c r="V466" i="2"/>
  <c r="G472" i="2"/>
  <c r="AA460" i="2"/>
  <c r="C461" i="2" s="1"/>
  <c r="B471" i="2"/>
  <c r="J476" i="2"/>
  <c r="Z462" i="2"/>
  <c r="P472" i="2"/>
  <c r="S470" i="2"/>
  <c r="T468" i="2"/>
  <c r="E471" i="2"/>
  <c r="H472" i="2"/>
  <c r="D471" i="2"/>
  <c r="W464" i="2"/>
  <c r="M474" i="2"/>
  <c r="A474" i="2"/>
  <c r="D474" i="2"/>
  <c r="B474" i="2"/>
  <c r="E474" i="2"/>
  <c r="N474" i="2"/>
  <c r="U468" i="2"/>
  <c r="H471" i="2"/>
  <c r="X464" i="2"/>
  <c r="C474" i="2"/>
  <c r="AC472" i="2"/>
  <c r="A475" i="2"/>
  <c r="L474" i="2"/>
  <c r="F474" i="2"/>
  <c r="G474" i="2" l="1"/>
  <c r="K474" i="2"/>
  <c r="I472" i="2"/>
  <c r="Y464" i="2"/>
  <c r="V468" i="2"/>
  <c r="R474" i="2"/>
  <c r="B473" i="2"/>
  <c r="AA462" i="2"/>
  <c r="C463" i="2" s="1"/>
  <c r="J478" i="2"/>
  <c r="H473" i="2"/>
  <c r="H474" i="2"/>
  <c r="D473" i="2"/>
  <c r="M476" i="2"/>
  <c r="A476" i="2"/>
  <c r="N476" i="2"/>
  <c r="B476" i="2"/>
  <c r="S472" i="2"/>
  <c r="Z464" i="2"/>
  <c r="AC474" i="2"/>
  <c r="T470" i="2"/>
  <c r="W466" i="2"/>
  <c r="D476" i="2"/>
  <c r="U470" i="2"/>
  <c r="A477" i="2"/>
  <c r="L476" i="2"/>
  <c r="E476" i="2"/>
  <c r="X466" i="2"/>
  <c r="E473" i="2"/>
  <c r="P474" i="2"/>
  <c r="C476" i="2"/>
  <c r="F476" i="2"/>
  <c r="G476" i="2" l="1"/>
  <c r="B475" i="2"/>
  <c r="Y466" i="2"/>
  <c r="K476" i="2"/>
  <c r="I474" i="2"/>
  <c r="V470" i="2"/>
  <c r="AA464" i="2"/>
  <c r="C465" i="2" s="1"/>
  <c r="R476" i="2"/>
  <c r="J480" i="2"/>
  <c r="D475" i="2"/>
  <c r="H475" i="2"/>
  <c r="AC476" i="2"/>
  <c r="X468" i="2"/>
  <c r="B478" i="2"/>
  <c r="E478" i="2"/>
  <c r="T472" i="2"/>
  <c r="S474" i="2"/>
  <c r="F478" i="2"/>
  <c r="H476" i="2"/>
  <c r="M478" i="2"/>
  <c r="D478" i="2"/>
  <c r="Z466" i="2"/>
  <c r="A479" i="2"/>
  <c r="L478" i="2"/>
  <c r="P476" i="2"/>
  <c r="C478" i="2"/>
  <c r="N478" i="2"/>
  <c r="E475" i="2"/>
  <c r="U472" i="2"/>
  <c r="W468" i="2"/>
  <c r="A478" i="2"/>
  <c r="V472" i="2" l="1"/>
  <c r="B477" i="2"/>
  <c r="K478" i="2"/>
  <c r="I476" i="2"/>
  <c r="AA466" i="2"/>
  <c r="C467" i="2" s="1"/>
  <c r="G478" i="2"/>
  <c r="R478" i="2"/>
  <c r="Y468" i="2"/>
  <c r="J482" i="2"/>
  <c r="E477" i="2"/>
  <c r="S476" i="2"/>
  <c r="B480" i="2"/>
  <c r="W470" i="2"/>
  <c r="L480" i="2"/>
  <c r="X470" i="2"/>
  <c r="M480" i="2"/>
  <c r="N480" i="2"/>
  <c r="D477" i="2"/>
  <c r="AC478" i="2"/>
  <c r="H477" i="2"/>
  <c r="A481" i="2"/>
  <c r="E480" i="2"/>
  <c r="U474" i="2"/>
  <c r="A480" i="2"/>
  <c r="P478" i="2"/>
  <c r="T474" i="2"/>
  <c r="C480" i="2"/>
  <c r="F480" i="2"/>
  <c r="D480" i="2"/>
  <c r="H478" i="2"/>
  <c r="Z468" i="2"/>
  <c r="AA468" i="2" l="1"/>
  <c r="C469" i="2" s="1"/>
  <c r="G480" i="2"/>
  <c r="B479" i="2"/>
  <c r="V474" i="2"/>
  <c r="K480" i="2"/>
  <c r="I478" i="2"/>
  <c r="Y470" i="2"/>
  <c r="R480" i="2"/>
  <c r="J484" i="2"/>
  <c r="D479" i="2"/>
  <c r="E479" i="2"/>
  <c r="Z470" i="2"/>
  <c r="T476" i="2"/>
  <c r="C482" i="2"/>
  <c r="H479" i="2"/>
  <c r="U476" i="2"/>
  <c r="W472" i="2"/>
  <c r="M482" i="2"/>
  <c r="A482" i="2"/>
  <c r="D482" i="2"/>
  <c r="F482" i="2"/>
  <c r="P480" i="2"/>
  <c r="AC480" i="2"/>
  <c r="X472" i="2"/>
  <c r="B482" i="2"/>
  <c r="H480" i="2"/>
  <c r="A483" i="2"/>
  <c r="L482" i="2"/>
  <c r="E482" i="2"/>
  <c r="S478" i="2"/>
  <c r="N482" i="2"/>
  <c r="K482" i="2" l="1"/>
  <c r="I480" i="2"/>
  <c r="R482" i="2"/>
  <c r="Y472" i="2"/>
  <c r="B481" i="2"/>
  <c r="G482" i="2"/>
  <c r="V476" i="2"/>
  <c r="AA470" i="2"/>
  <c r="C471" i="2" s="1"/>
  <c r="J486" i="2"/>
  <c r="P482" i="2"/>
  <c r="Z472" i="2"/>
  <c r="D481" i="2"/>
  <c r="M484" i="2"/>
  <c r="A484" i="2"/>
  <c r="N484" i="2"/>
  <c r="W474" i="2"/>
  <c r="B484" i="2"/>
  <c r="S480" i="2"/>
  <c r="H482" i="2"/>
  <c r="E481" i="2"/>
  <c r="X474" i="2"/>
  <c r="F484" i="2"/>
  <c r="T478" i="2"/>
  <c r="AC482" i="2"/>
  <c r="H481" i="2"/>
  <c r="A485" i="2"/>
  <c r="L484" i="2"/>
  <c r="E484" i="2"/>
  <c r="U478" i="2"/>
  <c r="C484" i="2"/>
  <c r="D484" i="2"/>
  <c r="V478" i="2" l="1"/>
  <c r="K484" i="2"/>
  <c r="I482" i="2"/>
  <c r="G484" i="2"/>
  <c r="Y474" i="2"/>
  <c r="R484" i="2"/>
  <c r="AA472" i="2"/>
  <c r="C473" i="2" s="1"/>
  <c r="B483" i="2"/>
  <c r="J488" i="2"/>
  <c r="H483" i="2"/>
  <c r="T480" i="2"/>
  <c r="S482" i="2"/>
  <c r="A487" i="2"/>
  <c r="M486" i="2"/>
  <c r="E486" i="2"/>
  <c r="B486" i="2"/>
  <c r="U480" i="2"/>
  <c r="P484" i="2"/>
  <c r="D483" i="2"/>
  <c r="W476" i="2"/>
  <c r="C486" i="2"/>
  <c r="F486" i="2"/>
  <c r="D486" i="2"/>
  <c r="Z474" i="2"/>
  <c r="AC484" i="2"/>
  <c r="H484" i="2"/>
  <c r="X476" i="2"/>
  <c r="N486" i="2"/>
  <c r="A486" i="2"/>
  <c r="E483" i="2"/>
  <c r="L486" i="2"/>
  <c r="Y476" i="2" l="1"/>
  <c r="AA474" i="2"/>
  <c r="C475" i="2" s="1"/>
  <c r="G486" i="2"/>
  <c r="B485" i="2"/>
  <c r="V480" i="2"/>
  <c r="R486" i="2"/>
  <c r="K486" i="2"/>
  <c r="I484" i="2"/>
  <c r="P486" i="2"/>
  <c r="H485" i="2"/>
  <c r="AC486" i="2"/>
  <c r="U482" i="2"/>
  <c r="A489" i="2"/>
  <c r="M488" i="2"/>
  <c r="H486" i="2"/>
  <c r="D485" i="2"/>
  <c r="C488" i="2"/>
  <c r="E488" i="2"/>
  <c r="T482" i="2"/>
  <c r="D488" i="2"/>
  <c r="F488" i="2"/>
  <c r="A488" i="2"/>
  <c r="X478" i="2"/>
  <c r="Z476" i="2"/>
  <c r="L488" i="2"/>
  <c r="N488" i="2"/>
  <c r="B488" i="2"/>
  <c r="S484" i="2"/>
  <c r="E485" i="2"/>
  <c r="W478" i="2"/>
  <c r="R488" i="2" l="1"/>
  <c r="AA476" i="2"/>
  <c r="C477" i="2" s="1"/>
  <c r="Y478" i="2"/>
  <c r="G488" i="2"/>
  <c r="G7" i="2"/>
  <c r="K488" i="2"/>
  <c r="I488" i="2"/>
  <c r="I486" i="2"/>
  <c r="V482" i="2"/>
  <c r="B487" i="2"/>
  <c r="AC488" i="2"/>
  <c r="X480" i="2"/>
  <c r="T484" i="2"/>
  <c r="H488" i="2"/>
  <c r="E487" i="2"/>
  <c r="P488" i="2"/>
  <c r="U484" i="2"/>
  <c r="D487" i="2"/>
  <c r="W480" i="2"/>
  <c r="Z478" i="2"/>
  <c r="H487" i="2"/>
  <c r="S486" i="2"/>
  <c r="AA478" i="2" l="1"/>
  <c r="C479" i="2" s="1"/>
  <c r="V484" i="2"/>
  <c r="B489" i="2"/>
  <c r="Y480" i="2"/>
  <c r="H3" i="2"/>
  <c r="T486" i="2"/>
  <c r="Z480" i="2"/>
  <c r="X482" i="2"/>
  <c r="U486" i="2"/>
  <c r="H489" i="2"/>
  <c r="D489" i="2"/>
  <c r="W482" i="2"/>
  <c r="S488" i="2"/>
  <c r="E489" i="2"/>
  <c r="H7" i="2" l="1"/>
  <c r="V486" i="2"/>
  <c r="Y482" i="2"/>
  <c r="AA480" i="2"/>
  <c r="C481" i="2" s="1"/>
  <c r="U488" i="2"/>
  <c r="W484" i="2"/>
  <c r="T488" i="2"/>
  <c r="Z482" i="2"/>
  <c r="X484" i="2"/>
  <c r="Y484" i="2" l="1"/>
  <c r="AA482" i="2"/>
  <c r="C483" i="2" s="1"/>
  <c r="V488" i="2"/>
  <c r="Z484" i="2"/>
  <c r="X486" i="2"/>
  <c r="W486" i="2"/>
  <c r="Y486" i="2" l="1"/>
  <c r="AA484" i="2"/>
  <c r="C485" i="2" s="1"/>
  <c r="W488" i="2"/>
  <c r="X488" i="2"/>
  <c r="Z486" i="2"/>
  <c r="AA486" i="2" l="1"/>
  <c r="C487" i="2" s="1"/>
  <c r="Y488" i="2"/>
  <c r="Z488" i="2"/>
  <c r="AA488" i="2" l="1"/>
  <c r="C489" i="2" s="1"/>
</calcChain>
</file>

<file path=xl/sharedStrings.xml><?xml version="1.0" encoding="utf-8"?>
<sst xmlns="http://schemas.openxmlformats.org/spreadsheetml/2006/main" count="39" uniqueCount="36">
  <si>
    <t>EAN13_traite.csv</t>
  </si>
  <si>
    <t>Requêteur de prix</t>
  </si>
  <si>
    <t>Code type : ex. EVS18</t>
  </si>
  <si>
    <t>Fichier traité</t>
  </si>
  <si>
    <t>Catalogue</t>
  </si>
  <si>
    <t>Catalogue : ex. catalogo Spring 19</t>
  </si>
  <si>
    <t>base.EAN13.csv</t>
  </si>
  <si>
    <t>Code produit : ex. OBAGB, *PK06</t>
  </si>
  <si>
    <t>Offset initial</t>
  </si>
  <si>
    <t>Fichier Valmag EAN13</t>
  </si>
  <si>
    <t>Valmag EAN13</t>
  </si>
  <si>
    <t>Contrôle</t>
  </si>
  <si>
    <t>Fichier base catalogues</t>
  </si>
  <si>
    <t>Base catalogue</t>
  </si>
  <si>
    <t>CodeBarre</t>
  </si>
  <si>
    <t>Filtre catalogue</t>
  </si>
  <si>
    <t>Synthèse de facture Proforma</t>
  </si>
  <si>
    <t>Total produits</t>
  </si>
  <si>
    <t>Requêteur de référence Valmag</t>
  </si>
  <si>
    <r>
      <rPr>
        <b/>
        <sz val="11"/>
        <color theme="1"/>
        <rFont val="Calibri"/>
        <family val="2"/>
        <scheme val="minor"/>
      </rPr>
      <t>Mode d'emploi</t>
    </r>
    <r>
      <rPr>
        <sz val="11"/>
        <color theme="1"/>
        <rFont val="Calibri"/>
        <family val="2"/>
        <scheme val="minor"/>
      </rPr>
      <t xml:space="preserve"> : ouvrir les fichiers :</t>
    </r>
  </si>
  <si>
    <t>base.ValmagEAN13.csv</t>
  </si>
  <si>
    <t>HLESGC00</t>
  </si>
  <si>
    <t>Si filtre catalogue, ouvrir le fichier PRODUIT correspondant</t>
  </si>
  <si>
    <t>Filtre pour le catalogue :</t>
  </si>
  <si>
    <t>base.ValmagEAN13.code.uniq.csv</t>
  </si>
  <si>
    <t>Doublon ?</t>
  </si>
  <si>
    <t>Code produit</t>
  </si>
  <si>
    <t>Valmag EAN13 uniq</t>
  </si>
  <si>
    <t>catalogo fall 19</t>
  </si>
  <si>
    <t>²</t>
  </si>
  <si>
    <t>Fichiers</t>
  </si>
  <si>
    <t>Messages</t>
  </si>
  <si>
    <t>Référence à créer</t>
  </si>
  <si>
    <t>&gt; Référence à créer</t>
  </si>
  <si>
    <t>Code Valmag vide</t>
  </si>
  <si>
    <t>&gt; Code VALMAG vide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</si>
</sst>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* #,##0.00\ &quot;€&quot;_-;\-* #,##0.00\ &quot;€&quot;_-;_-* &quot;-&quot;??\ &quot;€&quot;_-;_-@_-"/>
    <numFmt numFmtId="164" formatCode="#,##0.00\ &quot;€&quot;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13"/>
      <color theme="1"/>
      <name val="Calibri"/>
      <family val="2"/>
      <scheme val="minor"/>
    </font>
    <font>
      <sz val="35"/>
      <color theme="1"/>
      <name val="Code EAN13"/>
      <charset val="2"/>
    </font>
    <font>
      <b/>
      <i/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5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i/>
      <sz val="10"/>
      <color theme="4" tint="-0.249977111117893"/>
      <name val="Calibri"/>
      <family val="2"/>
      <scheme val="minor"/>
    </font>
    <font>
      <i/>
      <sz val="13"/>
      <color theme="4" tint="-0.24997711111789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2">
    <xf numFmtId="0" fontId="0" fillId="0" borderId="0" xfId="0"/>
    <xf numFmtId="0" fontId="0" fillId="2" borderId="0" xfId="0" applyFill="1"/>
    <xf numFmtId="0" fontId="0" fillId="3" borderId="1" xfId="0" applyFill="1" applyBorder="1"/>
    <xf numFmtId="44" fontId="0" fillId="4" borderId="0" xfId="1" applyFont="1" applyFill="1"/>
    <xf numFmtId="0" fontId="0" fillId="5" borderId="1" xfId="0" applyFill="1" applyBorder="1"/>
    <xf numFmtId="0" fontId="0" fillId="3" borderId="0" xfId="0" applyFill="1"/>
    <xf numFmtId="0" fontId="0" fillId="2" borderId="1" xfId="0" applyFill="1" applyBorder="1"/>
    <xf numFmtId="44" fontId="0" fillId="6" borderId="0" xfId="1" applyFont="1" applyFill="1"/>
    <xf numFmtId="0" fontId="0" fillId="3" borderId="1" xfId="0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164" fontId="4" fillId="3" borderId="0" xfId="0" applyNumberFormat="1" applyFont="1" applyFill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1" fontId="0" fillId="2" borderId="0" xfId="0" applyNumberFormat="1" applyFill="1"/>
    <xf numFmtId="0" fontId="0" fillId="2" borderId="2" xfId="0" applyFill="1" applyBorder="1"/>
    <xf numFmtId="0" fontId="2" fillId="2" borderId="0" xfId="0" applyFont="1" applyFill="1"/>
    <xf numFmtId="0" fontId="2" fillId="3" borderId="0" xfId="0" applyFont="1" applyFill="1"/>
    <xf numFmtId="0" fontId="0" fillId="3" borderId="0" xfId="0" applyFill="1" applyAlignment="1">
      <alignment vertical="center"/>
    </xf>
    <xf numFmtId="0" fontId="3" fillId="3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1" fontId="0" fillId="2" borderId="0" xfId="0" applyNumberFormat="1" applyFill="1" applyAlignment="1">
      <alignment vertical="center"/>
    </xf>
    <xf numFmtId="0" fontId="7" fillId="3" borderId="0" xfId="0" applyFont="1" applyFill="1" applyAlignment="1">
      <alignment horizontal="right"/>
    </xf>
    <xf numFmtId="0" fontId="0" fillId="3" borderId="3" xfId="0" applyFill="1" applyBorder="1"/>
    <xf numFmtId="1" fontId="2" fillId="2" borderId="0" xfId="0" applyNumberFormat="1" applyFont="1" applyFill="1"/>
    <xf numFmtId="0" fontId="9" fillId="3" borderId="0" xfId="0" applyFont="1" applyFill="1" applyAlignment="1">
      <alignment horizontal="center" vertical="center"/>
    </xf>
    <xf numFmtId="0" fontId="4" fillId="3" borderId="0" xfId="0" applyFont="1" applyFill="1"/>
    <xf numFmtId="0" fontId="5" fillId="3" borderId="0" xfId="0" applyFont="1" applyFill="1"/>
    <xf numFmtId="164" fontId="10" fillId="3" borderId="0" xfId="0" applyNumberFormat="1" applyFont="1" applyFill="1"/>
    <xf numFmtId="164" fontId="3" fillId="3" borderId="0" xfId="0" applyNumberFormat="1" applyFont="1" applyFill="1"/>
    <xf numFmtId="0" fontId="8" fillId="3" borderId="0" xfId="0" applyFont="1" applyFill="1" applyAlignment="1">
      <alignment horizontal="center"/>
    </xf>
    <xf numFmtId="0" fontId="6" fillId="3" borderId="0" xfId="0" applyFont="1" applyFill="1" applyAlignment="1">
      <alignment horizontal="right"/>
    </xf>
    <xf numFmtId="0" fontId="11" fillId="3" borderId="0" xfId="0" applyFont="1" applyFill="1" applyAlignment="1">
      <alignment horizontal="right" vertical="center"/>
    </xf>
    <xf numFmtId="0" fontId="2" fillId="3" borderId="3" xfId="0" applyFont="1" applyFill="1" applyBorder="1" applyAlignment="1">
      <alignment horizontal="right"/>
    </xf>
    <xf numFmtId="0" fontId="0" fillId="3" borderId="0" xfId="0" applyFill="1" applyAlignment="1">
      <alignment horizontal="right"/>
    </xf>
    <xf numFmtId="0" fontId="0" fillId="7" borderId="0" xfId="0" applyFill="1" applyBorder="1"/>
    <xf numFmtId="0" fontId="8" fillId="3" borderId="0" xfId="0" applyFont="1" applyFill="1"/>
    <xf numFmtId="164" fontId="13" fillId="3" borderId="0" xfId="0" applyNumberFormat="1" applyFont="1" applyFill="1" applyAlignment="1">
      <alignment horizontal="left"/>
    </xf>
    <xf numFmtId="0" fontId="14" fillId="3" borderId="0" xfId="0" applyFont="1" applyFill="1"/>
    <xf numFmtId="0" fontId="12" fillId="3" borderId="0" xfId="0" applyFont="1" applyFill="1"/>
    <xf numFmtId="0" fontId="0" fillId="4" borderId="0" xfId="0" applyFill="1"/>
    <xf numFmtId="0" fontId="2" fillId="4" borderId="0" xfId="0" applyFont="1" applyFill="1"/>
    <xf numFmtId="0" fontId="0" fillId="8" borderId="0" xfId="0" applyFill="1"/>
    <xf numFmtId="0" fontId="2" fillId="8" borderId="0" xfId="0" applyFont="1" applyFill="1"/>
    <xf numFmtId="0" fontId="0" fillId="4" borderId="0" xfId="0" applyFill="1" applyBorder="1"/>
    <xf numFmtId="0" fontId="15" fillId="3" borderId="0" xfId="0" applyFont="1" applyFill="1" applyAlignment="1">
      <alignment horizontal="right"/>
    </xf>
    <xf numFmtId="164" fontId="16" fillId="3" borderId="0" xfId="0" applyNumberFormat="1" applyFont="1" applyFill="1"/>
    <xf numFmtId="164" fontId="17" fillId="3" borderId="0" xfId="0" applyNumberFormat="1" applyFont="1" applyFill="1"/>
    <xf numFmtId="0" fontId="0" fillId="8" borderId="0" xfId="0" applyFont="1" applyFill="1"/>
    <xf numFmtId="1" fontId="0" fillId="10" borderId="0" xfId="0" applyNumberFormat="1" applyFill="1"/>
    <xf numFmtId="0" fontId="0" fillId="11" borderId="0" xfId="0" applyFill="1"/>
    <xf numFmtId="0" fontId="0" fillId="10" borderId="0" xfId="0" applyFill="1"/>
    <xf numFmtId="0" fontId="2" fillId="12" borderId="0" xfId="0" applyFont="1" applyFill="1"/>
    <xf numFmtId="1" fontId="0" fillId="12" borderId="0" xfId="0" applyNumberFormat="1" applyFill="1"/>
    <xf numFmtId="1" fontId="18" fillId="3" borderId="0" xfId="0" applyNumberFormat="1" applyFont="1" applyFill="1" applyAlignment="1">
      <alignment vertical="center"/>
    </xf>
    <xf numFmtId="0" fontId="0" fillId="9" borderId="0" xfId="0" applyFill="1"/>
    <xf numFmtId="0" fontId="0" fillId="13" borderId="0" xfId="0" applyFill="1"/>
    <xf numFmtId="0" fontId="19" fillId="3" borderId="0" xfId="0" applyFont="1" applyFill="1" applyAlignment="1">
      <alignment vertical="center"/>
    </xf>
    <xf numFmtId="0" fontId="20" fillId="3" borderId="0" xfId="0" applyFont="1" applyFill="1" applyBorder="1" applyAlignment="1">
      <alignment vertical="center"/>
    </xf>
    <xf numFmtId="0" fontId="12" fillId="0" borderId="0" xfId="0" applyFont="1"/>
    <xf numFmtId="0" fontId="0" fillId="0" borderId="4" xfId="0" applyBorder="1"/>
    <xf numFmtId="0" fontId="0" fillId="0" borderId="5" xfId="0" applyBorder="1"/>
  </cellXfs>
  <cellStyles count="2">
    <cellStyle name="Monétaire" xfId="1" builtinId="4"/>
    <cellStyle name="Normal" xfId="0" builtinId="0"/>
  </cellStyles>
  <dxfs count="4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AD489"/>
  <sheetViews>
    <sheetView tabSelected="1" workbookViewId="0">
      <pane ySplit="7" topLeftCell="A405" activePane="bottomLeft" state="frozen"/>
      <selection activeCell="A58" sqref="A58"/>
      <selection pane="bottomLeft" activeCell="A405" sqref="A405"/>
    </sheetView>
  </sheetViews>
  <sheetFormatPr baseColWidth="10" defaultRowHeight="15" x14ac:dyDescent="0.25"/>
  <cols>
    <col min="1" max="1" width="7.5703125" style="5" customWidth="1"/>
    <col min="2" max="2" width="23.7109375" style="5" customWidth="1"/>
    <col min="3" max="3" width="99.42578125" style="5" customWidth="1"/>
    <col min="4" max="4" width="23.28515625" style="5" customWidth="1"/>
    <col min="5" max="5" width="12.42578125" style="5" customWidth="1"/>
    <col min="6" max="6" width="13.28515625" style="5" customWidth="1"/>
    <col min="7" max="7" width="11.28515625" style="5" customWidth="1"/>
    <col min="8" max="8" width="20.140625" style="5" bestFit="1" customWidth="1"/>
    <col min="9" max="9" width="11.42578125" style="1"/>
    <col min="10" max="10" width="15.85546875" style="1" bestFit="1" customWidth="1"/>
    <col min="11" max="13" width="11.42578125" style="1"/>
    <col min="14" max="14" width="14" style="1" bestFit="1" customWidth="1"/>
    <col min="15" max="15" width="14" style="1" customWidth="1"/>
    <col min="16" max="16" width="13.7109375" style="1" bestFit="1" customWidth="1"/>
    <col min="17" max="18" width="13.7109375" style="1" customWidth="1"/>
    <col min="19" max="19" width="6.5703125" style="1" customWidth="1"/>
    <col min="20" max="20" width="26.42578125" style="14" customWidth="1"/>
    <col min="21" max="22" width="6.5703125" style="14" customWidth="1"/>
    <col min="23" max="23" width="25.5703125" style="14" customWidth="1"/>
    <col min="24" max="25" width="6.5703125" style="14" customWidth="1"/>
    <col min="26" max="27" width="16.7109375" style="14" customWidth="1"/>
    <col min="28" max="28" width="19.42578125" style="14" customWidth="1"/>
    <col min="29" max="29" width="16.7109375" style="1" bestFit="1" customWidth="1"/>
    <col min="30" max="31" width="14" style="1" bestFit="1" customWidth="1"/>
    <col min="32" max="16384" width="11.42578125" style="1"/>
  </cols>
  <sheetData>
    <row r="1" spans="1:30" ht="32.25" x14ac:dyDescent="0.5">
      <c r="C1" s="36" t="s">
        <v>16</v>
      </c>
      <c r="H1" s="32" t="str">
        <f ca="1">INDEX(INDIRECT(zoneFichierTraite), 1,5)</f>
        <v>2019-09-Fall19/FAT_2019_50_0001933.txt</v>
      </c>
      <c r="I1" s="42" t="s">
        <v>19</v>
      </c>
      <c r="J1" s="42"/>
      <c r="K1" s="42"/>
      <c r="L1" s="42"/>
    </row>
    <row r="2" spans="1:30" x14ac:dyDescent="0.25">
      <c r="I2" s="48" t="str">
        <f>"- Commande / " &amp; nomFichierTraite</f>
        <v>- Commande / EAN13_traite.csv</v>
      </c>
      <c r="J2" s="43"/>
      <c r="K2" s="42"/>
      <c r="L2" s="42"/>
    </row>
    <row r="3" spans="1:30" ht="26.25" x14ac:dyDescent="0.4">
      <c r="C3" s="38" t="str">
        <f ca="1">INDEX(INDIRECT(zoneFichierTraite), 3,5)</f>
        <v>2019 50 1933 17/09/2019</v>
      </c>
      <c r="H3" s="45" t="str">
        <f ca="1">IF(OR(I:I),"Attention : il existe des lignes en double","")</f>
        <v/>
      </c>
      <c r="I3" s="48" t="str">
        <f>"- Catalogues / " &amp; nomFichierBaseCatalogue</f>
        <v>- Catalogues / base.EAN13.csv</v>
      </c>
      <c r="J3" s="42"/>
      <c r="K3" s="42"/>
      <c r="L3" s="42"/>
    </row>
    <row r="4" spans="1:30" ht="19.5" x14ac:dyDescent="0.3">
      <c r="C4" s="39" t="str">
        <f ca="1">INDEX(INDIRECT(zoneFichierTraite), 2,5)</f>
        <v>TOULOUSE</v>
      </c>
      <c r="H4" s="34" t="s">
        <v>23</v>
      </c>
      <c r="I4" s="48" t="str">
        <f>"- Catalogues / " &amp; nomFichierEAN13Valmag</f>
        <v>- Catalogues / base.ValmagEAN13.csv</v>
      </c>
      <c r="J4" s="42"/>
      <c r="K4" s="42"/>
      <c r="L4" s="42"/>
    </row>
    <row r="5" spans="1:30" x14ac:dyDescent="0.25">
      <c r="B5" s="32"/>
      <c r="C5" s="5" t="s">
        <v>29</v>
      </c>
      <c r="F5" s="23"/>
      <c r="G5" s="23"/>
      <c r="H5" s="33" t="s">
        <v>28</v>
      </c>
      <c r="I5" s="48" t="str">
        <f>"- Catalogues / " &amp; nomFichierEAN13ValmagUniq</f>
        <v>- Catalogues / base.ValmagEAN13.code.uniq.csv</v>
      </c>
      <c r="J5" s="42"/>
      <c r="K5" s="42"/>
      <c r="L5" s="42"/>
      <c r="M5" s="41" t="s">
        <v>22</v>
      </c>
    </row>
    <row r="6" spans="1:30" ht="17.25" x14ac:dyDescent="0.3">
      <c r="B6" s="32" t="str">
        <f ca="1">INDEX(INDIRECT(zoneFichierTraite), 4,3)</f>
        <v>Total facture</v>
      </c>
      <c r="C6" s="37">
        <f ca="1">INDEX(INDIRECT(zoneFichierTraite), 4,5)</f>
        <v>6224.71</v>
      </c>
      <c r="I6" s="44" t="str">
        <f>"'[" &amp; H5 &amp; ".PRODUIT" &amp; ".csv]" &amp; H5 &amp; ".PRODUIT'"</f>
        <v>'[catalogo fall 19.PRODUIT.csv]catalogo fall 19.PRODUIT'</v>
      </c>
      <c r="J6" s="40"/>
      <c r="K6" s="40"/>
      <c r="L6" s="40"/>
    </row>
    <row r="7" spans="1:30" ht="23.25" x14ac:dyDescent="0.35">
      <c r="B7" s="32" t="s">
        <v>17</v>
      </c>
      <c r="C7" s="46" t="str">
        <f ca="1">INDEX(INDIRECT(zoneFichierTraite), 6,5)</f>
        <v>6132.71</v>
      </c>
      <c r="F7" s="22" t="s">
        <v>11</v>
      </c>
      <c r="G7" s="29">
        <f ca="1">SUM(M:M)</f>
        <v>6132.7099999999928</v>
      </c>
      <c r="H7" s="47">
        <f ca="1">SUMPRODUCT(E:E,F:F)</f>
        <v>6132.7099999999928</v>
      </c>
      <c r="K7" s="35" t="str">
        <f>nomFichierFiltreCatalogue &amp; "!A:Z"</f>
        <v>'[catalogo fall 19.PRODUIT.csv]catalogo fall 19.PRODUIT'!A:Z</v>
      </c>
    </row>
    <row r="8" spans="1:30" x14ac:dyDescent="0.25">
      <c r="L8" s="16" t="s">
        <v>3</v>
      </c>
      <c r="P8" s="16" t="s">
        <v>10</v>
      </c>
      <c r="Q8" s="16"/>
      <c r="R8" s="16" t="s">
        <v>27</v>
      </c>
      <c r="S8" s="1" t="s">
        <v>13</v>
      </c>
      <c r="T8" s="24"/>
      <c r="U8" s="24"/>
      <c r="V8" s="24"/>
      <c r="W8" s="24"/>
      <c r="X8" s="24"/>
      <c r="Y8" s="24"/>
      <c r="Z8" s="24"/>
      <c r="AA8" s="24"/>
      <c r="AB8" s="24"/>
      <c r="AC8" s="16" t="s">
        <v>15</v>
      </c>
    </row>
    <row r="9" spans="1:30" x14ac:dyDescent="0.25">
      <c r="I9" s="16" t="s">
        <v>25</v>
      </c>
      <c r="P9" s="1" t="s">
        <v>14</v>
      </c>
      <c r="R9" s="1" t="s">
        <v>26</v>
      </c>
    </row>
    <row r="10" spans="1:30" ht="39" customHeight="1" thickBot="1" x14ac:dyDescent="0.65">
      <c r="A10" s="9" t="str">
        <f ca="1">INDEX(INDIRECT(zoneFichierTraite),$J10+offsetInitialFichierTraite,6)</f>
        <v>UNICA</v>
      </c>
      <c r="B10" s="5" t="str">
        <f ca="1">INDEX(INDIRECT(zoneFichierTraite),$J10+offsetInitialFichierTraite,4)</f>
        <v>ACCEO113-MAS00-055</v>
      </c>
      <c r="C10" s="26" t="str">
        <f ca="1">INDEX(INDIRECT(zoneFichierTraite),$J10+offsetInitialFichierTraite,5)</f>
        <v>ACCESSOIRE PORTE-CLES LETTRES O BAG EN PLASTIQUE</v>
      </c>
      <c r="D10" s="27" t="str">
        <f ca="1">INDEX(INDIRECT(zoneFichierTraite),$J10+offsetInitialFichierTraite,13)</f>
        <v>nero</v>
      </c>
      <c r="E10" s="30">
        <f ca="1">INDEX(INDIRECT(zoneFichierTraite),$J10+offsetInitialFichierTraite,7)</f>
        <v>2</v>
      </c>
      <c r="F10" s="28">
        <f ca="1">INDEX(INDIRECT(zoneFichierTraite),$J10+offsetInitialFichierTraite,8)</f>
        <v>7.78</v>
      </c>
      <c r="G10" s="29">
        <f t="shared" ref="G10" ca="1" si="0">ROUNDUP(F10*3,0)</f>
        <v>24</v>
      </c>
      <c r="H10" s="31" t="str">
        <f ca="1">IF(ISNUMBER(N10),codeEAN13(INT(N10/10)),"")</f>
        <v>8APASOG*ajcfcf+</v>
      </c>
      <c r="I10" s="1" t="b">
        <f t="shared" ref="I10" ca="1" si="1">AND(A13&lt;&gt;0,A11=A13)</f>
        <v>0</v>
      </c>
      <c r="J10" s="15">
        <f t="shared" ref="J10:J72" si="2">J8+1</f>
        <v>1</v>
      </c>
      <c r="K10" s="1">
        <f t="shared" ref="K10" ca="1" si="3">A11</f>
        <v>140</v>
      </c>
      <c r="L10" s="5" t="str">
        <f ca="1">INDEX(INDIRECT(zoneFichierTraite),$J10+offsetInitialFichierTraite,1)</f>
        <v>'001</v>
      </c>
      <c r="M10" s="11">
        <f ca="1">INDEX(INDIRECT(zoneFichierTraite),$J10+offsetInitialFichierTraite,9)</f>
        <v>15.56</v>
      </c>
      <c r="N10" s="14">
        <f ca="1">INDEX(INDIRECT(zoneFichierTraite),$J10+offsetInitialFichierTraite,3)</f>
        <v>8050846092525</v>
      </c>
      <c r="O10" s="14"/>
      <c r="P10" s="56">
        <f ca="1">MATCH(N10,INDIRECT(nomFichierEAN13Valmag &amp; "!A:A"),0)</f>
        <v>891</v>
      </c>
      <c r="R10" s="50" t="str">
        <f ca="1">LEFT(B10,14)</f>
        <v>ACCEO113-MAS00</v>
      </c>
      <c r="S10" s="52">
        <f ca="1">MATCH($R10,INDIRECT(nomFichierEAN13ValmagUniq &amp; "!A:A"),0)</f>
        <v>5</v>
      </c>
      <c r="T10" s="49" t="str">
        <f ca="1">IFERROR(INDEX(INDIRECT(zoneFichierEAN13ValmagUniq),S10,2),"")</f>
        <v xml:space="preserve"> </v>
      </c>
      <c r="U10" s="52" t="e">
        <f ca="1">MATCH($R10,INDIRECT(nomFichierEAN13ValmagUniq &amp; "!A" &amp; (S10+1) &amp; ":A" &amp;  (S10+10)),0)</f>
        <v>#N/A</v>
      </c>
      <c r="V10" s="51" t="e">
        <f t="shared" ref="V10" ca="1" si="4">U10+S10</f>
        <v>#N/A</v>
      </c>
      <c r="W10" s="49" t="str">
        <f ca="1">IFERROR(INDEX(INDIRECT(zoneFichierEAN13ValmagUniq),V10,2),"")</f>
        <v/>
      </c>
      <c r="X10" s="52" t="e">
        <f ca="1">MATCH($R10,INDIRECT(nomFichierEAN13ValmagUniq &amp; "!A" &amp; (V10+1) &amp; ":A" &amp;  (V10+10)),0)</f>
        <v>#N/A</v>
      </c>
      <c r="Y10" s="51" t="e">
        <f t="shared" ref="Y10" ca="1" si="5">X10+V10</f>
        <v>#N/A</v>
      </c>
      <c r="Z10" s="49" t="str">
        <f ca="1">IFERROR(INDEX(INDIRECT(zoneFichierEAN13ValmagUniq),Y10,2),"")</f>
        <v/>
      </c>
      <c r="AA10" s="53" t="str">
        <f t="shared" ref="AA10" ca="1" si="6">T10 &amp; IF(W10="","", " | " &amp; W10) &amp; IF(Z10="","", " | " &amp;Z10)</f>
        <v xml:space="preserve"> </v>
      </c>
      <c r="AC10" s="55">
        <f ca="1">MATCH(B10,INDIRECT(nomFichierFiltreCatalogue &amp; "!B:B"),0)</f>
        <v>569</v>
      </c>
      <c r="AD10" s="14"/>
    </row>
    <row r="11" spans="1:30" s="20" customFormat="1" ht="15.75" customHeight="1" x14ac:dyDescent="0.25">
      <c r="A11" s="25">
        <f ca="1">INDEX(INDIRECT(zoneFichierTraite),$J10+offsetInitialFichierTraite,2)</f>
        <v>140</v>
      </c>
      <c r="B11" s="57" t="str">
        <f ca="1">IF(ISERROR($P10),msgRefValmagAcreer,IF(INDEX(INDIRECT(zoneFichierEAN13Valmag),$P10,3) = "",msgCodeValmagVide, INDEX(INDIRECT(zoneFichierEAN13Valmag),$P10,3)))</f>
        <v xml:space="preserve"> </v>
      </c>
      <c r="C11" s="54" t="str">
        <f t="shared" ref="C11" ca="1" si="7">AA10</f>
        <v xml:space="preserve"> </v>
      </c>
      <c r="D11" s="19" t="str">
        <f ca="1">IFERROR(INDEX(INDIRECT(zoneFichierEAN13Valmag),$P10,4),"")</f>
        <v xml:space="preserve"> </v>
      </c>
      <c r="E11" s="58" t="str">
        <f ca="1">IFERROR(INDEX(INDIRECT(zoneFichierFiltreCatalogue),AC10,3),"")</f>
        <v>p144-2-03</v>
      </c>
      <c r="F11" s="19"/>
      <c r="G11" s="18"/>
      <c r="H11" s="32" t="str">
        <f ca="1">IFERROR(INDEX(INDIRECT(zoneFichierFiltreCatalogue),AC10,6),"")</f>
        <v>fall 2019 presentation_/catalogo fall 19.txt</v>
      </c>
      <c r="S11" s="1"/>
      <c r="T11" s="21"/>
      <c r="U11" s="21"/>
      <c r="V11" s="21"/>
      <c r="W11" s="21"/>
      <c r="X11" s="21"/>
      <c r="Y11" s="21"/>
      <c r="Z11" s="21"/>
      <c r="AA11" s="21"/>
      <c r="AB11" s="21"/>
      <c r="AC11" s="21"/>
    </row>
    <row r="12" spans="1:30" ht="39" customHeight="1" thickBot="1" x14ac:dyDescent="0.65">
      <c r="A12" s="9" t="str">
        <f ca="1">INDEX(INDIRECT(zoneFichierTraite),$J12+offsetInitialFichierTraite,6)</f>
        <v>UNICA</v>
      </c>
      <c r="B12" s="5" t="str">
        <f ca="1">INDEX(INDIRECT(zoneFichierTraite),$J12+offsetInitialFichierTraite,4)</f>
        <v>ACCEO113-MAS00-076</v>
      </c>
      <c r="C12" s="26" t="str">
        <f ca="1">INDEX(INDIRECT(zoneFichierTraite),$J12+offsetInitialFichierTraite,5)</f>
        <v>ACCESSOIRE PORTE-CLES LETTRES O BAG EN PLASTIQUE</v>
      </c>
      <c r="D12" s="27" t="str">
        <f ca="1">INDEX(INDIRECT(zoneFichierTraite),$J12+offsetInitialFichierTraite,13)</f>
        <v>rosso</v>
      </c>
      <c r="E12" s="30">
        <f ca="1">INDEX(INDIRECT(zoneFichierTraite),$J12+offsetInitialFichierTraite,7)</f>
        <v>2</v>
      </c>
      <c r="F12" s="28">
        <f ca="1">INDEX(INDIRECT(zoneFichierTraite),$J12+offsetInitialFichierTraite,8)</f>
        <v>7.78</v>
      </c>
      <c r="G12" s="29">
        <f t="shared" ref="G12" ca="1" si="8">ROUNDUP(F12*3,0)</f>
        <v>24</v>
      </c>
      <c r="H12" s="31" t="str">
        <f ca="1">IF(ISNUMBER(N12),codeEAN13(INT(N12/10)),"")</f>
        <v>8APASOG*ajcfdc+</v>
      </c>
      <c r="I12" s="1" t="b">
        <f t="shared" ref="I12" ca="1" si="9">AND(A15&lt;&gt;0,A13=A15)</f>
        <v>0</v>
      </c>
      <c r="J12" s="15">
        <f t="shared" si="2"/>
        <v>2</v>
      </c>
      <c r="K12" s="1">
        <f t="shared" ref="K12" ca="1" si="10">A13</f>
        <v>16</v>
      </c>
      <c r="L12" s="5" t="str">
        <f ca="1">INDEX(INDIRECT(zoneFichierTraite),$J12+offsetInitialFichierTraite,1)</f>
        <v>'002</v>
      </c>
      <c r="M12" s="11">
        <f ca="1">INDEX(INDIRECT(zoneFichierTraite),$J12+offsetInitialFichierTraite,9)</f>
        <v>15.56</v>
      </c>
      <c r="N12" s="14">
        <f ca="1">INDEX(INDIRECT(zoneFichierTraite),$J12+offsetInitialFichierTraite,3)</f>
        <v>8050846092532</v>
      </c>
      <c r="O12" s="14"/>
      <c r="P12" s="56">
        <f ca="1">MATCH(N12,INDIRECT(nomFichierEAN13Valmag &amp; "!A:A"),0)</f>
        <v>892</v>
      </c>
      <c r="R12" s="50" t="str">
        <f ca="1">LEFT(B12,14)</f>
        <v>ACCEO113-MAS00</v>
      </c>
      <c r="S12" s="52">
        <f ca="1">MATCH($R12,INDIRECT(nomFichierEAN13ValmagUniq &amp; "!A:A"),0)</f>
        <v>5</v>
      </c>
      <c r="T12" s="49" t="str">
        <f ca="1">IFERROR(INDEX(INDIRECT(zoneFichierEAN13ValmagUniq),S12,2),"")</f>
        <v xml:space="preserve"> </v>
      </c>
      <c r="U12" s="52" t="e">
        <f ca="1">MATCH($R12,INDIRECT(nomFichierEAN13ValmagUniq &amp; "!A" &amp; (S12+1) &amp; ":A" &amp;  (S12+10)),0)</f>
        <v>#N/A</v>
      </c>
      <c r="V12" s="51" t="e">
        <f t="shared" ref="V12" ca="1" si="11">U12+S12</f>
        <v>#N/A</v>
      </c>
      <c r="W12" s="49" t="str">
        <f ca="1">IFERROR(INDEX(INDIRECT(zoneFichierEAN13ValmagUniq),V12,2),"")</f>
        <v/>
      </c>
      <c r="X12" s="52" t="e">
        <f ca="1">MATCH($R12,INDIRECT(nomFichierEAN13ValmagUniq &amp; "!A" &amp; (V12+1) &amp; ":A" &amp;  (V12+10)),0)</f>
        <v>#N/A</v>
      </c>
      <c r="Y12" s="51" t="e">
        <f t="shared" ref="Y12" ca="1" si="12">X12+V12</f>
        <v>#N/A</v>
      </c>
      <c r="Z12" s="49" t="str">
        <f ca="1">IFERROR(INDEX(INDIRECT(zoneFichierEAN13ValmagUniq),Y12,2),"")</f>
        <v/>
      </c>
      <c r="AA12" s="53" t="str">
        <f t="shared" ref="AA12" ca="1" si="13">T12 &amp; IF(W12="","", " | " &amp; W12) &amp; IF(Z12="","", " | " &amp;Z12)</f>
        <v xml:space="preserve"> </v>
      </c>
      <c r="AC12" s="55">
        <f ca="1">MATCH(B12,INDIRECT(nomFichierFiltreCatalogue &amp; "!B:B"),0)</f>
        <v>571</v>
      </c>
      <c r="AD12" s="14"/>
    </row>
    <row r="13" spans="1:30" s="20" customFormat="1" ht="15.75" customHeight="1" x14ac:dyDescent="0.25">
      <c r="A13" s="25">
        <f ca="1">INDEX(INDIRECT(zoneFichierTraite),$J12+offsetInitialFichierTraite,2)</f>
        <v>16</v>
      </c>
      <c r="B13" s="57" t="str">
        <f ca="1">IF(ISERROR($P12),msgRefValmagAcreer,IF(INDEX(INDIRECT(zoneFichierEAN13Valmag),$P12,3) = "",msgCodeValmagVide, INDEX(INDIRECT(zoneFichierEAN13Valmag),$P12,3)))</f>
        <v xml:space="preserve"> </v>
      </c>
      <c r="C13" s="54" t="str">
        <f t="shared" ref="C13" ca="1" si="14">AA12</f>
        <v xml:space="preserve"> </v>
      </c>
      <c r="D13" s="19" t="str">
        <f ca="1">IFERROR(INDEX(INDIRECT(zoneFichierEAN13Valmag),$P12,4),"")</f>
        <v xml:space="preserve"> </v>
      </c>
      <c r="E13" s="58" t="str">
        <f ca="1">IFERROR(INDEX(INDIRECT(zoneFichierFiltreCatalogue),AC12,3),"")</f>
        <v>p144-2-05</v>
      </c>
      <c r="F13" s="19"/>
      <c r="G13" s="18"/>
      <c r="H13" s="32" t="str">
        <f ca="1">IFERROR(INDEX(INDIRECT(zoneFichierFiltreCatalogue),AC12,6),"")</f>
        <v>fall 2019 presentation_/catalogo fall 19.txt</v>
      </c>
      <c r="S13" s="1"/>
      <c r="T13" s="21"/>
      <c r="U13" s="21"/>
      <c r="V13" s="21"/>
      <c r="W13" s="21"/>
      <c r="X13" s="21"/>
      <c r="Y13" s="21"/>
      <c r="Z13" s="21"/>
      <c r="AA13" s="21"/>
      <c r="AB13" s="21"/>
      <c r="AC13" s="21"/>
    </row>
    <row r="14" spans="1:30" ht="39" customHeight="1" thickBot="1" x14ac:dyDescent="0.65">
      <c r="A14" s="9" t="str">
        <f ca="1">INDEX(INDIRECT(zoneFichierTraite),$J14+offsetInitialFichierTraite,6)</f>
        <v>UNICA</v>
      </c>
      <c r="B14" s="5" t="str">
        <f ca="1">INDEX(INDIRECT(zoneFichierTraite),$J14+offsetInitialFichierTraite,4)</f>
        <v>HLESAD00-ECS00-055</v>
      </c>
      <c r="C14" s="26" t="str">
        <f ca="1">INDEX(INDIRECT(zoneFichierTraite),$J14+offsetInitialFichierTraite,5)</f>
        <v>ANSES TUBULAIRES EN FAUX CUIR</v>
      </c>
      <c r="D14" s="27" t="str">
        <f ca="1">INDEX(INDIRECT(zoneFichierTraite),$J14+offsetInitialFichierTraite,13)</f>
        <v>nero</v>
      </c>
      <c r="E14" s="30">
        <f ca="1">INDEX(INDIRECT(zoneFichierTraite),$J14+offsetInitialFichierTraite,7)</f>
        <v>3</v>
      </c>
      <c r="F14" s="28">
        <f ca="1">INDEX(INDIRECT(zoneFichierTraite),$J14+offsetInitialFichierTraite,8)</f>
        <v>4.5599999999999996</v>
      </c>
      <c r="G14" s="29">
        <f t="shared" ref="G14" ca="1" si="15">ROUNDUP(F14*3,0)</f>
        <v>14</v>
      </c>
      <c r="H14" s="31" t="str">
        <f ca="1">IF(ISNUMBER(N14),codeEAN13(INT(N14/10)),"")</f>
        <v>8APASOG*aacfig+</v>
      </c>
      <c r="I14" s="1" t="b">
        <f t="shared" ref="I14" ca="1" si="16">AND(A17&lt;&gt;0,A15=A17)</f>
        <v>0</v>
      </c>
      <c r="J14" s="15">
        <f t="shared" si="2"/>
        <v>3</v>
      </c>
      <c r="K14" s="1">
        <f t="shared" ref="K14" ca="1" si="17">A15</f>
        <v>103</v>
      </c>
      <c r="L14" s="5" t="str">
        <f ca="1">INDEX(INDIRECT(zoneFichierTraite),$J14+offsetInitialFichierTraite,1)</f>
        <v>'003</v>
      </c>
      <c r="M14" s="11">
        <f ca="1">INDEX(INDIRECT(zoneFichierTraite),$J14+offsetInitialFichierTraite,9)</f>
        <v>13.68</v>
      </c>
      <c r="N14" s="14">
        <f ca="1">INDEX(INDIRECT(zoneFichierTraite),$J14+offsetInitialFichierTraite,3)</f>
        <v>8050846002586</v>
      </c>
      <c r="O14" s="14"/>
      <c r="P14" s="56">
        <f ca="1">MATCH(N14,INDIRECT(nomFichierEAN13Valmag &amp; "!A:A"),0)</f>
        <v>76</v>
      </c>
      <c r="R14" s="50" t="str">
        <f ca="1">LEFT(B14,14)</f>
        <v>HLESAD00-ECS00</v>
      </c>
      <c r="S14" s="52">
        <f ca="1">MATCH($R14,INDIRECT(nomFichierEAN13ValmagUniq &amp; "!A:A"),0)</f>
        <v>10</v>
      </c>
      <c r="T14" s="49" t="str">
        <f ca="1">IFERROR(INDEX(INDIRECT(zoneFichierEAN13ValmagUniq),S14,2),"")</f>
        <v xml:space="preserve"> </v>
      </c>
      <c r="U14" s="52">
        <f ca="1">MATCH($R14,INDIRECT(nomFichierEAN13ValmagUniq &amp; "!A" &amp; (S14+1) &amp; ":A" &amp;  (S14+10)),0)</f>
        <v>1</v>
      </c>
      <c r="V14" s="51">
        <f t="shared" ref="V14" ca="1" si="18">U14+S14</f>
        <v>11</v>
      </c>
      <c r="W14" s="49" t="str">
        <f ca="1">IFERROR(INDEX(INDIRECT(zoneFichierEAN13ValmagUniq),V14,2),"")</f>
        <v>ANSE/TUB/ANNEAUX</v>
      </c>
      <c r="X14" s="52" t="e">
        <f ca="1">MATCH($R14,INDIRECT(nomFichierEAN13ValmagUniq &amp; "!A" &amp; (V14+1) &amp; ":A" &amp;  (V14+10)),0)</f>
        <v>#N/A</v>
      </c>
      <c r="Y14" s="51" t="e">
        <f t="shared" ref="Y14" ca="1" si="19">X14+V14</f>
        <v>#N/A</v>
      </c>
      <c r="Z14" s="49" t="str">
        <f ca="1">IFERROR(INDEX(INDIRECT(zoneFichierEAN13ValmagUniq),Y14,2),"")</f>
        <v/>
      </c>
      <c r="AA14" s="53" t="str">
        <f t="shared" ref="AA14" ca="1" si="20">T14 &amp; IF(W14="","", " | " &amp; W14) &amp; IF(Z14="","", " | " &amp;Z14)</f>
        <v xml:space="preserve">  | ANSE/TUB/ANNEAUX</v>
      </c>
      <c r="AC14" s="55">
        <f ca="1">MATCH(B14,INDIRECT(nomFichierFiltreCatalogue &amp; "!B:B"),0)</f>
        <v>155</v>
      </c>
      <c r="AD14" s="14"/>
    </row>
    <row r="15" spans="1:30" s="20" customFormat="1" ht="15.75" customHeight="1" x14ac:dyDescent="0.25">
      <c r="A15" s="25">
        <f ca="1">INDEX(INDIRECT(zoneFichierTraite),$J14+offsetInitialFichierTraite,2)</f>
        <v>103</v>
      </c>
      <c r="B15" s="57" t="str">
        <f ca="1">IF(ISERROR($P14),msgRefValmagAcreer,IF(INDEX(INDIRECT(zoneFichierEAN13Valmag),$P14,3) = "",msgCodeValmagVide, INDEX(INDIRECT(zoneFichierEAN13Valmag),$P14,3)))</f>
        <v>ANSE/TUB/ANNEAUX</v>
      </c>
      <c r="C15" s="54" t="str">
        <f t="shared" ref="C15" ca="1" si="21">AA14</f>
        <v xml:space="preserve">  | ANSE/TUB/ANNEAUX</v>
      </c>
      <c r="D15" s="19" t="str">
        <f ca="1">IFERROR(INDEX(INDIRECT(zoneFichierEAN13Valmag),$P14,4),"")</f>
        <v>BLACK</v>
      </c>
      <c r="E15" s="58" t="str">
        <f ca="1">IFERROR(INDEX(INDIRECT(zoneFichierFiltreCatalogue),AC14,3),"")</f>
        <v>p032-1-03</v>
      </c>
      <c r="F15" s="19"/>
      <c r="G15" s="18"/>
      <c r="H15" s="32" t="str">
        <f ca="1">IFERROR(INDEX(INDIRECT(zoneFichierFiltreCatalogue),AC14,6),"")</f>
        <v>fall 2019 presentation_/catalogo fall 19.txt</v>
      </c>
      <c r="S15" s="1"/>
      <c r="T15" s="21"/>
      <c r="U15" s="21"/>
      <c r="V15" s="21"/>
      <c r="W15" s="21"/>
      <c r="X15" s="21"/>
      <c r="Y15" s="21"/>
      <c r="Z15" s="21"/>
      <c r="AA15" s="21"/>
      <c r="AB15" s="21"/>
      <c r="AC15" s="21"/>
    </row>
    <row r="16" spans="1:30" ht="39" customHeight="1" thickBot="1" x14ac:dyDescent="0.65">
      <c r="A16" s="9" t="str">
        <f ca="1">INDEX(INDIRECT(zoneFichierTraite),$J16+offsetInitialFichierTraite,6)</f>
        <v>UNICA</v>
      </c>
      <c r="B16" s="5" t="str">
        <f ca="1">INDEX(INDIRECT(zoneFichierTraite),$J16+offsetInitialFichierTraite,4)</f>
        <v>HLESC901-ECS00-078</v>
      </c>
      <c r="C16" s="26" t="str">
        <f ca="1">INDEX(INDIRECT(zoneFichierTraite),$J16+offsetInitialFichierTraite,5)</f>
        <v>ANSES COURTES CHAINE EN " T " EN FAUX CUIR</v>
      </c>
      <c r="D16" s="27" t="str">
        <f ca="1">INDEX(INDIRECT(zoneFichierTraite),$J16+offsetInitialFichierTraite,13)</f>
        <v>sabbia + oro</v>
      </c>
      <c r="E16" s="30">
        <f ca="1">INDEX(INDIRECT(zoneFichierTraite),$J16+offsetInitialFichierTraite,7)</f>
        <v>2</v>
      </c>
      <c r="F16" s="28">
        <f ca="1">INDEX(INDIRECT(zoneFichierTraite),$J16+offsetInitialFichierTraite,8)</f>
        <v>10</v>
      </c>
      <c r="G16" s="29">
        <f t="shared" ref="G16" ca="1" si="22">ROUNDUP(F16*3,0)</f>
        <v>30</v>
      </c>
      <c r="H16" s="31" t="str">
        <f ca="1">IF(ISNUMBER(N16),codeEAN13(INT(N16/10)),"")</f>
        <v>8APASOG*aijfje+</v>
      </c>
      <c r="I16" s="1" t="b">
        <f t="shared" ref="I16" ca="1" si="23">AND(A19&lt;&gt;0,A17=A19)</f>
        <v>0</v>
      </c>
      <c r="J16" s="15">
        <f t="shared" si="2"/>
        <v>4</v>
      </c>
      <c r="K16" s="1">
        <f t="shared" ref="K16" ca="1" si="24">A17</f>
        <v>15</v>
      </c>
      <c r="L16" s="5" t="str">
        <f ca="1">INDEX(INDIRECT(zoneFichierTraite),$J16+offsetInitialFichierTraite,1)</f>
        <v>'004</v>
      </c>
      <c r="M16" s="11">
        <f ca="1">INDEX(INDIRECT(zoneFichierTraite),$J16+offsetInitialFichierTraite,9)</f>
        <v>20</v>
      </c>
      <c r="N16" s="14">
        <f ca="1">INDEX(INDIRECT(zoneFichierTraite),$J16+offsetInitialFichierTraite,3)</f>
        <v>8050846089594</v>
      </c>
      <c r="O16" s="14"/>
      <c r="P16" s="56">
        <f ca="1">MATCH(N16,INDIRECT(nomFichierEAN13Valmag &amp; "!A:A"),0)</f>
        <v>649</v>
      </c>
      <c r="R16" s="50" t="str">
        <f ca="1">LEFT(B16,14)</f>
        <v>HLESC901-ECS00</v>
      </c>
      <c r="S16" s="52">
        <f ca="1">MATCH($R16,INDIRECT(nomFichierEAN13ValmagUniq &amp; "!A:A"),0)</f>
        <v>19</v>
      </c>
      <c r="T16" s="49" t="str">
        <f ca="1">IFERROR(INDEX(INDIRECT(zoneFichierEAN13ValmagUniq),S16,2),"")</f>
        <v xml:space="preserve"> </v>
      </c>
      <c r="U16" s="52" t="e">
        <f ca="1">MATCH($R16,INDIRECT(nomFichierEAN13ValmagUniq &amp; "!A" &amp; (S16+1) &amp; ":A" &amp;  (S16+10)),0)</f>
        <v>#N/A</v>
      </c>
      <c r="V16" s="51" t="e">
        <f t="shared" ref="V16" ca="1" si="25">U16+S16</f>
        <v>#N/A</v>
      </c>
      <c r="W16" s="49" t="str">
        <f ca="1">IFERROR(INDEX(INDIRECT(zoneFichierEAN13ValmagUniq),V16,2),"")</f>
        <v/>
      </c>
      <c r="X16" s="52" t="e">
        <f ca="1">MATCH($R16,INDIRECT(nomFichierEAN13ValmagUniq &amp; "!A" &amp; (V16+1) &amp; ":A" &amp;  (V16+10)),0)</f>
        <v>#N/A</v>
      </c>
      <c r="Y16" s="51" t="e">
        <f t="shared" ref="Y16" ca="1" si="26">X16+V16</f>
        <v>#N/A</v>
      </c>
      <c r="Z16" s="49" t="str">
        <f ca="1">IFERROR(INDEX(INDIRECT(zoneFichierEAN13ValmagUniq),Y16,2),"")</f>
        <v/>
      </c>
      <c r="AA16" s="53" t="str">
        <f t="shared" ref="AA16" ca="1" si="27">T16 &amp; IF(W16="","", " | " &amp; W16) &amp; IF(Z16="","", " | " &amp;Z16)</f>
        <v xml:space="preserve"> </v>
      </c>
      <c r="AC16" s="55">
        <f ca="1">MATCH(B16,INDIRECT(nomFichierFiltreCatalogue &amp; "!B:B"),0)</f>
        <v>149</v>
      </c>
      <c r="AD16" s="14"/>
    </row>
    <row r="17" spans="1:30" s="20" customFormat="1" ht="15.75" customHeight="1" x14ac:dyDescent="0.25">
      <c r="A17" s="25">
        <f ca="1">INDEX(INDIRECT(zoneFichierTraite),$J16+offsetInitialFichierTraite,2)</f>
        <v>15</v>
      </c>
      <c r="B17" s="57" t="str">
        <f ca="1">IF(ISERROR($P16),msgRefValmagAcreer,IF(INDEX(INDIRECT(zoneFichierEAN13Valmag),$P16,3) = "",msgCodeValmagVide, INDEX(INDIRECT(zoneFichierEAN13Valmag),$P16,3)))</f>
        <v xml:space="preserve"> </v>
      </c>
      <c r="C17" s="54" t="str">
        <f t="shared" ref="C17" ca="1" si="28">AA16</f>
        <v xml:space="preserve"> </v>
      </c>
      <c r="D17" s="19" t="str">
        <f ca="1">IFERROR(INDEX(INDIRECT(zoneFichierEAN13Valmag),$P16,4),"")</f>
        <v xml:space="preserve"> </v>
      </c>
      <c r="E17" s="58" t="str">
        <f ca="1">IFERROR(INDEX(INDIRECT(zoneFichierFiltreCatalogue),AC16,3),"")</f>
        <v>p031-1-01</v>
      </c>
      <c r="F17" s="19"/>
      <c r="G17" s="18"/>
      <c r="H17" s="32" t="str">
        <f ca="1">IFERROR(INDEX(INDIRECT(zoneFichierFiltreCatalogue),AC16,6),"")</f>
        <v>fall 2019 presentation_/catalogo fall 19.txt</v>
      </c>
      <c r="S17" s="1"/>
      <c r="T17" s="21"/>
      <c r="U17" s="21"/>
      <c r="V17" s="21"/>
      <c r="W17" s="21"/>
      <c r="X17" s="21"/>
      <c r="Y17" s="21"/>
      <c r="Z17" s="21"/>
      <c r="AA17" s="21"/>
      <c r="AB17" s="21"/>
      <c r="AC17" s="21"/>
    </row>
    <row r="18" spans="1:30" ht="39" customHeight="1" thickBot="1" x14ac:dyDescent="0.65">
      <c r="A18" s="9" t="str">
        <f ca="1">INDEX(INDIRECT(zoneFichierTraite),$J18+offsetInitialFichierTraite,6)</f>
        <v>UNICA</v>
      </c>
      <c r="B18" s="5" t="str">
        <f ca="1">INDEX(INDIRECT(zoneFichierTraite),$J18+offsetInitialFichierTraite,4)</f>
        <v>HLESC901-ECS00-615</v>
      </c>
      <c r="C18" s="26" t="str">
        <f ca="1">INDEX(INDIRECT(zoneFichierTraite),$J18+offsetInitialFichierTraite,5)</f>
        <v>ANSES COURTES CHAINE EN " T " EN FAUX CUIR</v>
      </c>
      <c r="D18" s="27" t="str">
        <f ca="1">INDEX(INDIRECT(zoneFichierTraite),$J18+offsetInitialFichierTraite,13)</f>
        <v>military + oro</v>
      </c>
      <c r="E18" s="30">
        <f ca="1">INDEX(INDIRECT(zoneFichierTraite),$J18+offsetInitialFichierTraite,7)</f>
        <v>2</v>
      </c>
      <c r="F18" s="28">
        <f ca="1">INDEX(INDIRECT(zoneFichierTraite),$J18+offsetInitialFichierTraite,8)</f>
        <v>10</v>
      </c>
      <c r="G18" s="29">
        <f t="shared" ref="G18" ca="1" si="29">ROUNDUP(F18*3,0)</f>
        <v>30</v>
      </c>
      <c r="H18" s="31" t="str">
        <f ca="1">IF(ISNUMBER(N18),codeEAN13(INT(N18/10)),"")</f>
        <v>8APASOG*aijfih+</v>
      </c>
      <c r="I18" s="1" t="b">
        <f t="shared" ref="I18" ca="1" si="30">AND(A21&lt;&gt;0,A19=A21)</f>
        <v>0</v>
      </c>
      <c r="J18" s="15">
        <f t="shared" si="2"/>
        <v>5</v>
      </c>
      <c r="K18" s="1">
        <f t="shared" ref="K18" ca="1" si="31">A19</f>
        <v>90</v>
      </c>
      <c r="L18" s="5" t="str">
        <f ca="1">INDEX(INDIRECT(zoneFichierTraite),$J18+offsetInitialFichierTraite,1)</f>
        <v>'005</v>
      </c>
      <c r="M18" s="11">
        <f ca="1">INDEX(INDIRECT(zoneFichierTraite),$J18+offsetInitialFichierTraite,9)</f>
        <v>20</v>
      </c>
      <c r="N18" s="14">
        <f ca="1">INDEX(INDIRECT(zoneFichierTraite),$J18+offsetInitialFichierTraite,3)</f>
        <v>8050846089587</v>
      </c>
      <c r="O18" s="14"/>
      <c r="P18" s="56">
        <f ca="1">MATCH(N18,INDIRECT(nomFichierEAN13Valmag &amp; "!A:A"),0)</f>
        <v>648</v>
      </c>
      <c r="R18" s="50" t="str">
        <f ca="1">LEFT(B18,14)</f>
        <v>HLESC901-ECS00</v>
      </c>
      <c r="S18" s="52">
        <f ca="1">MATCH($R18,INDIRECT(nomFichierEAN13ValmagUniq &amp; "!A:A"),0)</f>
        <v>19</v>
      </c>
      <c r="T18" s="49" t="str">
        <f ca="1">IFERROR(INDEX(INDIRECT(zoneFichierEAN13ValmagUniq),S18,2),"")</f>
        <v xml:space="preserve"> </v>
      </c>
      <c r="U18" s="52" t="e">
        <f ca="1">MATCH($R18,INDIRECT(nomFichierEAN13ValmagUniq &amp; "!A" &amp; (S18+1) &amp; ":A" &amp;  (S18+10)),0)</f>
        <v>#N/A</v>
      </c>
      <c r="V18" s="51" t="e">
        <f t="shared" ref="V18" ca="1" si="32">U18+S18</f>
        <v>#N/A</v>
      </c>
      <c r="W18" s="49" t="str">
        <f ca="1">IFERROR(INDEX(INDIRECT(zoneFichierEAN13ValmagUniq),V18,2),"")</f>
        <v/>
      </c>
      <c r="X18" s="52" t="e">
        <f ca="1">MATCH($R18,INDIRECT(nomFichierEAN13ValmagUniq &amp; "!A" &amp; (V18+1) &amp; ":A" &amp;  (V18+10)),0)</f>
        <v>#N/A</v>
      </c>
      <c r="Y18" s="51" t="e">
        <f t="shared" ref="Y18" ca="1" si="33">X18+V18</f>
        <v>#N/A</v>
      </c>
      <c r="Z18" s="49" t="str">
        <f ca="1">IFERROR(INDEX(INDIRECT(zoneFichierEAN13ValmagUniq),Y18,2),"")</f>
        <v/>
      </c>
      <c r="AA18" s="53" t="str">
        <f t="shared" ref="AA18" ca="1" si="34">T18 &amp; IF(W18="","", " | " &amp; W18) &amp; IF(Z18="","", " | " &amp;Z18)</f>
        <v xml:space="preserve"> </v>
      </c>
      <c r="AC18" s="55">
        <f ca="1">MATCH(B18,INDIRECT(nomFichierFiltreCatalogue &amp; "!B:B"),0)</f>
        <v>150</v>
      </c>
      <c r="AD18" s="14"/>
    </row>
    <row r="19" spans="1:30" s="20" customFormat="1" ht="15.75" customHeight="1" x14ac:dyDescent="0.25">
      <c r="A19" s="25">
        <f ca="1">INDEX(INDIRECT(zoneFichierTraite),$J18+offsetInitialFichierTraite,2)</f>
        <v>90</v>
      </c>
      <c r="B19" s="57" t="str">
        <f ca="1">IF(ISERROR($P18),msgRefValmagAcreer,IF(INDEX(INDIRECT(zoneFichierEAN13Valmag),$P18,3) = "",msgCodeValmagVide, INDEX(INDIRECT(zoneFichierEAN13Valmag),$P18,3)))</f>
        <v xml:space="preserve"> </v>
      </c>
      <c r="C19" s="54" t="str">
        <f t="shared" ref="C19" ca="1" si="35">AA18</f>
        <v xml:space="preserve"> </v>
      </c>
      <c r="D19" s="19" t="str">
        <f ca="1">IFERROR(INDEX(INDIRECT(zoneFichierEAN13Valmag),$P18,4),"")</f>
        <v xml:space="preserve"> </v>
      </c>
      <c r="E19" s="58" t="str">
        <f ca="1">IFERROR(INDEX(INDIRECT(zoneFichierFiltreCatalogue),AC18,3),"")</f>
        <v>p031-1-02</v>
      </c>
      <c r="F19" s="19"/>
      <c r="G19" s="18"/>
      <c r="H19" s="32" t="str">
        <f ca="1">IFERROR(INDEX(INDIRECT(zoneFichierFiltreCatalogue),AC18,6),"")</f>
        <v>fall 2019 presentation_/catalogo fall 19.txt</v>
      </c>
      <c r="S19" s="1"/>
      <c r="T19" s="21"/>
      <c r="U19" s="21"/>
      <c r="V19" s="21"/>
      <c r="W19" s="21"/>
      <c r="X19" s="21"/>
      <c r="Y19" s="21"/>
      <c r="Z19" s="21"/>
      <c r="AA19" s="21"/>
      <c r="AB19" s="21"/>
      <c r="AC19" s="21"/>
    </row>
    <row r="20" spans="1:30" ht="39" customHeight="1" thickBot="1" x14ac:dyDescent="0.65">
      <c r="A20" s="9" t="str">
        <f ca="1">INDEX(INDIRECT(zoneFichierTraite),$J20+offsetInitialFichierTraite,6)</f>
        <v>UNICA</v>
      </c>
      <c r="B20" s="5" t="str">
        <f ca="1">INDEX(INDIRECT(zoneFichierTraite),$J20+offsetInitialFichierTraite,4)</f>
        <v>HLESC901-ECS07-055</v>
      </c>
      <c r="C20" s="26" t="str">
        <f ca="1">INDEX(INDIRECT(zoneFichierTraite),$J20+offsetInitialFichierTraite,5)</f>
        <v>ANSES COURTES CHAINE EN " T " EN FAUX CUIR EFFET GRIFFE</v>
      </c>
      <c r="D20" s="27" t="str">
        <f ca="1">INDEX(INDIRECT(zoneFichierTraite),$J20+offsetInitialFichierTraite,13)</f>
        <v>nero + argento</v>
      </c>
      <c r="E20" s="30">
        <f ca="1">INDEX(INDIRECT(zoneFichierTraite),$J20+offsetInitialFichierTraite,7)</f>
        <v>2</v>
      </c>
      <c r="F20" s="28">
        <f ca="1">INDEX(INDIRECT(zoneFichierTraite),$J20+offsetInitialFichierTraite,8)</f>
        <v>10</v>
      </c>
      <c r="G20" s="29">
        <f t="shared" ref="G20" ca="1" si="36">ROUNDUP(F20*3,0)</f>
        <v>30</v>
      </c>
      <c r="H20" s="31" t="str">
        <f ca="1">IF(ISNUMBER(N20),codeEAN13(INT(N20/10)),"")</f>
        <v>8APASOG*aijfha+</v>
      </c>
      <c r="I20" s="1" t="b">
        <f t="shared" ref="I20" ca="1" si="37">AND(A23&lt;&gt;0,A21=A23)</f>
        <v>0</v>
      </c>
      <c r="J20" s="15">
        <f t="shared" si="2"/>
        <v>6</v>
      </c>
      <c r="K20" s="1">
        <f t="shared" ref="K20" ca="1" si="38">A21</f>
        <v>181</v>
      </c>
      <c r="L20" s="5" t="str">
        <f ca="1">INDEX(INDIRECT(zoneFichierTraite),$J20+offsetInitialFichierTraite,1)</f>
        <v>'006</v>
      </c>
      <c r="M20" s="11">
        <f ca="1">INDEX(INDIRECT(zoneFichierTraite),$J20+offsetInitialFichierTraite,9)</f>
        <v>20</v>
      </c>
      <c r="N20" s="14">
        <f ca="1">INDEX(INDIRECT(zoneFichierTraite),$J20+offsetInitialFichierTraite,3)</f>
        <v>8050846089570</v>
      </c>
      <c r="O20" s="14"/>
      <c r="P20" s="56">
        <f ca="1">MATCH(N20,INDIRECT(nomFichierEAN13Valmag &amp; "!A:A"),0)</f>
        <v>647</v>
      </c>
      <c r="R20" s="50" t="str">
        <f ca="1">LEFT(B20,14)</f>
        <v>HLESC901-ECS07</v>
      </c>
      <c r="S20" s="52">
        <f ca="1">MATCH($R20,INDIRECT(nomFichierEAN13ValmagUniq &amp; "!A:A"),0)</f>
        <v>20</v>
      </c>
      <c r="T20" s="49" t="str">
        <f ca="1">IFERROR(INDEX(INDIRECT(zoneFichierEAN13ValmagUniq),S20,2),"")</f>
        <v xml:space="preserve"> </v>
      </c>
      <c r="U20" s="52" t="e">
        <f ca="1">MATCH($R20,INDIRECT(nomFichierEAN13ValmagUniq &amp; "!A" &amp; (S20+1) &amp; ":A" &amp;  (S20+10)),0)</f>
        <v>#N/A</v>
      </c>
      <c r="V20" s="51" t="e">
        <f t="shared" ref="V20" ca="1" si="39">U20+S20</f>
        <v>#N/A</v>
      </c>
      <c r="W20" s="49" t="str">
        <f ca="1">IFERROR(INDEX(INDIRECT(zoneFichierEAN13ValmagUniq),V20,2),"")</f>
        <v/>
      </c>
      <c r="X20" s="52" t="e">
        <f ca="1">MATCH($R20,INDIRECT(nomFichierEAN13ValmagUniq &amp; "!A" &amp; (V20+1) &amp; ":A" &amp;  (V20+10)),0)</f>
        <v>#N/A</v>
      </c>
      <c r="Y20" s="51" t="e">
        <f t="shared" ref="Y20" ca="1" si="40">X20+V20</f>
        <v>#N/A</v>
      </c>
      <c r="Z20" s="49" t="str">
        <f ca="1">IFERROR(INDEX(INDIRECT(zoneFichierEAN13ValmagUniq),Y20,2),"")</f>
        <v/>
      </c>
      <c r="AA20" s="53" t="str">
        <f t="shared" ref="AA20" ca="1" si="41">T20 &amp; IF(W20="","", " | " &amp; W20) &amp; IF(Z20="","", " | " &amp;Z20)</f>
        <v xml:space="preserve"> </v>
      </c>
      <c r="AC20" s="55">
        <f ca="1">MATCH(B20,INDIRECT(nomFichierFiltreCatalogue &amp; "!B:B"),0)</f>
        <v>151</v>
      </c>
      <c r="AD20" s="14"/>
    </row>
    <row r="21" spans="1:30" s="20" customFormat="1" ht="15.75" customHeight="1" x14ac:dyDescent="0.25">
      <c r="A21" s="25">
        <f ca="1">INDEX(INDIRECT(zoneFichierTraite),$J20+offsetInitialFichierTraite,2)</f>
        <v>181</v>
      </c>
      <c r="B21" s="57" t="str">
        <f ca="1">IF(ISERROR($P20),msgRefValmagAcreer,IF(INDEX(INDIRECT(zoneFichierEAN13Valmag),$P20,3) = "",msgCodeValmagVide, INDEX(INDIRECT(zoneFichierEAN13Valmag),$P20,3)))</f>
        <v xml:space="preserve"> </v>
      </c>
      <c r="C21" s="54" t="str">
        <f t="shared" ref="C21" ca="1" si="42">AA20</f>
        <v xml:space="preserve"> </v>
      </c>
      <c r="D21" s="19" t="str">
        <f ca="1">IFERROR(INDEX(INDIRECT(zoneFichierEAN13Valmag),$P20,4),"")</f>
        <v xml:space="preserve"> </v>
      </c>
      <c r="E21" s="58" t="str">
        <f ca="1">IFERROR(INDEX(INDIRECT(zoneFichierFiltreCatalogue),AC20,3),"")</f>
        <v>p031-2-01</v>
      </c>
      <c r="F21" s="19"/>
      <c r="G21" s="18"/>
      <c r="H21" s="32" t="str">
        <f ca="1">IFERROR(INDEX(INDIRECT(zoneFichierFiltreCatalogue),AC20,6),"")</f>
        <v>fall 2019 presentation_/catalogo fall 19.txt</v>
      </c>
      <c r="S21" s="1"/>
      <c r="T21" s="21"/>
      <c r="U21" s="21"/>
      <c r="V21" s="21"/>
      <c r="W21" s="21"/>
      <c r="X21" s="21"/>
      <c r="Y21" s="21"/>
      <c r="Z21" s="21"/>
      <c r="AA21" s="21"/>
      <c r="AB21" s="21"/>
      <c r="AC21" s="21"/>
    </row>
    <row r="22" spans="1:30" ht="39" customHeight="1" thickBot="1" x14ac:dyDescent="0.65">
      <c r="A22" s="9" t="str">
        <f ca="1">INDEX(INDIRECT(zoneFichierTraite),$J22+offsetInitialFichierTraite,6)</f>
        <v>UNICA</v>
      </c>
      <c r="B22" s="5" t="str">
        <f ca="1">INDEX(INDIRECT(zoneFichierTraite),$J22+offsetInitialFichierTraite,4)</f>
        <v>HLESC901-ECS07-371</v>
      </c>
      <c r="C22" s="26" t="str">
        <f ca="1">INDEX(INDIRECT(zoneFichierTraite),$J22+offsetInitialFichierTraite,5)</f>
        <v>ANSES COURTES CHAINE EN " T " EN FAUX CUIR EFFET GRIFFE</v>
      </c>
      <c r="D22" s="27" t="str">
        <f ca="1">INDEX(INDIRECT(zoneFichierTraite),$J22+offsetInitialFichierTraite,13)</f>
        <v>latte + argento</v>
      </c>
      <c r="E22" s="30">
        <f ca="1">INDEX(INDIRECT(zoneFichierTraite),$J22+offsetInitialFichierTraite,7)</f>
        <v>2</v>
      </c>
      <c r="F22" s="28">
        <f ca="1">INDEX(INDIRECT(zoneFichierTraite),$J22+offsetInitialFichierTraite,8)</f>
        <v>10</v>
      </c>
      <c r="G22" s="29">
        <f t="shared" ref="G22" ca="1" si="43">ROUNDUP(F22*3,0)</f>
        <v>30</v>
      </c>
      <c r="H22" s="31" t="str">
        <f ca="1">IF(ISNUMBER(N22),codeEAN13(INT(N22/10)),"")</f>
        <v>8APASOG*aijfgd+</v>
      </c>
      <c r="I22" s="1" t="b">
        <f t="shared" ref="I22" ca="1" si="44">AND(A25&lt;&gt;0,A23=A25)</f>
        <v>0</v>
      </c>
      <c r="J22" s="15">
        <f t="shared" si="2"/>
        <v>7</v>
      </c>
      <c r="K22" s="1">
        <f t="shared" ref="K22" ca="1" si="45">A23</f>
        <v>1</v>
      </c>
      <c r="L22" s="5" t="str">
        <f ca="1">INDEX(INDIRECT(zoneFichierTraite),$J22+offsetInitialFichierTraite,1)</f>
        <v>'007</v>
      </c>
      <c r="M22" s="11">
        <f ca="1">INDEX(INDIRECT(zoneFichierTraite),$J22+offsetInitialFichierTraite,9)</f>
        <v>20</v>
      </c>
      <c r="N22" s="14">
        <f ca="1">INDEX(INDIRECT(zoneFichierTraite),$J22+offsetInitialFichierTraite,3)</f>
        <v>8050846089563</v>
      </c>
      <c r="O22" s="14"/>
      <c r="P22" s="56">
        <f ca="1">MATCH(N22,INDIRECT(nomFichierEAN13Valmag &amp; "!A:A"),0)</f>
        <v>646</v>
      </c>
      <c r="R22" s="50" t="str">
        <f ca="1">LEFT(B22,14)</f>
        <v>HLESC901-ECS07</v>
      </c>
      <c r="S22" s="52">
        <f ca="1">MATCH($R22,INDIRECT(nomFichierEAN13ValmagUniq &amp; "!A:A"),0)</f>
        <v>20</v>
      </c>
      <c r="T22" s="49" t="str">
        <f ca="1">IFERROR(INDEX(INDIRECT(zoneFichierEAN13ValmagUniq),S22,2),"")</f>
        <v xml:space="preserve"> </v>
      </c>
      <c r="U22" s="52" t="e">
        <f ca="1">MATCH($R22,INDIRECT(nomFichierEAN13ValmagUniq &amp; "!A" &amp; (S22+1) &amp; ":A" &amp;  (S22+10)),0)</f>
        <v>#N/A</v>
      </c>
      <c r="V22" s="51" t="e">
        <f t="shared" ref="V22" ca="1" si="46">U22+S22</f>
        <v>#N/A</v>
      </c>
      <c r="W22" s="49" t="str">
        <f ca="1">IFERROR(INDEX(INDIRECT(zoneFichierEAN13ValmagUniq),V22,2),"")</f>
        <v/>
      </c>
      <c r="X22" s="52" t="e">
        <f ca="1">MATCH($R22,INDIRECT(nomFichierEAN13ValmagUniq &amp; "!A" &amp; (V22+1) &amp; ":A" &amp;  (V22+10)),0)</f>
        <v>#N/A</v>
      </c>
      <c r="Y22" s="51" t="e">
        <f t="shared" ref="Y22" ca="1" si="47">X22+V22</f>
        <v>#N/A</v>
      </c>
      <c r="Z22" s="49" t="str">
        <f ca="1">IFERROR(INDEX(INDIRECT(zoneFichierEAN13ValmagUniq),Y22,2),"")</f>
        <v/>
      </c>
      <c r="AA22" s="53" t="str">
        <f t="shared" ref="AA22" ca="1" si="48">T22 &amp; IF(W22="","", " | " &amp; W22) &amp; IF(Z22="","", " | " &amp;Z22)</f>
        <v xml:space="preserve"> </v>
      </c>
      <c r="AC22" s="55">
        <f ca="1">MATCH(B22,INDIRECT(nomFichierFiltreCatalogue &amp; "!B:B"),0)</f>
        <v>152</v>
      </c>
      <c r="AD22" s="14"/>
    </row>
    <row r="23" spans="1:30" s="20" customFormat="1" ht="15.75" customHeight="1" x14ac:dyDescent="0.25">
      <c r="A23" s="25">
        <f ca="1">INDEX(INDIRECT(zoneFichierTraite),$J22+offsetInitialFichierTraite,2)</f>
        <v>1</v>
      </c>
      <c r="B23" s="57" t="str">
        <f ca="1">IF(ISERROR($P22),msgRefValmagAcreer,IF(INDEX(INDIRECT(zoneFichierEAN13Valmag),$P22,3) = "",msgCodeValmagVide, INDEX(INDIRECT(zoneFichierEAN13Valmag),$P22,3)))</f>
        <v xml:space="preserve"> </v>
      </c>
      <c r="C23" s="54" t="str">
        <f t="shared" ref="C23" ca="1" si="49">AA22</f>
        <v xml:space="preserve"> </v>
      </c>
      <c r="D23" s="19" t="str">
        <f ca="1">IFERROR(INDEX(INDIRECT(zoneFichierEAN13Valmag),$P22,4),"")</f>
        <v xml:space="preserve"> </v>
      </c>
      <c r="E23" s="58" t="str">
        <f ca="1">IFERROR(INDEX(INDIRECT(zoneFichierFiltreCatalogue),AC22,3),"")</f>
        <v>p031-2-02</v>
      </c>
      <c r="F23" s="19"/>
      <c r="G23" s="18"/>
      <c r="H23" s="32" t="str">
        <f ca="1">IFERROR(INDEX(INDIRECT(zoneFichierFiltreCatalogue),AC22,6),"")</f>
        <v>fall 2019 presentation_/catalogo fall 19.txt</v>
      </c>
      <c r="S23" s="1"/>
      <c r="T23" s="21"/>
      <c r="U23" s="21"/>
      <c r="V23" s="21"/>
      <c r="W23" s="21"/>
      <c r="X23" s="21"/>
      <c r="Y23" s="21"/>
      <c r="Z23" s="21"/>
      <c r="AA23" s="21"/>
      <c r="AB23" s="21"/>
      <c r="AC23" s="21"/>
    </row>
    <row r="24" spans="1:30" ht="39" customHeight="1" thickBot="1" x14ac:dyDescent="0.65">
      <c r="A24" s="9" t="str">
        <f ca="1">INDEX(INDIRECT(zoneFichierTraite),$J24+offsetInitialFichierTraite,6)</f>
        <v>UNICA</v>
      </c>
      <c r="B24" s="5" t="str">
        <f ca="1">INDEX(INDIRECT(zoneFichierTraite),$J24+offsetInitialFichierTraite,4)</f>
        <v>HLESCE01-ECS00-017</v>
      </c>
      <c r="C24" s="26" t="str">
        <f ca="1">INDEX(INDIRECT(zoneFichierTraite),$J24+offsetInitialFichierTraite,5)</f>
        <v>ANSES DOUBLE CHAINE EN " T " EN FAUX CUIR</v>
      </c>
      <c r="D24" s="27" t="str">
        <f ca="1">INDEX(INDIRECT(zoneFichierTraite),$J24+offsetInitialFichierTraite,13)</f>
        <v>blu navy + oro</v>
      </c>
      <c r="E24" s="30">
        <f ca="1">INDEX(INDIRECT(zoneFichierTraite),$J24+offsetInitialFichierTraite,7)</f>
        <v>3</v>
      </c>
      <c r="F24" s="28">
        <f ca="1">INDEX(INDIRECT(zoneFichierTraite),$J24+offsetInitialFichierTraite,8)</f>
        <v>12.66</v>
      </c>
      <c r="G24" s="29">
        <f t="shared" ref="G24" ca="1" si="50">ROUNDUP(F24*3,0)</f>
        <v>38</v>
      </c>
      <c r="H24" s="31" t="str">
        <f ca="1">IF(ISNUMBER(N24),codeEAN13(INT(N24/10)),"")</f>
        <v>8APASOG*adfbcg+</v>
      </c>
      <c r="I24" s="1" t="b">
        <f t="shared" ref="I24" ca="1" si="51">AND(A27&lt;&gt;0,A25=A27)</f>
        <v>0</v>
      </c>
      <c r="J24" s="15">
        <f t="shared" si="2"/>
        <v>8</v>
      </c>
      <c r="K24" s="1">
        <f t="shared" ref="K24" ca="1" si="52">A25</f>
        <v>7</v>
      </c>
      <c r="L24" s="5" t="str">
        <f ca="1">INDEX(INDIRECT(zoneFichierTraite),$J24+offsetInitialFichierTraite,1)</f>
        <v>'008</v>
      </c>
      <c r="M24" s="11">
        <f ca="1">INDEX(INDIRECT(zoneFichierTraite),$J24+offsetInitialFichierTraite,9)</f>
        <v>37.979999999999997</v>
      </c>
      <c r="N24" s="14">
        <f ca="1">INDEX(INDIRECT(zoneFichierTraite),$J24+offsetInitialFichierTraite,3)</f>
        <v>8050846035126</v>
      </c>
      <c r="O24" s="14"/>
      <c r="P24" s="56">
        <f ca="1">MATCH(N24,INDIRECT(nomFichierEAN13Valmag &amp; "!A:A"),0)</f>
        <v>191</v>
      </c>
      <c r="R24" s="50" t="str">
        <f ca="1">LEFT(B24,14)</f>
        <v>HLESCE01-ECS00</v>
      </c>
      <c r="S24" s="52">
        <f ca="1">MATCH($R24,INDIRECT(nomFichierEAN13ValmagUniq &amp; "!A:A"),0)</f>
        <v>21</v>
      </c>
      <c r="T24" s="49" t="str">
        <f ca="1">IFERROR(INDEX(INDIRECT(zoneFichierEAN13ValmagUniq),S24,2),"")</f>
        <v xml:space="preserve"> </v>
      </c>
      <c r="U24" s="52">
        <f ca="1">MATCH($R24,INDIRECT(nomFichierEAN13ValmagUniq &amp; "!A" &amp; (S24+1) &amp; ":A" &amp;  (S24+10)),0)</f>
        <v>1</v>
      </c>
      <c r="V24" s="51">
        <f t="shared" ref="V24" ca="1" si="53">U24+S24</f>
        <v>22</v>
      </c>
      <c r="W24" s="49" t="str">
        <f ca="1">IFERROR(INDEX(INDIRECT(zoneFichierEAN13ValmagUniq),V24,2),"")</f>
        <v>ANSES/DOUBLECHAI</v>
      </c>
      <c r="X24" s="52" t="e">
        <f ca="1">MATCH($R24,INDIRECT(nomFichierEAN13ValmagUniq &amp; "!A" &amp; (V24+1) &amp; ":A" &amp;  (V24+10)),0)</f>
        <v>#N/A</v>
      </c>
      <c r="Y24" s="51" t="e">
        <f t="shared" ref="Y24" ca="1" si="54">X24+V24</f>
        <v>#N/A</v>
      </c>
      <c r="Z24" s="49" t="str">
        <f ca="1">IFERROR(INDEX(INDIRECT(zoneFichierEAN13ValmagUniq),Y24,2),"")</f>
        <v/>
      </c>
      <c r="AA24" s="53" t="str">
        <f t="shared" ref="AA24" ca="1" si="55">T24 &amp; IF(W24="","", " | " &amp; W24) &amp; IF(Z24="","", " | " &amp;Z24)</f>
        <v xml:space="preserve">  | ANSES/DOUBLECHAI</v>
      </c>
      <c r="AC24" s="55">
        <f ca="1">MATCH(B24,INDIRECT(nomFichierFiltreCatalogue &amp; "!B:B"),0)</f>
        <v>135</v>
      </c>
      <c r="AD24" s="14"/>
    </row>
    <row r="25" spans="1:30" s="20" customFormat="1" ht="15.75" customHeight="1" x14ac:dyDescent="0.25">
      <c r="A25" s="25">
        <f ca="1">INDEX(INDIRECT(zoneFichierTraite),$J24+offsetInitialFichierTraite,2)</f>
        <v>7</v>
      </c>
      <c r="B25" s="57" t="str">
        <f ca="1">IF(ISERROR($P24),msgRefValmagAcreer,IF(INDEX(INDIRECT(zoneFichierEAN13Valmag),$P24,3) = "",msgCodeValmagVide, INDEX(INDIRECT(zoneFichierEAN13Valmag),$P24,3)))</f>
        <v>ANSES/DOUBLECHAI</v>
      </c>
      <c r="C25" s="54" t="str">
        <f t="shared" ref="C25" ca="1" si="56">AA24</f>
        <v xml:space="preserve">  | ANSES/DOUBLECHAI</v>
      </c>
      <c r="D25" s="19" t="str">
        <f ca="1">IFERROR(INDEX(INDIRECT(zoneFichierEAN13Valmag),$P24,4),"")</f>
        <v xml:space="preserve">NAVY </v>
      </c>
      <c r="E25" s="58" t="str">
        <f ca="1">IFERROR(INDEX(INDIRECT(zoneFichierFiltreCatalogue),AC24,3),"")</f>
        <v>p028-2-01</v>
      </c>
      <c r="F25" s="19"/>
      <c r="G25" s="18"/>
      <c r="H25" s="32" t="str">
        <f ca="1">IFERROR(INDEX(INDIRECT(zoneFichierFiltreCatalogue),AC24,6),"")</f>
        <v>fall 2019 presentation_/catalogo fall 19.txt</v>
      </c>
      <c r="S25" s="1"/>
      <c r="T25" s="21"/>
      <c r="U25" s="21"/>
      <c r="V25" s="21"/>
      <c r="W25" s="21"/>
      <c r="X25" s="21"/>
      <c r="Y25" s="21"/>
      <c r="Z25" s="21"/>
      <c r="AA25" s="21"/>
      <c r="AB25" s="21"/>
      <c r="AC25" s="21"/>
    </row>
    <row r="26" spans="1:30" ht="39" customHeight="1" thickBot="1" x14ac:dyDescent="0.65">
      <c r="A26" s="9" t="str">
        <f ca="1">INDEX(INDIRECT(zoneFichierTraite),$J26+offsetInitialFichierTraite,6)</f>
        <v>UNICA</v>
      </c>
      <c r="B26" s="5" t="str">
        <f ca="1">INDEX(INDIRECT(zoneFichierTraite),$J26+offsetInitialFichierTraite,4)</f>
        <v>HLESCE01-ECS00-055</v>
      </c>
      <c r="C26" s="26" t="str">
        <f ca="1">INDEX(INDIRECT(zoneFichierTraite),$J26+offsetInitialFichierTraite,5)</f>
        <v>ANSES DOUBLE CHAINE EN " T " EN FAUX CUIR</v>
      </c>
      <c r="D26" s="27" t="str">
        <f ca="1">INDEX(INDIRECT(zoneFichierTraite),$J26+offsetInitialFichierTraite,13)</f>
        <v>nero + argento</v>
      </c>
      <c r="E26" s="30">
        <f ca="1">INDEX(INDIRECT(zoneFichierTraite),$J26+offsetInitialFichierTraite,7)</f>
        <v>6</v>
      </c>
      <c r="F26" s="28">
        <f ca="1">INDEX(INDIRECT(zoneFichierTraite),$J26+offsetInitialFichierTraite,8)</f>
        <v>12.66</v>
      </c>
      <c r="G26" s="29">
        <f t="shared" ref="G26" ca="1" si="57">ROUNDUP(F26*3,0)</f>
        <v>38</v>
      </c>
      <c r="H26" s="31" t="str">
        <f ca="1">IF(ISNUMBER(N26),codeEAN13(INT(N26/10)),"")</f>
        <v>8APASOG*adfbdd+</v>
      </c>
      <c r="I26" s="1" t="b">
        <f t="shared" ref="I26" ca="1" si="58">AND(A29&lt;&gt;0,A27=A29)</f>
        <v>0</v>
      </c>
      <c r="J26" s="15">
        <f t="shared" si="2"/>
        <v>9</v>
      </c>
      <c r="K26" s="1">
        <f t="shared" ref="K26" ca="1" si="59">A27</f>
        <v>76</v>
      </c>
      <c r="L26" s="5" t="str">
        <f ca="1">INDEX(INDIRECT(zoneFichierTraite),$J26+offsetInitialFichierTraite,1)</f>
        <v>'009</v>
      </c>
      <c r="M26" s="11">
        <f ca="1">INDEX(INDIRECT(zoneFichierTraite),$J26+offsetInitialFichierTraite,9)</f>
        <v>75.959999999999994</v>
      </c>
      <c r="N26" s="14">
        <f ca="1">INDEX(INDIRECT(zoneFichierTraite),$J26+offsetInitialFichierTraite,3)</f>
        <v>8050846035133</v>
      </c>
      <c r="O26" s="14"/>
      <c r="P26" s="56">
        <f ca="1">MATCH(N26,INDIRECT(nomFichierEAN13Valmag &amp; "!A:A"),0)</f>
        <v>192</v>
      </c>
      <c r="R26" s="50" t="str">
        <f ca="1">LEFT(B26,14)</f>
        <v>HLESCE01-ECS00</v>
      </c>
      <c r="S26" s="52">
        <f ca="1">MATCH($R26,INDIRECT(nomFichierEAN13ValmagUniq &amp; "!A:A"),0)</f>
        <v>21</v>
      </c>
      <c r="T26" s="49" t="str">
        <f ca="1">IFERROR(INDEX(INDIRECT(zoneFichierEAN13ValmagUniq),S26,2),"")</f>
        <v xml:space="preserve"> </v>
      </c>
      <c r="U26" s="52">
        <f ca="1">MATCH($R26,INDIRECT(nomFichierEAN13ValmagUniq &amp; "!A" &amp; (S26+1) &amp; ":A" &amp;  (S26+10)),0)</f>
        <v>1</v>
      </c>
      <c r="V26" s="51">
        <f t="shared" ref="V26" ca="1" si="60">U26+S26</f>
        <v>22</v>
      </c>
      <c r="W26" s="49" t="str">
        <f ca="1">IFERROR(INDEX(INDIRECT(zoneFichierEAN13ValmagUniq),V26,2),"")</f>
        <v>ANSES/DOUBLECHAI</v>
      </c>
      <c r="X26" s="52" t="e">
        <f ca="1">MATCH($R26,INDIRECT(nomFichierEAN13ValmagUniq &amp; "!A" &amp; (V26+1) &amp; ":A" &amp;  (V26+10)),0)</f>
        <v>#N/A</v>
      </c>
      <c r="Y26" s="51" t="e">
        <f t="shared" ref="Y26" ca="1" si="61">X26+V26</f>
        <v>#N/A</v>
      </c>
      <c r="Z26" s="49" t="str">
        <f ca="1">IFERROR(INDEX(INDIRECT(zoneFichierEAN13ValmagUniq),Y26,2),"")</f>
        <v/>
      </c>
      <c r="AA26" s="53" t="str">
        <f t="shared" ref="AA26" ca="1" si="62">T26 &amp; IF(W26="","", " | " &amp; W26) &amp; IF(Z26="","", " | " &amp;Z26)</f>
        <v xml:space="preserve">  | ANSES/DOUBLECHAI</v>
      </c>
      <c r="AC26" s="55">
        <f ca="1">MATCH(B26,INDIRECT(nomFichierFiltreCatalogue &amp; "!B:B"),0)</f>
        <v>138</v>
      </c>
      <c r="AD26" s="14"/>
    </row>
    <row r="27" spans="1:30" s="20" customFormat="1" ht="15.75" customHeight="1" x14ac:dyDescent="0.25">
      <c r="A27" s="25">
        <f ca="1">INDEX(INDIRECT(zoneFichierTraite),$J26+offsetInitialFichierTraite,2)</f>
        <v>76</v>
      </c>
      <c r="B27" s="57" t="str">
        <f ca="1">IF(ISERROR($P26),msgRefValmagAcreer,IF(INDEX(INDIRECT(zoneFichierEAN13Valmag),$P26,3) = "",msgCodeValmagVide, INDEX(INDIRECT(zoneFichierEAN13Valmag),$P26,3)))</f>
        <v>ANSES/DOUBLECHAI</v>
      </c>
      <c r="C27" s="54" t="str">
        <f t="shared" ref="C27" ca="1" si="63">AA26</f>
        <v xml:space="preserve">  | ANSES/DOUBLECHAI</v>
      </c>
      <c r="D27" s="19" t="str">
        <f ca="1">IFERROR(INDEX(INDIRECT(zoneFichierEAN13Valmag),$P26,4),"")</f>
        <v>BLACK</v>
      </c>
      <c r="E27" s="58" t="str">
        <f ca="1">IFERROR(INDEX(INDIRECT(zoneFichierFiltreCatalogue),AC26,3),"")</f>
        <v>p028-2-04</v>
      </c>
      <c r="F27" s="19"/>
      <c r="G27" s="18"/>
      <c r="H27" s="32" t="str">
        <f ca="1">IFERROR(INDEX(INDIRECT(zoneFichierFiltreCatalogue),AC26,6),"")</f>
        <v>fall 2019 presentation_/catalogo fall 19.txt</v>
      </c>
      <c r="S27" s="1"/>
      <c r="T27" s="21"/>
      <c r="U27" s="21"/>
      <c r="V27" s="21"/>
      <c r="W27" s="21"/>
      <c r="X27" s="21"/>
      <c r="Y27" s="21"/>
      <c r="Z27" s="21"/>
      <c r="AA27" s="21"/>
      <c r="AB27" s="21"/>
      <c r="AC27" s="21"/>
    </row>
    <row r="28" spans="1:30" ht="39" customHeight="1" thickBot="1" x14ac:dyDescent="0.65">
      <c r="A28" s="9" t="str">
        <f ca="1">INDEX(INDIRECT(zoneFichierTraite),$J28+offsetInitialFichierTraite,6)</f>
        <v>UNICA</v>
      </c>
      <c r="B28" s="5" t="str">
        <f ca="1">INDEX(INDIRECT(zoneFichierTraite),$J28+offsetInitialFichierTraite,4)</f>
        <v>HLESCE01-ECS00-612</v>
      </c>
      <c r="C28" s="26" t="str">
        <f ca="1">INDEX(INDIRECT(zoneFichierTraite),$J28+offsetInitialFichierTraite,5)</f>
        <v>ANSES DOUBLE CHAINE EN " T " EN FAUX CUIR</v>
      </c>
      <c r="D28" s="27" t="str">
        <f ca="1">INDEX(INDIRECT(zoneFichierTraite),$J28+offsetInitialFichierTraite,13)</f>
        <v>blu navy + argento</v>
      </c>
      <c r="E28" s="30">
        <f ca="1">INDEX(INDIRECT(zoneFichierTraite),$J28+offsetInitialFichierTraite,7)</f>
        <v>3</v>
      </c>
      <c r="F28" s="28">
        <f ca="1">INDEX(INDIRECT(zoneFichierTraite),$J28+offsetInitialFichierTraite,8)</f>
        <v>12.66</v>
      </c>
      <c r="G28" s="29">
        <f t="shared" ref="G28" ca="1" si="64">ROUNDUP(F28*3,0)</f>
        <v>38</v>
      </c>
      <c r="H28" s="31" t="str">
        <f ca="1">IF(ISNUMBER(N28),codeEAN13(INT(N28/10)),"")</f>
        <v>8APASOG*aigebi+</v>
      </c>
      <c r="I28" s="1" t="b">
        <f t="shared" ref="I28" ca="1" si="65">AND(A31&lt;&gt;0,A29=A31)</f>
        <v>0</v>
      </c>
      <c r="J28" s="15">
        <f t="shared" si="2"/>
        <v>10</v>
      </c>
      <c r="K28" s="1">
        <f t="shared" ref="K28" ca="1" si="66">A29</f>
        <v>168</v>
      </c>
      <c r="L28" s="5" t="str">
        <f ca="1">INDEX(INDIRECT(zoneFichierTraite),$J28+offsetInitialFichierTraite,1)</f>
        <v>'010</v>
      </c>
      <c r="M28" s="11">
        <f ca="1">INDEX(INDIRECT(zoneFichierTraite),$J28+offsetInitialFichierTraite,9)</f>
        <v>37.979999999999997</v>
      </c>
      <c r="N28" s="14">
        <f ca="1">INDEX(INDIRECT(zoneFichierTraite),$J28+offsetInitialFichierTraite,3)</f>
        <v>8050846086418</v>
      </c>
      <c r="O28" s="14"/>
      <c r="P28" s="56">
        <f ca="1">MATCH(N28,INDIRECT(nomFichierEAN13Valmag &amp; "!A:A"),0)</f>
        <v>645</v>
      </c>
      <c r="R28" s="50" t="str">
        <f ca="1">LEFT(B28,14)</f>
        <v>HLESCE01-ECS00</v>
      </c>
      <c r="S28" s="52">
        <f ca="1">MATCH($R28,INDIRECT(nomFichierEAN13ValmagUniq &amp; "!A:A"),0)</f>
        <v>21</v>
      </c>
      <c r="T28" s="49" t="str">
        <f ca="1">IFERROR(INDEX(INDIRECT(zoneFichierEAN13ValmagUniq),S28,2),"")</f>
        <v xml:space="preserve"> </v>
      </c>
      <c r="U28" s="52">
        <f ca="1">MATCH($R28,INDIRECT(nomFichierEAN13ValmagUniq &amp; "!A" &amp; (S28+1) &amp; ":A" &amp;  (S28+10)),0)</f>
        <v>1</v>
      </c>
      <c r="V28" s="51">
        <f t="shared" ref="V28" ca="1" si="67">U28+S28</f>
        <v>22</v>
      </c>
      <c r="W28" s="49" t="str">
        <f ca="1">IFERROR(INDEX(INDIRECT(zoneFichierEAN13ValmagUniq),V28,2),"")</f>
        <v>ANSES/DOUBLECHAI</v>
      </c>
      <c r="X28" s="52" t="e">
        <f ca="1">MATCH($R28,INDIRECT(nomFichierEAN13ValmagUniq &amp; "!A" &amp; (V28+1) &amp; ":A" &amp;  (V28+10)),0)</f>
        <v>#N/A</v>
      </c>
      <c r="Y28" s="51" t="e">
        <f t="shared" ref="Y28" ca="1" si="68">X28+V28</f>
        <v>#N/A</v>
      </c>
      <c r="Z28" s="49" t="str">
        <f ca="1">IFERROR(INDEX(INDIRECT(zoneFichierEAN13ValmagUniq),Y28,2),"")</f>
        <v/>
      </c>
      <c r="AA28" s="53" t="str">
        <f t="shared" ref="AA28" ca="1" si="69">T28 &amp; IF(W28="","", " | " &amp; W28) &amp; IF(Z28="","", " | " &amp;Z28)</f>
        <v xml:space="preserve">  | ANSES/DOUBLECHAI</v>
      </c>
      <c r="AC28" s="55">
        <f ca="1">MATCH(B28,INDIRECT(nomFichierFiltreCatalogue &amp; "!B:B"),0)</f>
        <v>137</v>
      </c>
      <c r="AD28" s="14"/>
    </row>
    <row r="29" spans="1:30" s="20" customFormat="1" ht="15.75" customHeight="1" x14ac:dyDescent="0.25">
      <c r="A29" s="25">
        <f ca="1">INDEX(INDIRECT(zoneFichierTraite),$J28+offsetInitialFichierTraite,2)</f>
        <v>168</v>
      </c>
      <c r="B29" s="57" t="str">
        <f ca="1">IF(ISERROR($P28),msgRefValmagAcreer,IF(INDEX(INDIRECT(zoneFichierEAN13Valmag),$P28,3) = "",msgCodeValmagVide, INDEX(INDIRECT(zoneFichierEAN13Valmag),$P28,3)))</f>
        <v xml:space="preserve"> </v>
      </c>
      <c r="C29" s="54" t="str">
        <f t="shared" ref="C29" ca="1" si="70">AA28</f>
        <v xml:space="preserve">  | ANSES/DOUBLECHAI</v>
      </c>
      <c r="D29" s="19" t="str">
        <f ca="1">IFERROR(INDEX(INDIRECT(zoneFichierEAN13Valmag),$P28,4),"")</f>
        <v xml:space="preserve"> </v>
      </c>
      <c r="E29" s="58" t="str">
        <f ca="1">IFERROR(INDEX(INDIRECT(zoneFichierFiltreCatalogue),AC28,3),"")</f>
        <v>p028-2-03</v>
      </c>
      <c r="F29" s="19"/>
      <c r="G29" s="18"/>
      <c r="H29" s="32" t="str">
        <f ca="1">IFERROR(INDEX(INDIRECT(zoneFichierFiltreCatalogue),AC28,6),"")</f>
        <v>fall 2019 presentation_/catalogo fall 19.txt</v>
      </c>
      <c r="S29" s="1"/>
      <c r="T29" s="21"/>
      <c r="U29" s="21"/>
      <c r="V29" s="21"/>
      <c r="W29" s="21"/>
      <c r="X29" s="21"/>
      <c r="Y29" s="21"/>
      <c r="Z29" s="21"/>
      <c r="AA29" s="21"/>
      <c r="AB29" s="21"/>
      <c r="AC29" s="21"/>
    </row>
    <row r="30" spans="1:30" ht="39" customHeight="1" thickBot="1" x14ac:dyDescent="0.65">
      <c r="A30" s="9" t="str">
        <f ca="1">INDEX(INDIRECT(zoneFichierTraite),$J30+offsetInitialFichierTraite,6)</f>
        <v>UNICA</v>
      </c>
      <c r="B30" s="5" t="str">
        <f ca="1">INDEX(INDIRECT(zoneFichierTraite),$J30+offsetInitialFichierTraite,4)</f>
        <v>HLESCE01-ECS00-613</v>
      </c>
      <c r="C30" s="26" t="str">
        <f ca="1">INDEX(INDIRECT(zoneFichierTraite),$J30+offsetInitialFichierTraite,5)</f>
        <v>ANSES DOUBLE CHAINE EN " T " EN FAUX CUIR</v>
      </c>
      <c r="D30" s="27" t="str">
        <f ca="1">INDEX(INDIRECT(zoneFichierTraite),$J30+offsetInitialFichierTraite,13)</f>
        <v>cuoio + argento</v>
      </c>
      <c r="E30" s="30">
        <f ca="1">INDEX(INDIRECT(zoneFichierTraite),$J30+offsetInitialFichierTraite,7)</f>
        <v>6</v>
      </c>
      <c r="F30" s="28">
        <f ca="1">INDEX(INDIRECT(zoneFichierTraite),$J30+offsetInitialFichierTraite,8)</f>
        <v>12.66</v>
      </c>
      <c r="G30" s="29">
        <f t="shared" ref="G30" ca="1" si="71">ROUNDUP(F30*3,0)</f>
        <v>38</v>
      </c>
      <c r="H30" s="31" t="str">
        <f ca="1">IF(ISNUMBER(N30),codeEAN13(INT(N30/10)),"")</f>
        <v>8APASOG*aigeab+</v>
      </c>
      <c r="I30" s="1" t="b">
        <f t="shared" ref="I30" ca="1" si="72">AND(A33&lt;&gt;0,A31=A33)</f>
        <v>0</v>
      </c>
      <c r="J30" s="15">
        <f t="shared" si="2"/>
        <v>11</v>
      </c>
      <c r="K30" s="1">
        <f t="shared" ref="K30" ca="1" si="73">A31</f>
        <v>87</v>
      </c>
      <c r="L30" s="5" t="str">
        <f ca="1">INDEX(INDIRECT(zoneFichierTraite),$J30+offsetInitialFichierTraite,1)</f>
        <v>'011</v>
      </c>
      <c r="M30" s="11">
        <f ca="1">INDEX(INDIRECT(zoneFichierTraite),$J30+offsetInitialFichierTraite,9)</f>
        <v>75.959999999999994</v>
      </c>
      <c r="N30" s="14">
        <f ca="1">INDEX(INDIRECT(zoneFichierTraite),$J30+offsetInitialFichierTraite,3)</f>
        <v>8050846086401</v>
      </c>
      <c r="O30" s="14"/>
      <c r="P30" s="56">
        <f ca="1">MATCH(N30,INDIRECT(nomFichierEAN13Valmag &amp; "!A:A"),0)</f>
        <v>644</v>
      </c>
      <c r="R30" s="50" t="str">
        <f ca="1">LEFT(B30,14)</f>
        <v>HLESCE01-ECS00</v>
      </c>
      <c r="S30" s="52">
        <f ca="1">MATCH($R30,INDIRECT(nomFichierEAN13ValmagUniq &amp; "!A:A"),0)</f>
        <v>21</v>
      </c>
      <c r="T30" s="49" t="str">
        <f ca="1">IFERROR(INDEX(INDIRECT(zoneFichierEAN13ValmagUniq),S30,2),"")</f>
        <v xml:space="preserve"> </v>
      </c>
      <c r="U30" s="52">
        <f ca="1">MATCH($R30,INDIRECT(nomFichierEAN13ValmagUniq &amp; "!A" &amp; (S30+1) &amp; ":A" &amp;  (S30+10)),0)</f>
        <v>1</v>
      </c>
      <c r="V30" s="51">
        <f t="shared" ref="V30" ca="1" si="74">U30+S30</f>
        <v>22</v>
      </c>
      <c r="W30" s="49" t="str">
        <f ca="1">IFERROR(INDEX(INDIRECT(zoneFichierEAN13ValmagUniq),V30,2),"")</f>
        <v>ANSES/DOUBLECHAI</v>
      </c>
      <c r="X30" s="52" t="e">
        <f ca="1">MATCH($R30,INDIRECT(nomFichierEAN13ValmagUniq &amp; "!A" &amp; (V30+1) &amp; ":A" &amp;  (V30+10)),0)</f>
        <v>#N/A</v>
      </c>
      <c r="Y30" s="51" t="e">
        <f t="shared" ref="Y30" ca="1" si="75">X30+V30</f>
        <v>#N/A</v>
      </c>
      <c r="Z30" s="49" t="str">
        <f ca="1">IFERROR(INDEX(INDIRECT(zoneFichierEAN13ValmagUniq),Y30,2),"")</f>
        <v/>
      </c>
      <c r="AA30" s="53" t="str">
        <f t="shared" ref="AA30" ca="1" si="76">T30 &amp; IF(W30="","", " | " &amp; W30) &amp; IF(Z30="","", " | " &amp;Z30)</f>
        <v xml:space="preserve">  | ANSES/DOUBLECHAI</v>
      </c>
      <c r="AC30" s="55">
        <f ca="1">MATCH(B30,INDIRECT(nomFichierFiltreCatalogue &amp; "!B:B"),0)</f>
        <v>139</v>
      </c>
      <c r="AD30" s="14"/>
    </row>
    <row r="31" spans="1:30" s="20" customFormat="1" ht="15.75" customHeight="1" x14ac:dyDescent="0.25">
      <c r="A31" s="25">
        <f ca="1">INDEX(INDIRECT(zoneFichierTraite),$J30+offsetInitialFichierTraite,2)</f>
        <v>87</v>
      </c>
      <c r="B31" s="57" t="str">
        <f ca="1">IF(ISERROR($P30),msgRefValmagAcreer,IF(INDEX(INDIRECT(zoneFichierEAN13Valmag),$P30,3) = "",msgCodeValmagVide, INDEX(INDIRECT(zoneFichierEAN13Valmag),$P30,3)))</f>
        <v xml:space="preserve"> </v>
      </c>
      <c r="C31" s="54" t="str">
        <f t="shared" ref="C31" ca="1" si="77">AA30</f>
        <v xml:space="preserve">  | ANSES/DOUBLECHAI</v>
      </c>
      <c r="D31" s="19" t="str">
        <f ca="1">IFERROR(INDEX(INDIRECT(zoneFichierEAN13Valmag),$P30,4),"")</f>
        <v xml:space="preserve"> </v>
      </c>
      <c r="E31" s="58" t="str">
        <f ca="1">IFERROR(INDEX(INDIRECT(zoneFichierFiltreCatalogue),AC30,3),"")</f>
        <v>p028-2-05</v>
      </c>
      <c r="F31" s="19"/>
      <c r="G31" s="18"/>
      <c r="H31" s="32" t="str">
        <f ca="1">IFERROR(INDEX(INDIRECT(zoneFichierFiltreCatalogue),AC30,6),"")</f>
        <v>fall 2019 presentation_/catalogo fall 19.txt</v>
      </c>
      <c r="S31" s="1"/>
      <c r="T31" s="21"/>
      <c r="U31" s="21"/>
      <c r="V31" s="21"/>
      <c r="W31" s="21"/>
      <c r="X31" s="21"/>
      <c r="Y31" s="21"/>
      <c r="Z31" s="21"/>
      <c r="AA31" s="21"/>
      <c r="AB31" s="21"/>
      <c r="AC31" s="21"/>
    </row>
    <row r="32" spans="1:30" ht="39" customHeight="1" thickBot="1" x14ac:dyDescent="0.65">
      <c r="A32" s="9" t="str">
        <f ca="1">INDEX(INDIRECT(zoneFichierTraite),$J32+offsetInitialFichierTraite,6)</f>
        <v>UNICA</v>
      </c>
      <c r="B32" s="5" t="str">
        <f ca="1">INDEX(INDIRECT(zoneFichierTraite),$J32+offsetInitialFichierTraite,4)</f>
        <v>HLESG020-ECSC7-055</v>
      </c>
      <c r="C32" s="26" t="str">
        <f ca="1">INDEX(INDIRECT(zoneFichierTraite),$J32+offsetInitialFichierTraite,5)</f>
        <v>ANSES LONGUES + GOUTTE EN FAUX CUIR SPIRALE BICOLORE</v>
      </c>
      <c r="D32" s="27" t="str">
        <f ca="1">INDEX(INDIRECT(zoneFichierTraite),$J32+offsetInitialFichierTraite,13)</f>
        <v>nero</v>
      </c>
      <c r="E32" s="30">
        <f ca="1">INDEX(INDIRECT(zoneFichierTraite),$J32+offsetInitialFichierTraite,7)</f>
        <v>2</v>
      </c>
      <c r="F32" s="28">
        <f ca="1">INDEX(INDIRECT(zoneFichierTraite),$J32+offsetInitialFichierTraite,8)</f>
        <v>15.56</v>
      </c>
      <c r="G32" s="29">
        <f t="shared" ref="G32" ca="1" si="78">ROUNDUP(F32*3,0)</f>
        <v>47</v>
      </c>
      <c r="H32" s="31" t="str">
        <f ca="1">IF(ISNUMBER(N32),codeEAN13(INT(N32/10)),"")</f>
        <v>8APASOG*aijhhi+</v>
      </c>
      <c r="I32" s="1" t="b">
        <f t="shared" ref="I32" ca="1" si="79">AND(A35&lt;&gt;0,A33=A35)</f>
        <v>0</v>
      </c>
      <c r="J32" s="15">
        <f t="shared" si="2"/>
        <v>12</v>
      </c>
      <c r="K32" s="1">
        <f t="shared" ref="K32" ca="1" si="80">A33</f>
        <v>128</v>
      </c>
      <c r="L32" s="5" t="str">
        <f ca="1">INDEX(INDIRECT(zoneFichierTraite),$J32+offsetInitialFichierTraite,1)</f>
        <v>'012</v>
      </c>
      <c r="M32" s="11">
        <f ca="1">INDEX(INDIRECT(zoneFichierTraite),$J32+offsetInitialFichierTraite,9)</f>
        <v>31.12</v>
      </c>
      <c r="N32" s="14">
        <f ca="1">INDEX(INDIRECT(zoneFichierTraite),$J32+offsetInitialFichierTraite,3)</f>
        <v>8050846089778</v>
      </c>
      <c r="O32" s="14"/>
      <c r="P32" s="56">
        <f ca="1">MATCH(N32,INDIRECT(nomFichierEAN13Valmag &amp; "!A:A"),0)</f>
        <v>664</v>
      </c>
      <c r="R32" s="50" t="str">
        <f ca="1">LEFT(B32,14)</f>
        <v>HLESG020-ECSC7</v>
      </c>
      <c r="S32" s="52">
        <f ca="1">MATCH($R32,INDIRECT(nomFichierEAN13ValmagUniq &amp; "!A:A"),0)</f>
        <v>38</v>
      </c>
      <c r="T32" s="49" t="str">
        <f ca="1">IFERROR(INDEX(INDIRECT(zoneFichierEAN13ValmagUniq),S32,2),"")</f>
        <v xml:space="preserve"> </v>
      </c>
      <c r="U32" s="52" t="e">
        <f ca="1">MATCH($R32,INDIRECT(nomFichierEAN13ValmagUniq &amp; "!A" &amp; (S32+1) &amp; ":A" &amp;  (S32+10)),0)</f>
        <v>#N/A</v>
      </c>
      <c r="V32" s="51" t="e">
        <f t="shared" ref="V32" ca="1" si="81">U32+S32</f>
        <v>#N/A</v>
      </c>
      <c r="W32" s="49" t="str">
        <f ca="1">IFERROR(INDEX(INDIRECT(zoneFichierEAN13ValmagUniq),V32,2),"")</f>
        <v/>
      </c>
      <c r="X32" s="52" t="e">
        <f ca="1">MATCH($R32,INDIRECT(nomFichierEAN13ValmagUniq &amp; "!A" &amp; (V32+1) &amp; ":A" &amp;  (V32+10)),0)</f>
        <v>#N/A</v>
      </c>
      <c r="Y32" s="51" t="e">
        <f t="shared" ref="Y32" ca="1" si="82">X32+V32</f>
        <v>#N/A</v>
      </c>
      <c r="Z32" s="49" t="str">
        <f ca="1">IFERROR(INDEX(INDIRECT(zoneFichierEAN13ValmagUniq),Y32,2),"")</f>
        <v/>
      </c>
      <c r="AA32" s="53" t="str">
        <f t="shared" ref="AA32" ca="1" si="83">T32 &amp; IF(W32="","", " | " &amp; W32) &amp; IF(Z32="","", " | " &amp;Z32)</f>
        <v xml:space="preserve"> </v>
      </c>
      <c r="AC32" s="55">
        <f ca="1">MATCH(B32,INDIRECT(nomFichierFiltreCatalogue &amp; "!B:B"),0)</f>
        <v>140</v>
      </c>
      <c r="AD32" s="14"/>
    </row>
    <row r="33" spans="1:30" s="20" customFormat="1" ht="15.75" customHeight="1" x14ac:dyDescent="0.25">
      <c r="A33" s="25">
        <f ca="1">INDEX(INDIRECT(zoneFichierTraite),$J32+offsetInitialFichierTraite,2)</f>
        <v>128</v>
      </c>
      <c r="B33" s="57" t="str">
        <f ca="1">IF(ISERROR($P32),msgRefValmagAcreer,IF(INDEX(INDIRECT(zoneFichierEAN13Valmag),$P32,3) = "",msgCodeValmagVide, INDEX(INDIRECT(zoneFichierEAN13Valmag),$P32,3)))</f>
        <v xml:space="preserve"> </v>
      </c>
      <c r="C33" s="54" t="str">
        <f t="shared" ref="C33" ca="1" si="84">AA32</f>
        <v xml:space="preserve"> </v>
      </c>
      <c r="D33" s="19" t="str">
        <f ca="1">IFERROR(INDEX(INDIRECT(zoneFichierEAN13Valmag),$P32,4),"")</f>
        <v xml:space="preserve"> </v>
      </c>
      <c r="E33" s="58" t="str">
        <f ca="1">IFERROR(INDEX(INDIRECT(zoneFichierFiltreCatalogue),AC32,3),"")</f>
        <v>p029-1-01</v>
      </c>
      <c r="F33" s="19"/>
      <c r="G33" s="18"/>
      <c r="H33" s="32" t="str">
        <f ca="1">IFERROR(INDEX(INDIRECT(zoneFichierFiltreCatalogue),AC32,6),"")</f>
        <v>fall 2019 presentation_/catalogo fall 19.txt</v>
      </c>
      <c r="S33" s="1"/>
      <c r="T33" s="21"/>
      <c r="U33" s="21"/>
      <c r="V33" s="21"/>
      <c r="W33" s="21"/>
      <c r="X33" s="21"/>
      <c r="Y33" s="21"/>
      <c r="Z33" s="21"/>
      <c r="AA33" s="21"/>
      <c r="AB33" s="21"/>
      <c r="AC33" s="21"/>
    </row>
    <row r="34" spans="1:30" ht="39" customHeight="1" thickBot="1" x14ac:dyDescent="0.65">
      <c r="A34" s="9" t="str">
        <f ca="1">INDEX(INDIRECT(zoneFichierTraite),$J34+offsetInitialFichierTraite,6)</f>
        <v>UNICA</v>
      </c>
      <c r="B34" s="5" t="str">
        <f ca="1">INDEX(INDIRECT(zoneFichierTraite),$J34+offsetInitialFichierTraite,4)</f>
        <v>HLESG020-ECSC7-076</v>
      </c>
      <c r="C34" s="26" t="str">
        <f ca="1">INDEX(INDIRECT(zoneFichierTraite),$J34+offsetInitialFichierTraite,5)</f>
        <v>ANSES LONGUES + GOUTTE EN FAUX CUIR SPIRALE BICOLORE</v>
      </c>
      <c r="D34" s="27" t="str">
        <f ca="1">INDEX(INDIRECT(zoneFichierTraite),$J34+offsetInitialFichierTraite,13)</f>
        <v>rosso</v>
      </c>
      <c r="E34" s="30">
        <f ca="1">INDEX(INDIRECT(zoneFichierTraite),$J34+offsetInitialFichierTraite,7)</f>
        <v>2</v>
      </c>
      <c r="F34" s="28">
        <f ca="1">INDEX(INDIRECT(zoneFichierTraite),$J34+offsetInitialFichierTraite,8)</f>
        <v>15.56</v>
      </c>
      <c r="G34" s="29">
        <f t="shared" ref="G34" ca="1" si="85">ROUNDUP(F34*3,0)</f>
        <v>47</v>
      </c>
      <c r="H34" s="31" t="str">
        <f ca="1">IF(ISNUMBER(N34),codeEAN13(INT(N34/10)),"")</f>
        <v>8APASOG*aijhjc+</v>
      </c>
      <c r="I34" s="1" t="b">
        <f t="shared" ref="I34" ca="1" si="86">AND(A37&lt;&gt;0,A35=A37)</f>
        <v>0</v>
      </c>
      <c r="J34" s="15">
        <f t="shared" si="2"/>
        <v>13</v>
      </c>
      <c r="K34" s="1">
        <f t="shared" ref="K34" ca="1" si="87">A35</f>
        <v>62</v>
      </c>
      <c r="L34" s="5" t="str">
        <f ca="1">INDEX(INDIRECT(zoneFichierTraite),$J34+offsetInitialFichierTraite,1)</f>
        <v>'013</v>
      </c>
      <c r="M34" s="11">
        <f ca="1">INDEX(INDIRECT(zoneFichierTraite),$J34+offsetInitialFichierTraite,9)</f>
        <v>31.12</v>
      </c>
      <c r="N34" s="14">
        <f ca="1">INDEX(INDIRECT(zoneFichierTraite),$J34+offsetInitialFichierTraite,3)</f>
        <v>8050846089792</v>
      </c>
      <c r="O34" s="14"/>
      <c r="P34" s="56">
        <f ca="1">MATCH(N34,INDIRECT(nomFichierEAN13Valmag &amp; "!A:A"),0)</f>
        <v>666</v>
      </c>
      <c r="R34" s="50" t="str">
        <f ca="1">LEFT(B34,14)</f>
        <v>HLESG020-ECSC7</v>
      </c>
      <c r="S34" s="52">
        <f ca="1">MATCH($R34,INDIRECT(nomFichierEAN13ValmagUniq &amp; "!A:A"),0)</f>
        <v>38</v>
      </c>
      <c r="T34" s="49" t="str">
        <f ca="1">IFERROR(INDEX(INDIRECT(zoneFichierEAN13ValmagUniq),S34,2),"")</f>
        <v xml:space="preserve"> </v>
      </c>
      <c r="U34" s="52" t="e">
        <f ca="1">MATCH($R34,INDIRECT(nomFichierEAN13ValmagUniq &amp; "!A" &amp; (S34+1) &amp; ":A" &amp;  (S34+10)),0)</f>
        <v>#N/A</v>
      </c>
      <c r="V34" s="51" t="e">
        <f t="shared" ref="V34" ca="1" si="88">U34+S34</f>
        <v>#N/A</v>
      </c>
      <c r="W34" s="49" t="str">
        <f ca="1">IFERROR(INDEX(INDIRECT(zoneFichierEAN13ValmagUniq),V34,2),"")</f>
        <v/>
      </c>
      <c r="X34" s="52" t="e">
        <f ca="1">MATCH($R34,INDIRECT(nomFichierEAN13ValmagUniq &amp; "!A" &amp; (V34+1) &amp; ":A" &amp;  (V34+10)),0)</f>
        <v>#N/A</v>
      </c>
      <c r="Y34" s="51" t="e">
        <f t="shared" ref="Y34" ca="1" si="89">X34+V34</f>
        <v>#N/A</v>
      </c>
      <c r="Z34" s="49" t="str">
        <f ca="1">IFERROR(INDEX(INDIRECT(zoneFichierEAN13ValmagUniq),Y34,2),"")</f>
        <v/>
      </c>
      <c r="AA34" s="53" t="str">
        <f t="shared" ref="AA34" ca="1" si="90">T34 &amp; IF(W34="","", " | " &amp; W34) &amp; IF(Z34="","", " | " &amp;Z34)</f>
        <v xml:space="preserve"> </v>
      </c>
      <c r="AC34" s="55">
        <f ca="1">MATCH(B34,INDIRECT(nomFichierFiltreCatalogue &amp; "!B:B"),0)</f>
        <v>141</v>
      </c>
      <c r="AD34" s="14"/>
    </row>
    <row r="35" spans="1:30" s="20" customFormat="1" ht="15.75" customHeight="1" x14ac:dyDescent="0.25">
      <c r="A35" s="25">
        <f ca="1">INDEX(INDIRECT(zoneFichierTraite),$J34+offsetInitialFichierTraite,2)</f>
        <v>62</v>
      </c>
      <c r="B35" s="57" t="str">
        <f ca="1">IF(ISERROR($P34),msgRefValmagAcreer,IF(INDEX(INDIRECT(zoneFichierEAN13Valmag),$P34,3) = "",msgCodeValmagVide, INDEX(INDIRECT(zoneFichierEAN13Valmag),$P34,3)))</f>
        <v xml:space="preserve"> </v>
      </c>
      <c r="C35" s="54" t="str">
        <f t="shared" ref="C35" ca="1" si="91">AA34</f>
        <v xml:space="preserve"> </v>
      </c>
      <c r="D35" s="19" t="str">
        <f ca="1">IFERROR(INDEX(INDIRECT(zoneFichierEAN13Valmag),$P34,4),"")</f>
        <v xml:space="preserve"> </v>
      </c>
      <c r="E35" s="58" t="str">
        <f ca="1">IFERROR(INDEX(INDIRECT(zoneFichierFiltreCatalogue),AC34,3),"")</f>
        <v>p029-1-02</v>
      </c>
      <c r="F35" s="19"/>
      <c r="G35" s="18"/>
      <c r="H35" s="32" t="str">
        <f ca="1">IFERROR(INDEX(INDIRECT(zoneFichierFiltreCatalogue),AC34,6),"")</f>
        <v>fall 2019 presentation_/catalogo fall 19.txt</v>
      </c>
      <c r="S35" s="1"/>
      <c r="T35" s="21"/>
      <c r="U35" s="21"/>
      <c r="V35" s="21"/>
      <c r="W35" s="21"/>
      <c r="X35" s="21"/>
      <c r="Y35" s="21"/>
      <c r="Z35" s="21"/>
      <c r="AA35" s="21"/>
      <c r="AB35" s="21"/>
      <c r="AC35" s="21"/>
    </row>
    <row r="36" spans="1:30" ht="39" customHeight="1" thickBot="1" x14ac:dyDescent="0.65">
      <c r="A36" s="9" t="str">
        <f ca="1">INDEX(INDIRECT(zoneFichierTraite),$J36+offsetInitialFichierTraite,6)</f>
        <v>UNICA</v>
      </c>
      <c r="B36" s="5" t="str">
        <f ca="1">INDEX(INDIRECT(zoneFichierTraite),$J36+offsetInitialFichierTraite,4)</f>
        <v>HLESG020-ECSC7-137</v>
      </c>
      <c r="C36" s="26" t="str">
        <f ca="1">INDEX(INDIRECT(zoneFichierTraite),$J36+offsetInitialFichierTraite,5)</f>
        <v>ANSES LONGUES + GOUTTE EN FAUX CUIR SPIRALE BICOLORE</v>
      </c>
      <c r="D36" s="27" t="str">
        <f ca="1">INDEX(INDIRECT(zoneFichierTraite),$J36+offsetInitialFichierTraite,13)</f>
        <v>bluette</v>
      </c>
      <c r="E36" s="30">
        <f ca="1">INDEX(INDIRECT(zoneFichierTraite),$J36+offsetInitialFichierTraite,7)</f>
        <v>2</v>
      </c>
      <c r="F36" s="28">
        <f ca="1">INDEX(INDIRECT(zoneFichierTraite),$J36+offsetInitialFichierTraite,8)</f>
        <v>15.56</v>
      </c>
      <c r="G36" s="29">
        <f t="shared" ref="G36" ca="1" si="92">ROUNDUP(F36*3,0)</f>
        <v>47</v>
      </c>
      <c r="H36" s="31" t="str">
        <f ca="1">IF(ISNUMBER(N36),codeEAN13(INT(N36/10)),"")</f>
        <v>8APASOG*aijhif+</v>
      </c>
      <c r="I36" s="1" t="b">
        <f t="shared" ref="I36" ca="1" si="93">AND(A39&lt;&gt;0,A37=A39)</f>
        <v>0</v>
      </c>
      <c r="J36" s="15">
        <f t="shared" si="2"/>
        <v>14</v>
      </c>
      <c r="K36" s="1">
        <f t="shared" ref="K36" ca="1" si="94">A37</f>
        <v>25</v>
      </c>
      <c r="L36" s="5" t="str">
        <f ca="1">INDEX(INDIRECT(zoneFichierTraite),$J36+offsetInitialFichierTraite,1)</f>
        <v>'014</v>
      </c>
      <c r="M36" s="11">
        <f ca="1">INDEX(INDIRECT(zoneFichierTraite),$J36+offsetInitialFichierTraite,9)</f>
        <v>31.12</v>
      </c>
      <c r="N36" s="14">
        <f ca="1">INDEX(INDIRECT(zoneFichierTraite),$J36+offsetInitialFichierTraite,3)</f>
        <v>8050846089785</v>
      </c>
      <c r="O36" s="14"/>
      <c r="P36" s="56">
        <f ca="1">MATCH(N36,INDIRECT(nomFichierEAN13Valmag &amp; "!A:A"),0)</f>
        <v>665</v>
      </c>
      <c r="R36" s="50" t="str">
        <f ca="1">LEFT(B36,14)</f>
        <v>HLESG020-ECSC7</v>
      </c>
      <c r="S36" s="52">
        <f ca="1">MATCH($R36,INDIRECT(nomFichierEAN13ValmagUniq &amp; "!A:A"),0)</f>
        <v>38</v>
      </c>
      <c r="T36" s="49" t="str">
        <f ca="1">IFERROR(INDEX(INDIRECT(zoneFichierEAN13ValmagUniq),S36,2),"")</f>
        <v xml:space="preserve"> </v>
      </c>
      <c r="U36" s="52" t="e">
        <f ca="1">MATCH($R36,INDIRECT(nomFichierEAN13ValmagUniq &amp; "!A" &amp; (S36+1) &amp; ":A" &amp;  (S36+10)),0)</f>
        <v>#N/A</v>
      </c>
      <c r="V36" s="51" t="e">
        <f t="shared" ref="V36" ca="1" si="95">U36+S36</f>
        <v>#N/A</v>
      </c>
      <c r="W36" s="49" t="str">
        <f ca="1">IFERROR(INDEX(INDIRECT(zoneFichierEAN13ValmagUniq),V36,2),"")</f>
        <v/>
      </c>
      <c r="X36" s="52" t="e">
        <f ca="1">MATCH($R36,INDIRECT(nomFichierEAN13ValmagUniq &amp; "!A" &amp; (V36+1) &amp; ":A" &amp;  (V36+10)),0)</f>
        <v>#N/A</v>
      </c>
      <c r="Y36" s="51" t="e">
        <f t="shared" ref="Y36" ca="1" si="96">X36+V36</f>
        <v>#N/A</v>
      </c>
      <c r="Z36" s="49" t="str">
        <f ca="1">IFERROR(INDEX(INDIRECT(zoneFichierEAN13ValmagUniq),Y36,2),"")</f>
        <v/>
      </c>
      <c r="AA36" s="53" t="str">
        <f t="shared" ref="AA36" ca="1" si="97">T36 &amp; IF(W36="","", " | " &amp; W36) &amp; IF(Z36="","", " | " &amp;Z36)</f>
        <v xml:space="preserve"> </v>
      </c>
      <c r="AC36" s="55">
        <f ca="1">MATCH(B36,INDIRECT(nomFichierFiltreCatalogue &amp; "!B:B"),0)</f>
        <v>142</v>
      </c>
      <c r="AD36" s="14"/>
    </row>
    <row r="37" spans="1:30" s="20" customFormat="1" ht="15.75" customHeight="1" x14ac:dyDescent="0.25">
      <c r="A37" s="25">
        <f ca="1">INDEX(INDIRECT(zoneFichierTraite),$J36+offsetInitialFichierTraite,2)</f>
        <v>25</v>
      </c>
      <c r="B37" s="57" t="str">
        <f ca="1">IF(ISERROR($P36),msgRefValmagAcreer,IF(INDEX(INDIRECT(zoneFichierEAN13Valmag),$P36,3) = "",msgCodeValmagVide, INDEX(INDIRECT(zoneFichierEAN13Valmag),$P36,3)))</f>
        <v xml:space="preserve"> </v>
      </c>
      <c r="C37" s="54" t="str">
        <f t="shared" ref="C37" ca="1" si="98">AA36</f>
        <v xml:space="preserve"> </v>
      </c>
      <c r="D37" s="19" t="str">
        <f ca="1">IFERROR(INDEX(INDIRECT(zoneFichierEAN13Valmag),$P36,4),"")</f>
        <v xml:space="preserve"> </v>
      </c>
      <c r="E37" s="58" t="str">
        <f ca="1">IFERROR(INDEX(INDIRECT(zoneFichierFiltreCatalogue),AC36,3),"")</f>
        <v>p029-1-03</v>
      </c>
      <c r="F37" s="19"/>
      <c r="G37" s="18"/>
      <c r="H37" s="32" t="str">
        <f ca="1">IFERROR(INDEX(INDIRECT(zoneFichierFiltreCatalogue),AC36,6),"")</f>
        <v>fall 2019 presentation_/catalogo fall 19.txt</v>
      </c>
      <c r="S37" s="1"/>
      <c r="T37" s="21"/>
      <c r="U37" s="21"/>
      <c r="V37" s="21"/>
      <c r="W37" s="21"/>
      <c r="X37" s="21"/>
      <c r="Y37" s="21"/>
      <c r="Z37" s="21"/>
      <c r="AA37" s="21"/>
      <c r="AB37" s="21"/>
      <c r="AC37" s="21"/>
    </row>
    <row r="38" spans="1:30" ht="39" customHeight="1" thickBot="1" x14ac:dyDescent="0.65">
      <c r="A38" s="9" t="str">
        <f ca="1">INDEX(INDIRECT(zoneFichierTraite),$J38+offsetInitialFichierTraite,6)</f>
        <v>UNICA</v>
      </c>
      <c r="B38" s="5" t="str">
        <f ca="1">INDEX(INDIRECT(zoneFichierTraite),$J38+offsetInitialFichierTraite,4)</f>
        <v>HLESGC00-ECSC4-055</v>
      </c>
      <c r="C38" s="26" t="str">
        <f ca="1">INDEX(INDIRECT(zoneFichierTraite),$J38+offsetInitialFichierTraite,5)</f>
        <v>ANSES COURTES EN FAUX CUIR EFFET GRIFFE + CLOUS</v>
      </c>
      <c r="D38" s="27" t="str">
        <f ca="1">INDEX(INDIRECT(zoneFichierTraite),$J38+offsetInitialFichierTraite,13)</f>
        <v>nero</v>
      </c>
      <c r="E38" s="30">
        <f ca="1">INDEX(INDIRECT(zoneFichierTraite),$J38+offsetInitialFichierTraite,7)</f>
        <v>3</v>
      </c>
      <c r="F38" s="28">
        <f ca="1">INDEX(INDIRECT(zoneFichierTraite),$J38+offsetInitialFichierTraite,8)</f>
        <v>16.670000000000002</v>
      </c>
      <c r="G38" s="29">
        <f t="shared" ref="G38" ca="1" si="99">ROUNDUP(F38*3,0)</f>
        <v>51</v>
      </c>
      <c r="H38" s="31" t="str">
        <f ca="1">IF(ISNUMBER(N38),codeEAN13(INT(N38/10)),"")</f>
        <v>8APASOG*aijgig+</v>
      </c>
      <c r="I38" s="1" t="b">
        <f t="shared" ref="I38" ca="1" si="100">AND(A41&lt;&gt;0,A39=A41)</f>
        <v>0</v>
      </c>
      <c r="J38" s="15">
        <f t="shared" si="2"/>
        <v>15</v>
      </c>
      <c r="K38" s="1">
        <f t="shared" ref="K38" ca="1" si="101">A39</f>
        <v>46</v>
      </c>
      <c r="L38" s="5" t="str">
        <f ca="1">INDEX(INDIRECT(zoneFichierTraite),$J38+offsetInitialFichierTraite,1)</f>
        <v>'015</v>
      </c>
      <c r="M38" s="11">
        <f ca="1">INDEX(INDIRECT(zoneFichierTraite),$J38+offsetInitialFichierTraite,9)</f>
        <v>50.01</v>
      </c>
      <c r="N38" s="14">
        <f ca="1">INDEX(INDIRECT(zoneFichierTraite),$J38+offsetInitialFichierTraite,3)</f>
        <v>8050846089686</v>
      </c>
      <c r="O38" s="14"/>
      <c r="P38" s="56">
        <f ca="1">MATCH(N38,INDIRECT(nomFichierEAN13Valmag &amp; "!A:A"),0)</f>
        <v>655</v>
      </c>
      <c r="R38" s="50" t="str">
        <f ca="1">LEFT(B38,14)</f>
        <v>HLESGC00-ECSC4</v>
      </c>
      <c r="S38" s="52">
        <f ca="1">MATCH($R38,INDIRECT(nomFichierEAN13ValmagUniq &amp; "!A:A"),0)</f>
        <v>44</v>
      </c>
      <c r="T38" s="49" t="str">
        <f ca="1">IFERROR(INDEX(INDIRECT(zoneFichierEAN13ValmagUniq),S38,2),"")</f>
        <v xml:space="preserve"> </v>
      </c>
      <c r="U38" s="52" t="e">
        <f ca="1">MATCH($R38,INDIRECT(nomFichierEAN13ValmagUniq &amp; "!A" &amp; (S38+1) &amp; ":A" &amp;  (S38+10)),0)</f>
        <v>#N/A</v>
      </c>
      <c r="V38" s="51" t="e">
        <f t="shared" ref="V38" ca="1" si="102">U38+S38</f>
        <v>#N/A</v>
      </c>
      <c r="W38" s="49" t="str">
        <f ca="1">IFERROR(INDEX(INDIRECT(zoneFichierEAN13ValmagUniq),V38,2),"")</f>
        <v/>
      </c>
      <c r="X38" s="52" t="e">
        <f ca="1">MATCH($R38,INDIRECT(nomFichierEAN13ValmagUniq &amp; "!A" &amp; (V38+1) &amp; ":A" &amp;  (V38+10)),0)</f>
        <v>#N/A</v>
      </c>
      <c r="Y38" s="51" t="e">
        <f t="shared" ref="Y38" ca="1" si="103">X38+V38</f>
        <v>#N/A</v>
      </c>
      <c r="Z38" s="49" t="str">
        <f ca="1">IFERROR(INDEX(INDIRECT(zoneFichierEAN13ValmagUniq),Y38,2),"")</f>
        <v/>
      </c>
      <c r="AA38" s="53" t="str">
        <f t="shared" ref="AA38" ca="1" si="104">T38 &amp; IF(W38="","", " | " &amp; W38) &amp; IF(Z38="","", " | " &amp;Z38)</f>
        <v xml:space="preserve"> </v>
      </c>
      <c r="AC38" s="55">
        <f ca="1">MATCH(B38,INDIRECT(nomFichierFiltreCatalogue &amp; "!B:B"),0)</f>
        <v>171</v>
      </c>
      <c r="AD38" s="14"/>
    </row>
    <row r="39" spans="1:30" s="20" customFormat="1" ht="15.75" customHeight="1" x14ac:dyDescent="0.25">
      <c r="A39" s="25">
        <f ca="1">INDEX(INDIRECT(zoneFichierTraite),$J38+offsetInitialFichierTraite,2)</f>
        <v>46</v>
      </c>
      <c r="B39" s="57" t="str">
        <f ca="1">IF(ISERROR($P38),msgRefValmagAcreer,IF(INDEX(INDIRECT(zoneFichierEAN13Valmag),$P38,3) = "",msgCodeValmagVide, INDEX(INDIRECT(zoneFichierEAN13Valmag),$P38,3)))</f>
        <v xml:space="preserve"> </v>
      </c>
      <c r="C39" s="54" t="str">
        <f t="shared" ref="C39" ca="1" si="105">AA38</f>
        <v xml:space="preserve"> </v>
      </c>
      <c r="D39" s="19" t="str">
        <f ca="1">IFERROR(INDEX(INDIRECT(zoneFichierEAN13Valmag),$P38,4),"")</f>
        <v xml:space="preserve"> </v>
      </c>
      <c r="E39" s="58" t="str">
        <f ca="1">IFERROR(INDEX(INDIRECT(zoneFichierFiltreCatalogue),AC38,3),"")</f>
        <v>p034-1-01</v>
      </c>
      <c r="F39" s="19"/>
      <c r="G39" s="18"/>
      <c r="H39" s="32" t="str">
        <f ca="1">IFERROR(INDEX(INDIRECT(zoneFichierFiltreCatalogue),AC38,6),"")</f>
        <v>fall 2019 presentation_/catalogo fall 19.txt</v>
      </c>
      <c r="S39" s="1"/>
      <c r="T39" s="21"/>
      <c r="U39" s="21"/>
      <c r="V39" s="21"/>
      <c r="W39" s="21"/>
      <c r="X39" s="21"/>
      <c r="Y39" s="21"/>
      <c r="Z39" s="21"/>
      <c r="AA39" s="21"/>
      <c r="AB39" s="21"/>
      <c r="AC39" s="21"/>
    </row>
    <row r="40" spans="1:30" ht="39" customHeight="1" thickBot="1" x14ac:dyDescent="0.65">
      <c r="A40" s="9" t="str">
        <f ca="1">INDEX(INDIRECT(zoneFichierTraite),$J40+offsetInitialFichierTraite,6)</f>
        <v>UNICA</v>
      </c>
      <c r="B40" s="5" t="str">
        <f ca="1">INDEX(INDIRECT(zoneFichierTraite),$J40+offsetInitialFichierTraite,4)</f>
        <v>HLESGC00-ECSC4-371</v>
      </c>
      <c r="C40" s="26" t="str">
        <f ca="1">INDEX(INDIRECT(zoneFichierTraite),$J40+offsetInitialFichierTraite,5)</f>
        <v>ANSES COURTES EN FAUX CUIR EFFET GRIFFE + CLOUS</v>
      </c>
      <c r="D40" s="27" t="str">
        <f ca="1">INDEX(INDIRECT(zoneFichierTraite),$J40+offsetInitialFichierTraite,13)</f>
        <v>latte</v>
      </c>
      <c r="E40" s="30">
        <f ca="1">INDEX(INDIRECT(zoneFichierTraite),$J40+offsetInitialFichierTraite,7)</f>
        <v>3</v>
      </c>
      <c r="F40" s="28">
        <f ca="1">INDEX(INDIRECT(zoneFichierTraite),$J40+offsetInitialFichierTraite,8)</f>
        <v>16.670000000000002</v>
      </c>
      <c r="G40" s="29">
        <f t="shared" ref="G40" ca="1" si="106">ROUNDUP(F40*3,0)</f>
        <v>51</v>
      </c>
      <c r="H40" s="31" t="str">
        <f ca="1">IF(ISNUMBER(N40),codeEAN13(INT(N40/10)),"")</f>
        <v>8APASOG*aijgjd+</v>
      </c>
      <c r="I40" s="1" t="b">
        <f t="shared" ref="I40" ca="1" si="107">AND(A43&lt;&gt;0,A41=A43)</f>
        <v>0</v>
      </c>
      <c r="J40" s="15">
        <f t="shared" si="2"/>
        <v>16</v>
      </c>
      <c r="K40" s="1">
        <f t="shared" ref="K40" ca="1" si="108">A41</f>
        <v>179</v>
      </c>
      <c r="L40" s="5" t="str">
        <f ca="1">INDEX(INDIRECT(zoneFichierTraite),$J40+offsetInitialFichierTraite,1)</f>
        <v>'016</v>
      </c>
      <c r="M40" s="11">
        <f ca="1">INDEX(INDIRECT(zoneFichierTraite),$J40+offsetInitialFichierTraite,9)</f>
        <v>50.01</v>
      </c>
      <c r="N40" s="14">
        <f ca="1">INDEX(INDIRECT(zoneFichierTraite),$J40+offsetInitialFichierTraite,3)</f>
        <v>8050846089693</v>
      </c>
      <c r="O40" s="14"/>
      <c r="P40" s="56">
        <f ca="1">MATCH(N40,INDIRECT(nomFichierEAN13Valmag &amp; "!A:A"),0)</f>
        <v>656</v>
      </c>
      <c r="R40" s="50" t="str">
        <f ca="1">LEFT(B40,14)</f>
        <v>HLESGC00-ECSC4</v>
      </c>
      <c r="S40" s="52">
        <f ca="1">MATCH($R40,INDIRECT(nomFichierEAN13ValmagUniq &amp; "!A:A"),0)</f>
        <v>44</v>
      </c>
      <c r="T40" s="49" t="str">
        <f ca="1">IFERROR(INDEX(INDIRECT(zoneFichierEAN13ValmagUniq),S40,2),"")</f>
        <v xml:space="preserve"> </v>
      </c>
      <c r="U40" s="52" t="e">
        <f ca="1">MATCH($R40,INDIRECT(nomFichierEAN13ValmagUniq &amp; "!A" &amp; (S40+1) &amp; ":A" &amp;  (S40+10)),0)</f>
        <v>#N/A</v>
      </c>
      <c r="V40" s="51" t="e">
        <f t="shared" ref="V40" ca="1" si="109">U40+S40</f>
        <v>#N/A</v>
      </c>
      <c r="W40" s="49" t="str">
        <f ca="1">IFERROR(INDEX(INDIRECT(zoneFichierEAN13ValmagUniq),V40,2),"")</f>
        <v/>
      </c>
      <c r="X40" s="52" t="e">
        <f ca="1">MATCH($R40,INDIRECT(nomFichierEAN13ValmagUniq &amp; "!A" &amp; (V40+1) &amp; ":A" &amp;  (V40+10)),0)</f>
        <v>#N/A</v>
      </c>
      <c r="Y40" s="51" t="e">
        <f t="shared" ref="Y40" ca="1" si="110">X40+V40</f>
        <v>#N/A</v>
      </c>
      <c r="Z40" s="49" t="str">
        <f ca="1">IFERROR(INDEX(INDIRECT(zoneFichierEAN13ValmagUniq),Y40,2),"")</f>
        <v/>
      </c>
      <c r="AA40" s="53" t="str">
        <f t="shared" ref="AA40" ca="1" si="111">T40 &amp; IF(W40="","", " | " &amp; W40) &amp; IF(Z40="","", " | " &amp;Z40)</f>
        <v xml:space="preserve"> </v>
      </c>
      <c r="AC40" s="55">
        <f ca="1">MATCH(B40,INDIRECT(nomFichierFiltreCatalogue &amp; "!B:B"),0)</f>
        <v>172</v>
      </c>
      <c r="AD40" s="14"/>
    </row>
    <row r="41" spans="1:30" s="20" customFormat="1" ht="15.75" customHeight="1" x14ac:dyDescent="0.25">
      <c r="A41" s="25">
        <f ca="1">INDEX(INDIRECT(zoneFichierTraite),$J40+offsetInitialFichierTraite,2)</f>
        <v>179</v>
      </c>
      <c r="B41" s="57" t="str">
        <f ca="1">IF(ISERROR($P40),msgRefValmagAcreer,IF(INDEX(INDIRECT(zoneFichierEAN13Valmag),$P40,3) = "",msgCodeValmagVide, INDEX(INDIRECT(zoneFichierEAN13Valmag),$P40,3)))</f>
        <v xml:space="preserve"> </v>
      </c>
      <c r="C41" s="54" t="str">
        <f t="shared" ref="C41" ca="1" si="112">AA40</f>
        <v xml:space="preserve"> </v>
      </c>
      <c r="D41" s="19" t="str">
        <f ca="1">IFERROR(INDEX(INDIRECT(zoneFichierEAN13Valmag),$P40,4),"")</f>
        <v xml:space="preserve"> </v>
      </c>
      <c r="E41" s="58" t="str">
        <f ca="1">IFERROR(INDEX(INDIRECT(zoneFichierFiltreCatalogue),AC40,3),"")</f>
        <v>p034-1-02</v>
      </c>
      <c r="F41" s="19"/>
      <c r="G41" s="18"/>
      <c r="H41" s="32" t="str">
        <f ca="1">IFERROR(INDEX(INDIRECT(zoneFichierFiltreCatalogue),AC40,6),"")</f>
        <v>fall 2019 presentation_/catalogo fall 19.txt</v>
      </c>
      <c r="S41" s="1"/>
      <c r="T41" s="21"/>
      <c r="U41" s="21"/>
      <c r="V41" s="21"/>
      <c r="W41" s="21"/>
      <c r="X41" s="21"/>
      <c r="Y41" s="21"/>
      <c r="Z41" s="21"/>
      <c r="AA41" s="21"/>
      <c r="AB41" s="21"/>
      <c r="AC41" s="21"/>
    </row>
    <row r="42" spans="1:30" ht="39" customHeight="1" thickBot="1" x14ac:dyDescent="0.65">
      <c r="A42" s="9" t="str">
        <f ca="1">INDEX(INDIRECT(zoneFichierTraite),$J42+offsetInitialFichierTraite,6)</f>
        <v>UNICA</v>
      </c>
      <c r="B42" s="5" t="str">
        <f ca="1">INDEX(INDIRECT(zoneFichierTraite),$J42+offsetInitialFichierTraite,4)</f>
        <v>HLESGC01-EVS54-055</v>
      </c>
      <c r="C42" s="26" t="str">
        <f ca="1">INDEX(INDIRECT(zoneFichierTraite),$J42+offsetInitialFichierTraite,5)</f>
        <v>ANSES COURTES + ANNEAU EVA COMPOUND EFFET BAMBOU</v>
      </c>
      <c r="D42" s="27" t="str">
        <f ca="1">INDEX(INDIRECT(zoneFichierTraite),$J42+offsetInitialFichierTraite,13)</f>
        <v>nero</v>
      </c>
      <c r="E42" s="30">
        <f ca="1">INDEX(INDIRECT(zoneFichierTraite),$J42+offsetInitialFichierTraite,7)</f>
        <v>2</v>
      </c>
      <c r="F42" s="28">
        <f ca="1">INDEX(INDIRECT(zoneFichierTraite),$J42+offsetInitialFichierTraite,8)</f>
        <v>8.52</v>
      </c>
      <c r="G42" s="29">
        <f t="shared" ref="G42" ca="1" si="113">ROUNDUP(F42*3,0)</f>
        <v>26</v>
      </c>
      <c r="H42" s="31" t="str">
        <f ca="1">IF(ISNUMBER(N42),codeEAN13(INT(N42/10)),"")</f>
        <v>8APASOG*ajehch+</v>
      </c>
      <c r="I42" s="1" t="b">
        <f t="shared" ref="I42" ca="1" si="114">AND(A45&lt;&gt;0,A43=A45)</f>
        <v>0</v>
      </c>
      <c r="J42" s="15">
        <f t="shared" si="2"/>
        <v>17</v>
      </c>
      <c r="K42" s="1">
        <f t="shared" ref="K42" ca="1" si="115">A43</f>
        <v>77</v>
      </c>
      <c r="L42" s="5" t="str">
        <f ca="1">INDEX(INDIRECT(zoneFichierTraite),$J42+offsetInitialFichierTraite,1)</f>
        <v>'017</v>
      </c>
      <c r="M42" s="11">
        <f ca="1">INDEX(INDIRECT(zoneFichierTraite),$J42+offsetInitialFichierTraite,9)</f>
        <v>17.04</v>
      </c>
      <c r="N42" s="14">
        <f ca="1">INDEX(INDIRECT(zoneFichierTraite),$J42+offsetInitialFichierTraite,3)</f>
        <v>8050846094727</v>
      </c>
      <c r="O42" s="14"/>
      <c r="P42" s="56">
        <f ca="1">MATCH(N42,INDIRECT(nomFichierEAN13Valmag &amp; "!A:A"),0)</f>
        <v>914</v>
      </c>
      <c r="R42" s="50" t="str">
        <f ca="1">LEFT(B42,14)</f>
        <v>HLESGC01-EVS54</v>
      </c>
      <c r="S42" s="52">
        <f ca="1">MATCH($R42,INDIRECT(nomFichierEAN13ValmagUniq &amp; "!A:A"),0)</f>
        <v>51</v>
      </c>
      <c r="T42" s="49" t="str">
        <f ca="1">IFERROR(INDEX(INDIRECT(zoneFichierEAN13ValmagUniq),S42,2),"")</f>
        <v xml:space="preserve"> </v>
      </c>
      <c r="U42" s="52">
        <f ca="1">MATCH($R42,INDIRECT(nomFichierEAN13ValmagUniq &amp; "!A" &amp; (S42+1) &amp; ":A" &amp;  (S42+10)),0)</f>
        <v>1</v>
      </c>
      <c r="V42" s="51">
        <f t="shared" ref="V42" ca="1" si="116">U42+S42</f>
        <v>52</v>
      </c>
      <c r="W42" s="49" t="str">
        <f ca="1">IFERROR(INDEX(INDIRECT(zoneFichierEAN13ValmagUniq),V42,2),"")</f>
        <v xml:space="preserve">ANSES/BAMBOU    </v>
      </c>
      <c r="X42" s="52" t="e">
        <f ca="1">MATCH($R42,INDIRECT(nomFichierEAN13ValmagUniq &amp; "!A" &amp; (V42+1) &amp; ":A" &amp;  (V42+10)),0)</f>
        <v>#N/A</v>
      </c>
      <c r="Y42" s="51" t="e">
        <f t="shared" ref="Y42" ca="1" si="117">X42+V42</f>
        <v>#N/A</v>
      </c>
      <c r="Z42" s="49" t="str">
        <f ca="1">IFERROR(INDEX(INDIRECT(zoneFichierEAN13ValmagUniq),Y42,2),"")</f>
        <v/>
      </c>
      <c r="AA42" s="53" t="str">
        <f t="shared" ref="AA42" ca="1" si="118">T42 &amp; IF(W42="","", " | " &amp; W42) &amp; IF(Z42="","", " | " &amp;Z42)</f>
        <v xml:space="preserve">  | ANSES/BAMBOU    </v>
      </c>
      <c r="AC42" s="55">
        <f ca="1">MATCH(B42,INDIRECT(nomFichierFiltreCatalogue &amp; "!B:B"),0)</f>
        <v>191</v>
      </c>
      <c r="AD42" s="14"/>
    </row>
    <row r="43" spans="1:30" s="20" customFormat="1" ht="15.75" customHeight="1" x14ac:dyDescent="0.25">
      <c r="A43" s="25">
        <f ca="1">INDEX(INDIRECT(zoneFichierTraite),$J42+offsetInitialFichierTraite,2)</f>
        <v>77</v>
      </c>
      <c r="B43" s="57" t="str">
        <f ca="1">IF(ISERROR($P42),msgRefValmagAcreer,IF(INDEX(INDIRECT(zoneFichierEAN13Valmag),$P42,3) = "",msgCodeValmagVide, INDEX(INDIRECT(zoneFichierEAN13Valmag),$P42,3)))</f>
        <v xml:space="preserve"> </v>
      </c>
      <c r="C43" s="54" t="str">
        <f t="shared" ref="C43" ca="1" si="119">AA42</f>
        <v xml:space="preserve">  | ANSES/BAMBOU    </v>
      </c>
      <c r="D43" s="19" t="str">
        <f ca="1">IFERROR(INDEX(INDIRECT(zoneFichierEAN13Valmag),$P42,4),"")</f>
        <v xml:space="preserve"> </v>
      </c>
      <c r="E43" s="58" t="str">
        <f ca="1">IFERROR(INDEX(INDIRECT(zoneFichierFiltreCatalogue),AC42,3),"")</f>
        <v>p036-2-02</v>
      </c>
      <c r="F43" s="19"/>
      <c r="G43" s="18"/>
      <c r="H43" s="32" t="str">
        <f ca="1">IFERROR(INDEX(INDIRECT(zoneFichierFiltreCatalogue),AC42,6),"")</f>
        <v>fall 2019 presentation_/catalogo fall 19.txt</v>
      </c>
      <c r="S43" s="1"/>
      <c r="T43" s="21"/>
      <c r="U43" s="21"/>
      <c r="V43" s="21"/>
      <c r="W43" s="21"/>
      <c r="X43" s="21"/>
      <c r="Y43" s="21"/>
      <c r="Z43" s="21"/>
      <c r="AA43" s="21"/>
      <c r="AB43" s="21"/>
      <c r="AC43" s="21"/>
    </row>
    <row r="44" spans="1:30" ht="39" customHeight="1" thickBot="1" x14ac:dyDescent="0.65">
      <c r="A44" s="9" t="str">
        <f ca="1">INDEX(INDIRECT(zoneFichierTraite),$J44+offsetInitialFichierTraite,6)</f>
        <v>UNICA</v>
      </c>
      <c r="B44" s="5" t="str">
        <f ca="1">INDEX(INDIRECT(zoneFichierTraite),$J44+offsetInitialFichierTraite,4)</f>
        <v>HLESLL01-ECS00-017</v>
      </c>
      <c r="C44" s="26" t="str">
        <f ca="1">INDEX(INDIRECT(zoneFichierTraite),$J44+offsetInitialFichierTraite,5)</f>
        <v>ANSES LONGUES LINEAR AVEC BOUCLE EN FAUX CUIR</v>
      </c>
      <c r="D44" s="27" t="str">
        <f ca="1">INDEX(INDIRECT(zoneFichierTraite),$J44+offsetInitialFichierTraite,13)</f>
        <v>blu navy</v>
      </c>
      <c r="E44" s="30">
        <f ca="1">INDEX(INDIRECT(zoneFichierTraite),$J44+offsetInitialFichierTraite,7)</f>
        <v>2</v>
      </c>
      <c r="F44" s="28">
        <f ca="1">INDEX(INDIRECT(zoneFichierTraite),$J44+offsetInitialFichierTraite,8)</f>
        <v>13.33</v>
      </c>
      <c r="G44" s="29">
        <f t="shared" ref="G44" ca="1" si="120">ROUNDUP(F44*3,0)</f>
        <v>40</v>
      </c>
      <c r="H44" s="31" t="str">
        <f ca="1">IF(ISNUMBER(N44),codeEAN13(INT(N44/10)),"")</f>
        <v>8APASOG*aijhgb+</v>
      </c>
      <c r="I44" s="1" t="b">
        <f t="shared" ref="I44" ca="1" si="121">AND(A47&lt;&gt;0,A45=A47)</f>
        <v>0</v>
      </c>
      <c r="J44" s="15">
        <f t="shared" si="2"/>
        <v>18</v>
      </c>
      <c r="K44" s="1">
        <f t="shared" ref="K44" ca="1" si="122">A45</f>
        <v>132</v>
      </c>
      <c r="L44" s="5" t="str">
        <f ca="1">INDEX(INDIRECT(zoneFichierTraite),$J44+offsetInitialFichierTraite,1)</f>
        <v>'018</v>
      </c>
      <c r="M44" s="11">
        <f ca="1">INDEX(INDIRECT(zoneFichierTraite),$J44+offsetInitialFichierTraite,9)</f>
        <v>26.66</v>
      </c>
      <c r="N44" s="14">
        <f ca="1">INDEX(INDIRECT(zoneFichierTraite),$J44+offsetInitialFichierTraite,3)</f>
        <v>8050846089761</v>
      </c>
      <c r="O44" s="14"/>
      <c r="P44" s="56">
        <f ca="1">MATCH(N44,INDIRECT(nomFichierEAN13Valmag &amp; "!A:A"),0)</f>
        <v>663</v>
      </c>
      <c r="R44" s="50" t="str">
        <f ca="1">LEFT(B44,14)</f>
        <v>HLESLL01-ECS00</v>
      </c>
      <c r="S44" s="52">
        <f ca="1">MATCH($R44,INDIRECT(nomFichierEAN13ValmagUniq &amp; "!A:A"),0)</f>
        <v>56</v>
      </c>
      <c r="T44" s="49" t="str">
        <f ca="1">IFERROR(INDEX(INDIRECT(zoneFichierEAN13ValmagUniq),S44,2),"")</f>
        <v xml:space="preserve"> </v>
      </c>
      <c r="U44" s="52" t="e">
        <f ca="1">MATCH($R44,INDIRECT(nomFichierEAN13ValmagUniq &amp; "!A" &amp; (S44+1) &amp; ":A" &amp;  (S44+10)),0)</f>
        <v>#N/A</v>
      </c>
      <c r="V44" s="51" t="e">
        <f t="shared" ref="V44" ca="1" si="123">U44+S44</f>
        <v>#N/A</v>
      </c>
      <c r="W44" s="49" t="str">
        <f ca="1">IFERROR(INDEX(INDIRECT(zoneFichierEAN13ValmagUniq),V44,2),"")</f>
        <v/>
      </c>
      <c r="X44" s="52" t="e">
        <f ca="1">MATCH($R44,INDIRECT(nomFichierEAN13ValmagUniq &amp; "!A" &amp; (V44+1) &amp; ":A" &amp;  (V44+10)),0)</f>
        <v>#N/A</v>
      </c>
      <c r="Y44" s="51" t="e">
        <f t="shared" ref="Y44" ca="1" si="124">X44+V44</f>
        <v>#N/A</v>
      </c>
      <c r="Z44" s="49" t="str">
        <f ca="1">IFERROR(INDEX(INDIRECT(zoneFichierEAN13ValmagUniq),Y44,2),"")</f>
        <v/>
      </c>
      <c r="AA44" s="53" t="str">
        <f t="shared" ref="AA44" ca="1" si="125">T44 &amp; IF(W44="","", " | " &amp; W44) &amp; IF(Z44="","", " | " &amp;Z44)</f>
        <v xml:space="preserve"> </v>
      </c>
      <c r="AC44" s="55">
        <f ca="1">MATCH(B44,INDIRECT(nomFichierFiltreCatalogue &amp; "!B:B"),0)</f>
        <v>145</v>
      </c>
      <c r="AD44" s="14"/>
    </row>
    <row r="45" spans="1:30" s="20" customFormat="1" ht="15.75" customHeight="1" x14ac:dyDescent="0.25">
      <c r="A45" s="25">
        <f ca="1">INDEX(INDIRECT(zoneFichierTraite),$J44+offsetInitialFichierTraite,2)</f>
        <v>132</v>
      </c>
      <c r="B45" s="57" t="str">
        <f ca="1">IF(ISERROR($P44),msgRefValmagAcreer,IF(INDEX(INDIRECT(zoneFichierEAN13Valmag),$P44,3) = "",msgCodeValmagVide, INDEX(INDIRECT(zoneFichierEAN13Valmag),$P44,3)))</f>
        <v xml:space="preserve"> </v>
      </c>
      <c r="C45" s="54" t="str">
        <f t="shared" ref="C45" ca="1" si="126">AA44</f>
        <v xml:space="preserve"> </v>
      </c>
      <c r="D45" s="19" t="str">
        <f ca="1">IFERROR(INDEX(INDIRECT(zoneFichierEAN13Valmag),$P44,4),"")</f>
        <v xml:space="preserve"> </v>
      </c>
      <c r="E45" s="58" t="str">
        <f ca="1">IFERROR(INDEX(INDIRECT(zoneFichierFiltreCatalogue),AC44,3),"")</f>
        <v>p030-1-01</v>
      </c>
      <c r="F45" s="19"/>
      <c r="G45" s="18"/>
      <c r="H45" s="32" t="str">
        <f ca="1">IFERROR(INDEX(INDIRECT(zoneFichierFiltreCatalogue),AC44,6),"")</f>
        <v>fall 2019 presentation_/catalogo fall 19.txt</v>
      </c>
      <c r="S45" s="1"/>
      <c r="T45" s="21"/>
      <c r="U45" s="21"/>
      <c r="V45" s="21"/>
      <c r="W45" s="21"/>
      <c r="X45" s="21"/>
      <c r="Y45" s="21"/>
      <c r="Z45" s="21"/>
      <c r="AA45" s="21"/>
      <c r="AB45" s="21"/>
      <c r="AC45" s="21"/>
    </row>
    <row r="46" spans="1:30" ht="39" customHeight="1" thickBot="1" x14ac:dyDescent="0.65">
      <c r="A46" s="9" t="str">
        <f ca="1">INDEX(INDIRECT(zoneFichierTraite),$J46+offsetInitialFichierTraite,6)</f>
        <v>UNICA</v>
      </c>
      <c r="B46" s="5" t="str">
        <f ca="1">INDEX(INDIRECT(zoneFichierTraite),$J46+offsetInitialFichierTraite,4)</f>
        <v>HLESLL01-ECS00-132</v>
      </c>
      <c r="C46" s="26" t="str">
        <f ca="1">INDEX(INDIRECT(zoneFichierTraite),$J46+offsetInitialFichierTraite,5)</f>
        <v>ANSES LONGUES LINEAR AVEC BOUCLE EN FAUX CUIR</v>
      </c>
      <c r="D46" s="27" t="str">
        <f ca="1">INDEX(INDIRECT(zoneFichierTraite),$J46+offsetInitialFichierTraite,13)</f>
        <v>biscotto</v>
      </c>
      <c r="E46" s="30">
        <f ca="1">INDEX(INDIRECT(zoneFichierTraite),$J46+offsetInitialFichierTraite,7)</f>
        <v>2</v>
      </c>
      <c r="F46" s="28">
        <f ca="1">INDEX(INDIRECT(zoneFichierTraite),$J46+offsetInitialFichierTraite,8)</f>
        <v>13.33</v>
      </c>
      <c r="G46" s="29">
        <f t="shared" ref="G46" ca="1" si="127">ROUNDUP(F46*3,0)</f>
        <v>40</v>
      </c>
      <c r="H46" s="31" t="str">
        <f ca="1">IF(ISNUMBER(N46),codeEAN13(INT(N46/10)),"")</f>
        <v>8APASOG*aijhfe+</v>
      </c>
      <c r="I46" s="1" t="b">
        <f t="shared" ref="I46" ca="1" si="128">AND(A49&lt;&gt;0,A47=A49)</f>
        <v>0</v>
      </c>
      <c r="J46" s="15">
        <f t="shared" si="2"/>
        <v>19</v>
      </c>
      <c r="K46" s="1">
        <f t="shared" ref="K46" ca="1" si="129">A47</f>
        <v>212</v>
      </c>
      <c r="L46" s="5" t="str">
        <f ca="1">INDEX(INDIRECT(zoneFichierTraite),$J46+offsetInitialFichierTraite,1)</f>
        <v>'019</v>
      </c>
      <c r="M46" s="11">
        <f ca="1">INDEX(INDIRECT(zoneFichierTraite),$J46+offsetInitialFichierTraite,9)</f>
        <v>26.66</v>
      </c>
      <c r="N46" s="14">
        <f ca="1">INDEX(INDIRECT(zoneFichierTraite),$J46+offsetInitialFichierTraite,3)</f>
        <v>8050846089754</v>
      </c>
      <c r="O46" s="14"/>
      <c r="P46" s="56">
        <f ca="1">MATCH(N46,INDIRECT(nomFichierEAN13Valmag &amp; "!A:A"),0)</f>
        <v>662</v>
      </c>
      <c r="R46" s="50" t="str">
        <f ca="1">LEFT(B46,14)</f>
        <v>HLESLL01-ECS00</v>
      </c>
      <c r="S46" s="52">
        <f ca="1">MATCH($R46,INDIRECT(nomFichierEAN13ValmagUniq &amp; "!A:A"),0)</f>
        <v>56</v>
      </c>
      <c r="T46" s="49" t="str">
        <f ca="1">IFERROR(INDEX(INDIRECT(zoneFichierEAN13ValmagUniq),S46,2),"")</f>
        <v xml:space="preserve"> </v>
      </c>
      <c r="U46" s="52" t="e">
        <f ca="1">MATCH($R46,INDIRECT(nomFichierEAN13ValmagUniq &amp; "!A" &amp; (S46+1) &amp; ":A" &amp;  (S46+10)),0)</f>
        <v>#N/A</v>
      </c>
      <c r="V46" s="51" t="e">
        <f t="shared" ref="V46" ca="1" si="130">U46+S46</f>
        <v>#N/A</v>
      </c>
      <c r="W46" s="49" t="str">
        <f ca="1">IFERROR(INDEX(INDIRECT(zoneFichierEAN13ValmagUniq),V46,2),"")</f>
        <v/>
      </c>
      <c r="X46" s="52" t="e">
        <f ca="1">MATCH($R46,INDIRECT(nomFichierEAN13ValmagUniq &amp; "!A" &amp; (V46+1) &amp; ":A" &amp;  (V46+10)),0)</f>
        <v>#N/A</v>
      </c>
      <c r="Y46" s="51" t="e">
        <f t="shared" ref="Y46" ca="1" si="131">X46+V46</f>
        <v>#N/A</v>
      </c>
      <c r="Z46" s="49" t="str">
        <f ca="1">IFERROR(INDEX(INDIRECT(zoneFichierEAN13ValmagUniq),Y46,2),"")</f>
        <v/>
      </c>
      <c r="AA46" s="53" t="str">
        <f t="shared" ref="AA46" ca="1" si="132">T46 &amp; IF(W46="","", " | " &amp; W46) &amp; IF(Z46="","", " | " &amp;Z46)</f>
        <v xml:space="preserve"> </v>
      </c>
      <c r="AC46" s="55">
        <f ca="1">MATCH(B46,INDIRECT(nomFichierFiltreCatalogue &amp; "!B:B"),0)</f>
        <v>146</v>
      </c>
      <c r="AD46" s="14"/>
    </row>
    <row r="47" spans="1:30" s="20" customFormat="1" ht="15.75" customHeight="1" x14ac:dyDescent="0.25">
      <c r="A47" s="25">
        <f ca="1">INDEX(INDIRECT(zoneFichierTraite),$J46+offsetInitialFichierTraite,2)</f>
        <v>212</v>
      </c>
      <c r="B47" s="57" t="str">
        <f ca="1">IF(ISERROR($P46),msgRefValmagAcreer,IF(INDEX(INDIRECT(zoneFichierEAN13Valmag),$P46,3) = "",msgCodeValmagVide, INDEX(INDIRECT(zoneFichierEAN13Valmag),$P46,3)))</f>
        <v xml:space="preserve"> </v>
      </c>
      <c r="C47" s="54" t="str">
        <f t="shared" ref="C47" ca="1" si="133">AA46</f>
        <v xml:space="preserve"> </v>
      </c>
      <c r="D47" s="19" t="str">
        <f ca="1">IFERROR(INDEX(INDIRECT(zoneFichierEAN13Valmag),$P46,4),"")</f>
        <v xml:space="preserve"> </v>
      </c>
      <c r="E47" s="58" t="str">
        <f ca="1">IFERROR(INDEX(INDIRECT(zoneFichierFiltreCatalogue),AC46,3),"")</f>
        <v>p030-1-02</v>
      </c>
      <c r="F47" s="19"/>
      <c r="G47" s="18"/>
      <c r="H47" s="32" t="str">
        <f ca="1">IFERROR(INDEX(INDIRECT(zoneFichierFiltreCatalogue),AC46,6),"")</f>
        <v>fall 2019 presentation_/catalogo fall 19.txt</v>
      </c>
      <c r="S47" s="1"/>
      <c r="T47" s="21"/>
      <c r="U47" s="21"/>
      <c r="V47" s="21"/>
      <c r="W47" s="21"/>
      <c r="X47" s="21"/>
      <c r="Y47" s="21"/>
      <c r="Z47" s="21"/>
      <c r="AA47" s="21"/>
      <c r="AB47" s="21"/>
      <c r="AC47" s="21"/>
    </row>
    <row r="48" spans="1:30" ht="39" customHeight="1" thickBot="1" x14ac:dyDescent="0.65">
      <c r="A48" s="9" t="str">
        <f ca="1">INDEX(INDIRECT(zoneFichierTraite),$J48+offsetInitialFichierTraite,6)</f>
        <v>UNICA</v>
      </c>
      <c r="B48" s="5" t="str">
        <f ca="1">INDEX(INDIRECT(zoneFichierTraite),$J48+offsetInitialFichierTraite,4)</f>
        <v>HLESLL01-ECS00-615</v>
      </c>
      <c r="C48" s="26" t="str">
        <f ca="1">INDEX(INDIRECT(zoneFichierTraite),$J48+offsetInitialFichierTraite,5)</f>
        <v>ANSES LONGUES LINEAR AVEC BOUCLE EN FAUX CUIR</v>
      </c>
      <c r="D48" s="27" t="str">
        <f ca="1">INDEX(INDIRECT(zoneFichierTraite),$J48+offsetInitialFichierTraite,13)</f>
        <v>military</v>
      </c>
      <c r="E48" s="30">
        <f ca="1">INDEX(INDIRECT(zoneFichierTraite),$J48+offsetInitialFichierTraite,7)</f>
        <v>2</v>
      </c>
      <c r="F48" s="28">
        <f ca="1">INDEX(INDIRECT(zoneFichierTraite),$J48+offsetInitialFichierTraite,8)</f>
        <v>13.33</v>
      </c>
      <c r="G48" s="29">
        <f t="shared" ref="G48" ca="1" si="134">ROUNDUP(F48*3,0)</f>
        <v>40</v>
      </c>
      <c r="H48" s="31" t="str">
        <f ca="1">IF(ISNUMBER(N48),codeEAN13(INT(N48/10)),"")</f>
        <v>8APASOG*aijheh+</v>
      </c>
      <c r="I48" s="1" t="b">
        <f t="shared" ref="I48" ca="1" si="135">AND(A51&lt;&gt;0,A49=A51)</f>
        <v>0</v>
      </c>
      <c r="J48" s="15">
        <f t="shared" si="2"/>
        <v>20</v>
      </c>
      <c r="K48" s="1">
        <f t="shared" ref="K48" ca="1" si="136">A49</f>
        <v>213</v>
      </c>
      <c r="L48" s="5" t="str">
        <f ca="1">INDEX(INDIRECT(zoneFichierTraite),$J48+offsetInitialFichierTraite,1)</f>
        <v>'020</v>
      </c>
      <c r="M48" s="11">
        <f ca="1">INDEX(INDIRECT(zoneFichierTraite),$J48+offsetInitialFichierTraite,9)</f>
        <v>26.66</v>
      </c>
      <c r="N48" s="14">
        <f ca="1">INDEX(INDIRECT(zoneFichierTraite),$J48+offsetInitialFichierTraite,3)</f>
        <v>8050846089747</v>
      </c>
      <c r="O48" s="14"/>
      <c r="P48" s="56">
        <f ca="1">MATCH(N48,INDIRECT(nomFichierEAN13Valmag &amp; "!A:A"),0)</f>
        <v>661</v>
      </c>
      <c r="R48" s="50" t="str">
        <f ca="1">LEFT(B48,14)</f>
        <v>HLESLL01-ECS00</v>
      </c>
      <c r="S48" s="52">
        <f ca="1">MATCH($R48,INDIRECT(nomFichierEAN13ValmagUniq &amp; "!A:A"),0)</f>
        <v>56</v>
      </c>
      <c r="T48" s="49" t="str">
        <f ca="1">IFERROR(INDEX(INDIRECT(zoneFichierEAN13ValmagUniq),S48,2),"")</f>
        <v xml:space="preserve"> </v>
      </c>
      <c r="U48" s="52" t="e">
        <f ca="1">MATCH($R48,INDIRECT(nomFichierEAN13ValmagUniq &amp; "!A" &amp; (S48+1) &amp; ":A" &amp;  (S48+10)),0)</f>
        <v>#N/A</v>
      </c>
      <c r="V48" s="51" t="e">
        <f t="shared" ref="V48" ca="1" si="137">U48+S48</f>
        <v>#N/A</v>
      </c>
      <c r="W48" s="49" t="str">
        <f ca="1">IFERROR(INDEX(INDIRECT(zoneFichierEAN13ValmagUniq),V48,2),"")</f>
        <v/>
      </c>
      <c r="X48" s="52" t="e">
        <f ca="1">MATCH($R48,INDIRECT(nomFichierEAN13ValmagUniq &amp; "!A" &amp; (V48+1) &amp; ":A" &amp;  (V48+10)),0)</f>
        <v>#N/A</v>
      </c>
      <c r="Y48" s="51" t="e">
        <f t="shared" ref="Y48" ca="1" si="138">X48+V48</f>
        <v>#N/A</v>
      </c>
      <c r="Z48" s="49" t="str">
        <f ca="1">IFERROR(INDEX(INDIRECT(zoneFichierEAN13ValmagUniq),Y48,2),"")</f>
        <v/>
      </c>
      <c r="AA48" s="53" t="str">
        <f t="shared" ref="AA48" ca="1" si="139">T48 &amp; IF(W48="","", " | " &amp; W48) &amp; IF(Z48="","", " | " &amp;Z48)</f>
        <v xml:space="preserve"> </v>
      </c>
      <c r="AC48" s="55">
        <f ca="1">MATCH(B48,INDIRECT(nomFichierFiltreCatalogue &amp; "!B:B"),0)</f>
        <v>147</v>
      </c>
      <c r="AD48" s="14"/>
    </row>
    <row r="49" spans="1:30" s="20" customFormat="1" ht="15.75" customHeight="1" x14ac:dyDescent="0.25">
      <c r="A49" s="25">
        <f ca="1">INDEX(INDIRECT(zoneFichierTraite),$J48+offsetInitialFichierTraite,2)</f>
        <v>213</v>
      </c>
      <c r="B49" s="57" t="str">
        <f ca="1">IF(ISERROR($P48),msgRefValmagAcreer,IF(INDEX(INDIRECT(zoneFichierEAN13Valmag),$P48,3) = "",msgCodeValmagVide, INDEX(INDIRECT(zoneFichierEAN13Valmag),$P48,3)))</f>
        <v xml:space="preserve"> </v>
      </c>
      <c r="C49" s="54" t="str">
        <f t="shared" ref="C49" ca="1" si="140">AA48</f>
        <v xml:space="preserve"> </v>
      </c>
      <c r="D49" s="19" t="str">
        <f ca="1">IFERROR(INDEX(INDIRECT(zoneFichierEAN13Valmag),$P48,4),"")</f>
        <v xml:space="preserve"> </v>
      </c>
      <c r="E49" s="58" t="str">
        <f ca="1">IFERROR(INDEX(INDIRECT(zoneFichierFiltreCatalogue),AC48,3),"")</f>
        <v>p030-1-03</v>
      </c>
      <c r="F49" s="19"/>
      <c r="G49" s="18"/>
      <c r="H49" s="32" t="str">
        <f ca="1">IFERROR(INDEX(INDIRECT(zoneFichierFiltreCatalogue),AC48,6),"")</f>
        <v>fall 2019 presentation_/catalogo fall 19.txt</v>
      </c>
      <c r="S49" s="1"/>
      <c r="T49" s="21"/>
      <c r="U49" s="21"/>
      <c r="V49" s="21"/>
      <c r="W49" s="21"/>
      <c r="X49" s="21"/>
      <c r="Y49" s="21"/>
      <c r="Z49" s="21"/>
      <c r="AA49" s="21"/>
      <c r="AB49" s="21"/>
      <c r="AC49" s="21"/>
    </row>
    <row r="50" spans="1:30" ht="39" customHeight="1" thickBot="1" x14ac:dyDescent="0.65">
      <c r="A50" s="9" t="str">
        <f ca="1">INDEX(INDIRECT(zoneFichierTraite),$J50+offsetInitialFichierTraite,6)</f>
        <v>UNICA</v>
      </c>
      <c r="B50" s="5" t="str">
        <f ca="1">INDEX(INDIRECT(zoneFichierTraite),$J50+offsetInitialFichierTraite,4)</f>
        <v>HLESMD00-ECS46-017</v>
      </c>
      <c r="C50" s="26" t="str">
        <f ca="1">INDEX(INDIRECT(zoneFichierTraite),$J50+offsetInitialFichierTraite,5)</f>
        <v>MICRO-ANSES TUBULAIRES COURTES EN FAUX CUIR LISSE</v>
      </c>
      <c r="D50" s="27" t="str">
        <f ca="1">INDEX(INDIRECT(zoneFichierTraite),$J50+offsetInitialFichierTraite,13)</f>
        <v>blu navy</v>
      </c>
      <c r="E50" s="30">
        <f ca="1">INDEX(INDIRECT(zoneFichierTraite),$J50+offsetInitialFichierTraite,7)</f>
        <v>3</v>
      </c>
      <c r="F50" s="28">
        <f ca="1">INDEX(INDIRECT(zoneFichierTraite),$J50+offsetInitialFichierTraite,8)</f>
        <v>12.66</v>
      </c>
      <c r="G50" s="29">
        <f t="shared" ref="G50" ca="1" si="141">ROUNDUP(F50*3,0)</f>
        <v>38</v>
      </c>
      <c r="H50" s="31" t="str">
        <f ca="1">IF(ISNUMBER(N50),codeEAN13(INT(N50/10)),"")</f>
        <v>8APASOG*aaefhd+</v>
      </c>
      <c r="I50" s="1" t="b">
        <f t="shared" ref="I50" ca="1" si="142">AND(A53&lt;&gt;0,A51=A53)</f>
        <v>0</v>
      </c>
      <c r="J50" s="15">
        <f t="shared" si="2"/>
        <v>21</v>
      </c>
      <c r="K50" s="1">
        <f t="shared" ref="K50" ca="1" si="143">A51</f>
        <v>188</v>
      </c>
      <c r="L50" s="5" t="str">
        <f ca="1">INDEX(INDIRECT(zoneFichierTraite),$J50+offsetInitialFichierTraite,1)</f>
        <v>'021</v>
      </c>
      <c r="M50" s="11">
        <f ca="1">INDEX(INDIRECT(zoneFichierTraite),$J50+offsetInitialFichierTraite,9)</f>
        <v>37.979999999999997</v>
      </c>
      <c r="N50" s="14">
        <f ca="1">INDEX(INDIRECT(zoneFichierTraite),$J50+offsetInitialFichierTraite,3)</f>
        <v>8050846004573</v>
      </c>
      <c r="O50" s="14"/>
      <c r="P50" s="56">
        <f ca="1">MATCH(N50,INDIRECT(nomFichierEAN13Valmag &amp; "!A:A"),0)</f>
        <v>84</v>
      </c>
      <c r="R50" s="50" t="str">
        <f ca="1">LEFT(B50,14)</f>
        <v>HLESMD00-ECS46</v>
      </c>
      <c r="S50" s="52">
        <f ca="1">MATCH($R50,INDIRECT(nomFichierEAN13ValmagUniq &amp; "!A:A"),0)</f>
        <v>60</v>
      </c>
      <c r="T50" s="49" t="str">
        <f ca="1">IFERROR(INDEX(INDIRECT(zoneFichierEAN13ValmagUniq),S50,2),"")</f>
        <v xml:space="preserve">ANSES/MICROTUB  </v>
      </c>
      <c r="U50" s="52" t="e">
        <f ca="1">MATCH($R50,INDIRECT(nomFichierEAN13ValmagUniq &amp; "!A" &amp; (S50+1) &amp; ":A" &amp;  (S50+10)),0)</f>
        <v>#N/A</v>
      </c>
      <c r="V50" s="51" t="e">
        <f t="shared" ref="V50" ca="1" si="144">U50+S50</f>
        <v>#N/A</v>
      </c>
      <c r="W50" s="49" t="str">
        <f ca="1">IFERROR(INDEX(INDIRECT(zoneFichierEAN13ValmagUniq),V50,2),"")</f>
        <v/>
      </c>
      <c r="X50" s="52" t="e">
        <f ca="1">MATCH($R50,INDIRECT(nomFichierEAN13ValmagUniq &amp; "!A" &amp; (V50+1) &amp; ":A" &amp;  (V50+10)),0)</f>
        <v>#N/A</v>
      </c>
      <c r="Y50" s="51" t="e">
        <f t="shared" ref="Y50" ca="1" si="145">X50+V50</f>
        <v>#N/A</v>
      </c>
      <c r="Z50" s="49" t="str">
        <f ca="1">IFERROR(INDEX(INDIRECT(zoneFichierEAN13ValmagUniq),Y50,2),"")</f>
        <v/>
      </c>
      <c r="AA50" s="53" t="str">
        <f t="shared" ref="AA50" ca="1" si="146">T50 &amp; IF(W50="","", " | " &amp; W50) &amp; IF(Z50="","", " | " &amp;Z50)</f>
        <v xml:space="preserve">ANSES/MICROTUB  </v>
      </c>
      <c r="AC50" s="55">
        <f ca="1">MATCH(B50,INDIRECT(nomFichierFiltreCatalogue &amp; "!B:B"),0)</f>
        <v>184</v>
      </c>
      <c r="AD50" s="14"/>
    </row>
    <row r="51" spans="1:30" s="20" customFormat="1" ht="15.75" customHeight="1" x14ac:dyDescent="0.25">
      <c r="A51" s="25">
        <f ca="1">INDEX(INDIRECT(zoneFichierTraite),$J50+offsetInitialFichierTraite,2)</f>
        <v>188</v>
      </c>
      <c r="B51" s="57" t="str">
        <f ca="1">IF(ISERROR($P50),msgRefValmagAcreer,IF(INDEX(INDIRECT(zoneFichierEAN13Valmag),$P50,3) = "",msgCodeValmagVide, INDEX(INDIRECT(zoneFichierEAN13Valmag),$P50,3)))</f>
        <v xml:space="preserve">ANSES/MICROTUB  </v>
      </c>
      <c r="C51" s="54" t="str">
        <f t="shared" ref="C51" ca="1" si="147">AA50</f>
        <v xml:space="preserve">ANSES/MICROTUB  </v>
      </c>
      <c r="D51" s="19" t="str">
        <f ca="1">IFERROR(INDEX(INDIRECT(zoneFichierEAN13Valmag),$P50,4),"")</f>
        <v xml:space="preserve">NAVY </v>
      </c>
      <c r="E51" s="58" t="str">
        <f ca="1">IFERROR(INDEX(INDIRECT(zoneFichierFiltreCatalogue),AC50,3),"")</f>
        <v>p036-1-01</v>
      </c>
      <c r="F51" s="19"/>
      <c r="G51" s="18"/>
      <c r="H51" s="32" t="str">
        <f ca="1">IFERROR(INDEX(INDIRECT(zoneFichierFiltreCatalogue),AC50,6),"")</f>
        <v>fall 2019 presentation_/catalogo fall 19.txt</v>
      </c>
      <c r="S51" s="1"/>
      <c r="T51" s="21"/>
      <c r="U51" s="21"/>
      <c r="V51" s="21"/>
      <c r="W51" s="21"/>
      <c r="X51" s="21"/>
      <c r="Y51" s="21"/>
      <c r="Z51" s="21"/>
      <c r="AA51" s="21"/>
      <c r="AB51" s="21"/>
      <c r="AC51" s="21"/>
    </row>
    <row r="52" spans="1:30" ht="39" customHeight="1" thickBot="1" x14ac:dyDescent="0.65">
      <c r="A52" s="9" t="str">
        <f ca="1">INDEX(INDIRECT(zoneFichierTraite),$J52+offsetInitialFichierTraite,6)</f>
        <v>UNICA</v>
      </c>
      <c r="B52" s="5" t="str">
        <f ca="1">INDEX(INDIRECT(zoneFichierTraite),$J52+offsetInitialFichierTraite,4)</f>
        <v>HLESMD00-ECS46-055</v>
      </c>
      <c r="C52" s="26" t="str">
        <f ca="1">INDEX(INDIRECT(zoneFichierTraite),$J52+offsetInitialFichierTraite,5)</f>
        <v>MICRO-ANSES TUBULAIRES COURTES EN FAUX CUIR LISSE</v>
      </c>
      <c r="D52" s="27" t="str">
        <f ca="1">INDEX(INDIRECT(zoneFichierTraite),$J52+offsetInitialFichierTraite,13)</f>
        <v>nero</v>
      </c>
      <c r="E52" s="30">
        <f ca="1">INDEX(INDIRECT(zoneFichierTraite),$J52+offsetInitialFichierTraite,7)</f>
        <v>6</v>
      </c>
      <c r="F52" s="28">
        <f ca="1">INDEX(INDIRECT(zoneFichierTraite),$J52+offsetInitialFichierTraite,8)</f>
        <v>12.66</v>
      </c>
      <c r="G52" s="29">
        <f t="shared" ref="G52" ca="1" si="148">ROUNDUP(F52*3,0)</f>
        <v>38</v>
      </c>
      <c r="H52" s="31" t="str">
        <f ca="1">IF(ISNUMBER(N52),codeEAN13(INT(N52/10)),"")</f>
        <v>8APASOG*abbbfb+</v>
      </c>
      <c r="I52" s="1" t="b">
        <f t="shared" ref="I52" ca="1" si="149">AND(A55&lt;&gt;0,A53=A55)</f>
        <v>0</v>
      </c>
      <c r="J52" s="15">
        <f t="shared" si="2"/>
        <v>22</v>
      </c>
      <c r="K52" s="1">
        <f t="shared" ref="K52" ca="1" si="150">A53</f>
        <v>40</v>
      </c>
      <c r="L52" s="5" t="str">
        <f ca="1">INDEX(INDIRECT(zoneFichierTraite),$J52+offsetInitialFichierTraite,1)</f>
        <v>'022</v>
      </c>
      <c r="M52" s="11">
        <f ca="1">INDEX(INDIRECT(zoneFichierTraite),$J52+offsetInitialFichierTraite,9)</f>
        <v>75.959999999999994</v>
      </c>
      <c r="N52" s="14">
        <f ca="1">INDEX(INDIRECT(zoneFichierTraite),$J52+offsetInitialFichierTraite,3)</f>
        <v>8050846011151</v>
      </c>
      <c r="O52" s="14"/>
      <c r="P52" s="56">
        <f ca="1">MATCH(N52,INDIRECT(nomFichierEAN13Valmag &amp; "!A:A"),0)</f>
        <v>120</v>
      </c>
      <c r="R52" s="50" t="str">
        <f ca="1">LEFT(B52,14)</f>
        <v>HLESMD00-ECS46</v>
      </c>
      <c r="S52" s="52">
        <f ca="1">MATCH($R52,INDIRECT(nomFichierEAN13ValmagUniq &amp; "!A:A"),0)</f>
        <v>60</v>
      </c>
      <c r="T52" s="49" t="str">
        <f ca="1">IFERROR(INDEX(INDIRECT(zoneFichierEAN13ValmagUniq),S52,2),"")</f>
        <v xml:space="preserve">ANSES/MICROTUB  </v>
      </c>
      <c r="U52" s="52" t="e">
        <f ca="1">MATCH($R52,INDIRECT(nomFichierEAN13ValmagUniq &amp; "!A" &amp; (S52+1) &amp; ":A" &amp;  (S52+10)),0)</f>
        <v>#N/A</v>
      </c>
      <c r="V52" s="51" t="e">
        <f t="shared" ref="V52" ca="1" si="151">U52+S52</f>
        <v>#N/A</v>
      </c>
      <c r="W52" s="49" t="str">
        <f ca="1">IFERROR(INDEX(INDIRECT(zoneFichierEAN13ValmagUniq),V52,2),"")</f>
        <v/>
      </c>
      <c r="X52" s="52" t="e">
        <f ca="1">MATCH($R52,INDIRECT(nomFichierEAN13ValmagUniq &amp; "!A" &amp; (V52+1) &amp; ":A" &amp;  (V52+10)),0)</f>
        <v>#N/A</v>
      </c>
      <c r="Y52" s="51" t="e">
        <f t="shared" ref="Y52" ca="1" si="152">X52+V52</f>
        <v>#N/A</v>
      </c>
      <c r="Z52" s="49" t="str">
        <f ca="1">IFERROR(INDEX(INDIRECT(zoneFichierEAN13ValmagUniq),Y52,2),"")</f>
        <v/>
      </c>
      <c r="AA52" s="53" t="str">
        <f t="shared" ref="AA52" ca="1" si="153">T52 &amp; IF(W52="","", " | " &amp; W52) &amp; IF(Z52="","", " | " &amp;Z52)</f>
        <v xml:space="preserve">ANSES/MICROTUB  </v>
      </c>
      <c r="AC52" s="55">
        <f ca="1">MATCH(B52,INDIRECT(nomFichierFiltreCatalogue &amp; "!B:B"),0)</f>
        <v>186</v>
      </c>
      <c r="AD52" s="14"/>
    </row>
    <row r="53" spans="1:30" s="20" customFormat="1" ht="15.75" customHeight="1" x14ac:dyDescent="0.25">
      <c r="A53" s="25">
        <f ca="1">INDEX(INDIRECT(zoneFichierTraite),$J52+offsetInitialFichierTraite,2)</f>
        <v>40</v>
      </c>
      <c r="B53" s="57" t="str">
        <f ca="1">IF(ISERROR($P52),msgRefValmagAcreer,IF(INDEX(INDIRECT(zoneFichierEAN13Valmag),$P52,3) = "",msgCodeValmagVide, INDEX(INDIRECT(zoneFichierEAN13Valmag),$P52,3)))</f>
        <v xml:space="preserve">ANSES/MICROTUB  </v>
      </c>
      <c r="C53" s="54" t="str">
        <f t="shared" ref="C53" ca="1" si="154">AA52</f>
        <v xml:space="preserve">ANSES/MICROTUB  </v>
      </c>
      <c r="D53" s="19" t="str">
        <f ca="1">IFERROR(INDEX(INDIRECT(zoneFichierEAN13Valmag),$P52,4),"")</f>
        <v>BLACK</v>
      </c>
      <c r="E53" s="58" t="str">
        <f ca="1">IFERROR(INDEX(INDIRECT(zoneFichierFiltreCatalogue),AC52,3),"")</f>
        <v>p036-1-03</v>
      </c>
      <c r="F53" s="19"/>
      <c r="G53" s="18"/>
      <c r="H53" s="32" t="str">
        <f ca="1">IFERROR(INDEX(INDIRECT(zoneFichierFiltreCatalogue),AC52,6),"")</f>
        <v>fall 2019 presentation_/catalogo fall 19.txt</v>
      </c>
      <c r="S53" s="1"/>
      <c r="T53" s="21"/>
      <c r="U53" s="21"/>
      <c r="V53" s="21"/>
      <c r="W53" s="21"/>
      <c r="X53" s="21"/>
      <c r="Y53" s="21"/>
      <c r="Z53" s="21"/>
      <c r="AA53" s="21"/>
      <c r="AB53" s="21"/>
      <c r="AC53" s="21"/>
    </row>
    <row r="54" spans="1:30" ht="39" customHeight="1" thickBot="1" x14ac:dyDescent="0.65">
      <c r="A54" s="9" t="str">
        <f ca="1">INDEX(INDIRECT(zoneFichierTraite),$J54+offsetInitialFichierTraite,6)</f>
        <v>UNICA</v>
      </c>
      <c r="B54" s="5" t="str">
        <f ca="1">INDEX(INDIRECT(zoneFichierTraite),$J54+offsetInitialFichierTraite,4)</f>
        <v>HLESMD00-ECS46-221</v>
      </c>
      <c r="C54" s="26" t="str">
        <f ca="1">INDEX(INDIRECT(zoneFichierTraite),$J54+offsetInitialFichierTraite,5)</f>
        <v>MICRO-ANSES TUBULAIRES COURTES EN FAUX CUIR LISSE</v>
      </c>
      <c r="D54" s="27" t="str">
        <f ca="1">INDEX(INDIRECT(zoneFichierTraite),$J54+offsetInitialFichierTraite,13)</f>
        <v>cognac</v>
      </c>
      <c r="E54" s="30">
        <f ca="1">INDEX(INDIRECT(zoneFichierTraite),$J54+offsetInitialFichierTraite,7)</f>
        <v>3</v>
      </c>
      <c r="F54" s="28">
        <f ca="1">INDEX(INDIRECT(zoneFichierTraite),$J54+offsetInitialFichierTraite,8)</f>
        <v>12.66</v>
      </c>
      <c r="G54" s="29">
        <f t="shared" ref="G54" ca="1" si="155">ROUNDUP(F54*3,0)</f>
        <v>38</v>
      </c>
      <c r="H54" s="31" t="str">
        <f ca="1">IF(ISNUMBER(N54),codeEAN13(INT(N54/10)),"")</f>
        <v>8APASOG*abjjdf+</v>
      </c>
      <c r="I54" s="1" t="b">
        <f t="shared" ref="I54" ca="1" si="156">AND(A57&lt;&gt;0,A55=A57)</f>
        <v>0</v>
      </c>
      <c r="J54" s="15">
        <f t="shared" si="2"/>
        <v>23</v>
      </c>
      <c r="K54" s="1">
        <f t="shared" ref="K54" ca="1" si="157">A55</f>
        <v>63</v>
      </c>
      <c r="L54" s="5" t="str">
        <f ca="1">INDEX(INDIRECT(zoneFichierTraite),$J54+offsetInitialFichierTraite,1)</f>
        <v>'023</v>
      </c>
      <c r="M54" s="11">
        <f ca="1">INDEX(INDIRECT(zoneFichierTraite),$J54+offsetInitialFichierTraite,9)</f>
        <v>37.979999999999997</v>
      </c>
      <c r="N54" s="14">
        <f ca="1">INDEX(INDIRECT(zoneFichierTraite),$J54+offsetInitialFichierTraite,3)</f>
        <v>8050846019935</v>
      </c>
      <c r="O54" s="14"/>
      <c r="P54" s="56">
        <f ca="1">MATCH(N54,INDIRECT(nomFichierEAN13Valmag &amp; "!A:A"),0)</f>
        <v>155</v>
      </c>
      <c r="R54" s="50" t="str">
        <f ca="1">LEFT(B54,14)</f>
        <v>HLESMD00-ECS46</v>
      </c>
      <c r="S54" s="52">
        <f ca="1">MATCH($R54,INDIRECT(nomFichierEAN13ValmagUniq &amp; "!A:A"),0)</f>
        <v>60</v>
      </c>
      <c r="T54" s="49" t="str">
        <f ca="1">IFERROR(INDEX(INDIRECT(zoneFichierEAN13ValmagUniq),S54,2),"")</f>
        <v xml:space="preserve">ANSES/MICROTUB  </v>
      </c>
      <c r="U54" s="52" t="e">
        <f ca="1">MATCH($R54,INDIRECT(nomFichierEAN13ValmagUniq &amp; "!A" &amp; (S54+1) &amp; ":A" &amp;  (S54+10)),0)</f>
        <v>#N/A</v>
      </c>
      <c r="V54" s="51" t="e">
        <f t="shared" ref="V54" ca="1" si="158">U54+S54</f>
        <v>#N/A</v>
      </c>
      <c r="W54" s="49" t="str">
        <f ca="1">IFERROR(INDEX(INDIRECT(zoneFichierEAN13ValmagUniq),V54,2),"")</f>
        <v/>
      </c>
      <c r="X54" s="52" t="e">
        <f ca="1">MATCH($R54,INDIRECT(nomFichierEAN13ValmagUniq &amp; "!A" &amp; (V54+1) &amp; ":A" &amp;  (V54+10)),0)</f>
        <v>#N/A</v>
      </c>
      <c r="Y54" s="51" t="e">
        <f t="shared" ref="Y54" ca="1" si="159">X54+V54</f>
        <v>#N/A</v>
      </c>
      <c r="Z54" s="49" t="str">
        <f ca="1">IFERROR(INDEX(INDIRECT(zoneFichierEAN13ValmagUniq),Y54,2),"")</f>
        <v/>
      </c>
      <c r="AA54" s="53" t="str">
        <f t="shared" ref="AA54" ca="1" si="160">T54 &amp; IF(W54="","", " | " &amp; W54) &amp; IF(Z54="","", " | " &amp;Z54)</f>
        <v xml:space="preserve">ANSES/MICROTUB  </v>
      </c>
      <c r="AC54" s="55">
        <f ca="1">MATCH(B54,INDIRECT(nomFichierFiltreCatalogue &amp; "!B:B"),0)</f>
        <v>185</v>
      </c>
      <c r="AD54" s="14"/>
    </row>
    <row r="55" spans="1:30" s="20" customFormat="1" ht="15.75" customHeight="1" x14ac:dyDescent="0.25">
      <c r="A55" s="25">
        <f ca="1">INDEX(INDIRECT(zoneFichierTraite),$J54+offsetInitialFichierTraite,2)</f>
        <v>63</v>
      </c>
      <c r="B55" s="57" t="str">
        <f ca="1">IF(ISERROR($P54),msgRefValmagAcreer,IF(INDEX(INDIRECT(zoneFichierEAN13Valmag),$P54,3) = "",msgCodeValmagVide, INDEX(INDIRECT(zoneFichierEAN13Valmag),$P54,3)))</f>
        <v xml:space="preserve">ANSES/MICROTUB  </v>
      </c>
      <c r="C55" s="54" t="str">
        <f t="shared" ref="C55" ca="1" si="161">AA54</f>
        <v xml:space="preserve">ANSES/MICROTUB  </v>
      </c>
      <c r="D55" s="19" t="str">
        <f ca="1">IFERROR(INDEX(INDIRECT(zoneFichierEAN13Valmag),$P54,4),"")</f>
        <v>COGNA</v>
      </c>
      <c r="E55" s="58" t="str">
        <f ca="1">IFERROR(INDEX(INDIRECT(zoneFichierFiltreCatalogue),AC54,3),"")</f>
        <v>p036-1-02</v>
      </c>
      <c r="F55" s="19"/>
      <c r="G55" s="18"/>
      <c r="H55" s="32" t="str">
        <f ca="1">IFERROR(INDEX(INDIRECT(zoneFichierFiltreCatalogue),AC54,6),"")</f>
        <v>fall 2019 presentation_/catalogo fall 19.txt</v>
      </c>
      <c r="S55" s="1"/>
      <c r="T55" s="21"/>
      <c r="U55" s="21"/>
      <c r="V55" s="21"/>
      <c r="W55" s="21"/>
      <c r="X55" s="21"/>
      <c r="Y55" s="21"/>
      <c r="Z55" s="21"/>
      <c r="AA55" s="21"/>
      <c r="AB55" s="21"/>
      <c r="AC55" s="21"/>
    </row>
    <row r="56" spans="1:30" ht="39" customHeight="1" thickBot="1" x14ac:dyDescent="0.65">
      <c r="A56" s="9" t="str">
        <f ca="1">INDEX(INDIRECT(zoneFichierTraite),$J56+offsetInitialFichierTraite,6)</f>
        <v>UNICA</v>
      </c>
      <c r="B56" s="5" t="str">
        <f ca="1">INDEX(INDIRECT(zoneFichierTraite),$J56+offsetInitialFichierTraite,4)</f>
        <v>HLESXF00-ECS03-017</v>
      </c>
      <c r="C56" s="26" t="str">
        <f ca="1">INDEX(INDIRECT(zoneFichierTraite),$J56+offsetInitialFichierTraite,5)</f>
        <v>ANSES LONGUES EXTRA SLIM GOUTTE AVEC DEMI-ANNEAU EN FAUX CUIR SUÃˆDE</v>
      </c>
      <c r="D56" s="27" t="str">
        <f ca="1">INDEX(INDIRECT(zoneFichierTraite),$J56+offsetInitialFichierTraite,13)</f>
        <v>blu navy</v>
      </c>
      <c r="E56" s="30">
        <f ca="1">INDEX(INDIRECT(zoneFichierTraite),$J56+offsetInitialFichierTraite,7)</f>
        <v>3</v>
      </c>
      <c r="F56" s="28">
        <f ca="1">INDEX(INDIRECT(zoneFichierTraite),$J56+offsetInitialFichierTraite,8)</f>
        <v>14.52</v>
      </c>
      <c r="G56" s="29">
        <f t="shared" ref="G56" ca="1" si="162">ROUNDUP(F56*3,0)</f>
        <v>44</v>
      </c>
      <c r="H56" s="31" t="str">
        <f ca="1">IF(ISNUMBER(N56),codeEAN13(INT(N56/10)),"")</f>
        <v>8APASOG*addbjb+</v>
      </c>
      <c r="I56" s="1" t="b">
        <f t="shared" ref="I56" ca="1" si="163">AND(A59&lt;&gt;0,A57=A59)</f>
        <v>0</v>
      </c>
      <c r="J56" s="15">
        <f t="shared" si="2"/>
        <v>24</v>
      </c>
      <c r="K56" s="1">
        <f t="shared" ref="K56" ca="1" si="164">A57</f>
        <v>104</v>
      </c>
      <c r="L56" s="5" t="str">
        <f ca="1">INDEX(INDIRECT(zoneFichierTraite),$J56+offsetInitialFichierTraite,1)</f>
        <v>'024</v>
      </c>
      <c r="M56" s="11">
        <f ca="1">INDEX(INDIRECT(zoneFichierTraite),$J56+offsetInitialFichierTraite,9)</f>
        <v>43.56</v>
      </c>
      <c r="N56" s="14">
        <f ca="1">INDEX(INDIRECT(zoneFichierTraite),$J56+offsetInitialFichierTraite,3)</f>
        <v>8050846033191</v>
      </c>
      <c r="O56" s="14"/>
      <c r="P56" s="56">
        <f ca="1">MATCH(N56,INDIRECT(nomFichierEAN13Valmag &amp; "!A:A"),0)</f>
        <v>180</v>
      </c>
      <c r="R56" s="50" t="str">
        <f ca="1">LEFT(B56,14)</f>
        <v>HLESXF00-ECS03</v>
      </c>
      <c r="S56" s="52">
        <f ca="1">MATCH($R56,INDIRECT(nomFichierEAN13ValmagUniq &amp; "!A:A"),0)</f>
        <v>69</v>
      </c>
      <c r="T56" s="49" t="str">
        <f ca="1">IFERROR(INDEX(INDIRECT(zoneFichierEAN13ValmagUniq),S56,2),"")</f>
        <v>ANSESLONGUESSUED</v>
      </c>
      <c r="U56" s="52" t="e">
        <f ca="1">MATCH($R56,INDIRECT(nomFichierEAN13ValmagUniq &amp; "!A" &amp; (S56+1) &amp; ":A" &amp;  (S56+10)),0)</f>
        <v>#N/A</v>
      </c>
      <c r="V56" s="51" t="e">
        <f t="shared" ref="V56" ca="1" si="165">U56+S56</f>
        <v>#N/A</v>
      </c>
      <c r="W56" s="49" t="str">
        <f ca="1">IFERROR(INDEX(INDIRECT(zoneFichierEAN13ValmagUniq),V56,2),"")</f>
        <v/>
      </c>
      <c r="X56" s="52" t="e">
        <f ca="1">MATCH($R56,INDIRECT(nomFichierEAN13ValmagUniq &amp; "!A" &amp; (V56+1) &amp; ":A" &amp;  (V56+10)),0)</f>
        <v>#N/A</v>
      </c>
      <c r="Y56" s="51" t="e">
        <f t="shared" ref="Y56" ca="1" si="166">X56+V56</f>
        <v>#N/A</v>
      </c>
      <c r="Z56" s="49" t="str">
        <f ca="1">IFERROR(INDEX(INDIRECT(zoneFichierEAN13ValmagUniq),Y56,2),"")</f>
        <v/>
      </c>
      <c r="AA56" s="53" t="str">
        <f t="shared" ref="AA56" ca="1" si="167">T56 &amp; IF(W56="","", " | " &amp; W56) &amp; IF(Z56="","", " | " &amp;Z56)</f>
        <v>ANSESLONGUESSUED</v>
      </c>
      <c r="AC56" s="55">
        <f ca="1">MATCH(B56,INDIRECT(nomFichierFiltreCatalogue &amp; "!B:B"),0)</f>
        <v>126</v>
      </c>
      <c r="AD56" s="14"/>
    </row>
    <row r="57" spans="1:30" s="20" customFormat="1" ht="15.75" customHeight="1" x14ac:dyDescent="0.25">
      <c r="A57" s="25">
        <f ca="1">INDEX(INDIRECT(zoneFichierTraite),$J56+offsetInitialFichierTraite,2)</f>
        <v>104</v>
      </c>
      <c r="B57" s="57" t="str">
        <f ca="1">IF(ISERROR($P56),msgRefValmagAcreer,IF(INDEX(INDIRECT(zoneFichierEAN13Valmag),$P56,3) = "",msgCodeValmagVide, INDEX(INDIRECT(zoneFichierEAN13Valmag),$P56,3)))</f>
        <v>ANSESLONGUESSUED</v>
      </c>
      <c r="C57" s="54" t="str">
        <f t="shared" ref="C57" ca="1" si="168">AA56</f>
        <v>ANSESLONGUESSUED</v>
      </c>
      <c r="D57" s="19" t="str">
        <f ca="1">IFERROR(INDEX(INDIRECT(zoneFichierEAN13Valmag),$P56,4),"")</f>
        <v xml:space="preserve">NAVY </v>
      </c>
      <c r="E57" s="58" t="str">
        <f ca="1">IFERROR(INDEX(INDIRECT(zoneFichierFiltreCatalogue),AC56,3),"")</f>
        <v>p026-2-01</v>
      </c>
      <c r="F57" s="19"/>
      <c r="G57" s="18"/>
      <c r="H57" s="32" t="str">
        <f ca="1">IFERROR(INDEX(INDIRECT(zoneFichierFiltreCatalogue),AC56,6),"")</f>
        <v>fall 2019 presentation_/catalogo fall 19.txt</v>
      </c>
      <c r="S57" s="1"/>
      <c r="T57" s="21"/>
      <c r="U57" s="21"/>
      <c r="V57" s="21"/>
      <c r="W57" s="21"/>
      <c r="X57" s="21"/>
      <c r="Y57" s="21"/>
      <c r="Z57" s="21"/>
      <c r="AA57" s="21"/>
      <c r="AB57" s="21"/>
      <c r="AC57" s="21"/>
    </row>
    <row r="58" spans="1:30" ht="39" customHeight="1" thickBot="1" x14ac:dyDescent="0.65">
      <c r="A58" s="9" t="str">
        <f ca="1">INDEX(INDIRECT(zoneFichierTraite),$J58+offsetInitialFichierTraite,6)</f>
        <v>UNICA</v>
      </c>
      <c r="B58" s="5" t="str">
        <f ca="1">INDEX(INDIRECT(zoneFichierTraite),$J58+offsetInitialFichierTraite,4)</f>
        <v>HLESXF00-ECS03-084</v>
      </c>
      <c r="C58" s="26" t="str">
        <f ca="1">INDEX(INDIRECT(zoneFichierTraite),$J58+offsetInitialFichierTraite,5)</f>
        <v>ANSES LONGUES EXTRA SLIM GOUTTE AVEC DEMI-ANNEAU EN FAUX CUIR SUÃˆDE</v>
      </c>
      <c r="D58" s="27" t="str">
        <f ca="1">INDEX(INDIRECT(zoneFichierTraite),$J58+offsetInitialFichierTraite,13)</f>
        <v>testa di moro</v>
      </c>
      <c r="E58" s="30">
        <f ca="1">INDEX(INDIRECT(zoneFichierTraite),$J58+offsetInitialFichierTraite,7)</f>
        <v>3</v>
      </c>
      <c r="F58" s="28">
        <f ca="1">INDEX(INDIRECT(zoneFichierTraite),$J58+offsetInitialFichierTraite,8)</f>
        <v>14.52</v>
      </c>
      <c r="G58" s="29">
        <f t="shared" ref="G58" ca="1" si="169">ROUNDUP(F58*3,0)</f>
        <v>44</v>
      </c>
      <c r="H58" s="31" t="str">
        <f ca="1">IF(ISNUMBER(N58),codeEAN13(INT(N58/10)),"")</f>
        <v>8APASOG*addcef+</v>
      </c>
      <c r="I58" s="1" t="b">
        <f t="shared" ref="I58" ca="1" si="170">AND(A61&lt;&gt;0,A59=A61)</f>
        <v>0</v>
      </c>
      <c r="J58" s="15">
        <f t="shared" si="2"/>
        <v>25</v>
      </c>
      <c r="K58" s="1">
        <f t="shared" ref="K58" ca="1" si="171">A59</f>
        <v>48</v>
      </c>
      <c r="L58" s="5" t="str">
        <f ca="1">INDEX(INDIRECT(zoneFichierTraite),$J58+offsetInitialFichierTraite,1)</f>
        <v>'025</v>
      </c>
      <c r="M58" s="11">
        <f ca="1">INDEX(INDIRECT(zoneFichierTraite),$J58+offsetInitialFichierTraite,9)</f>
        <v>43.56</v>
      </c>
      <c r="N58" s="14">
        <f ca="1">INDEX(INDIRECT(zoneFichierTraite),$J58+offsetInitialFichierTraite,3)</f>
        <v>8050846033245</v>
      </c>
      <c r="O58" s="14"/>
      <c r="P58" s="56">
        <f ca="1">MATCH(N58,INDIRECT(nomFichierEAN13Valmag &amp; "!A:A"),0)</f>
        <v>183</v>
      </c>
      <c r="R58" s="50" t="str">
        <f ca="1">LEFT(B58,14)</f>
        <v>HLESXF00-ECS03</v>
      </c>
      <c r="S58" s="52">
        <f ca="1">MATCH($R58,INDIRECT(nomFichierEAN13ValmagUniq &amp; "!A:A"),0)</f>
        <v>69</v>
      </c>
      <c r="T58" s="49" t="str">
        <f ca="1">IFERROR(INDEX(INDIRECT(zoneFichierEAN13ValmagUniq),S58,2),"")</f>
        <v>ANSESLONGUESSUED</v>
      </c>
      <c r="U58" s="52" t="e">
        <f ca="1">MATCH($R58,INDIRECT(nomFichierEAN13ValmagUniq &amp; "!A" &amp; (S58+1) &amp; ":A" &amp;  (S58+10)),0)</f>
        <v>#N/A</v>
      </c>
      <c r="V58" s="51" t="e">
        <f t="shared" ref="V58" ca="1" si="172">U58+S58</f>
        <v>#N/A</v>
      </c>
      <c r="W58" s="49" t="str">
        <f ca="1">IFERROR(INDEX(INDIRECT(zoneFichierEAN13ValmagUniq),V58,2),"")</f>
        <v/>
      </c>
      <c r="X58" s="52" t="e">
        <f ca="1">MATCH($R58,INDIRECT(nomFichierEAN13ValmagUniq &amp; "!A" &amp; (V58+1) &amp; ":A" &amp;  (V58+10)),0)</f>
        <v>#N/A</v>
      </c>
      <c r="Y58" s="51" t="e">
        <f t="shared" ref="Y58" ca="1" si="173">X58+V58</f>
        <v>#N/A</v>
      </c>
      <c r="Z58" s="49" t="str">
        <f ca="1">IFERROR(INDEX(INDIRECT(zoneFichierEAN13ValmagUniq),Y58,2),"")</f>
        <v/>
      </c>
      <c r="AA58" s="53" t="str">
        <f t="shared" ref="AA58" ca="1" si="174">T58 &amp; IF(W58="","", " | " &amp; W58) &amp; IF(Z58="","", " | " &amp;Z58)</f>
        <v>ANSESLONGUESSUED</v>
      </c>
      <c r="AC58" s="55">
        <f ca="1">MATCH(B58,INDIRECT(nomFichierFiltreCatalogue &amp; "!B:B"),0)</f>
        <v>127</v>
      </c>
      <c r="AD58" s="14"/>
    </row>
    <row r="59" spans="1:30" s="20" customFormat="1" ht="15.75" customHeight="1" x14ac:dyDescent="0.25">
      <c r="A59" s="25">
        <f ca="1">INDEX(INDIRECT(zoneFichierTraite),$J58+offsetInitialFichierTraite,2)</f>
        <v>48</v>
      </c>
      <c r="B59" s="57" t="str">
        <f ca="1">IF(ISERROR($P58),msgRefValmagAcreer,IF(INDEX(INDIRECT(zoneFichierEAN13Valmag),$P58,3) = "",msgCodeValmagVide, INDEX(INDIRECT(zoneFichierEAN13Valmag),$P58,3)))</f>
        <v>ANSESLONGUESSUED</v>
      </c>
      <c r="C59" s="54" t="str">
        <f t="shared" ref="C59" ca="1" si="175">AA58</f>
        <v>ANSESLONGUESSUED</v>
      </c>
      <c r="D59" s="19" t="str">
        <f ca="1">IFERROR(INDEX(INDIRECT(zoneFichierEAN13Valmag),$P58,4),"")</f>
        <v>TESTA</v>
      </c>
      <c r="E59" s="58" t="str">
        <f ca="1">IFERROR(INDEX(INDIRECT(zoneFichierFiltreCatalogue),AC58,3),"")</f>
        <v>p026-2-02</v>
      </c>
      <c r="F59" s="19"/>
      <c r="G59" s="18"/>
      <c r="H59" s="32" t="str">
        <f ca="1">IFERROR(INDEX(INDIRECT(zoneFichierFiltreCatalogue),AC58,6),"")</f>
        <v>fall 2019 presentation_/catalogo fall 19.txt</v>
      </c>
      <c r="S59" s="1"/>
      <c r="T59" s="21"/>
      <c r="U59" s="21"/>
      <c r="V59" s="21"/>
      <c r="W59" s="21"/>
      <c r="X59" s="21"/>
      <c r="Y59" s="21"/>
      <c r="Z59" s="21"/>
      <c r="AA59" s="21"/>
      <c r="AB59" s="21"/>
      <c r="AC59" s="21"/>
    </row>
    <row r="60" spans="1:30" ht="39" customHeight="1" thickBot="1" x14ac:dyDescent="0.65">
      <c r="A60" s="9" t="str">
        <f ca="1">INDEX(INDIRECT(zoneFichierTraite),$J60+offsetInitialFichierTraite,6)</f>
        <v>UNICA</v>
      </c>
      <c r="B60" s="5" t="str">
        <f ca="1">INDEX(INDIRECT(zoneFichierTraite),$J60+offsetInitialFichierTraite,4)</f>
        <v>OBAGA000-ECS42-055</v>
      </c>
      <c r="C60" s="26" t="str">
        <f ca="1">INDEX(INDIRECT(zoneFichierTraite),$J60+offsetInitialFichierTraite,5)</f>
        <v>ACCESSOIRE CLIP EN FAUX CUIR OPAQUE + ARGENT</v>
      </c>
      <c r="D60" s="27" t="str">
        <f ca="1">INDEX(INDIRECT(zoneFichierTraite),$J60+offsetInitialFichierTraite,13)</f>
        <v>CodeBarre</v>
      </c>
      <c r="E60" s="30">
        <f ca="1">INDEX(INDIRECT(zoneFichierTraite),$J60+offsetInitialFichierTraite,7)</f>
        <v>2</v>
      </c>
      <c r="F60" s="28">
        <f ca="1">INDEX(INDIRECT(zoneFichierTraite),$J60+offsetInitialFichierTraite,8)</f>
        <v>3.6</v>
      </c>
      <c r="G60" s="29">
        <f t="shared" ref="G60" ca="1" si="176">ROUNDUP(F60*3,0)</f>
        <v>11</v>
      </c>
      <c r="H60" s="31" t="str">
        <f ca="1">IF(ISNUMBER(N60),codeEAN13(INT(N60/10)),"")</f>
        <v/>
      </c>
      <c r="I60" s="1" t="b">
        <f t="shared" ref="I60" ca="1" si="177">AND(A63&lt;&gt;0,A61=A63)</f>
        <v>0</v>
      </c>
      <c r="J60" s="15">
        <f t="shared" si="2"/>
        <v>26</v>
      </c>
      <c r="K60" s="1">
        <f t="shared" ref="K60" ca="1" si="178">A61</f>
        <v>32</v>
      </c>
      <c r="L60" s="5" t="str">
        <f ca="1">INDEX(INDIRECT(zoneFichierTraite),$J60+offsetInitialFichierTraite,1)</f>
        <v>'026</v>
      </c>
      <c r="M60" s="11">
        <f ca="1">INDEX(INDIRECT(zoneFichierTraite),$J60+offsetInitialFichierTraite,9)</f>
        <v>7.2</v>
      </c>
      <c r="N60" s="14" t="str">
        <f ca="1">INDEX(INDIRECT(zoneFichierTraite),$J60+offsetInitialFichierTraite,3)</f>
        <v>CodeBarre</v>
      </c>
      <c r="O60" s="14"/>
      <c r="P60" s="56" t="e">
        <f ca="1">MATCH(N60,INDIRECT(nomFichierEAN13Valmag &amp; "!A:A"),0)</f>
        <v>#N/A</v>
      </c>
      <c r="R60" s="50" t="str">
        <f ca="1">LEFT(B60,14)</f>
        <v>OBAGA000-ECS42</v>
      </c>
      <c r="S60" s="52">
        <f ca="1">MATCH($R60,INDIRECT(nomFichierEAN13ValmagUniq &amp; "!A:A"),0)</f>
        <v>74</v>
      </c>
      <c r="T60" s="49" t="str">
        <f ca="1">IFERROR(INDEX(INDIRECT(zoneFichierEAN13ValmagUniq),S60,2),"")</f>
        <v xml:space="preserve">CLIP            </v>
      </c>
      <c r="U60" s="52" t="e">
        <f ca="1">MATCH($R60,INDIRECT(nomFichierEAN13ValmagUniq &amp; "!A" &amp; (S60+1) &amp; ":A" &amp;  (S60+10)),0)</f>
        <v>#N/A</v>
      </c>
      <c r="V60" s="51" t="e">
        <f t="shared" ref="V60" ca="1" si="179">U60+S60</f>
        <v>#N/A</v>
      </c>
      <c r="W60" s="49" t="str">
        <f ca="1">IFERROR(INDEX(INDIRECT(zoneFichierEAN13ValmagUniq),V60,2),"")</f>
        <v/>
      </c>
      <c r="X60" s="52" t="e">
        <f ca="1">MATCH($R60,INDIRECT(nomFichierEAN13ValmagUniq &amp; "!A" &amp; (V60+1) &amp; ":A" &amp;  (V60+10)),0)</f>
        <v>#N/A</v>
      </c>
      <c r="Y60" s="51" t="e">
        <f t="shared" ref="Y60" ca="1" si="180">X60+V60</f>
        <v>#N/A</v>
      </c>
      <c r="Z60" s="49" t="str">
        <f ca="1">IFERROR(INDEX(INDIRECT(zoneFichierEAN13ValmagUniq),Y60,2),"")</f>
        <v/>
      </c>
      <c r="AA60" s="53" t="str">
        <f t="shared" ref="AA60" ca="1" si="181">T60 &amp; IF(W60="","", " | " &amp; W60) &amp; IF(Z60="","", " | " &amp;Z60)</f>
        <v xml:space="preserve">CLIP            </v>
      </c>
      <c r="AC60" s="55" t="e">
        <f ca="1">MATCH(B60,INDIRECT(nomFichierFiltreCatalogue &amp; "!B:B"),0)</f>
        <v>#N/A</v>
      </c>
      <c r="AD60" s="14"/>
    </row>
    <row r="61" spans="1:30" s="20" customFormat="1" ht="15.75" customHeight="1" x14ac:dyDescent="0.25">
      <c r="A61" s="25">
        <f ca="1">INDEX(INDIRECT(zoneFichierTraite),$J60+offsetInitialFichierTraite,2)</f>
        <v>32</v>
      </c>
      <c r="B61" s="57" t="str">
        <f ca="1">IF(ISERROR($P60),msgRefValmagAcreer,IF(INDEX(INDIRECT(zoneFichierEAN13Valmag),$P60,3) = "",msgCodeValmagVide, INDEX(INDIRECT(zoneFichierEAN13Valmag),$P60,3)))</f>
        <v>&gt; Référence à créer</v>
      </c>
      <c r="C61" s="54" t="str">
        <f t="shared" ref="C61" ca="1" si="182">AA60</f>
        <v xml:space="preserve">CLIP            </v>
      </c>
      <c r="D61" s="19" t="str">
        <f ca="1">IFERROR(INDEX(INDIRECT(zoneFichierEAN13Valmag),$P60,4),"")</f>
        <v/>
      </c>
      <c r="E61" s="58" t="str">
        <f ca="1">IFERROR(INDEX(INDIRECT(zoneFichierFiltreCatalogue),AC60,3),"")</f>
        <v/>
      </c>
      <c r="F61" s="19"/>
      <c r="G61" s="18"/>
      <c r="H61" s="32" t="str">
        <f ca="1">IFERROR(INDEX(INDIRECT(zoneFichierFiltreCatalogue),AC60,6),"")</f>
        <v/>
      </c>
      <c r="S61" s="1"/>
      <c r="T61" s="21"/>
      <c r="U61" s="21"/>
      <c r="V61" s="21"/>
      <c r="W61" s="21"/>
      <c r="X61" s="21"/>
      <c r="Y61" s="21"/>
      <c r="Z61" s="21"/>
      <c r="AA61" s="21"/>
      <c r="AB61" s="21"/>
      <c r="AC61" s="21"/>
    </row>
    <row r="62" spans="1:30" ht="39" customHeight="1" thickBot="1" x14ac:dyDescent="0.65">
      <c r="A62" s="9" t="str">
        <f ca="1">INDEX(INDIRECT(zoneFichierTraite),$J62+offsetInitialFichierTraite,6)</f>
        <v>UNICA</v>
      </c>
      <c r="B62" s="5" t="str">
        <f ca="1">INDEX(INDIRECT(zoneFichierTraite),$J62+offsetInitialFichierTraite,4)</f>
        <v>OBAGB001-EVS00-076</v>
      </c>
      <c r="C62" s="26" t="str">
        <f ca="1">INDEX(INDIRECT(zoneFichierTraite),$J62+offsetInitialFichierTraite,5)</f>
        <v>CORPS O BAG EVA COMPOUND</v>
      </c>
      <c r="D62" s="27" t="str">
        <f ca="1">INDEX(INDIRECT(zoneFichierTraite),$J62+offsetInitialFichierTraite,13)</f>
        <v>rosso</v>
      </c>
      <c r="E62" s="30">
        <f ca="1">INDEX(INDIRECT(zoneFichierTraite),$J62+offsetInitialFichierTraite,7)</f>
        <v>2</v>
      </c>
      <c r="F62" s="28">
        <f ca="1">INDEX(INDIRECT(zoneFichierTraite),$J62+offsetInitialFichierTraite,8)</f>
        <v>14.4</v>
      </c>
      <c r="G62" s="29">
        <f t="shared" ref="G62" ca="1" si="183">ROUNDUP(F62*3,0)</f>
        <v>44</v>
      </c>
      <c r="H62" s="31" t="str">
        <f ca="1">IF(ISNUMBER(N62),codeEAN13(INT(N62/10)),"")</f>
        <v>8APBRRA*daifai+</v>
      </c>
      <c r="I62" s="1" t="b">
        <f t="shared" ref="I62" ca="1" si="184">AND(A65&lt;&gt;0,A63=A65)</f>
        <v>0</v>
      </c>
      <c r="J62" s="15">
        <f t="shared" si="2"/>
        <v>27</v>
      </c>
      <c r="K62" s="1">
        <f t="shared" ref="K62" ca="1" si="185">A63</f>
        <v>182</v>
      </c>
      <c r="L62" s="5" t="str">
        <f ca="1">INDEX(INDIRECT(zoneFichierTraite),$J62+offsetInitialFichierTraite,1)</f>
        <v>'027</v>
      </c>
      <c r="M62" s="11">
        <f ca="1">INDEX(INDIRECT(zoneFichierTraite),$J62+offsetInitialFichierTraite,9)</f>
        <v>28.8</v>
      </c>
      <c r="N62" s="14">
        <f ca="1">INDEX(INDIRECT(zoneFichierTraite),$J62+offsetInitialFichierTraite,3)</f>
        <v>8051770308508</v>
      </c>
      <c r="O62" s="14"/>
      <c r="P62" s="56">
        <f ca="1">MATCH(N62,INDIRECT(nomFichierEAN13Valmag &amp; "!A:A"),0)</f>
        <v>970</v>
      </c>
      <c r="R62" s="50" t="str">
        <f ca="1">LEFT(B62,14)</f>
        <v>OBAGB001-EVS00</v>
      </c>
      <c r="S62" s="52">
        <f ca="1">MATCH($R62,INDIRECT(nomFichierEAN13ValmagUniq &amp; "!A:A"),0)</f>
        <v>76</v>
      </c>
      <c r="T62" s="49" t="str">
        <f ca="1">IFERROR(INDEX(INDIRECT(zoneFichierEAN13ValmagUniq),S62,2),"")</f>
        <v xml:space="preserve"> </v>
      </c>
      <c r="U62" s="52">
        <f ca="1">MATCH($R62,INDIRECT(nomFichierEAN13ValmagUniq &amp; "!A" &amp; (S62+1) &amp; ":A" &amp;  (S62+10)),0)</f>
        <v>1</v>
      </c>
      <c r="V62" s="51">
        <f t="shared" ref="V62" ca="1" si="186">U62+S62</f>
        <v>77</v>
      </c>
      <c r="W62" s="49" t="str">
        <f ca="1">IFERROR(INDEX(INDIRECT(zoneFichierEAN13ValmagUniq),V62,2),"")</f>
        <v xml:space="preserve">OBODY           </v>
      </c>
      <c r="X62" s="52" t="e">
        <f ca="1">MATCH($R62,INDIRECT(nomFichierEAN13ValmagUniq &amp; "!A" &amp; (V62+1) &amp; ":A" &amp;  (V62+10)),0)</f>
        <v>#N/A</v>
      </c>
      <c r="Y62" s="51" t="e">
        <f t="shared" ref="Y62" ca="1" si="187">X62+V62</f>
        <v>#N/A</v>
      </c>
      <c r="Z62" s="49" t="str">
        <f ca="1">IFERROR(INDEX(INDIRECT(zoneFichierEAN13ValmagUniq),Y62,2),"")</f>
        <v/>
      </c>
      <c r="AA62" s="53" t="str">
        <f t="shared" ref="AA62" ca="1" si="188">T62 &amp; IF(W62="","", " | " &amp; W62) &amp; IF(Z62="","", " | " &amp;Z62)</f>
        <v xml:space="preserve">  | OBODY           </v>
      </c>
      <c r="AC62" s="55">
        <f ca="1">MATCH(B62,INDIRECT(nomFichierFiltreCatalogue &amp; "!B:B"),0)</f>
        <v>2</v>
      </c>
      <c r="AD62" s="14"/>
    </row>
    <row r="63" spans="1:30" s="20" customFormat="1" ht="15.75" customHeight="1" x14ac:dyDescent="0.25">
      <c r="A63" s="25">
        <f ca="1">INDEX(INDIRECT(zoneFichierTraite),$J62+offsetInitialFichierTraite,2)</f>
        <v>182</v>
      </c>
      <c r="B63" s="57" t="str">
        <f ca="1">IF(ISERROR($P62),msgRefValmagAcreer,IF(INDEX(INDIRECT(zoneFichierEAN13Valmag),$P62,3) = "",msgCodeValmagVide, INDEX(INDIRECT(zoneFichierEAN13Valmag),$P62,3)))</f>
        <v xml:space="preserve">OBODY           </v>
      </c>
      <c r="C63" s="54" t="str">
        <f t="shared" ref="C63" ca="1" si="189">AA62</f>
        <v xml:space="preserve">  | OBODY           </v>
      </c>
      <c r="D63" s="19" t="str">
        <f ca="1">IFERROR(INDEX(INDIRECT(zoneFichierEAN13Valmag),$P62,4),"")</f>
        <v xml:space="preserve">RED  </v>
      </c>
      <c r="E63" s="58" t="str">
        <f ca="1">IFERROR(INDEX(INDIRECT(zoneFichierFiltreCatalogue),AC62,3),"")</f>
        <v>p006-1-02</v>
      </c>
      <c r="F63" s="19"/>
      <c r="G63" s="18"/>
      <c r="H63" s="32" t="str">
        <f ca="1">IFERROR(INDEX(INDIRECT(zoneFichierFiltreCatalogue),AC62,6),"")</f>
        <v>fall 2019 presentation_/catalogo fall 19.txt</v>
      </c>
      <c r="S63" s="1"/>
      <c r="T63" s="21"/>
      <c r="U63" s="21"/>
      <c r="V63" s="21"/>
      <c r="W63" s="21"/>
      <c r="X63" s="21"/>
      <c r="Y63" s="21"/>
      <c r="Z63" s="21"/>
      <c r="AA63" s="21"/>
      <c r="AB63" s="21"/>
      <c r="AC63" s="21"/>
    </row>
    <row r="64" spans="1:30" ht="39" customHeight="1" thickBot="1" x14ac:dyDescent="0.65">
      <c r="A64" s="9" t="str">
        <f ca="1">INDEX(INDIRECT(zoneFichierTraite),$J64+offsetInitialFichierTraite,6)</f>
        <v>UNICA</v>
      </c>
      <c r="B64" s="5" t="str">
        <f ca="1">INDEX(INDIRECT(zoneFichierTraite),$J64+offsetInitialFichierTraite,4)</f>
        <v>OBAGB001-EVS00-132</v>
      </c>
      <c r="C64" s="26" t="str">
        <f ca="1">INDEX(INDIRECT(zoneFichierTraite),$J64+offsetInitialFichierTraite,5)</f>
        <v>CORPS O BAG EVA COMPOUND</v>
      </c>
      <c r="D64" s="27" t="str">
        <f ca="1">INDEX(INDIRECT(zoneFichierTraite),$J64+offsetInitialFichierTraite,13)</f>
        <v>biscotto</v>
      </c>
      <c r="E64" s="30">
        <f ca="1">INDEX(INDIRECT(zoneFichierTraite),$J64+offsetInitialFichierTraite,7)</f>
        <v>2</v>
      </c>
      <c r="F64" s="28">
        <f ca="1">INDEX(INDIRECT(zoneFichierTraite),$J64+offsetInitialFichierTraite,8)</f>
        <v>14.4</v>
      </c>
      <c r="G64" s="29">
        <f t="shared" ref="G64" ca="1" si="190">ROUNDUP(F64*3,0)</f>
        <v>44</v>
      </c>
      <c r="H64" s="31" t="str">
        <f ca="1">IF(ISNUMBER(N64),codeEAN13(INT(N64/10)),"")</f>
        <v>8APGKTF*agiigb+</v>
      </c>
      <c r="I64" s="1" t="b">
        <f t="shared" ref="I64" ca="1" si="191">AND(A67&lt;&gt;0,A65=A67)</f>
        <v>0</v>
      </c>
      <c r="J64" s="15">
        <f t="shared" si="2"/>
        <v>28</v>
      </c>
      <c r="K64" s="1">
        <f t="shared" ref="K64" ca="1" si="192">A65</f>
        <v>110</v>
      </c>
      <c r="L64" s="5" t="str">
        <f ca="1">INDEX(INDIRECT(zoneFichierTraite),$J64+offsetInitialFichierTraite,1)</f>
        <v>'028</v>
      </c>
      <c r="M64" s="11">
        <f ca="1">INDEX(INDIRECT(zoneFichierTraite),$J64+offsetInitialFichierTraite,9)</f>
        <v>28.8</v>
      </c>
      <c r="N64" s="14">
        <f ca="1">INDEX(INDIRECT(zoneFichierTraite),$J64+offsetInitialFichierTraite,3)</f>
        <v>8056095068861</v>
      </c>
      <c r="O64" s="14"/>
      <c r="P64" s="56">
        <f ca="1">MATCH(N64,INDIRECT(nomFichierEAN13Valmag &amp; "!A:A"),0)</f>
        <v>1015</v>
      </c>
      <c r="R64" s="50" t="str">
        <f ca="1">LEFT(B64,14)</f>
        <v>OBAGB001-EVS00</v>
      </c>
      <c r="S64" s="52">
        <f ca="1">MATCH($R64,INDIRECT(nomFichierEAN13ValmagUniq &amp; "!A:A"),0)</f>
        <v>76</v>
      </c>
      <c r="T64" s="49" t="str">
        <f ca="1">IFERROR(INDEX(INDIRECT(zoneFichierEAN13ValmagUniq),S64,2),"")</f>
        <v xml:space="preserve"> </v>
      </c>
      <c r="U64" s="52">
        <f ca="1">MATCH($R64,INDIRECT(nomFichierEAN13ValmagUniq &amp; "!A" &amp; (S64+1) &amp; ":A" &amp;  (S64+10)),0)</f>
        <v>1</v>
      </c>
      <c r="V64" s="51">
        <f t="shared" ref="V64" ca="1" si="193">U64+S64</f>
        <v>77</v>
      </c>
      <c r="W64" s="49" t="str">
        <f ca="1">IFERROR(INDEX(INDIRECT(zoneFichierEAN13ValmagUniq),V64,2),"")</f>
        <v xml:space="preserve">OBODY           </v>
      </c>
      <c r="X64" s="52" t="e">
        <f ca="1">MATCH($R64,INDIRECT(nomFichierEAN13ValmagUniq &amp; "!A" &amp; (V64+1) &amp; ":A" &amp;  (V64+10)),0)</f>
        <v>#N/A</v>
      </c>
      <c r="Y64" s="51" t="e">
        <f t="shared" ref="Y64" ca="1" si="194">X64+V64</f>
        <v>#N/A</v>
      </c>
      <c r="Z64" s="49" t="str">
        <f ca="1">IFERROR(INDEX(INDIRECT(zoneFichierEAN13ValmagUniq),Y64,2),"")</f>
        <v/>
      </c>
      <c r="AA64" s="53" t="str">
        <f t="shared" ref="AA64" ca="1" si="195">T64 &amp; IF(W64="","", " | " &amp; W64) &amp; IF(Z64="","", " | " &amp;Z64)</f>
        <v xml:space="preserve">  | OBODY           </v>
      </c>
      <c r="AC64" s="55">
        <f ca="1">MATCH(B64,INDIRECT(nomFichierFiltreCatalogue &amp; "!B:B"),0)</f>
        <v>3</v>
      </c>
      <c r="AD64" s="14"/>
    </row>
    <row r="65" spans="1:30" s="20" customFormat="1" ht="15.75" customHeight="1" x14ac:dyDescent="0.25">
      <c r="A65" s="25">
        <f ca="1">INDEX(INDIRECT(zoneFichierTraite),$J64+offsetInitialFichierTraite,2)</f>
        <v>110</v>
      </c>
      <c r="B65" s="57" t="str">
        <f ca="1">IF(ISERROR($P64),msgRefValmagAcreer,IF(INDEX(INDIRECT(zoneFichierEAN13Valmag),$P64,3) = "",msgCodeValmagVide, INDEX(INDIRECT(zoneFichierEAN13Valmag),$P64,3)))</f>
        <v xml:space="preserve">OBODY           </v>
      </c>
      <c r="C65" s="54" t="str">
        <f t="shared" ref="C65" ca="1" si="196">AA64</f>
        <v xml:space="preserve">  | OBODY           </v>
      </c>
      <c r="D65" s="19" t="str">
        <f ca="1">IFERROR(INDEX(INDIRECT(zoneFichierEAN13Valmag),$P64,4),"")</f>
        <v>BISCO</v>
      </c>
      <c r="E65" s="58" t="str">
        <f ca="1">IFERROR(INDEX(INDIRECT(zoneFichierFiltreCatalogue),AC64,3),"")</f>
        <v>p006-1-03</v>
      </c>
      <c r="F65" s="19"/>
      <c r="G65" s="18"/>
      <c r="H65" s="32" t="str">
        <f ca="1">IFERROR(INDEX(INDIRECT(zoneFichierFiltreCatalogue),AC64,6),"")</f>
        <v>fall 2019 presentation_/catalogo fall 19.txt</v>
      </c>
      <c r="S65" s="1"/>
      <c r="T65" s="21"/>
      <c r="U65" s="21"/>
      <c r="V65" s="21"/>
      <c r="W65" s="21"/>
      <c r="X65" s="21"/>
      <c r="Y65" s="21"/>
      <c r="Z65" s="21"/>
      <c r="AA65" s="21"/>
      <c r="AB65" s="21"/>
      <c r="AC65" s="21"/>
    </row>
    <row r="66" spans="1:30" ht="39" customHeight="1" thickBot="1" x14ac:dyDescent="0.65">
      <c r="A66" s="9" t="str">
        <f ca="1">INDEX(INDIRECT(zoneFichierTraite),$J66+offsetInitialFichierTraite,6)</f>
        <v>UNICA</v>
      </c>
      <c r="B66" s="5" t="str">
        <f ca="1">INDEX(INDIRECT(zoneFichierTraite),$J66+offsetInitialFichierTraite,4)</f>
        <v>OBAGB001-EVS00-614</v>
      </c>
      <c r="C66" s="26" t="str">
        <f ca="1">INDEX(INDIRECT(zoneFichierTraite),$J66+offsetInitialFichierTraite,5)</f>
        <v>CORPS O BAG EVA COMPOUND</v>
      </c>
      <c r="D66" s="27" t="str">
        <f ca="1">INDEX(INDIRECT(zoneFichierTraite),$J66+offsetInitialFichierTraite,13)</f>
        <v>imperial blu</v>
      </c>
      <c r="E66" s="30">
        <f ca="1">INDEX(INDIRECT(zoneFichierTraite),$J66+offsetInitialFichierTraite,7)</f>
        <v>2</v>
      </c>
      <c r="F66" s="28">
        <f ca="1">INDEX(INDIRECT(zoneFichierTraite),$J66+offsetInitialFichierTraite,8)</f>
        <v>14.4</v>
      </c>
      <c r="G66" s="29">
        <f t="shared" ref="G66" ca="1" si="197">ROUNDUP(F66*3,0)</f>
        <v>44</v>
      </c>
      <c r="H66" s="31" t="str">
        <f ca="1">IF(ISNUMBER(N66),codeEAN13(INT(N66/10)),"")</f>
        <v>8APASOG*ajaaea+</v>
      </c>
      <c r="I66" s="1" t="b">
        <f t="shared" ref="I66" ca="1" si="198">AND(A69&lt;&gt;0,A67=A69)</f>
        <v>0</v>
      </c>
      <c r="J66" s="15">
        <f t="shared" si="2"/>
        <v>29</v>
      </c>
      <c r="K66" s="1">
        <f t="shared" ref="K66" ca="1" si="199">A67</f>
        <v>183</v>
      </c>
      <c r="L66" s="5" t="str">
        <f ca="1">INDEX(INDIRECT(zoneFichierTraite),$J66+offsetInitialFichierTraite,1)</f>
        <v>'029</v>
      </c>
      <c r="M66" s="11">
        <f ca="1">INDEX(INDIRECT(zoneFichierTraite),$J66+offsetInitialFichierTraite,9)</f>
        <v>28.8</v>
      </c>
      <c r="N66" s="14">
        <f ca="1">INDEX(INDIRECT(zoneFichierTraite),$J66+offsetInitialFichierTraite,3)</f>
        <v>8050846090040</v>
      </c>
      <c r="O66" s="14"/>
      <c r="P66" s="56">
        <f ca="1">MATCH(N66,INDIRECT(nomFichierEAN13Valmag &amp; "!A:A"),0)</f>
        <v>689</v>
      </c>
      <c r="R66" s="50" t="str">
        <f ca="1">LEFT(B66,14)</f>
        <v>OBAGB001-EVS00</v>
      </c>
      <c r="S66" s="52">
        <f ca="1">MATCH($R66,INDIRECT(nomFichierEAN13ValmagUniq &amp; "!A:A"),0)</f>
        <v>76</v>
      </c>
      <c r="T66" s="49" t="str">
        <f ca="1">IFERROR(INDEX(INDIRECT(zoneFichierEAN13ValmagUniq),S66,2),"")</f>
        <v xml:space="preserve"> </v>
      </c>
      <c r="U66" s="52">
        <f ca="1">MATCH($R66,INDIRECT(nomFichierEAN13ValmagUniq &amp; "!A" &amp; (S66+1) &amp; ":A" &amp;  (S66+10)),0)</f>
        <v>1</v>
      </c>
      <c r="V66" s="51">
        <f t="shared" ref="V66" ca="1" si="200">U66+S66</f>
        <v>77</v>
      </c>
      <c r="W66" s="49" t="str">
        <f ca="1">IFERROR(INDEX(INDIRECT(zoneFichierEAN13ValmagUniq),V66,2),"")</f>
        <v xml:space="preserve">OBODY           </v>
      </c>
      <c r="X66" s="52" t="e">
        <f ca="1">MATCH($R66,INDIRECT(nomFichierEAN13ValmagUniq &amp; "!A" &amp; (V66+1) &amp; ":A" &amp;  (V66+10)),0)</f>
        <v>#N/A</v>
      </c>
      <c r="Y66" s="51" t="e">
        <f t="shared" ref="Y66" ca="1" si="201">X66+V66</f>
        <v>#N/A</v>
      </c>
      <c r="Z66" s="49" t="str">
        <f ca="1">IFERROR(INDEX(INDIRECT(zoneFichierEAN13ValmagUniq),Y66,2),"")</f>
        <v/>
      </c>
      <c r="AA66" s="53" t="str">
        <f t="shared" ref="AA66" ca="1" si="202">T66 &amp; IF(W66="","", " | " &amp; W66) &amp; IF(Z66="","", " | " &amp;Z66)</f>
        <v xml:space="preserve">  | OBODY           </v>
      </c>
      <c r="AC66" s="55">
        <f ca="1">MATCH(B66,INDIRECT(nomFichierFiltreCatalogue &amp; "!B:B"),0)</f>
        <v>6</v>
      </c>
      <c r="AD66" s="14"/>
    </row>
    <row r="67" spans="1:30" s="20" customFormat="1" ht="15.75" customHeight="1" x14ac:dyDescent="0.25">
      <c r="A67" s="25">
        <f ca="1">INDEX(INDIRECT(zoneFichierTraite),$J66+offsetInitialFichierTraite,2)</f>
        <v>183</v>
      </c>
      <c r="B67" s="57" t="str">
        <f ca="1">IF(ISERROR($P66),msgRefValmagAcreer,IF(INDEX(INDIRECT(zoneFichierEAN13Valmag),$P66,3) = "",msgCodeValmagVide, INDEX(INDIRECT(zoneFichierEAN13Valmag),$P66,3)))</f>
        <v xml:space="preserve"> </v>
      </c>
      <c r="C67" s="54" t="str">
        <f t="shared" ref="C67" ca="1" si="203">AA66</f>
        <v xml:space="preserve">  | OBODY           </v>
      </c>
      <c r="D67" s="19" t="str">
        <f ca="1">IFERROR(INDEX(INDIRECT(zoneFichierEAN13Valmag),$P66,4),"")</f>
        <v xml:space="preserve"> </v>
      </c>
      <c r="E67" s="58" t="str">
        <f ca="1">IFERROR(INDEX(INDIRECT(zoneFichierFiltreCatalogue),AC66,3),"")</f>
        <v>p006-1-06</v>
      </c>
      <c r="F67" s="19"/>
      <c r="G67" s="18"/>
      <c r="H67" s="32" t="str">
        <f ca="1">IFERROR(INDEX(INDIRECT(zoneFichierFiltreCatalogue),AC66,6),"")</f>
        <v>fall 2019 presentation_/catalogo fall 19.txt</v>
      </c>
      <c r="S67" s="1"/>
      <c r="T67" s="21"/>
      <c r="U67" s="21"/>
      <c r="V67" s="21"/>
      <c r="W67" s="21"/>
      <c r="X67" s="21"/>
      <c r="Y67" s="21"/>
      <c r="Z67" s="21"/>
      <c r="AA67" s="21"/>
      <c r="AB67" s="21"/>
      <c r="AC67" s="21"/>
    </row>
    <row r="68" spans="1:30" ht="39" customHeight="1" thickBot="1" x14ac:dyDescent="0.65">
      <c r="A68" s="9" t="str">
        <f ca="1">INDEX(INDIRECT(zoneFichierTraite),$J68+offsetInitialFichierTraite,6)</f>
        <v>UNICA</v>
      </c>
      <c r="B68" s="5" t="str">
        <f ca="1">INDEX(INDIRECT(zoneFichierTraite),$J68+offsetInitialFichierTraite,4)</f>
        <v>OBAGB001-EVS00-615</v>
      </c>
      <c r="C68" s="26" t="str">
        <f ca="1">INDEX(INDIRECT(zoneFichierTraite),$J68+offsetInitialFichierTraite,5)</f>
        <v>CORPS O BAG EVA COMPOUND</v>
      </c>
      <c r="D68" s="27" t="str">
        <f ca="1">INDEX(INDIRECT(zoneFichierTraite),$J68+offsetInitialFichierTraite,13)</f>
        <v>military</v>
      </c>
      <c r="E68" s="30">
        <f ca="1">INDEX(INDIRECT(zoneFichierTraite),$J68+offsetInitialFichierTraite,7)</f>
        <v>2</v>
      </c>
      <c r="F68" s="28">
        <f ca="1">INDEX(INDIRECT(zoneFichierTraite),$J68+offsetInitialFichierTraite,8)</f>
        <v>14.4</v>
      </c>
      <c r="G68" s="29">
        <f t="shared" ref="G68" ca="1" si="204">ROUNDUP(F68*3,0)</f>
        <v>44</v>
      </c>
      <c r="H68" s="31" t="str">
        <f ca="1">IF(ISNUMBER(N68),codeEAN13(INT(N68/10)),"")</f>
        <v>8APASOG*ajaage+</v>
      </c>
      <c r="I68" s="1" t="b">
        <f t="shared" ref="I68" ca="1" si="205">AND(A71&lt;&gt;0,A69=A71)</f>
        <v>0</v>
      </c>
      <c r="J68" s="15">
        <f t="shared" si="2"/>
        <v>30</v>
      </c>
      <c r="K68" s="1">
        <f t="shared" ref="K68" ca="1" si="206">A69</f>
        <v>41</v>
      </c>
      <c r="L68" s="5" t="str">
        <f ca="1">INDEX(INDIRECT(zoneFichierTraite),$J68+offsetInitialFichierTraite,1)</f>
        <v>'030</v>
      </c>
      <c r="M68" s="11">
        <f ca="1">INDEX(INDIRECT(zoneFichierTraite),$J68+offsetInitialFichierTraite,9)</f>
        <v>28.8</v>
      </c>
      <c r="N68" s="14">
        <f ca="1">INDEX(INDIRECT(zoneFichierTraite),$J68+offsetInitialFichierTraite,3)</f>
        <v>8050846090064</v>
      </c>
      <c r="O68" s="14"/>
      <c r="P68" s="56">
        <f ca="1">MATCH(N68,INDIRECT(nomFichierEAN13Valmag &amp; "!A:A"),0)</f>
        <v>691</v>
      </c>
      <c r="R68" s="50" t="str">
        <f ca="1">LEFT(B68,14)</f>
        <v>OBAGB001-EVS00</v>
      </c>
      <c r="S68" s="52">
        <f ca="1">MATCH($R68,INDIRECT(nomFichierEAN13ValmagUniq &amp; "!A:A"),0)</f>
        <v>76</v>
      </c>
      <c r="T68" s="49" t="str">
        <f ca="1">IFERROR(INDEX(INDIRECT(zoneFichierEAN13ValmagUniq),S68,2),"")</f>
        <v xml:space="preserve"> </v>
      </c>
      <c r="U68" s="52">
        <f ca="1">MATCH($R68,INDIRECT(nomFichierEAN13ValmagUniq &amp; "!A" &amp; (S68+1) &amp; ":A" &amp;  (S68+10)),0)</f>
        <v>1</v>
      </c>
      <c r="V68" s="51">
        <f t="shared" ref="V68" ca="1" si="207">U68+S68</f>
        <v>77</v>
      </c>
      <c r="W68" s="49" t="str">
        <f ca="1">IFERROR(INDEX(INDIRECT(zoneFichierEAN13ValmagUniq),V68,2),"")</f>
        <v xml:space="preserve">OBODY           </v>
      </c>
      <c r="X68" s="52" t="e">
        <f ca="1">MATCH($R68,INDIRECT(nomFichierEAN13ValmagUniq &amp; "!A" &amp; (V68+1) &amp; ":A" &amp;  (V68+10)),0)</f>
        <v>#N/A</v>
      </c>
      <c r="Y68" s="51" t="e">
        <f t="shared" ref="Y68" ca="1" si="208">X68+V68</f>
        <v>#N/A</v>
      </c>
      <c r="Z68" s="49" t="str">
        <f ca="1">IFERROR(INDEX(INDIRECT(zoneFichierEAN13ValmagUniq),Y68,2),"")</f>
        <v/>
      </c>
      <c r="AA68" s="53" t="str">
        <f t="shared" ref="AA68" ca="1" si="209">T68 &amp; IF(W68="","", " | " &amp; W68) &amp; IF(Z68="","", " | " &amp;Z68)</f>
        <v xml:space="preserve">  | OBODY           </v>
      </c>
      <c r="AC68" s="55">
        <f ca="1">MATCH(B68,INDIRECT(nomFichierFiltreCatalogue &amp; "!B:B"),0)</f>
        <v>7</v>
      </c>
      <c r="AD68" s="14"/>
    </row>
    <row r="69" spans="1:30" s="20" customFormat="1" ht="15.75" customHeight="1" x14ac:dyDescent="0.25">
      <c r="A69" s="25">
        <f ca="1">INDEX(INDIRECT(zoneFichierTraite),$J68+offsetInitialFichierTraite,2)</f>
        <v>41</v>
      </c>
      <c r="B69" s="57" t="str">
        <f ca="1">IF(ISERROR($P68),msgRefValmagAcreer,IF(INDEX(INDIRECT(zoneFichierEAN13Valmag),$P68,3) = "",msgCodeValmagVide, INDEX(INDIRECT(zoneFichierEAN13Valmag),$P68,3)))</f>
        <v xml:space="preserve"> </v>
      </c>
      <c r="C69" s="54" t="str">
        <f t="shared" ref="C69" ca="1" si="210">AA68</f>
        <v xml:space="preserve">  | OBODY           </v>
      </c>
      <c r="D69" s="19" t="str">
        <f ca="1">IFERROR(INDEX(INDIRECT(zoneFichierEAN13Valmag),$P68,4),"")</f>
        <v xml:space="preserve"> </v>
      </c>
      <c r="E69" s="58" t="str">
        <f ca="1">IFERROR(INDEX(INDIRECT(zoneFichierFiltreCatalogue),AC68,3),"")</f>
        <v>p006-1-07</v>
      </c>
      <c r="F69" s="19"/>
      <c r="G69" s="18"/>
      <c r="H69" s="32" t="str">
        <f ca="1">IFERROR(INDEX(INDIRECT(zoneFichierFiltreCatalogue),AC68,6),"")</f>
        <v>fall 2019 presentation_/catalogo fall 19.txt</v>
      </c>
      <c r="S69" s="1"/>
      <c r="T69" s="21"/>
      <c r="U69" s="21"/>
      <c r="V69" s="21"/>
      <c r="W69" s="21"/>
      <c r="X69" s="21"/>
      <c r="Y69" s="21"/>
      <c r="Z69" s="21"/>
      <c r="AA69" s="21"/>
      <c r="AB69" s="21"/>
      <c r="AC69" s="21"/>
    </row>
    <row r="70" spans="1:30" ht="39" customHeight="1" thickBot="1" x14ac:dyDescent="0.65">
      <c r="A70" s="9" t="str">
        <f ca="1">INDEX(INDIRECT(zoneFichierTraite),$J70+offsetInitialFichierTraite,6)</f>
        <v>UNICA</v>
      </c>
      <c r="B70" s="5" t="str">
        <f ca="1">INDEX(INDIRECT(zoneFichierTraite),$J70+offsetInitialFichierTraite,4)</f>
        <v>OBAGB001-EVS00-616</v>
      </c>
      <c r="C70" s="26" t="str">
        <f ca="1">INDEX(INDIRECT(zoneFichierTraite),$J70+offsetInitialFichierTraite,5)</f>
        <v>CORPS O BAG EVA COMPOUND</v>
      </c>
      <c r="D70" s="27" t="str">
        <f ca="1">INDEX(INDIRECT(zoneFichierTraite),$J70+offsetInitialFichierTraite,13)</f>
        <v>ice</v>
      </c>
      <c r="E70" s="30">
        <f ca="1">INDEX(INDIRECT(zoneFichierTraite),$J70+offsetInitialFichierTraite,7)</f>
        <v>2</v>
      </c>
      <c r="F70" s="28">
        <f ca="1">INDEX(INDIRECT(zoneFichierTraite),$J70+offsetInitialFichierTraite,8)</f>
        <v>14.4</v>
      </c>
      <c r="G70" s="29">
        <f t="shared" ref="G70" ca="1" si="211">ROUNDUP(F70*3,0)</f>
        <v>44</v>
      </c>
      <c r="H70" s="31" t="str">
        <f ca="1">IF(ISNUMBER(N70),codeEAN13(INT(N70/10)),"")</f>
        <v>8APASOG*ajaafh+</v>
      </c>
      <c r="I70" s="1" t="b">
        <f t="shared" ref="I70" ca="1" si="212">AND(A73&lt;&gt;0,A71=A73)</f>
        <v>0</v>
      </c>
      <c r="J70" s="15">
        <f t="shared" si="2"/>
        <v>31</v>
      </c>
      <c r="K70" s="1">
        <f t="shared" ref="K70" ca="1" si="213">A71</f>
        <v>64</v>
      </c>
      <c r="L70" s="5" t="str">
        <f ca="1">INDEX(INDIRECT(zoneFichierTraite),$J70+offsetInitialFichierTraite,1)</f>
        <v>'031</v>
      </c>
      <c r="M70" s="11">
        <f ca="1">INDEX(INDIRECT(zoneFichierTraite),$J70+offsetInitialFichierTraite,9)</f>
        <v>28.8</v>
      </c>
      <c r="N70" s="14">
        <f ca="1">INDEX(INDIRECT(zoneFichierTraite),$J70+offsetInitialFichierTraite,3)</f>
        <v>8050846090057</v>
      </c>
      <c r="O70" s="14"/>
      <c r="P70" s="56">
        <f ca="1">MATCH(N70,INDIRECT(nomFichierEAN13Valmag &amp; "!A:A"),0)</f>
        <v>690</v>
      </c>
      <c r="R70" s="50" t="str">
        <f ca="1">LEFT(B70,14)</f>
        <v>OBAGB001-EVS00</v>
      </c>
      <c r="S70" s="52">
        <f ca="1">MATCH($R70,INDIRECT(nomFichierEAN13ValmagUniq &amp; "!A:A"),0)</f>
        <v>76</v>
      </c>
      <c r="T70" s="49" t="str">
        <f ca="1">IFERROR(INDEX(INDIRECT(zoneFichierEAN13ValmagUniq),S70,2),"")</f>
        <v xml:space="preserve"> </v>
      </c>
      <c r="U70" s="52">
        <f ca="1">MATCH($R70,INDIRECT(nomFichierEAN13ValmagUniq &amp; "!A" &amp; (S70+1) &amp; ":A" &amp;  (S70+10)),0)</f>
        <v>1</v>
      </c>
      <c r="V70" s="51">
        <f t="shared" ref="V70" ca="1" si="214">U70+S70</f>
        <v>77</v>
      </c>
      <c r="W70" s="49" t="str">
        <f ca="1">IFERROR(INDEX(INDIRECT(zoneFichierEAN13ValmagUniq),V70,2),"")</f>
        <v xml:space="preserve">OBODY           </v>
      </c>
      <c r="X70" s="52" t="e">
        <f ca="1">MATCH($R70,INDIRECT(nomFichierEAN13ValmagUniq &amp; "!A" &amp; (V70+1) &amp; ":A" &amp;  (V70+10)),0)</f>
        <v>#N/A</v>
      </c>
      <c r="Y70" s="51" t="e">
        <f t="shared" ref="Y70" ca="1" si="215">X70+V70</f>
        <v>#N/A</v>
      </c>
      <c r="Z70" s="49" t="str">
        <f ca="1">IFERROR(INDEX(INDIRECT(zoneFichierEAN13ValmagUniq),Y70,2),"")</f>
        <v/>
      </c>
      <c r="AA70" s="53" t="str">
        <f t="shared" ref="AA70" ca="1" si="216">T70 &amp; IF(W70="","", " | " &amp; W70) &amp; IF(Z70="","", " | " &amp;Z70)</f>
        <v xml:space="preserve">  | OBODY           </v>
      </c>
      <c r="AC70" s="55">
        <f ca="1">MATCH(B70,INDIRECT(nomFichierFiltreCatalogue &amp; "!B:B"),0)</f>
        <v>9</v>
      </c>
      <c r="AD70" s="14"/>
    </row>
    <row r="71" spans="1:30" s="20" customFormat="1" ht="15.75" customHeight="1" x14ac:dyDescent="0.25">
      <c r="A71" s="25">
        <f ca="1">INDEX(INDIRECT(zoneFichierTraite),$J70+offsetInitialFichierTraite,2)</f>
        <v>64</v>
      </c>
      <c r="B71" s="57" t="str">
        <f ca="1">IF(ISERROR($P70),msgRefValmagAcreer,IF(INDEX(INDIRECT(zoneFichierEAN13Valmag),$P70,3) = "",msgCodeValmagVide, INDEX(INDIRECT(zoneFichierEAN13Valmag),$P70,3)))</f>
        <v xml:space="preserve"> </v>
      </c>
      <c r="C71" s="54" t="str">
        <f t="shared" ref="C71" ca="1" si="217">AA70</f>
        <v xml:space="preserve">  | OBODY           </v>
      </c>
      <c r="D71" s="19" t="str">
        <f ca="1">IFERROR(INDEX(INDIRECT(zoneFichierEAN13Valmag),$P70,4),"")</f>
        <v xml:space="preserve"> </v>
      </c>
      <c r="E71" s="58" t="str">
        <f ca="1">IFERROR(INDEX(INDIRECT(zoneFichierFiltreCatalogue),AC70,3),"")</f>
        <v>p006-1-09</v>
      </c>
      <c r="F71" s="19"/>
      <c r="G71" s="18"/>
      <c r="H71" s="32" t="str">
        <f ca="1">IFERROR(INDEX(INDIRECT(zoneFichierFiltreCatalogue),AC70,6),"")</f>
        <v>fall 2019 presentation_/catalogo fall 19.txt</v>
      </c>
      <c r="S71" s="1"/>
      <c r="T71" s="21"/>
      <c r="U71" s="21"/>
      <c r="V71" s="21"/>
      <c r="W71" s="21"/>
      <c r="X71" s="21"/>
      <c r="Y71" s="21"/>
      <c r="Z71" s="21"/>
      <c r="AA71" s="21"/>
      <c r="AB71" s="21"/>
      <c r="AC71" s="21"/>
    </row>
    <row r="72" spans="1:30" ht="39" customHeight="1" thickBot="1" x14ac:dyDescent="0.65">
      <c r="A72" s="9" t="str">
        <f ca="1">INDEX(INDIRECT(zoneFichierTraite),$J72+offsetInitialFichierTraite,6)</f>
        <v>UNICA</v>
      </c>
      <c r="B72" s="5" t="str">
        <f ca="1">INDEX(INDIRECT(zoneFichierTraite),$J72+offsetInitialFichierTraite,4)</f>
        <v>OBAGB002-EVS00-076</v>
      </c>
      <c r="C72" s="26" t="str">
        <f ca="1">INDEX(INDIRECT(zoneFichierTraite),$J72+offsetInitialFichierTraite,5)</f>
        <v>CORPS O BAG MINI EVA COMPOUND</v>
      </c>
      <c r="D72" s="27" t="str">
        <f ca="1">INDEX(INDIRECT(zoneFichierTraite),$J72+offsetInitialFichierTraite,13)</f>
        <v>rosso</v>
      </c>
      <c r="E72" s="30">
        <f ca="1">INDEX(INDIRECT(zoneFichierTraite),$J72+offsetInitialFichierTraite,7)</f>
        <v>2</v>
      </c>
      <c r="F72" s="28">
        <f ca="1">INDEX(INDIRECT(zoneFichierTraite),$J72+offsetInitialFichierTraite,8)</f>
        <v>14.4</v>
      </c>
      <c r="G72" s="29">
        <f t="shared" ref="G72" ca="1" si="218">ROUNDUP(F72*3,0)</f>
        <v>44</v>
      </c>
      <c r="H72" s="31" t="str">
        <f ca="1">IF(ISNUMBER(N72),codeEAN13(INT(N72/10)),"")</f>
        <v>8APAOPA*cbfgce+</v>
      </c>
      <c r="I72" s="1" t="b">
        <f t="shared" ref="I72" ca="1" si="219">AND(A75&lt;&gt;0,A73=A75)</f>
        <v>0</v>
      </c>
      <c r="J72" s="15">
        <f t="shared" si="2"/>
        <v>32</v>
      </c>
      <c r="K72" s="1">
        <f t="shared" ref="K72" ca="1" si="220">A73</f>
        <v>58</v>
      </c>
      <c r="L72" s="5" t="str">
        <f ca="1">INDEX(INDIRECT(zoneFichierTraite),$J72+offsetInitialFichierTraite,1)</f>
        <v>'032</v>
      </c>
      <c r="M72" s="11">
        <f ca="1">INDEX(INDIRECT(zoneFichierTraite),$J72+offsetInitialFichierTraite,9)</f>
        <v>28.8</v>
      </c>
      <c r="N72" s="14">
        <f ca="1">INDEX(INDIRECT(zoneFichierTraite),$J72+offsetInitialFichierTraite,3)</f>
        <v>8050450215624</v>
      </c>
      <c r="O72" s="14"/>
      <c r="P72" s="56">
        <f ca="1">MATCH(N72,INDIRECT(nomFichierEAN13Valmag &amp; "!A:A"),0)</f>
        <v>29</v>
      </c>
      <c r="R72" s="50" t="str">
        <f ca="1">LEFT(B72,14)</f>
        <v>OBAGB002-EVS00</v>
      </c>
      <c r="S72" s="52">
        <f ca="1">MATCH($R72,INDIRECT(nomFichierEAN13ValmagUniq &amp; "!A:A"),0)</f>
        <v>79</v>
      </c>
      <c r="T72" s="49" t="str">
        <f ca="1">IFERROR(INDEX(INDIRECT(zoneFichierEAN13ValmagUniq),S72,2),"")</f>
        <v xml:space="preserve"> </v>
      </c>
      <c r="U72" s="52">
        <f ca="1">MATCH($R72,INDIRECT(nomFichierEAN13ValmagUniq &amp; "!A" &amp; (S72+1) &amp; ":A" &amp;  (S72+10)),0)</f>
        <v>1</v>
      </c>
      <c r="V72" s="51">
        <f t="shared" ref="V72" ca="1" si="221">U72+S72</f>
        <v>80</v>
      </c>
      <c r="W72" s="49" t="str">
        <f ca="1">IFERROR(INDEX(INDIRECT(zoneFichierEAN13ValmagUniq),V72,2),"")</f>
        <v xml:space="preserve">MINIOBODY       </v>
      </c>
      <c r="X72" s="52" t="e">
        <f ca="1">MATCH($R72,INDIRECT(nomFichierEAN13ValmagUniq &amp; "!A" &amp; (V72+1) &amp; ":A" &amp;  (V72+10)),0)</f>
        <v>#N/A</v>
      </c>
      <c r="Y72" s="51" t="e">
        <f t="shared" ref="Y72" ca="1" si="222">X72+V72</f>
        <v>#N/A</v>
      </c>
      <c r="Z72" s="49" t="str">
        <f ca="1">IFERROR(INDEX(INDIRECT(zoneFichierEAN13ValmagUniq),Y72,2),"")</f>
        <v/>
      </c>
      <c r="AA72" s="53" t="str">
        <f t="shared" ref="AA72" ca="1" si="223">T72 &amp; IF(W72="","", " | " &amp; W72) &amp; IF(Z72="","", " | " &amp;Z72)</f>
        <v xml:space="preserve">  | MINIOBODY       </v>
      </c>
      <c r="AC72" s="55">
        <f ca="1">MATCH(B72,INDIRECT(nomFichierFiltreCatalogue &amp; "!B:B"),0)</f>
        <v>17</v>
      </c>
      <c r="AD72" s="14"/>
    </row>
    <row r="73" spans="1:30" s="20" customFormat="1" ht="15.75" customHeight="1" x14ac:dyDescent="0.25">
      <c r="A73" s="25">
        <f ca="1">INDEX(INDIRECT(zoneFichierTraite),$J72+offsetInitialFichierTraite,2)</f>
        <v>58</v>
      </c>
      <c r="B73" s="57" t="str">
        <f ca="1">IF(ISERROR($P72),msgRefValmagAcreer,IF(INDEX(INDIRECT(zoneFichierEAN13Valmag),$P72,3) = "",msgCodeValmagVide, INDEX(INDIRECT(zoneFichierEAN13Valmag),$P72,3)))</f>
        <v xml:space="preserve">MINIOBODY       </v>
      </c>
      <c r="C73" s="54" t="str">
        <f t="shared" ref="C73" ca="1" si="224">AA72</f>
        <v xml:space="preserve">  | MINIOBODY       </v>
      </c>
      <c r="D73" s="19" t="str">
        <f ca="1">IFERROR(INDEX(INDIRECT(zoneFichierEAN13Valmag),$P72,4),"")</f>
        <v xml:space="preserve">RED  </v>
      </c>
      <c r="E73" s="58" t="str">
        <f ca="1">IFERROR(INDEX(INDIRECT(zoneFichierFiltreCatalogue),AC72,3),"")</f>
        <v>p008-1-02</v>
      </c>
      <c r="F73" s="19"/>
      <c r="G73" s="18"/>
      <c r="H73" s="32" t="str">
        <f ca="1">IFERROR(INDEX(INDIRECT(zoneFichierFiltreCatalogue),AC72,6),"")</f>
        <v>fall 2019 presentation_/catalogo fall 19.txt</v>
      </c>
      <c r="S73" s="1"/>
      <c r="T73" s="21"/>
      <c r="U73" s="21"/>
      <c r="V73" s="21"/>
      <c r="W73" s="21"/>
      <c r="X73" s="21"/>
      <c r="Y73" s="21"/>
      <c r="Z73" s="21"/>
      <c r="AA73" s="21"/>
      <c r="AB73" s="21"/>
      <c r="AC73" s="21"/>
    </row>
    <row r="74" spans="1:30" ht="39" customHeight="1" thickBot="1" x14ac:dyDescent="0.65">
      <c r="A74" s="9" t="str">
        <f ca="1">INDEX(INDIRECT(zoneFichierTraite),$J74+offsetInitialFichierTraite,6)</f>
        <v>UNICA</v>
      </c>
      <c r="B74" s="5" t="str">
        <f ca="1">INDEX(INDIRECT(zoneFichierTraite),$J74+offsetInitialFichierTraite,4)</f>
        <v>OBAGB002-EVS00-132</v>
      </c>
      <c r="C74" s="26" t="str">
        <f ca="1">INDEX(INDIRECT(zoneFichierTraite),$J74+offsetInitialFichierTraite,5)</f>
        <v>CORPS O BAG MINI EVA COMPOUND</v>
      </c>
      <c r="D74" s="27" t="str">
        <f ca="1">INDEX(INDIRECT(zoneFichierTraite),$J74+offsetInitialFichierTraite,13)</f>
        <v>biscotto</v>
      </c>
      <c r="E74" s="30">
        <f ca="1">INDEX(INDIRECT(zoneFichierTraite),$J74+offsetInitialFichierTraite,7)</f>
        <v>2</v>
      </c>
      <c r="F74" s="28">
        <f ca="1">INDEX(INDIRECT(zoneFichierTraite),$J74+offsetInitialFichierTraite,8)</f>
        <v>14.4</v>
      </c>
      <c r="G74" s="29">
        <f t="shared" ref="G74" ca="1" si="225">ROUNDUP(F74*3,0)</f>
        <v>44</v>
      </c>
      <c r="H74" s="31" t="str">
        <f ca="1">IF(ISNUMBER(N74),codeEAN13(INT(N74/10)),"")</f>
        <v>8APASOG*aiddih+</v>
      </c>
      <c r="I74" s="1" t="b">
        <f t="shared" ref="I74" ca="1" si="226">AND(A77&lt;&gt;0,A75=A77)</f>
        <v>0</v>
      </c>
      <c r="J74" s="15">
        <f t="shared" ref="J74:J136" si="227">J72+1</f>
        <v>33</v>
      </c>
      <c r="K74" s="1">
        <f t="shared" ref="K74" ca="1" si="228">A75</f>
        <v>153</v>
      </c>
      <c r="L74" s="5" t="str">
        <f ca="1">INDEX(INDIRECT(zoneFichierTraite),$J74+offsetInitialFichierTraite,1)</f>
        <v>'033</v>
      </c>
      <c r="M74" s="11">
        <f ca="1">INDEX(INDIRECT(zoneFichierTraite),$J74+offsetInitialFichierTraite,9)</f>
        <v>28.8</v>
      </c>
      <c r="N74" s="14">
        <f ca="1">INDEX(INDIRECT(zoneFichierTraite),$J74+offsetInitialFichierTraite,3)</f>
        <v>8050846083387</v>
      </c>
      <c r="O74" s="14"/>
      <c r="P74" s="56">
        <f ca="1">MATCH(N74,INDIRECT(nomFichierEAN13Valmag &amp; "!A:A"),0)</f>
        <v>635</v>
      </c>
      <c r="R74" s="50" t="str">
        <f ca="1">LEFT(B74,14)</f>
        <v>OBAGB002-EVS00</v>
      </c>
      <c r="S74" s="52">
        <f ca="1">MATCH($R74,INDIRECT(nomFichierEAN13ValmagUniq &amp; "!A:A"),0)</f>
        <v>79</v>
      </c>
      <c r="T74" s="49" t="str">
        <f ca="1">IFERROR(INDEX(INDIRECT(zoneFichierEAN13ValmagUniq),S74,2),"")</f>
        <v xml:space="preserve"> </v>
      </c>
      <c r="U74" s="52">
        <f ca="1">MATCH($R74,INDIRECT(nomFichierEAN13ValmagUniq &amp; "!A" &amp; (S74+1) &amp; ":A" &amp;  (S74+10)),0)</f>
        <v>1</v>
      </c>
      <c r="V74" s="51">
        <f t="shared" ref="V74" ca="1" si="229">U74+S74</f>
        <v>80</v>
      </c>
      <c r="W74" s="49" t="str">
        <f ca="1">IFERROR(INDEX(INDIRECT(zoneFichierEAN13ValmagUniq),V74,2),"")</f>
        <v xml:space="preserve">MINIOBODY       </v>
      </c>
      <c r="X74" s="52" t="e">
        <f ca="1">MATCH($R74,INDIRECT(nomFichierEAN13ValmagUniq &amp; "!A" &amp; (V74+1) &amp; ":A" &amp;  (V74+10)),0)</f>
        <v>#N/A</v>
      </c>
      <c r="Y74" s="51" t="e">
        <f t="shared" ref="Y74" ca="1" si="230">X74+V74</f>
        <v>#N/A</v>
      </c>
      <c r="Z74" s="49" t="str">
        <f ca="1">IFERROR(INDEX(INDIRECT(zoneFichierEAN13ValmagUniq),Y74,2),"")</f>
        <v/>
      </c>
      <c r="AA74" s="53" t="str">
        <f t="shared" ref="AA74" ca="1" si="231">T74 &amp; IF(W74="","", " | " &amp; W74) &amp; IF(Z74="","", " | " &amp;Z74)</f>
        <v xml:space="preserve">  | MINIOBODY       </v>
      </c>
      <c r="AC74" s="55">
        <f ca="1">MATCH(B74,INDIRECT(nomFichierFiltreCatalogue &amp; "!B:B"),0)</f>
        <v>18</v>
      </c>
      <c r="AD74" s="14"/>
    </row>
    <row r="75" spans="1:30" s="20" customFormat="1" ht="15.75" customHeight="1" x14ac:dyDescent="0.25">
      <c r="A75" s="25">
        <f ca="1">INDEX(INDIRECT(zoneFichierTraite),$J74+offsetInitialFichierTraite,2)</f>
        <v>153</v>
      </c>
      <c r="B75" s="57" t="str">
        <f ca="1">IF(ISERROR($P74),msgRefValmagAcreer,IF(INDEX(INDIRECT(zoneFichierEAN13Valmag),$P74,3) = "",msgCodeValmagVide, INDEX(INDIRECT(zoneFichierEAN13Valmag),$P74,3)))</f>
        <v xml:space="preserve"> </v>
      </c>
      <c r="C75" s="54" t="str">
        <f t="shared" ref="C75" ca="1" si="232">AA74</f>
        <v xml:space="preserve">  | MINIOBODY       </v>
      </c>
      <c r="D75" s="19" t="str">
        <f ca="1">IFERROR(INDEX(INDIRECT(zoneFichierEAN13Valmag),$P74,4),"")</f>
        <v xml:space="preserve"> </v>
      </c>
      <c r="E75" s="58" t="str">
        <f ca="1">IFERROR(INDEX(INDIRECT(zoneFichierFiltreCatalogue),AC74,3),"")</f>
        <v>p008-1-03</v>
      </c>
      <c r="F75" s="19"/>
      <c r="G75" s="18"/>
      <c r="H75" s="32" t="str">
        <f ca="1">IFERROR(INDEX(INDIRECT(zoneFichierFiltreCatalogue),AC74,6),"")</f>
        <v>fall 2019 presentation_/catalogo fall 19.txt</v>
      </c>
      <c r="S75" s="1"/>
      <c r="T75" s="21"/>
      <c r="U75" s="21"/>
      <c r="V75" s="21"/>
      <c r="W75" s="21"/>
      <c r="X75" s="21"/>
      <c r="Y75" s="21"/>
      <c r="Z75" s="21"/>
      <c r="AA75" s="21"/>
      <c r="AB75" s="21"/>
      <c r="AC75" s="21"/>
    </row>
    <row r="76" spans="1:30" ht="39" customHeight="1" thickBot="1" x14ac:dyDescent="0.65">
      <c r="A76" s="9" t="str">
        <f ca="1">INDEX(INDIRECT(zoneFichierTraite),$J76+offsetInitialFichierTraite,6)</f>
        <v>UNICA</v>
      </c>
      <c r="B76" s="5" t="str">
        <f ca="1">INDEX(INDIRECT(zoneFichierTraite),$J76+offsetInitialFichierTraite,4)</f>
        <v>OBAGB002-EVS00-614</v>
      </c>
      <c r="C76" s="26" t="str">
        <f ca="1">INDEX(INDIRECT(zoneFichierTraite),$J76+offsetInitialFichierTraite,5)</f>
        <v>CORPS O BAG MINI EVA COMPOUND</v>
      </c>
      <c r="D76" s="27" t="str">
        <f ca="1">INDEX(INDIRECT(zoneFichierTraite),$J76+offsetInitialFichierTraite,13)</f>
        <v>imperial blu</v>
      </c>
      <c r="E76" s="30">
        <f ca="1">INDEX(INDIRECT(zoneFichierTraite),$J76+offsetInitialFichierTraite,7)</f>
        <v>2</v>
      </c>
      <c r="F76" s="28">
        <f ca="1">INDEX(INDIRECT(zoneFichierTraite),$J76+offsetInitialFichierTraite,8)</f>
        <v>14.4</v>
      </c>
      <c r="G76" s="29">
        <f t="shared" ref="G76" ca="1" si="233">ROUNDUP(F76*3,0)</f>
        <v>44</v>
      </c>
      <c r="H76" s="31" t="str">
        <f ca="1">IF(ISNUMBER(N76),codeEAN13(INT(N76/10)),"")</f>
        <v>8APASOG*ajahed+</v>
      </c>
      <c r="I76" s="1" t="b">
        <f t="shared" ref="I76" ca="1" si="234">AND(A79&lt;&gt;0,A77=A79)</f>
        <v>0</v>
      </c>
      <c r="J76" s="15">
        <f t="shared" si="227"/>
        <v>34</v>
      </c>
      <c r="K76" s="1">
        <f t="shared" ref="K76" ca="1" si="235">A77</f>
        <v>116</v>
      </c>
      <c r="L76" s="5" t="str">
        <f ca="1">INDEX(INDIRECT(zoneFichierTraite),$J76+offsetInitialFichierTraite,1)</f>
        <v>'034</v>
      </c>
      <c r="M76" s="11">
        <f ca="1">INDEX(INDIRECT(zoneFichierTraite),$J76+offsetInitialFichierTraite,9)</f>
        <v>28.8</v>
      </c>
      <c r="N76" s="14">
        <f ca="1">INDEX(INDIRECT(zoneFichierTraite),$J76+offsetInitialFichierTraite,3)</f>
        <v>8050846090743</v>
      </c>
      <c r="O76" s="14"/>
      <c r="P76" s="56">
        <f ca="1">MATCH(N76,INDIRECT(nomFichierEAN13Valmag &amp; "!A:A"),0)</f>
        <v>754</v>
      </c>
      <c r="R76" s="50" t="str">
        <f ca="1">LEFT(B76,14)</f>
        <v>OBAGB002-EVS00</v>
      </c>
      <c r="S76" s="52">
        <f ca="1">MATCH($R76,INDIRECT(nomFichierEAN13ValmagUniq &amp; "!A:A"),0)</f>
        <v>79</v>
      </c>
      <c r="T76" s="49" t="str">
        <f ca="1">IFERROR(INDEX(INDIRECT(zoneFichierEAN13ValmagUniq),S76,2),"")</f>
        <v xml:space="preserve"> </v>
      </c>
      <c r="U76" s="52">
        <f ca="1">MATCH($R76,INDIRECT(nomFichierEAN13ValmagUniq &amp; "!A" &amp; (S76+1) &amp; ":A" &amp;  (S76+10)),0)</f>
        <v>1</v>
      </c>
      <c r="V76" s="51">
        <f t="shared" ref="V76" ca="1" si="236">U76+S76</f>
        <v>80</v>
      </c>
      <c r="W76" s="49" t="str">
        <f ca="1">IFERROR(INDEX(INDIRECT(zoneFichierEAN13ValmagUniq),V76,2),"")</f>
        <v xml:space="preserve">MINIOBODY       </v>
      </c>
      <c r="X76" s="52" t="e">
        <f ca="1">MATCH($R76,INDIRECT(nomFichierEAN13ValmagUniq &amp; "!A" &amp; (V76+1) &amp; ":A" &amp;  (V76+10)),0)</f>
        <v>#N/A</v>
      </c>
      <c r="Y76" s="51" t="e">
        <f t="shared" ref="Y76" ca="1" si="237">X76+V76</f>
        <v>#N/A</v>
      </c>
      <c r="Z76" s="49" t="str">
        <f ca="1">IFERROR(INDEX(INDIRECT(zoneFichierEAN13ValmagUniq),Y76,2),"")</f>
        <v/>
      </c>
      <c r="AA76" s="53" t="str">
        <f t="shared" ref="AA76" ca="1" si="238">T76 &amp; IF(W76="","", " | " &amp; W76) &amp; IF(Z76="","", " | " &amp;Z76)</f>
        <v xml:space="preserve">  | MINIOBODY       </v>
      </c>
      <c r="AC76" s="55">
        <f ca="1">MATCH(B76,INDIRECT(nomFichierFiltreCatalogue &amp; "!B:B"),0)</f>
        <v>23</v>
      </c>
      <c r="AD76" s="14"/>
    </row>
    <row r="77" spans="1:30" s="20" customFormat="1" ht="15.75" customHeight="1" x14ac:dyDescent="0.25">
      <c r="A77" s="25">
        <f ca="1">INDEX(INDIRECT(zoneFichierTraite),$J76+offsetInitialFichierTraite,2)</f>
        <v>116</v>
      </c>
      <c r="B77" s="57" t="str">
        <f ca="1">IF(ISERROR($P76),msgRefValmagAcreer,IF(INDEX(INDIRECT(zoneFichierEAN13Valmag),$P76,3) = "",msgCodeValmagVide, INDEX(INDIRECT(zoneFichierEAN13Valmag),$P76,3)))</f>
        <v xml:space="preserve"> </v>
      </c>
      <c r="C77" s="54" t="str">
        <f t="shared" ref="C77" ca="1" si="239">AA76</f>
        <v xml:space="preserve">  | MINIOBODY       </v>
      </c>
      <c r="D77" s="19" t="str">
        <f ca="1">IFERROR(INDEX(INDIRECT(zoneFichierEAN13Valmag),$P76,4),"")</f>
        <v xml:space="preserve"> </v>
      </c>
      <c r="E77" s="58" t="str">
        <f ca="1">IFERROR(INDEX(INDIRECT(zoneFichierFiltreCatalogue),AC76,3),"")</f>
        <v>p008-1-08</v>
      </c>
      <c r="F77" s="19"/>
      <c r="G77" s="18"/>
      <c r="H77" s="32" t="str">
        <f ca="1">IFERROR(INDEX(INDIRECT(zoneFichierFiltreCatalogue),AC76,6),"")</f>
        <v>fall 2019 presentation_/catalogo fall 19.txt</v>
      </c>
      <c r="S77" s="1"/>
      <c r="T77" s="21"/>
      <c r="U77" s="21"/>
      <c r="V77" s="21"/>
      <c r="W77" s="21"/>
      <c r="X77" s="21"/>
      <c r="Y77" s="21"/>
      <c r="Z77" s="21"/>
      <c r="AA77" s="21"/>
      <c r="AB77" s="21"/>
      <c r="AC77" s="21"/>
    </row>
    <row r="78" spans="1:30" ht="39" customHeight="1" thickBot="1" x14ac:dyDescent="0.65">
      <c r="A78" s="9" t="str">
        <f ca="1">INDEX(INDIRECT(zoneFichierTraite),$J78+offsetInitialFichierTraite,6)</f>
        <v>UNICA</v>
      </c>
      <c r="B78" s="5" t="str">
        <f ca="1">INDEX(INDIRECT(zoneFichierTraite),$J78+offsetInitialFichierTraite,4)</f>
        <v>OBAGB002-EVS00-615</v>
      </c>
      <c r="C78" s="26" t="str">
        <f ca="1">INDEX(INDIRECT(zoneFichierTraite),$J78+offsetInitialFichierTraite,5)</f>
        <v>CORPS O BAG MINI EVA COMPOUND</v>
      </c>
      <c r="D78" s="27" t="str">
        <f ca="1">INDEX(INDIRECT(zoneFichierTraite),$J78+offsetInitialFichierTraite,13)</f>
        <v>military</v>
      </c>
      <c r="E78" s="30">
        <f ca="1">INDEX(INDIRECT(zoneFichierTraite),$J78+offsetInitialFichierTraite,7)</f>
        <v>2</v>
      </c>
      <c r="F78" s="28">
        <f ca="1">INDEX(INDIRECT(zoneFichierTraite),$J78+offsetInitialFichierTraite,8)</f>
        <v>14.4</v>
      </c>
      <c r="G78" s="29">
        <f t="shared" ref="G78" ca="1" si="240">ROUNDUP(F78*3,0)</f>
        <v>44</v>
      </c>
      <c r="H78" s="31" t="str">
        <f ca="1">IF(ISNUMBER(N78),codeEAN13(INT(N78/10)),"")</f>
        <v>8APASOG*ajahed+</v>
      </c>
      <c r="I78" s="1" t="b">
        <f t="shared" ref="I78" ca="1" si="241">AND(A81&lt;&gt;0,A79=A81)</f>
        <v>0</v>
      </c>
      <c r="J78" s="15">
        <f t="shared" si="227"/>
        <v>35</v>
      </c>
      <c r="K78" s="1">
        <f t="shared" ref="K78" ca="1" si="242">A79</f>
        <v>205</v>
      </c>
      <c r="L78" s="5" t="str">
        <f ca="1">INDEX(INDIRECT(zoneFichierTraite),$J78+offsetInitialFichierTraite,1)</f>
        <v>'035</v>
      </c>
      <c r="M78" s="11">
        <f ca="1">INDEX(INDIRECT(zoneFichierTraite),$J78+offsetInitialFichierTraite,9)</f>
        <v>28.8</v>
      </c>
      <c r="N78" s="14">
        <f ca="1">INDEX(INDIRECT(zoneFichierTraite),$J78+offsetInitialFichierTraite,3)</f>
        <v>8050846090743</v>
      </c>
      <c r="O78" s="14"/>
      <c r="P78" s="56">
        <f ca="1">MATCH(N78,INDIRECT(nomFichierEAN13Valmag &amp; "!A:A"),0)</f>
        <v>754</v>
      </c>
      <c r="R78" s="50" t="str">
        <f ca="1">LEFT(B78,14)</f>
        <v>OBAGB002-EVS00</v>
      </c>
      <c r="S78" s="52">
        <f ca="1">MATCH($R78,INDIRECT(nomFichierEAN13ValmagUniq &amp; "!A:A"),0)</f>
        <v>79</v>
      </c>
      <c r="T78" s="49" t="str">
        <f ca="1">IFERROR(INDEX(INDIRECT(zoneFichierEAN13ValmagUniq),S78,2),"")</f>
        <v xml:space="preserve"> </v>
      </c>
      <c r="U78" s="52">
        <f ca="1">MATCH($R78,INDIRECT(nomFichierEAN13ValmagUniq &amp; "!A" &amp; (S78+1) &amp; ":A" &amp;  (S78+10)),0)</f>
        <v>1</v>
      </c>
      <c r="V78" s="51">
        <f t="shared" ref="V78" ca="1" si="243">U78+S78</f>
        <v>80</v>
      </c>
      <c r="W78" s="49" t="str">
        <f ca="1">IFERROR(INDEX(INDIRECT(zoneFichierEAN13ValmagUniq),V78,2),"")</f>
        <v xml:space="preserve">MINIOBODY       </v>
      </c>
      <c r="X78" s="52" t="e">
        <f ca="1">MATCH($R78,INDIRECT(nomFichierEAN13ValmagUniq &amp; "!A" &amp; (V78+1) &amp; ":A" &amp;  (V78+10)),0)</f>
        <v>#N/A</v>
      </c>
      <c r="Y78" s="51" t="e">
        <f t="shared" ref="Y78" ca="1" si="244">X78+V78</f>
        <v>#N/A</v>
      </c>
      <c r="Z78" s="49" t="str">
        <f ca="1">IFERROR(INDEX(INDIRECT(zoneFichierEAN13ValmagUniq),Y78,2),"")</f>
        <v/>
      </c>
      <c r="AA78" s="53" t="str">
        <f t="shared" ref="AA78" ca="1" si="245">T78 &amp; IF(W78="","", " | " &amp; W78) &amp; IF(Z78="","", " | " &amp;Z78)</f>
        <v xml:space="preserve">  | MINIOBODY       </v>
      </c>
      <c r="AC78" s="55">
        <f ca="1">MATCH(B78,INDIRECT(nomFichierFiltreCatalogue &amp; "!B:B"),0)</f>
        <v>20</v>
      </c>
      <c r="AD78" s="14"/>
    </row>
    <row r="79" spans="1:30" s="20" customFormat="1" ht="15.75" customHeight="1" x14ac:dyDescent="0.25">
      <c r="A79" s="25">
        <f ca="1">INDEX(INDIRECT(zoneFichierTraite),$J78+offsetInitialFichierTraite,2)</f>
        <v>205</v>
      </c>
      <c r="B79" s="57" t="str">
        <f ca="1">IF(ISERROR($P78),msgRefValmagAcreer,IF(INDEX(INDIRECT(zoneFichierEAN13Valmag),$P78,3) = "",msgCodeValmagVide, INDEX(INDIRECT(zoneFichierEAN13Valmag),$P78,3)))</f>
        <v xml:space="preserve"> </v>
      </c>
      <c r="C79" s="54" t="str">
        <f t="shared" ref="C79" ca="1" si="246">AA78</f>
        <v xml:space="preserve">  | MINIOBODY       </v>
      </c>
      <c r="D79" s="19" t="str">
        <f ca="1">IFERROR(INDEX(INDIRECT(zoneFichierEAN13Valmag),$P78,4),"")</f>
        <v xml:space="preserve"> </v>
      </c>
      <c r="E79" s="58" t="str">
        <f ca="1">IFERROR(INDEX(INDIRECT(zoneFichierFiltreCatalogue),AC78,3),"")</f>
        <v>p008-1-05</v>
      </c>
      <c r="F79" s="19"/>
      <c r="G79" s="18"/>
      <c r="H79" s="32" t="str">
        <f ca="1">IFERROR(INDEX(INDIRECT(zoneFichierFiltreCatalogue),AC78,6),"")</f>
        <v>fall 2019 presentation_/catalogo fall 19.txt</v>
      </c>
      <c r="S79" s="1"/>
      <c r="T79" s="21"/>
      <c r="U79" s="21"/>
      <c r="V79" s="21"/>
      <c r="W79" s="21"/>
      <c r="X79" s="21"/>
      <c r="Y79" s="21"/>
      <c r="Z79" s="21"/>
      <c r="AA79" s="21"/>
      <c r="AB79" s="21"/>
      <c r="AC79" s="21"/>
    </row>
    <row r="80" spans="1:30" ht="39" customHeight="1" thickBot="1" x14ac:dyDescent="0.65">
      <c r="A80" s="9" t="str">
        <f ca="1">INDEX(INDIRECT(zoneFichierTraite),$J80+offsetInitialFichierTraite,6)</f>
        <v>UNICA</v>
      </c>
      <c r="B80" s="5" t="str">
        <f ca="1">INDEX(INDIRECT(zoneFichierTraite),$J80+offsetInitialFichierTraite,4)</f>
        <v>OBAGB002-EVS00-616</v>
      </c>
      <c r="C80" s="26" t="str">
        <f ca="1">INDEX(INDIRECT(zoneFichierTraite),$J80+offsetInitialFichierTraite,5)</f>
        <v>CORPS O BAG MINI EVA COMPOUND</v>
      </c>
      <c r="D80" s="27" t="str">
        <f ca="1">INDEX(INDIRECT(zoneFichierTraite),$J80+offsetInitialFichierTraite,13)</f>
        <v>ice</v>
      </c>
      <c r="E80" s="30">
        <f ca="1">INDEX(INDIRECT(zoneFichierTraite),$J80+offsetInitialFichierTraite,7)</f>
        <v>2</v>
      </c>
      <c r="F80" s="28">
        <f ca="1">INDEX(INDIRECT(zoneFichierTraite),$J80+offsetInitialFichierTraite,8)</f>
        <v>14.4</v>
      </c>
      <c r="G80" s="29">
        <f t="shared" ref="G80" ca="1" si="247">ROUNDUP(F80*3,0)</f>
        <v>44</v>
      </c>
      <c r="H80" s="31" t="str">
        <f ca="1">IF(ISNUMBER(N80),codeEAN13(INT(N80/10)),"")</f>
        <v>8APAOPA*cbfgce+</v>
      </c>
      <c r="I80" s="1" t="b">
        <f t="shared" ref="I80" ca="1" si="248">AND(A83&lt;&gt;0,A81=A83)</f>
        <v>0</v>
      </c>
      <c r="J80" s="15">
        <f t="shared" si="227"/>
        <v>36</v>
      </c>
      <c r="K80" s="1">
        <f t="shared" ref="K80" ca="1" si="249">A81</f>
        <v>49</v>
      </c>
      <c r="L80" s="5" t="str">
        <f ca="1">INDEX(INDIRECT(zoneFichierTraite),$J80+offsetInitialFichierTraite,1)</f>
        <v>'036</v>
      </c>
      <c r="M80" s="11">
        <f ca="1">INDEX(INDIRECT(zoneFichierTraite),$J80+offsetInitialFichierTraite,9)</f>
        <v>28.8</v>
      </c>
      <c r="N80" s="14">
        <f ca="1">INDEX(INDIRECT(zoneFichierTraite),$J80+offsetInitialFichierTraite,3)</f>
        <v>8050450215624</v>
      </c>
      <c r="O80" s="14"/>
      <c r="P80" s="56">
        <f ca="1">MATCH(N80,INDIRECT(nomFichierEAN13Valmag &amp; "!A:A"),0)</f>
        <v>29</v>
      </c>
      <c r="R80" s="50" t="str">
        <f ca="1">LEFT(B80,14)</f>
        <v>OBAGB002-EVS00</v>
      </c>
      <c r="S80" s="52">
        <f ca="1">MATCH($R80,INDIRECT(nomFichierEAN13ValmagUniq &amp; "!A:A"),0)</f>
        <v>79</v>
      </c>
      <c r="T80" s="49" t="str">
        <f ca="1">IFERROR(INDEX(INDIRECT(zoneFichierEAN13ValmagUniq),S80,2),"")</f>
        <v xml:space="preserve"> </v>
      </c>
      <c r="U80" s="52">
        <f ca="1">MATCH($R80,INDIRECT(nomFichierEAN13ValmagUniq &amp; "!A" &amp; (S80+1) &amp; ":A" &amp;  (S80+10)),0)</f>
        <v>1</v>
      </c>
      <c r="V80" s="51">
        <f t="shared" ref="V80" ca="1" si="250">U80+S80</f>
        <v>80</v>
      </c>
      <c r="W80" s="49" t="str">
        <f ca="1">IFERROR(INDEX(INDIRECT(zoneFichierEAN13ValmagUniq),V80,2),"")</f>
        <v xml:space="preserve">MINIOBODY       </v>
      </c>
      <c r="X80" s="52" t="e">
        <f ca="1">MATCH($R80,INDIRECT(nomFichierEAN13ValmagUniq &amp; "!A" &amp; (V80+1) &amp; ":A" &amp;  (V80+10)),0)</f>
        <v>#N/A</v>
      </c>
      <c r="Y80" s="51" t="e">
        <f t="shared" ref="Y80" ca="1" si="251">X80+V80</f>
        <v>#N/A</v>
      </c>
      <c r="Z80" s="49" t="str">
        <f ca="1">IFERROR(INDEX(INDIRECT(zoneFichierEAN13ValmagUniq),Y80,2),"")</f>
        <v/>
      </c>
      <c r="AA80" s="53" t="str">
        <f t="shared" ref="AA80" ca="1" si="252">T80 &amp; IF(W80="","", " | " &amp; W80) &amp; IF(Z80="","", " | " &amp;Z80)</f>
        <v xml:space="preserve">  | MINIOBODY       </v>
      </c>
      <c r="AC80" s="55">
        <f ca="1">MATCH(B80,INDIRECT(nomFichierFiltreCatalogue &amp; "!B:B"),0)</f>
        <v>22</v>
      </c>
      <c r="AD80" s="14"/>
    </row>
    <row r="81" spans="1:30" s="20" customFormat="1" ht="15.75" customHeight="1" x14ac:dyDescent="0.25">
      <c r="A81" s="25">
        <f ca="1">INDEX(INDIRECT(zoneFichierTraite),$J80+offsetInitialFichierTraite,2)</f>
        <v>49</v>
      </c>
      <c r="B81" s="57" t="str">
        <f ca="1">IF(ISERROR($P80),msgRefValmagAcreer,IF(INDEX(INDIRECT(zoneFichierEAN13Valmag),$P80,3) = "",msgCodeValmagVide, INDEX(INDIRECT(zoneFichierEAN13Valmag),$P80,3)))</f>
        <v xml:space="preserve">MINIOBODY       </v>
      </c>
      <c r="C81" s="54" t="str">
        <f t="shared" ref="C81" ca="1" si="253">AA80</f>
        <v xml:space="preserve">  | MINIOBODY       </v>
      </c>
      <c r="D81" s="19" t="str">
        <f ca="1">IFERROR(INDEX(INDIRECT(zoneFichierEAN13Valmag),$P80,4),"")</f>
        <v xml:space="preserve">RED  </v>
      </c>
      <c r="E81" s="58" t="str">
        <f ca="1">IFERROR(INDEX(INDIRECT(zoneFichierFiltreCatalogue),AC80,3),"")</f>
        <v>p008-1-07</v>
      </c>
      <c r="F81" s="19"/>
      <c r="G81" s="18"/>
      <c r="H81" s="32" t="str">
        <f ca="1">IFERROR(INDEX(INDIRECT(zoneFichierFiltreCatalogue),AC80,6),"")</f>
        <v>fall 2019 presentation_/catalogo fall 19.txt</v>
      </c>
      <c r="S81" s="1"/>
      <c r="T81" s="21"/>
      <c r="U81" s="21"/>
      <c r="V81" s="21"/>
      <c r="W81" s="21"/>
      <c r="X81" s="21"/>
      <c r="Y81" s="21"/>
      <c r="Z81" s="21"/>
      <c r="AA81" s="21"/>
      <c r="AB81" s="21"/>
      <c r="AC81" s="21"/>
    </row>
    <row r="82" spans="1:30" ht="39" customHeight="1" thickBot="1" x14ac:dyDescent="0.65">
      <c r="A82" s="9" t="str">
        <f ca="1">INDEX(INDIRECT(zoneFichierTraite),$J82+offsetInitialFichierTraite,6)</f>
        <v>UNICA</v>
      </c>
      <c r="B82" s="5" t="str">
        <f ca="1">INDEX(INDIRECT(zoneFichierTraite),$J82+offsetInitialFichierTraite,4)</f>
        <v>OBAGB002-EVS18-055</v>
      </c>
      <c r="C82" s="26" t="str">
        <f ca="1">INDEX(INDIRECT(zoneFichierTraite),$J82+offsetInitialFichierTraite,5)</f>
        <v>CORPS O BAG MINI EVA COMPOUND TEXTURE Ã€ CHEVRONS</v>
      </c>
      <c r="D82" s="27" t="str">
        <f ca="1">INDEX(INDIRECT(zoneFichierTraite),$J82+offsetInitialFichierTraite,13)</f>
        <v>nero</v>
      </c>
      <c r="E82" s="30">
        <f ca="1">INDEX(INDIRECT(zoneFichierTraite),$J82+offsetInitialFichierTraite,7)</f>
        <v>2</v>
      </c>
      <c r="F82" s="28">
        <f ca="1">INDEX(INDIRECT(zoneFichierTraite),$J82+offsetInitialFichierTraite,8)</f>
        <v>15.6</v>
      </c>
      <c r="G82" s="29">
        <f t="shared" ref="G82" ca="1" si="254">ROUNDUP(F82*3,0)</f>
        <v>47</v>
      </c>
      <c r="H82" s="31" t="str">
        <f ca="1">IF(ISNUMBER(N82),codeEAN13(INT(N82/10)),"")</f>
        <v>8APASOG*aaddbg+</v>
      </c>
      <c r="I82" s="1" t="b">
        <f t="shared" ref="I82" ca="1" si="255">AND(A85&lt;&gt;0,A83=A85)</f>
        <v>0</v>
      </c>
      <c r="J82" s="15">
        <f t="shared" si="227"/>
        <v>37</v>
      </c>
      <c r="K82" s="1">
        <f t="shared" ref="K82" ca="1" si="256">A83</f>
        <v>163</v>
      </c>
      <c r="L82" s="5" t="str">
        <f ca="1">INDEX(INDIRECT(zoneFichierTraite),$J82+offsetInitialFichierTraite,1)</f>
        <v>'037</v>
      </c>
      <c r="M82" s="11">
        <f ca="1">INDEX(INDIRECT(zoneFichierTraite),$J82+offsetInitialFichierTraite,9)</f>
        <v>31.2</v>
      </c>
      <c r="N82" s="14">
        <f ca="1">INDEX(INDIRECT(zoneFichierTraite),$J82+offsetInitialFichierTraite,3)</f>
        <v>8050846003316</v>
      </c>
      <c r="O82" s="14"/>
      <c r="P82" s="56">
        <f ca="1">MATCH(N82,INDIRECT(nomFichierEAN13Valmag &amp; "!A:A"),0)</f>
        <v>79</v>
      </c>
      <c r="R82" s="50" t="str">
        <f ca="1">LEFT(B82,14)</f>
        <v>OBAGB002-EVS18</v>
      </c>
      <c r="S82" s="52">
        <f ca="1">MATCH($R82,INDIRECT(nomFichierEAN13ValmagUniq &amp; "!A:A"),0)</f>
        <v>81</v>
      </c>
      <c r="T82" s="49" t="str">
        <f ca="1">IFERROR(INDEX(INDIRECT(zoneFichierEAN13ValmagUniq),S82,2),"")</f>
        <v xml:space="preserve"> </v>
      </c>
      <c r="U82" s="52">
        <f ca="1">MATCH($R82,INDIRECT(nomFichierEAN13ValmagUniq &amp; "!A" &amp; (S82+1) &amp; ":A" &amp;  (S82+10)),0)</f>
        <v>1</v>
      </c>
      <c r="V82" s="51">
        <f t="shared" ref="V82" ca="1" si="257">U82+S82</f>
        <v>82</v>
      </c>
      <c r="W82" s="49" t="str">
        <f ca="1">IFERROR(INDEX(INDIRECT(zoneFichierEAN13ValmagUniq),V82,2),"")</f>
        <v>MINIOBODYCHEVRON</v>
      </c>
      <c r="X82" s="52" t="e">
        <f ca="1">MATCH($R82,INDIRECT(nomFichierEAN13ValmagUniq &amp; "!A" &amp; (V82+1) &amp; ":A" &amp;  (V82+10)),0)</f>
        <v>#N/A</v>
      </c>
      <c r="Y82" s="51" t="e">
        <f t="shared" ref="Y82" ca="1" si="258">X82+V82</f>
        <v>#N/A</v>
      </c>
      <c r="Z82" s="49" t="str">
        <f ca="1">IFERROR(INDEX(INDIRECT(zoneFichierEAN13ValmagUniq),Y82,2),"")</f>
        <v/>
      </c>
      <c r="AA82" s="53" t="str">
        <f t="shared" ref="AA82" ca="1" si="259">T82 &amp; IF(W82="","", " | " &amp; W82) &amp; IF(Z82="","", " | " &amp;Z82)</f>
        <v xml:space="preserve">  | MINIOBODYCHEVRON</v>
      </c>
      <c r="AC82" s="55">
        <f ca="1">MATCH(B82,INDIRECT(nomFichierFiltreCatalogue &amp; "!B:B"),0)</f>
        <v>30</v>
      </c>
      <c r="AD82" s="14"/>
    </row>
    <row r="83" spans="1:30" s="20" customFormat="1" ht="15.75" customHeight="1" x14ac:dyDescent="0.25">
      <c r="A83" s="25">
        <f ca="1">INDEX(INDIRECT(zoneFichierTraite),$J82+offsetInitialFichierTraite,2)</f>
        <v>163</v>
      </c>
      <c r="B83" s="57" t="str">
        <f ca="1">IF(ISERROR($P82),msgRefValmagAcreer,IF(INDEX(INDIRECT(zoneFichierEAN13Valmag),$P82,3) = "",msgCodeValmagVide, INDEX(INDIRECT(zoneFichierEAN13Valmag),$P82,3)))</f>
        <v>MINIOBODYCHEVRON</v>
      </c>
      <c r="C83" s="54" t="str">
        <f t="shared" ref="C83" ca="1" si="260">AA82</f>
        <v xml:space="preserve">  | MINIOBODYCHEVRON</v>
      </c>
      <c r="D83" s="19" t="str">
        <f ca="1">IFERROR(INDEX(INDIRECT(zoneFichierEAN13Valmag),$P82,4),"")</f>
        <v>BLACK</v>
      </c>
      <c r="E83" s="58" t="str">
        <f ca="1">IFERROR(INDEX(INDIRECT(zoneFichierFiltreCatalogue),AC82,3),"")</f>
        <v>p010-1-01</v>
      </c>
      <c r="F83" s="19"/>
      <c r="G83" s="18"/>
      <c r="H83" s="32" t="str">
        <f ca="1">IFERROR(INDEX(INDIRECT(zoneFichierFiltreCatalogue),AC82,6),"")</f>
        <v>fall 2019 presentation_/catalogo fall 19.txt</v>
      </c>
      <c r="S83" s="1"/>
      <c r="T83" s="21"/>
      <c r="U83" s="21"/>
      <c r="V83" s="21"/>
      <c r="W83" s="21"/>
      <c r="X83" s="21"/>
      <c r="Y83" s="21"/>
      <c r="Z83" s="21"/>
      <c r="AA83" s="21"/>
      <c r="AB83" s="21"/>
      <c r="AC83" s="21"/>
    </row>
    <row r="84" spans="1:30" ht="39" customHeight="1" thickBot="1" x14ac:dyDescent="0.65">
      <c r="A84" s="9" t="str">
        <f ca="1">INDEX(INDIRECT(zoneFichierTraite),$J84+offsetInitialFichierTraite,6)</f>
        <v>UNICA</v>
      </c>
      <c r="B84" s="5" t="str">
        <f ca="1">INDEX(INDIRECT(zoneFichierTraite),$J84+offsetInitialFichierTraite,4)</f>
        <v>OBAGB002-EVS18-067</v>
      </c>
      <c r="C84" s="26" t="str">
        <f ca="1">INDEX(INDIRECT(zoneFichierTraite),$J84+offsetInitialFichierTraite,5)</f>
        <v>CORPS O BAG MINI EVA COMPOUND TEXTURE Ã€ CHEVRONS</v>
      </c>
      <c r="D84" s="27" t="str">
        <f ca="1">INDEX(INDIRECT(zoneFichierTraite),$J84+offsetInitialFichierTraite,13)</f>
        <v>phard</v>
      </c>
      <c r="E84" s="30">
        <f ca="1">INDEX(INDIRECT(zoneFichierTraite),$J84+offsetInitialFichierTraite,7)</f>
        <v>2</v>
      </c>
      <c r="F84" s="28">
        <f ca="1">INDEX(INDIRECT(zoneFichierTraite),$J84+offsetInitialFichierTraite,8)</f>
        <v>15.6</v>
      </c>
      <c r="G84" s="29">
        <f t="shared" ref="G84" ca="1" si="261">ROUNDUP(F84*3,0)</f>
        <v>47</v>
      </c>
      <c r="H84" s="31" t="str">
        <f ca="1">IF(ISNUMBER(N84),codeEAN13(INT(N84/10)),"")</f>
        <v>8APASOG*ajejcf+</v>
      </c>
      <c r="I84" s="1" t="b">
        <f t="shared" ref="I84" ca="1" si="262">AND(A87&lt;&gt;0,A85=A87)</f>
        <v>0</v>
      </c>
      <c r="J84" s="15">
        <f t="shared" si="227"/>
        <v>38</v>
      </c>
      <c r="K84" s="1">
        <f t="shared" ref="K84" ca="1" si="263">A85</f>
        <v>209</v>
      </c>
      <c r="L84" s="5" t="str">
        <f ca="1">INDEX(INDIRECT(zoneFichierTraite),$J84+offsetInitialFichierTraite,1)</f>
        <v>'038</v>
      </c>
      <c r="M84" s="11">
        <f ca="1">INDEX(INDIRECT(zoneFichierTraite),$J84+offsetInitialFichierTraite,9)</f>
        <v>31.2</v>
      </c>
      <c r="N84" s="14">
        <f ca="1">INDEX(INDIRECT(zoneFichierTraite),$J84+offsetInitialFichierTraite,3)</f>
        <v>8050846094925</v>
      </c>
      <c r="O84" s="14"/>
      <c r="P84" s="56">
        <f ca="1">MATCH(N84,INDIRECT(nomFichierEAN13Valmag &amp; "!A:A"),0)</f>
        <v>925</v>
      </c>
      <c r="R84" s="50" t="str">
        <f ca="1">LEFT(B84,14)</f>
        <v>OBAGB002-EVS18</v>
      </c>
      <c r="S84" s="52">
        <f ca="1">MATCH($R84,INDIRECT(nomFichierEAN13ValmagUniq &amp; "!A:A"),0)</f>
        <v>81</v>
      </c>
      <c r="T84" s="49" t="str">
        <f ca="1">IFERROR(INDEX(INDIRECT(zoneFichierEAN13ValmagUniq),S84,2),"")</f>
        <v xml:space="preserve"> </v>
      </c>
      <c r="U84" s="52">
        <f ca="1">MATCH($R84,INDIRECT(nomFichierEAN13ValmagUniq &amp; "!A" &amp; (S84+1) &amp; ":A" &amp;  (S84+10)),0)</f>
        <v>1</v>
      </c>
      <c r="V84" s="51">
        <f t="shared" ref="V84" ca="1" si="264">U84+S84</f>
        <v>82</v>
      </c>
      <c r="W84" s="49" t="str">
        <f ca="1">IFERROR(INDEX(INDIRECT(zoneFichierEAN13ValmagUniq),V84,2),"")</f>
        <v>MINIOBODYCHEVRON</v>
      </c>
      <c r="X84" s="52" t="e">
        <f ca="1">MATCH($R84,INDIRECT(nomFichierEAN13ValmagUniq &amp; "!A" &amp; (V84+1) &amp; ":A" &amp;  (V84+10)),0)</f>
        <v>#N/A</v>
      </c>
      <c r="Y84" s="51" t="e">
        <f t="shared" ref="Y84" ca="1" si="265">X84+V84</f>
        <v>#N/A</v>
      </c>
      <c r="Z84" s="49" t="str">
        <f ca="1">IFERROR(INDEX(INDIRECT(zoneFichierEAN13ValmagUniq),Y84,2),"")</f>
        <v/>
      </c>
      <c r="AA84" s="53" t="str">
        <f t="shared" ref="AA84" ca="1" si="266">T84 &amp; IF(W84="","", " | " &amp; W84) &amp; IF(Z84="","", " | " &amp;Z84)</f>
        <v xml:space="preserve">  | MINIOBODYCHEVRON</v>
      </c>
      <c r="AC84" s="55">
        <f ca="1">MATCH(B84,INDIRECT(nomFichierFiltreCatalogue &amp; "!B:B"),0)</f>
        <v>32</v>
      </c>
      <c r="AD84" s="14"/>
    </row>
    <row r="85" spans="1:30" s="20" customFormat="1" ht="15.75" customHeight="1" x14ac:dyDescent="0.25">
      <c r="A85" s="25">
        <f ca="1">INDEX(INDIRECT(zoneFichierTraite),$J84+offsetInitialFichierTraite,2)</f>
        <v>209</v>
      </c>
      <c r="B85" s="57" t="str">
        <f ca="1">IF(ISERROR($P84),msgRefValmagAcreer,IF(INDEX(INDIRECT(zoneFichierEAN13Valmag),$P84,3) = "",msgCodeValmagVide, INDEX(INDIRECT(zoneFichierEAN13Valmag),$P84,3)))</f>
        <v xml:space="preserve"> </v>
      </c>
      <c r="C85" s="54" t="str">
        <f t="shared" ref="C85" ca="1" si="267">AA84</f>
        <v xml:space="preserve">  | MINIOBODYCHEVRON</v>
      </c>
      <c r="D85" s="19" t="str">
        <f ca="1">IFERROR(INDEX(INDIRECT(zoneFichierEAN13Valmag),$P84,4),"")</f>
        <v xml:space="preserve"> </v>
      </c>
      <c r="E85" s="58" t="str">
        <f ca="1">IFERROR(INDEX(INDIRECT(zoneFichierFiltreCatalogue),AC84,3),"")</f>
        <v>p010-1-03</v>
      </c>
      <c r="F85" s="19"/>
      <c r="G85" s="18"/>
      <c r="H85" s="32" t="str">
        <f ca="1">IFERROR(INDEX(INDIRECT(zoneFichierFiltreCatalogue),AC84,6),"")</f>
        <v>fall 2019 presentation_/catalogo fall 19.txt</v>
      </c>
      <c r="S85" s="1"/>
      <c r="T85" s="21"/>
      <c r="U85" s="21"/>
      <c r="V85" s="21"/>
      <c r="W85" s="21"/>
      <c r="X85" s="21"/>
      <c r="Y85" s="21"/>
      <c r="Z85" s="21"/>
      <c r="AA85" s="21"/>
      <c r="AB85" s="21"/>
      <c r="AC85" s="21"/>
    </row>
    <row r="86" spans="1:30" ht="39" customHeight="1" thickBot="1" x14ac:dyDescent="0.65">
      <c r="A86" s="9" t="str">
        <f ca="1">INDEX(INDIRECT(zoneFichierTraite),$J86+offsetInitialFichierTraite,6)</f>
        <v>UNICA</v>
      </c>
      <c r="B86" s="5" t="str">
        <f ca="1">INDEX(INDIRECT(zoneFichierTraite),$J86+offsetInitialFichierTraite,4)</f>
        <v>OBAGB002-EVS18-078</v>
      </c>
      <c r="C86" s="26" t="str">
        <f ca="1">INDEX(INDIRECT(zoneFichierTraite),$J86+offsetInitialFichierTraite,5)</f>
        <v>CORPS O BAG MINI EVA COMPOUND TEXTURE Ã€ CHEVRONS</v>
      </c>
      <c r="D86" s="27" t="str">
        <f ca="1">INDEX(INDIRECT(zoneFichierTraite),$J86+offsetInitialFichierTraite,13)</f>
        <v>sabbia</v>
      </c>
      <c r="E86" s="30">
        <f ca="1">INDEX(INDIRECT(zoneFichierTraite),$J86+offsetInitialFichierTraite,7)</f>
        <v>2</v>
      </c>
      <c r="F86" s="28">
        <f ca="1">INDEX(INDIRECT(zoneFichierTraite),$J86+offsetInitialFichierTraite,8)</f>
        <v>15.6</v>
      </c>
      <c r="G86" s="29">
        <f t="shared" ref="G86" ca="1" si="268">ROUNDUP(F86*3,0)</f>
        <v>47</v>
      </c>
      <c r="H86" s="31" t="str">
        <f ca="1">IF(ISNUMBER(N86),codeEAN13(INT(N86/10)),"")</f>
        <v>8APASOG*ajjgif+</v>
      </c>
      <c r="I86" s="1" t="b">
        <f t="shared" ref="I86" ca="1" si="269">AND(A89&lt;&gt;0,A87=A89)</f>
        <v>0</v>
      </c>
      <c r="J86" s="15">
        <f t="shared" si="227"/>
        <v>39</v>
      </c>
      <c r="K86" s="1">
        <f t="shared" ref="K86" ca="1" si="270">A87</f>
        <v>133</v>
      </c>
      <c r="L86" s="5" t="str">
        <f ca="1">INDEX(INDIRECT(zoneFichierTraite),$J86+offsetInitialFichierTraite,1)</f>
        <v>'039</v>
      </c>
      <c r="M86" s="11">
        <f ca="1">INDEX(INDIRECT(zoneFichierTraite),$J86+offsetInitialFichierTraite,9)</f>
        <v>31.2</v>
      </c>
      <c r="N86" s="14">
        <f ca="1">INDEX(INDIRECT(zoneFichierTraite),$J86+offsetInitialFichierTraite,3)</f>
        <v>8050846099685</v>
      </c>
      <c r="O86" s="14"/>
      <c r="P86" s="56">
        <f ca="1">MATCH(N86,INDIRECT(nomFichierEAN13Valmag &amp; "!A:A"),0)</f>
        <v>937</v>
      </c>
      <c r="R86" s="50" t="str">
        <f ca="1">LEFT(B86,14)</f>
        <v>OBAGB002-EVS18</v>
      </c>
      <c r="S86" s="52">
        <f ca="1">MATCH($R86,INDIRECT(nomFichierEAN13ValmagUniq &amp; "!A:A"),0)</f>
        <v>81</v>
      </c>
      <c r="T86" s="49" t="str">
        <f ca="1">IFERROR(INDEX(INDIRECT(zoneFichierEAN13ValmagUniq),S86,2),"")</f>
        <v xml:space="preserve"> </v>
      </c>
      <c r="U86" s="52">
        <f ca="1">MATCH($R86,INDIRECT(nomFichierEAN13ValmagUniq &amp; "!A" &amp; (S86+1) &amp; ":A" &amp;  (S86+10)),0)</f>
        <v>1</v>
      </c>
      <c r="V86" s="51">
        <f t="shared" ref="V86" ca="1" si="271">U86+S86</f>
        <v>82</v>
      </c>
      <c r="W86" s="49" t="str">
        <f ca="1">IFERROR(INDEX(INDIRECT(zoneFichierEAN13ValmagUniq),V86,2),"")</f>
        <v>MINIOBODYCHEVRON</v>
      </c>
      <c r="X86" s="52" t="e">
        <f ca="1">MATCH($R86,INDIRECT(nomFichierEAN13ValmagUniq &amp; "!A" &amp; (V86+1) &amp; ":A" &amp;  (V86+10)),0)</f>
        <v>#N/A</v>
      </c>
      <c r="Y86" s="51" t="e">
        <f t="shared" ref="Y86" ca="1" si="272">X86+V86</f>
        <v>#N/A</v>
      </c>
      <c r="Z86" s="49" t="str">
        <f ca="1">IFERROR(INDEX(INDIRECT(zoneFichierEAN13ValmagUniq),Y86,2),"")</f>
        <v/>
      </c>
      <c r="AA86" s="53" t="str">
        <f t="shared" ref="AA86" ca="1" si="273">T86 &amp; IF(W86="","", " | " &amp; W86) &amp; IF(Z86="","", " | " &amp;Z86)</f>
        <v xml:space="preserve">  | MINIOBODYCHEVRON</v>
      </c>
      <c r="AC86" s="55">
        <f ca="1">MATCH(B86,INDIRECT(nomFichierFiltreCatalogue &amp; "!B:B"),0)</f>
        <v>35</v>
      </c>
      <c r="AD86" s="14"/>
    </row>
    <row r="87" spans="1:30" s="20" customFormat="1" ht="15.75" customHeight="1" x14ac:dyDescent="0.25">
      <c r="A87" s="25">
        <f ca="1">INDEX(INDIRECT(zoneFichierTraite),$J86+offsetInitialFichierTraite,2)</f>
        <v>133</v>
      </c>
      <c r="B87" s="57" t="str">
        <f ca="1">IF(ISERROR($P86),msgRefValmagAcreer,IF(INDEX(INDIRECT(zoneFichierEAN13Valmag),$P86,3) = "",msgCodeValmagVide, INDEX(INDIRECT(zoneFichierEAN13Valmag),$P86,3)))</f>
        <v xml:space="preserve"> </v>
      </c>
      <c r="C87" s="54" t="str">
        <f t="shared" ref="C87" ca="1" si="274">AA86</f>
        <v xml:space="preserve">  | MINIOBODYCHEVRON</v>
      </c>
      <c r="D87" s="19" t="str">
        <f ca="1">IFERROR(INDEX(INDIRECT(zoneFichierEAN13Valmag),$P86,4),"")</f>
        <v xml:space="preserve"> </v>
      </c>
      <c r="E87" s="58" t="str">
        <f ca="1">IFERROR(INDEX(INDIRECT(zoneFichierFiltreCatalogue),AC86,3),"")</f>
        <v>p010-1-06</v>
      </c>
      <c r="F87" s="19"/>
      <c r="G87" s="18"/>
      <c r="H87" s="32" t="str">
        <f ca="1">IFERROR(INDEX(INDIRECT(zoneFichierFiltreCatalogue),AC86,6),"")</f>
        <v>fall 2019 presentation_/catalogo fall 19.txt</v>
      </c>
      <c r="S87" s="1"/>
      <c r="T87" s="21"/>
      <c r="U87" s="21"/>
      <c r="V87" s="21"/>
      <c r="W87" s="21"/>
      <c r="X87" s="21"/>
      <c r="Y87" s="21"/>
      <c r="Z87" s="21"/>
      <c r="AA87" s="21"/>
      <c r="AB87" s="21"/>
      <c r="AC87" s="21"/>
    </row>
    <row r="88" spans="1:30" ht="39" customHeight="1" thickBot="1" x14ac:dyDescent="0.65">
      <c r="A88" s="9" t="str">
        <f ca="1">INDEX(INDIRECT(zoneFichierTraite),$J88+offsetInitialFichierTraite,6)</f>
        <v>UNICA</v>
      </c>
      <c r="B88" s="5" t="str">
        <f ca="1">INDEX(INDIRECT(zoneFichierTraite),$J88+offsetInitialFichierTraite,4)</f>
        <v>OBAGB002-EVS18-371</v>
      </c>
      <c r="C88" s="26" t="str">
        <f ca="1">INDEX(INDIRECT(zoneFichierTraite),$J88+offsetInitialFichierTraite,5)</f>
        <v>CORPS O BAG MINI EVA COMPOUND TEXTURE Ã€ CHEVRONS</v>
      </c>
      <c r="D88" s="27" t="str">
        <f ca="1">INDEX(INDIRECT(zoneFichierTraite),$J88+offsetInitialFichierTraite,13)</f>
        <v>latte</v>
      </c>
      <c r="E88" s="30">
        <f ca="1">INDEX(INDIRECT(zoneFichierTraite),$J88+offsetInitialFichierTraite,7)</f>
        <v>2</v>
      </c>
      <c r="F88" s="28">
        <f ca="1">INDEX(INDIRECT(zoneFichierTraite),$J88+offsetInitialFichierTraite,8)</f>
        <v>15.6</v>
      </c>
      <c r="G88" s="29">
        <f t="shared" ref="G88" ca="1" si="275">ROUNDUP(F88*3,0)</f>
        <v>47</v>
      </c>
      <c r="H88" s="31" t="str">
        <f ca="1">IF(ISNUMBER(N88),codeEAN13(INT(N88/10)),"")</f>
        <v>8APASOG*aaddaj+</v>
      </c>
      <c r="I88" s="1" t="b">
        <f t="shared" ref="I88" ca="1" si="276">AND(A91&lt;&gt;0,A89=A91)</f>
        <v>0</v>
      </c>
      <c r="J88" s="15">
        <f t="shared" si="227"/>
        <v>40</v>
      </c>
      <c r="K88" s="1">
        <f t="shared" ref="K88" ca="1" si="277">A89</f>
        <v>54</v>
      </c>
      <c r="L88" s="5" t="str">
        <f ca="1">INDEX(INDIRECT(zoneFichierTraite),$J88+offsetInitialFichierTraite,1)</f>
        <v>'040</v>
      </c>
      <c r="M88" s="11">
        <f ca="1">INDEX(INDIRECT(zoneFichierTraite),$J88+offsetInitialFichierTraite,9)</f>
        <v>31.2</v>
      </c>
      <c r="N88" s="14">
        <f ca="1">INDEX(INDIRECT(zoneFichierTraite),$J88+offsetInitialFichierTraite,3)</f>
        <v>8050846003309</v>
      </c>
      <c r="O88" s="14"/>
      <c r="P88" s="56">
        <f ca="1">MATCH(N88,INDIRECT(nomFichierEAN13Valmag &amp; "!A:A"),0)</f>
        <v>78</v>
      </c>
      <c r="R88" s="50" t="str">
        <f ca="1">LEFT(B88,14)</f>
        <v>OBAGB002-EVS18</v>
      </c>
      <c r="S88" s="52">
        <f ca="1">MATCH($R88,INDIRECT(nomFichierEAN13ValmagUniq &amp; "!A:A"),0)</f>
        <v>81</v>
      </c>
      <c r="T88" s="49" t="str">
        <f ca="1">IFERROR(INDEX(INDIRECT(zoneFichierEAN13ValmagUniq),S88,2),"")</f>
        <v xml:space="preserve"> </v>
      </c>
      <c r="U88" s="52">
        <f ca="1">MATCH($R88,INDIRECT(nomFichierEAN13ValmagUniq &amp; "!A" &amp; (S88+1) &amp; ":A" &amp;  (S88+10)),0)</f>
        <v>1</v>
      </c>
      <c r="V88" s="51">
        <f t="shared" ref="V88" ca="1" si="278">U88+S88</f>
        <v>82</v>
      </c>
      <c r="W88" s="49" t="str">
        <f ca="1">IFERROR(INDEX(INDIRECT(zoneFichierEAN13ValmagUniq),V88,2),"")</f>
        <v>MINIOBODYCHEVRON</v>
      </c>
      <c r="X88" s="52" t="e">
        <f ca="1">MATCH($R88,INDIRECT(nomFichierEAN13ValmagUniq &amp; "!A" &amp; (V88+1) &amp; ":A" &amp;  (V88+10)),0)</f>
        <v>#N/A</v>
      </c>
      <c r="Y88" s="51" t="e">
        <f t="shared" ref="Y88" ca="1" si="279">X88+V88</f>
        <v>#N/A</v>
      </c>
      <c r="Z88" s="49" t="str">
        <f ca="1">IFERROR(INDEX(INDIRECT(zoneFichierEAN13ValmagUniq),Y88,2),"")</f>
        <v/>
      </c>
      <c r="AA88" s="53" t="str">
        <f t="shared" ref="AA88" ca="1" si="280">T88 &amp; IF(W88="","", " | " &amp; W88) &amp; IF(Z88="","", " | " &amp;Z88)</f>
        <v xml:space="preserve">  | MINIOBODYCHEVRON</v>
      </c>
      <c r="AC88" s="55">
        <f ca="1">MATCH(B88,INDIRECT(nomFichierFiltreCatalogue &amp; "!B:B"),0)</f>
        <v>31</v>
      </c>
      <c r="AD88" s="14"/>
    </row>
    <row r="89" spans="1:30" s="20" customFormat="1" ht="15.75" customHeight="1" x14ac:dyDescent="0.25">
      <c r="A89" s="25">
        <f ca="1">INDEX(INDIRECT(zoneFichierTraite),$J88+offsetInitialFichierTraite,2)</f>
        <v>54</v>
      </c>
      <c r="B89" s="57" t="str">
        <f ca="1">IF(ISERROR($P88),msgRefValmagAcreer,IF(INDEX(INDIRECT(zoneFichierEAN13Valmag),$P88,3) = "",msgCodeValmagVide, INDEX(INDIRECT(zoneFichierEAN13Valmag),$P88,3)))</f>
        <v>MINIOBODYCHEVRON</v>
      </c>
      <c r="C89" s="54" t="str">
        <f t="shared" ref="C89" ca="1" si="281">AA88</f>
        <v xml:space="preserve">  | MINIOBODYCHEVRON</v>
      </c>
      <c r="D89" s="19" t="str">
        <f ca="1">IFERROR(INDEX(INDIRECT(zoneFichierEAN13Valmag),$P88,4),"")</f>
        <v>WHITE</v>
      </c>
      <c r="E89" s="58" t="str">
        <f ca="1">IFERROR(INDEX(INDIRECT(zoneFichierFiltreCatalogue),AC88,3),"")</f>
        <v>p010-1-02</v>
      </c>
      <c r="F89" s="19"/>
      <c r="G89" s="18"/>
      <c r="H89" s="32" t="str">
        <f ca="1">IFERROR(INDEX(INDIRECT(zoneFichierFiltreCatalogue),AC88,6),"")</f>
        <v>fall 2019 presentation_/catalogo fall 19.txt</v>
      </c>
      <c r="S89" s="1"/>
      <c r="T89" s="21"/>
      <c r="U89" s="21"/>
      <c r="V89" s="21"/>
      <c r="W89" s="21"/>
      <c r="X89" s="21"/>
      <c r="Y89" s="21"/>
      <c r="Z89" s="21"/>
      <c r="AA89" s="21"/>
      <c r="AB89" s="21"/>
      <c r="AC89" s="21"/>
    </row>
    <row r="90" spans="1:30" ht="39" customHeight="1" thickBot="1" x14ac:dyDescent="0.65">
      <c r="A90" s="9" t="str">
        <f ca="1">INDEX(INDIRECT(zoneFichierTraite),$J90+offsetInitialFichierTraite,6)</f>
        <v>UNICA</v>
      </c>
      <c r="B90" s="5" t="str">
        <f ca="1">INDEX(INDIRECT(zoneFichierTraite),$J90+offsetInitialFichierTraite,4)</f>
        <v>OBAGB002-EVS18-614</v>
      </c>
      <c r="C90" s="26" t="str">
        <f ca="1">INDEX(INDIRECT(zoneFichierTraite),$J90+offsetInitialFichierTraite,5)</f>
        <v>CORPS O BAG MINI EVA COMPOUND TEXTURE Ã€ CHEVRONS</v>
      </c>
      <c r="D90" s="27" t="str">
        <f ca="1">INDEX(INDIRECT(zoneFichierTraite),$J90+offsetInitialFichierTraite,13)</f>
        <v>imperial blu</v>
      </c>
      <c r="E90" s="30">
        <f ca="1">INDEX(INDIRECT(zoneFichierTraite),$J90+offsetInitialFichierTraite,7)</f>
        <v>2</v>
      </c>
      <c r="F90" s="28">
        <f ca="1">INDEX(INDIRECT(zoneFichierTraite),$J90+offsetInitialFichierTraite,8)</f>
        <v>15.6</v>
      </c>
      <c r="G90" s="29">
        <f t="shared" ref="G90" ca="1" si="282">ROUNDUP(F90*3,0)</f>
        <v>47</v>
      </c>
      <c r="H90" s="31" t="str">
        <f ca="1">IF(ISNUMBER(N90),codeEAN13(INT(N90/10)),"")</f>
        <v>8APASOG*ajejfg+</v>
      </c>
      <c r="I90" s="1" t="b">
        <f t="shared" ref="I90" ca="1" si="283">AND(A93&lt;&gt;0,A91=A93)</f>
        <v>0</v>
      </c>
      <c r="J90" s="15">
        <f t="shared" si="227"/>
        <v>41</v>
      </c>
      <c r="K90" s="1">
        <f t="shared" ref="K90" ca="1" si="284">A91</f>
        <v>189</v>
      </c>
      <c r="L90" s="5" t="str">
        <f ca="1">INDEX(INDIRECT(zoneFichierTraite),$J90+offsetInitialFichierTraite,1)</f>
        <v>'041</v>
      </c>
      <c r="M90" s="11">
        <f ca="1">INDEX(INDIRECT(zoneFichierTraite),$J90+offsetInitialFichierTraite,9)</f>
        <v>31.2</v>
      </c>
      <c r="N90" s="14">
        <f ca="1">INDEX(INDIRECT(zoneFichierTraite),$J90+offsetInitialFichierTraite,3)</f>
        <v>8050846094956</v>
      </c>
      <c r="O90" s="14"/>
      <c r="P90" s="56">
        <f ca="1">MATCH(N90,INDIRECT(nomFichierEAN13Valmag &amp; "!A:A"),0)</f>
        <v>927</v>
      </c>
      <c r="R90" s="50" t="str">
        <f ca="1">LEFT(B90,14)</f>
        <v>OBAGB002-EVS18</v>
      </c>
      <c r="S90" s="52">
        <f ca="1">MATCH($R90,INDIRECT(nomFichierEAN13ValmagUniq &amp; "!A:A"),0)</f>
        <v>81</v>
      </c>
      <c r="T90" s="49" t="str">
        <f ca="1">IFERROR(INDEX(INDIRECT(zoneFichierEAN13ValmagUniq),S90,2),"")</f>
        <v xml:space="preserve"> </v>
      </c>
      <c r="U90" s="52">
        <f ca="1">MATCH($R90,INDIRECT(nomFichierEAN13ValmagUniq &amp; "!A" &amp; (S90+1) &amp; ":A" &amp;  (S90+10)),0)</f>
        <v>1</v>
      </c>
      <c r="V90" s="51">
        <f t="shared" ref="V90" ca="1" si="285">U90+S90</f>
        <v>82</v>
      </c>
      <c r="W90" s="49" t="str">
        <f ca="1">IFERROR(INDEX(INDIRECT(zoneFichierEAN13ValmagUniq),V90,2),"")</f>
        <v>MINIOBODYCHEVRON</v>
      </c>
      <c r="X90" s="52" t="e">
        <f ca="1">MATCH($R90,INDIRECT(nomFichierEAN13ValmagUniq &amp; "!A" &amp; (V90+1) &amp; ":A" &amp;  (V90+10)),0)</f>
        <v>#N/A</v>
      </c>
      <c r="Y90" s="51" t="e">
        <f t="shared" ref="Y90" ca="1" si="286">X90+V90</f>
        <v>#N/A</v>
      </c>
      <c r="Z90" s="49" t="str">
        <f ca="1">IFERROR(INDEX(INDIRECT(zoneFichierEAN13ValmagUniq),Y90,2),"")</f>
        <v/>
      </c>
      <c r="AA90" s="53" t="str">
        <f t="shared" ref="AA90" ca="1" si="287">T90 &amp; IF(W90="","", " | " &amp; W90) &amp; IF(Z90="","", " | " &amp;Z90)</f>
        <v xml:space="preserve">  | MINIOBODYCHEVRON</v>
      </c>
      <c r="AC90" s="55">
        <f ca="1">MATCH(B90,INDIRECT(nomFichierFiltreCatalogue &amp; "!B:B"),0)</f>
        <v>33</v>
      </c>
      <c r="AD90" s="14"/>
    </row>
    <row r="91" spans="1:30" s="20" customFormat="1" ht="15.75" customHeight="1" x14ac:dyDescent="0.25">
      <c r="A91" s="25">
        <f ca="1">INDEX(INDIRECT(zoneFichierTraite),$J90+offsetInitialFichierTraite,2)</f>
        <v>189</v>
      </c>
      <c r="B91" s="57" t="str">
        <f ca="1">IF(ISERROR($P90),msgRefValmagAcreer,IF(INDEX(INDIRECT(zoneFichierEAN13Valmag),$P90,3) = "",msgCodeValmagVide, INDEX(INDIRECT(zoneFichierEAN13Valmag),$P90,3)))</f>
        <v xml:space="preserve"> </v>
      </c>
      <c r="C91" s="54" t="str">
        <f t="shared" ref="C91" ca="1" si="288">AA90</f>
        <v xml:space="preserve">  | MINIOBODYCHEVRON</v>
      </c>
      <c r="D91" s="19" t="str">
        <f ca="1">IFERROR(INDEX(INDIRECT(zoneFichierEAN13Valmag),$P90,4),"")</f>
        <v xml:space="preserve"> </v>
      </c>
      <c r="E91" s="58" t="str">
        <f ca="1">IFERROR(INDEX(INDIRECT(zoneFichierFiltreCatalogue),AC90,3),"")</f>
        <v>p010-1-04</v>
      </c>
      <c r="F91" s="19"/>
      <c r="G91" s="18"/>
      <c r="H91" s="32" t="str">
        <f ca="1">IFERROR(INDEX(INDIRECT(zoneFichierFiltreCatalogue),AC90,6),"")</f>
        <v>fall 2019 presentation_/catalogo fall 19.txt</v>
      </c>
      <c r="S91" s="1"/>
      <c r="T91" s="21"/>
      <c r="U91" s="21"/>
      <c r="V91" s="21"/>
      <c r="W91" s="21"/>
      <c r="X91" s="21"/>
      <c r="Y91" s="21"/>
      <c r="Z91" s="21"/>
      <c r="AA91" s="21"/>
      <c r="AB91" s="21"/>
      <c r="AC91" s="21"/>
    </row>
    <row r="92" spans="1:30" ht="39" customHeight="1" thickBot="1" x14ac:dyDescent="0.65">
      <c r="A92" s="9" t="str">
        <f ca="1">INDEX(INDIRECT(zoneFichierTraite),$J92+offsetInitialFichierTraite,6)</f>
        <v>UNICA</v>
      </c>
      <c r="B92" s="5" t="str">
        <f ca="1">INDEX(INDIRECT(zoneFichierTraite),$J92+offsetInitialFichierTraite,4)</f>
        <v>OBAGB002-EVS18-615</v>
      </c>
      <c r="C92" s="26" t="str">
        <f ca="1">INDEX(INDIRECT(zoneFichierTraite),$J92+offsetInitialFichierTraite,5)</f>
        <v>CORPS O BAG MINI EVA COMPOUND TEXTURE Ã€ CHEVRONS</v>
      </c>
      <c r="D92" s="27" t="str">
        <f ca="1">INDEX(INDIRECT(zoneFichierTraite),$J92+offsetInitialFichierTraite,13)</f>
        <v>military</v>
      </c>
      <c r="E92" s="30">
        <f ca="1">INDEX(INDIRECT(zoneFichierTraite),$J92+offsetInitialFichierTraite,7)</f>
        <v>2</v>
      </c>
      <c r="F92" s="28">
        <f ca="1">INDEX(INDIRECT(zoneFichierTraite),$J92+offsetInitialFichierTraite,8)</f>
        <v>15.6</v>
      </c>
      <c r="G92" s="29">
        <f t="shared" ref="G92" ca="1" si="289">ROUNDUP(F92*3,0)</f>
        <v>47</v>
      </c>
      <c r="H92" s="31" t="str">
        <f ca="1">IF(ISNUMBER(N92),codeEAN13(INT(N92/10)),"")</f>
        <v>8APASOG*ajejdc+</v>
      </c>
      <c r="I92" s="1" t="b">
        <f t="shared" ref="I92" ca="1" si="290">AND(A95&lt;&gt;0,A93=A95)</f>
        <v>0</v>
      </c>
      <c r="J92" s="15">
        <f t="shared" si="227"/>
        <v>42</v>
      </c>
      <c r="K92" s="1">
        <f t="shared" ref="K92" ca="1" si="291">A93</f>
        <v>221</v>
      </c>
      <c r="L92" s="5" t="str">
        <f ca="1">INDEX(INDIRECT(zoneFichierTraite),$J92+offsetInitialFichierTraite,1)</f>
        <v>'042</v>
      </c>
      <c r="M92" s="11">
        <f ca="1">INDEX(INDIRECT(zoneFichierTraite),$J92+offsetInitialFichierTraite,9)</f>
        <v>31.2</v>
      </c>
      <c r="N92" s="14">
        <f ca="1">INDEX(INDIRECT(zoneFichierTraite),$J92+offsetInitialFichierTraite,3)</f>
        <v>8050846094932</v>
      </c>
      <c r="O92" s="14"/>
      <c r="P92" s="56">
        <f ca="1">MATCH(N92,INDIRECT(nomFichierEAN13Valmag &amp; "!A:A"),0)</f>
        <v>926</v>
      </c>
      <c r="R92" s="50" t="str">
        <f ca="1">LEFT(B92,14)</f>
        <v>OBAGB002-EVS18</v>
      </c>
      <c r="S92" s="52">
        <f ca="1">MATCH($R92,INDIRECT(nomFichierEAN13ValmagUniq &amp; "!A:A"),0)</f>
        <v>81</v>
      </c>
      <c r="T92" s="49" t="str">
        <f ca="1">IFERROR(INDEX(INDIRECT(zoneFichierEAN13ValmagUniq),S92,2),"")</f>
        <v xml:space="preserve"> </v>
      </c>
      <c r="U92" s="52">
        <f ca="1">MATCH($R92,INDIRECT(nomFichierEAN13ValmagUniq &amp; "!A" &amp; (S92+1) &amp; ":A" &amp;  (S92+10)),0)</f>
        <v>1</v>
      </c>
      <c r="V92" s="51">
        <f t="shared" ref="V92" ca="1" si="292">U92+S92</f>
        <v>82</v>
      </c>
      <c r="W92" s="49" t="str">
        <f ca="1">IFERROR(INDEX(INDIRECT(zoneFichierEAN13ValmagUniq),V92,2),"")</f>
        <v>MINIOBODYCHEVRON</v>
      </c>
      <c r="X92" s="52" t="e">
        <f ca="1">MATCH($R92,INDIRECT(nomFichierEAN13ValmagUniq &amp; "!A" &amp; (V92+1) &amp; ":A" &amp;  (V92+10)),0)</f>
        <v>#N/A</v>
      </c>
      <c r="Y92" s="51" t="e">
        <f t="shared" ref="Y92" ca="1" si="293">X92+V92</f>
        <v>#N/A</v>
      </c>
      <c r="Z92" s="49" t="str">
        <f ca="1">IFERROR(INDEX(INDIRECT(zoneFichierEAN13ValmagUniq),Y92,2),"")</f>
        <v/>
      </c>
      <c r="AA92" s="53" t="str">
        <f t="shared" ref="AA92" ca="1" si="294">T92 &amp; IF(W92="","", " | " &amp; W92) &amp; IF(Z92="","", " | " &amp;Z92)</f>
        <v xml:space="preserve">  | MINIOBODYCHEVRON</v>
      </c>
      <c r="AC92" s="55">
        <f ca="1">MATCH(B92,INDIRECT(nomFichierFiltreCatalogue &amp; "!B:B"),0)</f>
        <v>34</v>
      </c>
      <c r="AD92" s="14"/>
    </row>
    <row r="93" spans="1:30" s="20" customFormat="1" ht="15.75" customHeight="1" x14ac:dyDescent="0.25">
      <c r="A93" s="25">
        <f ca="1">INDEX(INDIRECT(zoneFichierTraite),$J92+offsetInitialFichierTraite,2)</f>
        <v>221</v>
      </c>
      <c r="B93" s="57" t="str">
        <f ca="1">IF(ISERROR($P92),msgRefValmagAcreer,IF(INDEX(INDIRECT(zoneFichierEAN13Valmag),$P92,3) = "",msgCodeValmagVide, INDEX(INDIRECT(zoneFichierEAN13Valmag),$P92,3)))</f>
        <v xml:space="preserve"> </v>
      </c>
      <c r="C93" s="54" t="str">
        <f t="shared" ref="C93" ca="1" si="295">AA92</f>
        <v xml:space="preserve">  | MINIOBODYCHEVRON</v>
      </c>
      <c r="D93" s="19" t="str">
        <f ca="1">IFERROR(INDEX(INDIRECT(zoneFichierEAN13Valmag),$P92,4),"")</f>
        <v xml:space="preserve"> </v>
      </c>
      <c r="E93" s="58" t="str">
        <f ca="1">IFERROR(INDEX(INDIRECT(zoneFichierFiltreCatalogue),AC92,3),"")</f>
        <v>p010-1-05</v>
      </c>
      <c r="F93" s="19"/>
      <c r="G93" s="18"/>
      <c r="H93" s="32" t="str">
        <f ca="1">IFERROR(INDEX(INDIRECT(zoneFichierFiltreCatalogue),AC92,6),"")</f>
        <v>fall 2019 presentation_/catalogo fall 19.txt</v>
      </c>
      <c r="S93" s="1"/>
      <c r="T93" s="21"/>
      <c r="U93" s="21"/>
      <c r="V93" s="21"/>
      <c r="W93" s="21"/>
      <c r="X93" s="21"/>
      <c r="Y93" s="21"/>
      <c r="Z93" s="21"/>
      <c r="AA93" s="21"/>
      <c r="AB93" s="21"/>
      <c r="AC93" s="21"/>
    </row>
    <row r="94" spans="1:30" ht="39" customHeight="1" thickBot="1" x14ac:dyDescent="0.65">
      <c r="A94" s="9" t="str">
        <f ca="1">INDEX(INDIRECT(zoneFichierTraite),$J94+offsetInitialFichierTraite,6)</f>
        <v>UNICA</v>
      </c>
      <c r="B94" s="5" t="str">
        <f ca="1">INDEX(INDIRECT(zoneFichierTraite),$J94+offsetInitialFichierTraite,4)</f>
        <v>OBAGB033-EVS00-017</v>
      </c>
      <c r="C94" s="26" t="str">
        <f ca="1">INDEX(INDIRECT(zoneFichierTraite),$J94+offsetInitialFichierTraite,5)</f>
        <v>CORPS O BAG URBAN EVA COMPOUND</v>
      </c>
      <c r="D94" s="27" t="str">
        <f ca="1">INDEX(INDIRECT(zoneFichierTraite),$J94+offsetInitialFichierTraite,13)</f>
        <v>blu navy</v>
      </c>
      <c r="E94" s="30">
        <f ca="1">INDEX(INDIRECT(zoneFichierTraite),$J94+offsetInitialFichierTraite,7)</f>
        <v>2</v>
      </c>
      <c r="F94" s="28">
        <f ca="1">INDEX(INDIRECT(zoneFichierTraite),$J94+offsetInitialFichierTraite,8)</f>
        <v>14.16</v>
      </c>
      <c r="G94" s="29">
        <f t="shared" ref="G94" ca="1" si="296">ROUNDUP(F94*3,0)</f>
        <v>43</v>
      </c>
      <c r="H94" s="31" t="str">
        <f ca="1">IF(ISNUMBER(N94),codeEAN13(INT(N94/10)),"")</f>
        <v>8APASOG*adjged+</v>
      </c>
      <c r="I94" s="1" t="b">
        <f t="shared" ref="I94" ca="1" si="297">AND(A97&lt;&gt;0,A95=A97)</f>
        <v>0</v>
      </c>
      <c r="J94" s="15">
        <f t="shared" si="227"/>
        <v>43</v>
      </c>
      <c r="K94" s="1">
        <f t="shared" ref="K94" ca="1" si="298">A95</f>
        <v>55</v>
      </c>
      <c r="L94" s="5" t="str">
        <f ca="1">INDEX(INDIRECT(zoneFichierTraite),$J94+offsetInitialFichierTraite,1)</f>
        <v>'043</v>
      </c>
      <c r="M94" s="11">
        <f ca="1">INDEX(INDIRECT(zoneFichierTraite),$J94+offsetInitialFichierTraite,9)</f>
        <v>28.32</v>
      </c>
      <c r="N94" s="14">
        <f ca="1">INDEX(INDIRECT(zoneFichierTraite),$J94+offsetInitialFichierTraite,3)</f>
        <v>8050846039643</v>
      </c>
      <c r="O94" s="14"/>
      <c r="P94" s="56">
        <f ca="1">MATCH(N94,INDIRECT(nomFichierEAN13Valmag &amp; "!A:A"),0)</f>
        <v>246</v>
      </c>
      <c r="R94" s="50" t="str">
        <f ca="1">LEFT(B94,14)</f>
        <v>OBAGB033-EVS00</v>
      </c>
      <c r="S94" s="52">
        <f ca="1">MATCH($R94,INDIRECT(nomFichierEAN13ValmagUniq &amp; "!A:A"),0)</f>
        <v>95</v>
      </c>
      <c r="T94" s="49" t="str">
        <f ca="1">IFERROR(INDEX(INDIRECT(zoneFichierEAN13ValmagUniq),S94,2),"")</f>
        <v xml:space="preserve"> </v>
      </c>
      <c r="U94" s="52">
        <f ca="1">MATCH($R94,INDIRECT(nomFichierEAN13ValmagUniq &amp; "!A" &amp; (S94+1) &amp; ":A" &amp;  (S94+10)),0)</f>
        <v>1</v>
      </c>
      <c r="V94" s="51">
        <f t="shared" ref="V94" ca="1" si="299">U94+S94</f>
        <v>96</v>
      </c>
      <c r="W94" s="49" t="str">
        <f ca="1">IFERROR(INDEX(INDIRECT(zoneFichierEAN13ValmagUniq),V94,2),"")</f>
        <v xml:space="preserve">OURBAN          </v>
      </c>
      <c r="X94" s="52" t="e">
        <f ca="1">MATCH($R94,INDIRECT(nomFichierEAN13ValmagUniq &amp; "!A" &amp; (V94+1) &amp; ":A" &amp;  (V94+10)),0)</f>
        <v>#N/A</v>
      </c>
      <c r="Y94" s="51" t="e">
        <f t="shared" ref="Y94" ca="1" si="300">X94+V94</f>
        <v>#N/A</v>
      </c>
      <c r="Z94" s="49" t="str">
        <f ca="1">IFERROR(INDEX(INDIRECT(zoneFichierEAN13ValmagUniq),Y94,2),"")</f>
        <v/>
      </c>
      <c r="AA94" s="53" t="str">
        <f t="shared" ref="AA94" ca="1" si="301">T94 &amp; IF(W94="","", " | " &amp; W94) &amp; IF(Z94="","", " | " &amp;Z94)</f>
        <v xml:space="preserve">  | OURBAN          </v>
      </c>
      <c r="AC94" s="55">
        <f ca="1">MATCH(B94,INDIRECT(nomFichierFiltreCatalogue &amp; "!B:B"),0)</f>
        <v>36</v>
      </c>
      <c r="AD94" s="14"/>
    </row>
    <row r="95" spans="1:30" s="20" customFormat="1" ht="15.75" customHeight="1" x14ac:dyDescent="0.25">
      <c r="A95" s="25">
        <f ca="1">INDEX(INDIRECT(zoneFichierTraite),$J94+offsetInitialFichierTraite,2)</f>
        <v>55</v>
      </c>
      <c r="B95" s="57" t="str">
        <f ca="1">IF(ISERROR($P94),msgRefValmagAcreer,IF(INDEX(INDIRECT(zoneFichierEAN13Valmag),$P94,3) = "",msgCodeValmagVide, INDEX(INDIRECT(zoneFichierEAN13Valmag),$P94,3)))</f>
        <v xml:space="preserve">OURBAN          </v>
      </c>
      <c r="C95" s="54" t="str">
        <f t="shared" ref="C95" ca="1" si="302">AA94</f>
        <v xml:space="preserve">  | OURBAN          </v>
      </c>
      <c r="D95" s="19" t="str">
        <f ca="1">IFERROR(INDEX(INDIRECT(zoneFichierEAN13Valmag),$P94,4),"")</f>
        <v xml:space="preserve">NAVY </v>
      </c>
      <c r="E95" s="58" t="str">
        <f ca="1">IFERROR(INDEX(INDIRECT(zoneFichierFiltreCatalogue),AC94,3),"")</f>
        <v>p011-1-01</v>
      </c>
      <c r="F95" s="19"/>
      <c r="G95" s="18"/>
      <c r="H95" s="32" t="str">
        <f ca="1">IFERROR(INDEX(INDIRECT(zoneFichierFiltreCatalogue),AC94,6),"")</f>
        <v>fall 2019 presentation_/catalogo fall 19.txt</v>
      </c>
      <c r="S95" s="1"/>
      <c r="T95" s="21"/>
      <c r="U95" s="21"/>
      <c r="V95" s="21"/>
      <c r="W95" s="21"/>
      <c r="X95" s="21"/>
      <c r="Y95" s="21"/>
      <c r="Z95" s="21"/>
      <c r="AA95" s="21"/>
      <c r="AB95" s="21"/>
      <c r="AC95" s="21"/>
    </row>
    <row r="96" spans="1:30" ht="39" customHeight="1" thickBot="1" x14ac:dyDescent="0.65">
      <c r="A96" s="9" t="str">
        <f ca="1">INDEX(INDIRECT(zoneFichierTraite),$J96+offsetInitialFichierTraite,6)</f>
        <v>UNICA</v>
      </c>
      <c r="B96" s="5" t="str">
        <f ca="1">INDEX(INDIRECT(zoneFichierTraite),$J96+offsetInitialFichierTraite,4)</f>
        <v>OBAGB033-EVS00-038</v>
      </c>
      <c r="C96" s="26" t="str">
        <f ca="1">INDEX(INDIRECT(zoneFichierTraite),$J96+offsetInitialFichierTraite,5)</f>
        <v>CORPS O BAG URBAN EVA COMPOUND</v>
      </c>
      <c r="D96" s="27" t="str">
        <f ca="1">INDEX(INDIRECT(zoneFichierTraite),$J96+offsetInitialFichierTraite,13)</f>
        <v>grafite</v>
      </c>
      <c r="E96" s="30">
        <f ca="1">INDEX(INDIRECT(zoneFichierTraite),$J96+offsetInitialFichierTraite,7)</f>
        <v>2</v>
      </c>
      <c r="F96" s="28">
        <f ca="1">INDEX(INDIRECT(zoneFichierTraite),$J96+offsetInitialFichierTraite,8)</f>
        <v>14.16</v>
      </c>
      <c r="G96" s="29">
        <f t="shared" ref="G96" ca="1" si="303">ROUNDUP(F96*3,0)</f>
        <v>43</v>
      </c>
      <c r="H96" s="31" t="str">
        <f ca="1">IF(ISNUMBER(N96),codeEAN13(INT(N96/10)),"")</f>
        <v>8APASOG*ajbhge+</v>
      </c>
      <c r="I96" s="1" t="b">
        <f t="shared" ref="I96" ca="1" si="304">AND(A99&lt;&gt;0,A97=A99)</f>
        <v>0</v>
      </c>
      <c r="J96" s="15">
        <f t="shared" si="227"/>
        <v>44</v>
      </c>
      <c r="K96" s="1">
        <f t="shared" ref="K96" ca="1" si="305">A97</f>
        <v>190</v>
      </c>
      <c r="L96" s="5" t="str">
        <f ca="1">INDEX(INDIRECT(zoneFichierTraite),$J96+offsetInitialFichierTraite,1)</f>
        <v>'044</v>
      </c>
      <c r="M96" s="11">
        <f ca="1">INDEX(INDIRECT(zoneFichierTraite),$J96+offsetInitialFichierTraite,9)</f>
        <v>28.32</v>
      </c>
      <c r="N96" s="14">
        <f ca="1">INDEX(INDIRECT(zoneFichierTraite),$J96+offsetInitialFichierTraite,3)</f>
        <v>8050846091764</v>
      </c>
      <c r="O96" s="14"/>
      <c r="P96" s="56">
        <f ca="1">MATCH(N96,INDIRECT(nomFichierEAN13Valmag &amp; "!A:A"),0)</f>
        <v>831</v>
      </c>
      <c r="R96" s="50" t="str">
        <f ca="1">LEFT(B96,14)</f>
        <v>OBAGB033-EVS00</v>
      </c>
      <c r="S96" s="52">
        <f ca="1">MATCH($R96,INDIRECT(nomFichierEAN13ValmagUniq &amp; "!A:A"),0)</f>
        <v>95</v>
      </c>
      <c r="T96" s="49" t="str">
        <f ca="1">IFERROR(INDEX(INDIRECT(zoneFichierEAN13ValmagUniq),S96,2),"")</f>
        <v xml:space="preserve"> </v>
      </c>
      <c r="U96" s="52">
        <f ca="1">MATCH($R96,INDIRECT(nomFichierEAN13ValmagUniq &amp; "!A" &amp; (S96+1) &amp; ":A" &amp;  (S96+10)),0)</f>
        <v>1</v>
      </c>
      <c r="V96" s="51">
        <f t="shared" ref="V96" ca="1" si="306">U96+S96</f>
        <v>96</v>
      </c>
      <c r="W96" s="49" t="str">
        <f ca="1">IFERROR(INDEX(INDIRECT(zoneFichierEAN13ValmagUniq),V96,2),"")</f>
        <v xml:space="preserve">OURBAN          </v>
      </c>
      <c r="X96" s="52" t="e">
        <f ca="1">MATCH($R96,INDIRECT(nomFichierEAN13ValmagUniq &amp; "!A" &amp; (V96+1) &amp; ":A" &amp;  (V96+10)),0)</f>
        <v>#N/A</v>
      </c>
      <c r="Y96" s="51" t="e">
        <f t="shared" ref="Y96" ca="1" si="307">X96+V96</f>
        <v>#N/A</v>
      </c>
      <c r="Z96" s="49" t="str">
        <f ca="1">IFERROR(INDEX(INDIRECT(zoneFichierEAN13ValmagUniq),Y96,2),"")</f>
        <v/>
      </c>
      <c r="AA96" s="53" t="str">
        <f t="shared" ref="AA96" ca="1" si="308">T96 &amp; IF(W96="","", " | " &amp; W96) &amp; IF(Z96="","", " | " &amp;Z96)</f>
        <v xml:space="preserve">  | OURBAN          </v>
      </c>
      <c r="AC96" s="55">
        <f ca="1">MATCH(B96,INDIRECT(nomFichierFiltreCatalogue &amp; "!B:B"),0)</f>
        <v>38</v>
      </c>
      <c r="AD96" s="14"/>
    </row>
    <row r="97" spans="1:30" s="20" customFormat="1" ht="15.75" customHeight="1" x14ac:dyDescent="0.25">
      <c r="A97" s="25">
        <f ca="1">INDEX(INDIRECT(zoneFichierTraite),$J96+offsetInitialFichierTraite,2)</f>
        <v>190</v>
      </c>
      <c r="B97" s="57" t="str">
        <f ca="1">IF(ISERROR($P96),msgRefValmagAcreer,IF(INDEX(INDIRECT(zoneFichierEAN13Valmag),$P96,3) = "",msgCodeValmagVide, INDEX(INDIRECT(zoneFichierEAN13Valmag),$P96,3)))</f>
        <v xml:space="preserve"> </v>
      </c>
      <c r="C97" s="54" t="str">
        <f t="shared" ref="C97" ca="1" si="309">AA96</f>
        <v xml:space="preserve">  | OURBAN          </v>
      </c>
      <c r="D97" s="19" t="str">
        <f ca="1">IFERROR(INDEX(INDIRECT(zoneFichierEAN13Valmag),$P96,4),"")</f>
        <v xml:space="preserve"> </v>
      </c>
      <c r="E97" s="58" t="str">
        <f ca="1">IFERROR(INDEX(INDIRECT(zoneFichierFiltreCatalogue),AC96,3),"")</f>
        <v>p011-1-03</v>
      </c>
      <c r="F97" s="19"/>
      <c r="G97" s="18"/>
      <c r="H97" s="32" t="str">
        <f ca="1">IFERROR(INDEX(INDIRECT(zoneFichierFiltreCatalogue),AC96,6),"")</f>
        <v>fall 2019 presentation_/catalogo fall 19.txt</v>
      </c>
      <c r="S97" s="1"/>
      <c r="T97" s="21"/>
      <c r="U97" s="21"/>
      <c r="V97" s="21"/>
      <c r="W97" s="21"/>
      <c r="X97" s="21"/>
      <c r="Y97" s="21"/>
      <c r="Z97" s="21"/>
      <c r="AA97" s="21"/>
      <c r="AB97" s="21"/>
      <c r="AC97" s="21"/>
    </row>
    <row r="98" spans="1:30" ht="39" customHeight="1" thickBot="1" x14ac:dyDescent="0.65">
      <c r="A98" s="9" t="str">
        <f ca="1">INDEX(INDIRECT(zoneFichierTraite),$J98+offsetInitialFichierTraite,6)</f>
        <v>UNICA</v>
      </c>
      <c r="B98" s="5" t="str">
        <f ca="1">INDEX(INDIRECT(zoneFichierTraite),$J98+offsetInitialFichierTraite,4)</f>
        <v>OBAGB033-EVS00-055</v>
      </c>
      <c r="C98" s="26" t="str">
        <f ca="1">INDEX(INDIRECT(zoneFichierTraite),$J98+offsetInitialFichierTraite,5)</f>
        <v>CORPS O BAG URBAN EVA COMPOUND</v>
      </c>
      <c r="D98" s="27" t="str">
        <f ca="1">INDEX(INDIRECT(zoneFichierTraite),$J98+offsetInitialFichierTraite,13)</f>
        <v>nero</v>
      </c>
      <c r="E98" s="30">
        <f ca="1">INDEX(INDIRECT(zoneFichierTraite),$J98+offsetInitialFichierTraite,7)</f>
        <v>2</v>
      </c>
      <c r="F98" s="28">
        <f ca="1">INDEX(INDIRECT(zoneFichierTraite),$J98+offsetInitialFichierTraite,8)</f>
        <v>14.16</v>
      </c>
      <c r="G98" s="29">
        <f t="shared" ref="G98" ca="1" si="310">ROUNDUP(F98*3,0)</f>
        <v>43</v>
      </c>
      <c r="H98" s="31" t="str">
        <f ca="1">IF(ISNUMBER(N98),codeEAN13(INT(N98/10)),"")</f>
        <v>8APASOG*adjgib+</v>
      </c>
      <c r="I98" s="1" t="b">
        <f t="shared" ref="I98" ca="1" si="311">AND(A101&lt;&gt;0,A99=A101)</f>
        <v>0</v>
      </c>
      <c r="J98" s="15">
        <f t="shared" si="227"/>
        <v>45</v>
      </c>
      <c r="K98" s="1">
        <f t="shared" ref="K98" ca="1" si="312">A99</f>
        <v>82</v>
      </c>
      <c r="L98" s="5" t="str">
        <f ca="1">INDEX(INDIRECT(zoneFichierTraite),$J98+offsetInitialFichierTraite,1)</f>
        <v>'045</v>
      </c>
      <c r="M98" s="11">
        <f ca="1">INDEX(INDIRECT(zoneFichierTraite),$J98+offsetInitialFichierTraite,9)</f>
        <v>28.32</v>
      </c>
      <c r="N98" s="14">
        <f ca="1">INDEX(INDIRECT(zoneFichierTraite),$J98+offsetInitialFichierTraite,3)</f>
        <v>8050846039681</v>
      </c>
      <c r="O98" s="14"/>
      <c r="P98" s="56">
        <f ca="1">MATCH(N98,INDIRECT(nomFichierEAN13Valmag &amp; "!A:A"),0)</f>
        <v>249</v>
      </c>
      <c r="R98" s="50" t="str">
        <f ca="1">LEFT(B98,14)</f>
        <v>OBAGB033-EVS00</v>
      </c>
      <c r="S98" s="52">
        <f ca="1">MATCH($R98,INDIRECT(nomFichierEAN13ValmagUniq &amp; "!A:A"),0)</f>
        <v>95</v>
      </c>
      <c r="T98" s="49" t="str">
        <f ca="1">IFERROR(INDEX(INDIRECT(zoneFichierEAN13ValmagUniq),S98,2),"")</f>
        <v xml:space="preserve"> </v>
      </c>
      <c r="U98" s="52">
        <f ca="1">MATCH($R98,INDIRECT(nomFichierEAN13ValmagUniq &amp; "!A" &amp; (S98+1) &amp; ":A" &amp;  (S98+10)),0)</f>
        <v>1</v>
      </c>
      <c r="V98" s="51">
        <f t="shared" ref="V98" ca="1" si="313">U98+S98</f>
        <v>96</v>
      </c>
      <c r="W98" s="49" t="str">
        <f ca="1">IFERROR(INDEX(INDIRECT(zoneFichierEAN13ValmagUniq),V98,2),"")</f>
        <v xml:space="preserve">OURBAN          </v>
      </c>
      <c r="X98" s="52" t="e">
        <f ca="1">MATCH($R98,INDIRECT(nomFichierEAN13ValmagUniq &amp; "!A" &amp; (V98+1) &amp; ":A" &amp;  (V98+10)),0)</f>
        <v>#N/A</v>
      </c>
      <c r="Y98" s="51" t="e">
        <f t="shared" ref="Y98" ca="1" si="314">X98+V98</f>
        <v>#N/A</v>
      </c>
      <c r="Z98" s="49" t="str">
        <f ca="1">IFERROR(INDEX(INDIRECT(zoneFichierEAN13ValmagUniq),Y98,2),"")</f>
        <v/>
      </c>
      <c r="AA98" s="53" t="str">
        <f t="shared" ref="AA98" ca="1" si="315">T98 &amp; IF(W98="","", " | " &amp; W98) &amp; IF(Z98="","", " | " &amp;Z98)</f>
        <v xml:space="preserve">  | OURBAN          </v>
      </c>
      <c r="AC98" s="55">
        <f ca="1">MATCH(B98,INDIRECT(nomFichierFiltreCatalogue &amp; "!B:B"),0)</f>
        <v>40</v>
      </c>
      <c r="AD98" s="14"/>
    </row>
    <row r="99" spans="1:30" s="20" customFormat="1" ht="15.75" customHeight="1" x14ac:dyDescent="0.25">
      <c r="A99" s="25">
        <f ca="1">INDEX(INDIRECT(zoneFichierTraite),$J98+offsetInitialFichierTraite,2)</f>
        <v>82</v>
      </c>
      <c r="B99" s="57" t="str">
        <f ca="1">IF(ISERROR($P98),msgRefValmagAcreer,IF(INDEX(INDIRECT(zoneFichierEAN13Valmag),$P98,3) = "",msgCodeValmagVide, INDEX(INDIRECT(zoneFichierEAN13Valmag),$P98,3)))</f>
        <v xml:space="preserve">OURBAN          </v>
      </c>
      <c r="C99" s="54" t="str">
        <f t="shared" ref="C99" ca="1" si="316">AA98</f>
        <v xml:space="preserve">  | OURBAN          </v>
      </c>
      <c r="D99" s="19" t="str">
        <f ca="1">IFERROR(INDEX(INDIRECT(zoneFichierEAN13Valmag),$P98,4),"")</f>
        <v>BLACK</v>
      </c>
      <c r="E99" s="58" t="str">
        <f ca="1">IFERROR(INDEX(INDIRECT(zoneFichierFiltreCatalogue),AC98,3),"")</f>
        <v>p011-1-05</v>
      </c>
      <c r="F99" s="19"/>
      <c r="G99" s="18"/>
      <c r="H99" s="32" t="str">
        <f ca="1">IFERROR(INDEX(INDIRECT(zoneFichierFiltreCatalogue),AC98,6),"")</f>
        <v>fall 2019 presentation_/catalogo fall 19.txt</v>
      </c>
      <c r="S99" s="1"/>
      <c r="T99" s="21"/>
      <c r="U99" s="21"/>
      <c r="V99" s="21"/>
      <c r="W99" s="21"/>
      <c r="X99" s="21"/>
      <c r="Y99" s="21"/>
      <c r="Z99" s="21"/>
      <c r="AA99" s="21"/>
      <c r="AB99" s="21"/>
      <c r="AC99" s="21"/>
    </row>
    <row r="100" spans="1:30" ht="39" customHeight="1" thickBot="1" x14ac:dyDescent="0.65">
      <c r="A100" s="9" t="str">
        <f ca="1">INDEX(INDIRECT(zoneFichierTraite),$J100+offsetInitialFichierTraite,6)</f>
        <v>UNICA</v>
      </c>
      <c r="B100" s="5" t="str">
        <f ca="1">INDEX(INDIRECT(zoneFichierTraite),$J100+offsetInitialFichierTraite,4)</f>
        <v>OBAGB033-EVS00-078</v>
      </c>
      <c r="C100" s="26" t="str">
        <f ca="1">INDEX(INDIRECT(zoneFichierTraite),$J100+offsetInitialFichierTraite,5)</f>
        <v>CORPS O BAG URBAN EVA COMPOUND</v>
      </c>
      <c r="D100" s="27" t="str">
        <f ca="1">INDEX(INDIRECT(zoneFichierTraite),$J100+offsetInitialFichierTraite,13)</f>
        <v>sabbia</v>
      </c>
      <c r="E100" s="30">
        <f ca="1">INDEX(INDIRECT(zoneFichierTraite),$J100+offsetInitialFichierTraite,7)</f>
        <v>2</v>
      </c>
      <c r="F100" s="28">
        <f ca="1">INDEX(INDIRECT(zoneFichierTraite),$J100+offsetInitialFichierTraite,8)</f>
        <v>14.16</v>
      </c>
      <c r="G100" s="29">
        <f t="shared" ref="G100" ca="1" si="317">ROUNDUP(F100*3,0)</f>
        <v>43</v>
      </c>
      <c r="H100" s="31" t="str">
        <f ca="1">IF(ISNUMBER(N100),codeEAN13(INT(N100/10)),"")</f>
        <v>8APASOG*adjhbb+</v>
      </c>
      <c r="I100" s="1" t="b">
        <f t="shared" ref="I100" ca="1" si="318">AND(A103&lt;&gt;0,A101=A103)</f>
        <v>0</v>
      </c>
      <c r="J100" s="15">
        <f t="shared" si="227"/>
        <v>46</v>
      </c>
      <c r="K100" s="1">
        <f t="shared" ref="K100" ca="1" si="319">A101</f>
        <v>119</v>
      </c>
      <c r="L100" s="5" t="str">
        <f ca="1">INDEX(INDIRECT(zoneFichierTraite),$J100+offsetInitialFichierTraite,1)</f>
        <v>'046</v>
      </c>
      <c r="M100" s="11">
        <f ca="1">INDEX(INDIRECT(zoneFichierTraite),$J100+offsetInitialFichierTraite,9)</f>
        <v>28.32</v>
      </c>
      <c r="N100" s="14">
        <f ca="1">INDEX(INDIRECT(zoneFichierTraite),$J100+offsetInitialFichierTraite,3)</f>
        <v>8050846039711</v>
      </c>
      <c r="O100" s="14"/>
      <c r="P100" s="56">
        <f ca="1">MATCH(N100,INDIRECT(nomFichierEAN13Valmag &amp; "!A:A"),0)</f>
        <v>254</v>
      </c>
      <c r="R100" s="50" t="str">
        <f ca="1">LEFT(B100,14)</f>
        <v>OBAGB033-EVS00</v>
      </c>
      <c r="S100" s="52">
        <f ca="1">MATCH($R100,INDIRECT(nomFichierEAN13ValmagUniq &amp; "!A:A"),0)</f>
        <v>95</v>
      </c>
      <c r="T100" s="49" t="str">
        <f ca="1">IFERROR(INDEX(INDIRECT(zoneFichierEAN13ValmagUniq),S100,2),"")</f>
        <v xml:space="preserve"> </v>
      </c>
      <c r="U100" s="52">
        <f ca="1">MATCH($R100,INDIRECT(nomFichierEAN13ValmagUniq &amp; "!A" &amp; (S100+1) &amp; ":A" &amp;  (S100+10)),0)</f>
        <v>1</v>
      </c>
      <c r="V100" s="51">
        <f t="shared" ref="V100" ca="1" si="320">U100+S100</f>
        <v>96</v>
      </c>
      <c r="W100" s="49" t="str">
        <f ca="1">IFERROR(INDEX(INDIRECT(zoneFichierEAN13ValmagUniq),V100,2),"")</f>
        <v xml:space="preserve">OURBAN          </v>
      </c>
      <c r="X100" s="52" t="e">
        <f ca="1">MATCH($R100,INDIRECT(nomFichierEAN13ValmagUniq &amp; "!A" &amp; (V100+1) &amp; ":A" &amp;  (V100+10)),0)</f>
        <v>#N/A</v>
      </c>
      <c r="Y100" s="51" t="e">
        <f t="shared" ref="Y100" ca="1" si="321">X100+V100</f>
        <v>#N/A</v>
      </c>
      <c r="Z100" s="49" t="str">
        <f ca="1">IFERROR(INDEX(INDIRECT(zoneFichierEAN13ValmagUniq),Y100,2),"")</f>
        <v/>
      </c>
      <c r="AA100" s="53" t="str">
        <f t="shared" ref="AA100" ca="1" si="322">T100 &amp; IF(W100="","", " | " &amp; W100) &amp; IF(Z100="","", " | " &amp;Z100)</f>
        <v xml:space="preserve">  | OURBAN          </v>
      </c>
      <c r="AC100" s="55">
        <f ca="1">MATCH(B100,INDIRECT(nomFichierFiltreCatalogue &amp; "!B:B"),0)</f>
        <v>41</v>
      </c>
      <c r="AD100" s="14"/>
    </row>
    <row r="101" spans="1:30" s="20" customFormat="1" ht="15.75" customHeight="1" x14ac:dyDescent="0.25">
      <c r="A101" s="25">
        <f ca="1">INDEX(INDIRECT(zoneFichierTraite),$J100+offsetInitialFichierTraite,2)</f>
        <v>119</v>
      </c>
      <c r="B101" s="57" t="str">
        <f ca="1">IF(ISERROR($P100),msgRefValmagAcreer,IF(INDEX(INDIRECT(zoneFichierEAN13Valmag),$P100,3) = "",msgCodeValmagVide, INDEX(INDIRECT(zoneFichierEAN13Valmag),$P100,3)))</f>
        <v xml:space="preserve">OURBAN          </v>
      </c>
      <c r="C101" s="54" t="str">
        <f t="shared" ref="C101" ca="1" si="323">AA100</f>
        <v xml:space="preserve">  | OURBAN          </v>
      </c>
      <c r="D101" s="19" t="str">
        <f ca="1">IFERROR(INDEX(INDIRECT(zoneFichierEAN13Valmag),$P100,4),"")</f>
        <v xml:space="preserve">SAND </v>
      </c>
      <c r="E101" s="58" t="str">
        <f ca="1">IFERROR(INDEX(INDIRECT(zoneFichierFiltreCatalogue),AC100,3),"")</f>
        <v>p011-1-06</v>
      </c>
      <c r="F101" s="19"/>
      <c r="G101" s="18"/>
      <c r="H101" s="32" t="str">
        <f ca="1">IFERROR(INDEX(INDIRECT(zoneFichierFiltreCatalogue),AC100,6),"")</f>
        <v>fall 2019 presentation_/catalogo fall 19.txt</v>
      </c>
      <c r="S101" s="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</row>
    <row r="102" spans="1:30" ht="39" customHeight="1" thickBot="1" x14ac:dyDescent="0.65">
      <c r="A102" s="9" t="str">
        <f ca="1">INDEX(INDIRECT(zoneFichierTraite),$J102+offsetInitialFichierTraite,6)</f>
        <v>UNICA</v>
      </c>
      <c r="B102" s="5" t="str">
        <f ca="1">INDEX(INDIRECT(zoneFichierTraite),$J102+offsetInitialFichierTraite,4)</f>
        <v>OBAGB033-EVS00-615</v>
      </c>
      <c r="C102" s="26" t="str">
        <f ca="1">INDEX(INDIRECT(zoneFichierTraite),$J102+offsetInitialFichierTraite,5)</f>
        <v>CORPS O BAG URBAN EVA COMPOUND</v>
      </c>
      <c r="D102" s="27" t="str">
        <f ca="1">INDEX(INDIRECT(zoneFichierTraite),$J102+offsetInitialFichierTraite,13)</f>
        <v>military</v>
      </c>
      <c r="E102" s="30">
        <f ca="1">INDEX(INDIRECT(zoneFichierTraite),$J102+offsetInitialFichierTraite,7)</f>
        <v>2</v>
      </c>
      <c r="F102" s="28">
        <f ca="1">INDEX(INDIRECT(zoneFichierTraite),$J102+offsetInitialFichierTraite,8)</f>
        <v>14.16</v>
      </c>
      <c r="G102" s="29">
        <f t="shared" ref="G102" ca="1" si="324">ROUNDUP(F102*3,0)</f>
        <v>43</v>
      </c>
      <c r="H102" s="31" t="str">
        <f ca="1">IF(ISNUMBER(N102),codeEAN13(INT(N102/10)),"")</f>
        <v>8APASOG*ajbhii+</v>
      </c>
      <c r="I102" s="1" t="b">
        <f t="shared" ref="I102" ca="1" si="325">AND(A105&lt;&gt;0,A103=A105)</f>
        <v>0</v>
      </c>
      <c r="J102" s="15">
        <f t="shared" si="227"/>
        <v>47</v>
      </c>
      <c r="K102" s="1">
        <f t="shared" ref="K102" ca="1" si="326">A103</f>
        <v>122</v>
      </c>
      <c r="L102" s="5" t="str">
        <f ca="1">INDEX(INDIRECT(zoneFichierTraite),$J102+offsetInitialFichierTraite,1)</f>
        <v>'047</v>
      </c>
      <c r="M102" s="11">
        <f ca="1">INDEX(INDIRECT(zoneFichierTraite),$J102+offsetInitialFichierTraite,9)</f>
        <v>28.32</v>
      </c>
      <c r="N102" s="14">
        <f ca="1">INDEX(INDIRECT(zoneFichierTraite),$J102+offsetInitialFichierTraite,3)</f>
        <v>8050846091788</v>
      </c>
      <c r="O102" s="14"/>
      <c r="P102" s="56">
        <f ca="1">MATCH(N102,INDIRECT(nomFichierEAN13Valmag &amp; "!A:A"),0)</f>
        <v>833</v>
      </c>
      <c r="R102" s="50" t="str">
        <f ca="1">LEFT(B102,14)</f>
        <v>OBAGB033-EVS00</v>
      </c>
      <c r="S102" s="52">
        <f ca="1">MATCH($R102,INDIRECT(nomFichierEAN13ValmagUniq &amp; "!A:A"),0)</f>
        <v>95</v>
      </c>
      <c r="T102" s="49" t="str">
        <f ca="1">IFERROR(INDEX(INDIRECT(zoneFichierEAN13ValmagUniq),S102,2),"")</f>
        <v xml:space="preserve"> </v>
      </c>
      <c r="U102" s="52">
        <f ca="1">MATCH($R102,INDIRECT(nomFichierEAN13ValmagUniq &amp; "!A" &amp; (S102+1) &amp; ":A" &amp;  (S102+10)),0)</f>
        <v>1</v>
      </c>
      <c r="V102" s="51">
        <f t="shared" ref="V102" ca="1" si="327">U102+S102</f>
        <v>96</v>
      </c>
      <c r="W102" s="49" t="str">
        <f ca="1">IFERROR(INDEX(INDIRECT(zoneFichierEAN13ValmagUniq),V102,2),"")</f>
        <v xml:space="preserve">OURBAN          </v>
      </c>
      <c r="X102" s="52" t="e">
        <f ca="1">MATCH($R102,INDIRECT(nomFichierEAN13ValmagUniq &amp; "!A" &amp; (V102+1) &amp; ":A" &amp;  (V102+10)),0)</f>
        <v>#N/A</v>
      </c>
      <c r="Y102" s="51" t="e">
        <f t="shared" ref="Y102" ca="1" si="328">X102+V102</f>
        <v>#N/A</v>
      </c>
      <c r="Z102" s="49" t="str">
        <f ca="1">IFERROR(INDEX(INDIRECT(zoneFichierEAN13ValmagUniq),Y102,2),"")</f>
        <v/>
      </c>
      <c r="AA102" s="53" t="str">
        <f t="shared" ref="AA102" ca="1" si="329">T102 &amp; IF(W102="","", " | " &amp; W102) &amp; IF(Z102="","", " | " &amp;Z102)</f>
        <v xml:space="preserve">  | OURBAN          </v>
      </c>
      <c r="AC102" s="55">
        <f ca="1">MATCH(B102,INDIRECT(nomFichierFiltreCatalogue &amp; "!B:B"),0)</f>
        <v>44</v>
      </c>
      <c r="AD102" s="14"/>
    </row>
    <row r="103" spans="1:30" s="20" customFormat="1" ht="15.75" customHeight="1" x14ac:dyDescent="0.25">
      <c r="A103" s="25">
        <f ca="1">INDEX(INDIRECT(zoneFichierTraite),$J102+offsetInitialFichierTraite,2)</f>
        <v>122</v>
      </c>
      <c r="B103" s="57" t="str">
        <f ca="1">IF(ISERROR($P102),msgRefValmagAcreer,IF(INDEX(INDIRECT(zoneFichierEAN13Valmag),$P102,3) = "",msgCodeValmagVide, INDEX(INDIRECT(zoneFichierEAN13Valmag),$P102,3)))</f>
        <v xml:space="preserve"> </v>
      </c>
      <c r="C103" s="54" t="str">
        <f t="shared" ref="C103" ca="1" si="330">AA102</f>
        <v xml:space="preserve">  | OURBAN          </v>
      </c>
      <c r="D103" s="19" t="str">
        <f ca="1">IFERROR(INDEX(INDIRECT(zoneFichierEAN13Valmag),$P102,4),"")</f>
        <v xml:space="preserve"> </v>
      </c>
      <c r="E103" s="58" t="str">
        <f ca="1">IFERROR(INDEX(INDIRECT(zoneFichierFiltreCatalogue),AC102,3),"")</f>
        <v>p011-1-09</v>
      </c>
      <c r="F103" s="19"/>
      <c r="G103" s="18"/>
      <c r="H103" s="32" t="str">
        <f ca="1">IFERROR(INDEX(INDIRECT(zoneFichierFiltreCatalogue),AC102,6),"")</f>
        <v>fall 2019 presentation_/catalogo fall 19.txt</v>
      </c>
      <c r="S103" s="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</row>
    <row r="104" spans="1:30" ht="39" customHeight="1" thickBot="1" x14ac:dyDescent="0.65">
      <c r="A104" s="9" t="str">
        <f ca="1">INDEX(INDIRECT(zoneFichierTraite),$J104+offsetInitialFichierTraite,6)</f>
        <v>UNICA</v>
      </c>
      <c r="B104" s="5" t="str">
        <f ca="1">INDEX(INDIRECT(zoneFichierTraite),$J104+offsetInitialFichierTraite,4)</f>
        <v>OBAGB033-EVS09-017</v>
      </c>
      <c r="C104" s="26" t="str">
        <f ca="1">INDEX(INDIRECT(zoneFichierTraite),$J104+offsetInitialFichierTraite,5)</f>
        <v>CORPS O BAG URBAN EVA COMPOUND TEXTURE MATELASSEE</v>
      </c>
      <c r="D104" s="27" t="str">
        <f ca="1">INDEX(INDIRECT(zoneFichierTraite),$J104+offsetInitialFichierTraite,13)</f>
        <v>blu navy</v>
      </c>
      <c r="E104" s="30">
        <f ca="1">INDEX(INDIRECT(zoneFichierTraite),$J104+offsetInitialFichierTraite,7)</f>
        <v>2</v>
      </c>
      <c r="F104" s="28">
        <f ca="1">INDEX(INDIRECT(zoneFichierTraite),$J104+offsetInitialFichierTraite,8)</f>
        <v>16.670000000000002</v>
      </c>
      <c r="G104" s="29">
        <f t="shared" ref="G104" ca="1" si="331">ROUNDUP(F104*3,0)</f>
        <v>51</v>
      </c>
      <c r="H104" s="31" t="str">
        <f ca="1">IF(ISNUMBER(N104),codeEAN13(INT(N104/10)),"")</f>
        <v>8APASOG*ajbhcg+</v>
      </c>
      <c r="I104" s="1" t="b">
        <f t="shared" ref="I104" ca="1" si="332">AND(A107&lt;&gt;0,A105=A107)</f>
        <v>0</v>
      </c>
      <c r="J104" s="15">
        <f t="shared" si="227"/>
        <v>48</v>
      </c>
      <c r="K104" s="1">
        <f t="shared" ref="K104" ca="1" si="333">A105</f>
        <v>214</v>
      </c>
      <c r="L104" s="5" t="str">
        <f ca="1">INDEX(INDIRECT(zoneFichierTraite),$J104+offsetInitialFichierTraite,1)</f>
        <v>'048</v>
      </c>
      <c r="M104" s="11">
        <f ca="1">INDEX(INDIRECT(zoneFichierTraite),$J104+offsetInitialFichierTraite,9)</f>
        <v>33.340000000000003</v>
      </c>
      <c r="N104" s="14">
        <f ca="1">INDEX(INDIRECT(zoneFichierTraite),$J104+offsetInitialFichierTraite,3)</f>
        <v>8050846091726</v>
      </c>
      <c r="O104" s="14"/>
      <c r="P104" s="56">
        <f ca="1">MATCH(N104,INDIRECT(nomFichierEAN13Valmag &amp; "!A:A"),0)</f>
        <v>828</v>
      </c>
      <c r="R104" s="50" t="str">
        <f ca="1">LEFT(B104,14)</f>
        <v>OBAGB033-EVS09</v>
      </c>
      <c r="S104" s="52">
        <f ca="1">MATCH($R104,INDIRECT(nomFichierEAN13ValmagUniq &amp; "!A:A"),0)</f>
        <v>97</v>
      </c>
      <c r="T104" s="49" t="str">
        <f ca="1">IFERROR(INDEX(INDIRECT(zoneFichierEAN13ValmagUniq),S104,2),"")</f>
        <v xml:space="preserve"> </v>
      </c>
      <c r="U104" s="52" t="e">
        <f ca="1">MATCH($R104,INDIRECT(nomFichierEAN13ValmagUniq &amp; "!A" &amp; (S104+1) &amp; ":A" &amp;  (S104+10)),0)</f>
        <v>#N/A</v>
      </c>
      <c r="V104" s="51" t="e">
        <f t="shared" ref="V104" ca="1" si="334">U104+S104</f>
        <v>#N/A</v>
      </c>
      <c r="W104" s="49" t="str">
        <f ca="1">IFERROR(INDEX(INDIRECT(zoneFichierEAN13ValmagUniq),V104,2),"")</f>
        <v/>
      </c>
      <c r="X104" s="52" t="e">
        <f ca="1">MATCH($R104,INDIRECT(nomFichierEAN13ValmagUniq &amp; "!A" &amp; (V104+1) &amp; ":A" &amp;  (V104+10)),0)</f>
        <v>#N/A</v>
      </c>
      <c r="Y104" s="51" t="e">
        <f t="shared" ref="Y104" ca="1" si="335">X104+V104</f>
        <v>#N/A</v>
      </c>
      <c r="Z104" s="49" t="str">
        <f ca="1">IFERROR(INDEX(INDIRECT(zoneFichierEAN13ValmagUniq),Y104,2),"")</f>
        <v/>
      </c>
      <c r="AA104" s="53" t="str">
        <f t="shared" ref="AA104" ca="1" si="336">T104 &amp; IF(W104="","", " | " &amp; W104) &amp; IF(Z104="","", " | " &amp;Z104)</f>
        <v xml:space="preserve"> </v>
      </c>
      <c r="AC104" s="55">
        <f ca="1">MATCH(B104,INDIRECT(nomFichierFiltreCatalogue &amp; "!B:B"),0)</f>
        <v>45</v>
      </c>
      <c r="AD104" s="14"/>
    </row>
    <row r="105" spans="1:30" s="20" customFormat="1" ht="15.75" customHeight="1" x14ac:dyDescent="0.25">
      <c r="A105" s="25">
        <f ca="1">INDEX(INDIRECT(zoneFichierTraite),$J104+offsetInitialFichierTraite,2)</f>
        <v>214</v>
      </c>
      <c r="B105" s="57" t="str">
        <f ca="1">IF(ISERROR($P104),msgRefValmagAcreer,IF(INDEX(INDIRECT(zoneFichierEAN13Valmag),$P104,3) = "",msgCodeValmagVide, INDEX(INDIRECT(zoneFichierEAN13Valmag),$P104,3)))</f>
        <v xml:space="preserve"> </v>
      </c>
      <c r="C105" s="54" t="str">
        <f t="shared" ref="C105" ca="1" si="337">AA104</f>
        <v xml:space="preserve"> </v>
      </c>
      <c r="D105" s="19" t="str">
        <f ca="1">IFERROR(INDEX(INDIRECT(zoneFichierEAN13Valmag),$P104,4),"")</f>
        <v xml:space="preserve"> </v>
      </c>
      <c r="E105" s="58" t="str">
        <f ca="1">IFERROR(INDEX(INDIRECT(zoneFichierFiltreCatalogue),AC104,3),"")</f>
        <v>p012-1-01</v>
      </c>
      <c r="F105" s="19"/>
      <c r="G105" s="18"/>
      <c r="H105" s="32" t="str">
        <f ca="1">IFERROR(INDEX(INDIRECT(zoneFichierFiltreCatalogue),AC104,6),"")</f>
        <v>fall 2019 presentation_/catalogo fall 19.txt</v>
      </c>
      <c r="S105" s="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</row>
    <row r="106" spans="1:30" ht="39" customHeight="1" thickBot="1" x14ac:dyDescent="0.65">
      <c r="A106" s="9" t="str">
        <f ca="1">INDEX(INDIRECT(zoneFichierTraite),$J106+offsetInitialFichierTraite,6)</f>
        <v>UNICA</v>
      </c>
      <c r="B106" s="5" t="str">
        <f ca="1">INDEX(INDIRECT(zoneFichierTraite),$J106+offsetInitialFichierTraite,4)</f>
        <v>OBAGB033-EVS09-038</v>
      </c>
      <c r="C106" s="26" t="str">
        <f ca="1">INDEX(INDIRECT(zoneFichierTraite),$J106+offsetInitialFichierTraite,5)</f>
        <v>CORPS O BAG URBAN EVA COMPOUND TEXTURE MATELASSEE</v>
      </c>
      <c r="D106" s="27" t="str">
        <f ca="1">INDEX(INDIRECT(zoneFichierTraite),$J106+offsetInitialFichierTraite,13)</f>
        <v>grafite</v>
      </c>
      <c r="E106" s="30">
        <f ca="1">INDEX(INDIRECT(zoneFichierTraite),$J106+offsetInitialFichierTraite,7)</f>
        <v>1</v>
      </c>
      <c r="F106" s="28">
        <f ca="1">INDEX(INDIRECT(zoneFichierTraite),$J106+offsetInitialFichierTraite,8)</f>
        <v>16.670000000000002</v>
      </c>
      <c r="G106" s="29">
        <f t="shared" ref="G106" ca="1" si="338">ROUNDUP(F106*3,0)</f>
        <v>51</v>
      </c>
      <c r="H106" s="31" t="str">
        <f ca="1">IF(ISNUMBER(N106),codeEAN13(INT(N106/10)),"")</f>
        <v>8APASOG*ajbhbj+</v>
      </c>
      <c r="I106" s="1" t="b">
        <f t="shared" ref="I106" ca="1" si="339">AND(A109&lt;&gt;0,A107=A109)</f>
        <v>0</v>
      </c>
      <c r="J106" s="15">
        <f t="shared" si="227"/>
        <v>49</v>
      </c>
      <c r="K106" s="1">
        <f t="shared" ref="K106" ca="1" si="340">A107</f>
        <v>111</v>
      </c>
      <c r="L106" s="5" t="str">
        <f ca="1">INDEX(INDIRECT(zoneFichierTraite),$J106+offsetInitialFichierTraite,1)</f>
        <v>'049</v>
      </c>
      <c r="M106" s="11">
        <f ca="1">INDEX(INDIRECT(zoneFichierTraite),$J106+offsetInitialFichierTraite,9)</f>
        <v>16.670000000000002</v>
      </c>
      <c r="N106" s="14">
        <f ca="1">INDEX(INDIRECT(zoneFichierTraite),$J106+offsetInitialFichierTraite,3)</f>
        <v>8050846091719</v>
      </c>
      <c r="O106" s="14"/>
      <c r="P106" s="56">
        <f ca="1">MATCH(N106,INDIRECT(nomFichierEAN13Valmag &amp; "!A:A"),0)</f>
        <v>827</v>
      </c>
      <c r="R106" s="50" t="str">
        <f ca="1">LEFT(B106,14)</f>
        <v>OBAGB033-EVS09</v>
      </c>
      <c r="S106" s="52">
        <f ca="1">MATCH($R106,INDIRECT(nomFichierEAN13ValmagUniq &amp; "!A:A"),0)</f>
        <v>97</v>
      </c>
      <c r="T106" s="49" t="str">
        <f ca="1">IFERROR(INDEX(INDIRECT(zoneFichierEAN13ValmagUniq),S106,2),"")</f>
        <v xml:space="preserve"> </v>
      </c>
      <c r="U106" s="52" t="e">
        <f ca="1">MATCH($R106,INDIRECT(nomFichierEAN13ValmagUniq &amp; "!A" &amp; (S106+1) &amp; ":A" &amp;  (S106+10)),0)</f>
        <v>#N/A</v>
      </c>
      <c r="V106" s="51" t="e">
        <f t="shared" ref="V106" ca="1" si="341">U106+S106</f>
        <v>#N/A</v>
      </c>
      <c r="W106" s="49" t="str">
        <f ca="1">IFERROR(INDEX(INDIRECT(zoneFichierEAN13ValmagUniq),V106,2),"")</f>
        <v/>
      </c>
      <c r="X106" s="52" t="e">
        <f ca="1">MATCH($R106,INDIRECT(nomFichierEAN13ValmagUniq &amp; "!A" &amp; (V106+1) &amp; ":A" &amp;  (V106+10)),0)</f>
        <v>#N/A</v>
      </c>
      <c r="Y106" s="51" t="e">
        <f t="shared" ref="Y106" ca="1" si="342">X106+V106</f>
        <v>#N/A</v>
      </c>
      <c r="Z106" s="49" t="str">
        <f ca="1">IFERROR(INDEX(INDIRECT(zoneFichierEAN13ValmagUniq),Y106,2),"")</f>
        <v/>
      </c>
      <c r="AA106" s="53" t="str">
        <f t="shared" ref="AA106" ca="1" si="343">T106 &amp; IF(W106="","", " | " &amp; W106) &amp; IF(Z106="","", " | " &amp;Z106)</f>
        <v xml:space="preserve"> </v>
      </c>
      <c r="AC106" s="55">
        <f ca="1">MATCH(B106,INDIRECT(nomFichierFiltreCatalogue &amp; "!B:B"),0)</f>
        <v>46</v>
      </c>
      <c r="AD106" s="14"/>
    </row>
    <row r="107" spans="1:30" s="20" customFormat="1" ht="15.75" customHeight="1" x14ac:dyDescent="0.25">
      <c r="A107" s="25">
        <f ca="1">INDEX(INDIRECT(zoneFichierTraite),$J106+offsetInitialFichierTraite,2)</f>
        <v>111</v>
      </c>
      <c r="B107" s="57" t="str">
        <f ca="1">IF(ISERROR($P106),msgRefValmagAcreer,IF(INDEX(INDIRECT(zoneFichierEAN13Valmag),$P106,3) = "",msgCodeValmagVide, INDEX(INDIRECT(zoneFichierEAN13Valmag),$P106,3)))</f>
        <v xml:space="preserve"> </v>
      </c>
      <c r="C107" s="54" t="str">
        <f t="shared" ref="C107" ca="1" si="344">AA106</f>
        <v xml:space="preserve"> </v>
      </c>
      <c r="D107" s="19" t="str">
        <f ca="1">IFERROR(INDEX(INDIRECT(zoneFichierEAN13Valmag),$P106,4),"")</f>
        <v xml:space="preserve"> </v>
      </c>
      <c r="E107" s="58" t="str">
        <f ca="1">IFERROR(INDEX(INDIRECT(zoneFichierFiltreCatalogue),AC106,3),"")</f>
        <v>p012-1-02</v>
      </c>
      <c r="F107" s="19"/>
      <c r="G107" s="18"/>
      <c r="H107" s="32" t="str">
        <f ca="1">IFERROR(INDEX(INDIRECT(zoneFichierFiltreCatalogue),AC106,6),"")</f>
        <v>fall 2019 presentation_/catalogo fall 19.txt</v>
      </c>
      <c r="S107" s="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</row>
    <row r="108" spans="1:30" ht="39" customHeight="1" thickBot="1" x14ac:dyDescent="0.65">
      <c r="A108" s="9" t="str">
        <f ca="1">INDEX(INDIRECT(zoneFichierTraite),$J108+offsetInitialFichierTraite,6)</f>
        <v>UNICA</v>
      </c>
      <c r="B108" s="5" t="str">
        <f ca="1">INDEX(INDIRECT(zoneFichierTraite),$J108+offsetInitialFichierTraite,4)</f>
        <v>OBAGB033-EVS09-055</v>
      </c>
      <c r="C108" s="26" t="str">
        <f ca="1">INDEX(INDIRECT(zoneFichierTraite),$J108+offsetInitialFichierTraite,5)</f>
        <v>CORPS O BAG URBAN EVA COMPOUND TEXTURE MATELASSEE</v>
      </c>
      <c r="D108" s="27" t="str">
        <f ca="1">INDEX(INDIRECT(zoneFichierTraite),$J108+offsetInitialFichierTraite,13)</f>
        <v>nero</v>
      </c>
      <c r="E108" s="30">
        <f ca="1">INDEX(INDIRECT(zoneFichierTraite),$J108+offsetInitialFichierTraite,7)</f>
        <v>2</v>
      </c>
      <c r="F108" s="28">
        <f ca="1">INDEX(INDIRECT(zoneFichierTraite),$J108+offsetInitialFichierTraite,8)</f>
        <v>16.670000000000002</v>
      </c>
      <c r="G108" s="29">
        <f t="shared" ref="G108" ca="1" si="345">ROUNDUP(F108*3,0)</f>
        <v>51</v>
      </c>
      <c r="H108" s="31" t="str">
        <f ca="1">IF(ISNUMBER(N108),codeEAN13(INT(N108/10)),"")</f>
        <v>8APASOG*ajbhac+</v>
      </c>
      <c r="I108" s="1" t="b">
        <f t="shared" ref="I108" ca="1" si="346">AND(A111&lt;&gt;0,A109=A111)</f>
        <v>0</v>
      </c>
      <c r="J108" s="15">
        <f t="shared" si="227"/>
        <v>50</v>
      </c>
      <c r="K108" s="1">
        <f t="shared" ref="K108" ca="1" si="347">A109</f>
        <v>197</v>
      </c>
      <c r="L108" s="5" t="str">
        <f ca="1">INDEX(INDIRECT(zoneFichierTraite),$J108+offsetInitialFichierTraite,1)</f>
        <v>'050</v>
      </c>
      <c r="M108" s="11">
        <f ca="1">INDEX(INDIRECT(zoneFichierTraite),$J108+offsetInitialFichierTraite,9)</f>
        <v>33.340000000000003</v>
      </c>
      <c r="N108" s="14">
        <f ca="1">INDEX(INDIRECT(zoneFichierTraite),$J108+offsetInitialFichierTraite,3)</f>
        <v>8050846091702</v>
      </c>
      <c r="O108" s="14"/>
      <c r="P108" s="56">
        <f ca="1">MATCH(N108,INDIRECT(nomFichierEAN13Valmag &amp; "!A:A"),0)</f>
        <v>826</v>
      </c>
      <c r="R108" s="50" t="str">
        <f ca="1">LEFT(B108,14)</f>
        <v>OBAGB033-EVS09</v>
      </c>
      <c r="S108" s="52">
        <f ca="1">MATCH($R108,INDIRECT(nomFichierEAN13ValmagUniq &amp; "!A:A"),0)</f>
        <v>97</v>
      </c>
      <c r="T108" s="49" t="str">
        <f ca="1">IFERROR(INDEX(INDIRECT(zoneFichierEAN13ValmagUniq),S108,2),"")</f>
        <v xml:space="preserve"> </v>
      </c>
      <c r="U108" s="52" t="e">
        <f ca="1">MATCH($R108,INDIRECT(nomFichierEAN13ValmagUniq &amp; "!A" &amp; (S108+1) &amp; ":A" &amp;  (S108+10)),0)</f>
        <v>#N/A</v>
      </c>
      <c r="V108" s="51" t="e">
        <f t="shared" ref="V108" ca="1" si="348">U108+S108</f>
        <v>#N/A</v>
      </c>
      <c r="W108" s="49" t="str">
        <f ca="1">IFERROR(INDEX(INDIRECT(zoneFichierEAN13ValmagUniq),V108,2),"")</f>
        <v/>
      </c>
      <c r="X108" s="52" t="e">
        <f ca="1">MATCH($R108,INDIRECT(nomFichierEAN13ValmagUniq &amp; "!A" &amp; (V108+1) &amp; ":A" &amp;  (V108+10)),0)</f>
        <v>#N/A</v>
      </c>
      <c r="Y108" s="51" t="e">
        <f t="shared" ref="Y108" ca="1" si="349">X108+V108</f>
        <v>#N/A</v>
      </c>
      <c r="Z108" s="49" t="str">
        <f ca="1">IFERROR(INDEX(INDIRECT(zoneFichierEAN13ValmagUniq),Y108,2),"")</f>
        <v/>
      </c>
      <c r="AA108" s="53" t="str">
        <f t="shared" ref="AA108" ca="1" si="350">T108 &amp; IF(W108="","", " | " &amp; W108) &amp; IF(Z108="","", " | " &amp;Z108)</f>
        <v xml:space="preserve"> </v>
      </c>
      <c r="AC108" s="55">
        <f ca="1">MATCH(B108,INDIRECT(nomFichierFiltreCatalogue &amp; "!B:B"),0)</f>
        <v>48</v>
      </c>
      <c r="AD108" s="14"/>
    </row>
    <row r="109" spans="1:30" s="20" customFormat="1" ht="15.75" customHeight="1" x14ac:dyDescent="0.25">
      <c r="A109" s="25">
        <f ca="1">INDEX(INDIRECT(zoneFichierTraite),$J108+offsetInitialFichierTraite,2)</f>
        <v>197</v>
      </c>
      <c r="B109" s="57" t="str">
        <f ca="1">IF(ISERROR($P108),msgRefValmagAcreer,IF(INDEX(INDIRECT(zoneFichierEAN13Valmag),$P108,3) = "",msgCodeValmagVide, INDEX(INDIRECT(zoneFichierEAN13Valmag),$P108,3)))</f>
        <v xml:space="preserve"> </v>
      </c>
      <c r="C109" s="54" t="str">
        <f t="shared" ref="C109" ca="1" si="351">AA108</f>
        <v xml:space="preserve"> </v>
      </c>
      <c r="D109" s="19" t="str">
        <f ca="1">IFERROR(INDEX(INDIRECT(zoneFichierEAN13Valmag),$P108,4),"")</f>
        <v xml:space="preserve"> </v>
      </c>
      <c r="E109" s="58" t="str">
        <f ca="1">IFERROR(INDEX(INDIRECT(zoneFichierFiltreCatalogue),AC108,3),"")</f>
        <v>p012-1-04</v>
      </c>
      <c r="F109" s="19"/>
      <c r="G109" s="18"/>
      <c r="H109" s="32" t="str">
        <f ca="1">IFERROR(INDEX(INDIRECT(zoneFichierFiltreCatalogue),AC108,6),"")</f>
        <v>fall 2019 presentation_/catalogo fall 19.txt</v>
      </c>
      <c r="S109" s="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</row>
    <row r="110" spans="1:30" ht="39" customHeight="1" thickBot="1" x14ac:dyDescent="0.65">
      <c r="A110" s="9" t="str">
        <f ca="1">INDEX(INDIRECT(zoneFichierTraite),$J110+offsetInitialFichierTraite,6)</f>
        <v>UNICA</v>
      </c>
      <c r="B110" s="5" t="str">
        <f ca="1">INDEX(INDIRECT(zoneFichierTraite),$J110+offsetInitialFichierTraite,4)</f>
        <v>OBAGB033-EVS09-078</v>
      </c>
      <c r="C110" s="26" t="str">
        <f ca="1">INDEX(INDIRECT(zoneFichierTraite),$J110+offsetInitialFichierTraite,5)</f>
        <v>CORPS O BAG URBAN EVA COMPOUND TEXTURE MATELASSEE</v>
      </c>
      <c r="D110" s="27" t="str">
        <f ca="1">INDEX(INDIRECT(zoneFichierTraite),$J110+offsetInitialFichierTraite,13)</f>
        <v>sabbia</v>
      </c>
      <c r="E110" s="30">
        <f ca="1">INDEX(INDIRECT(zoneFichierTraite),$J110+offsetInitialFichierTraite,7)</f>
        <v>1</v>
      </c>
      <c r="F110" s="28">
        <f ca="1">INDEX(INDIRECT(zoneFichierTraite),$J110+offsetInitialFichierTraite,8)</f>
        <v>16.670000000000002</v>
      </c>
      <c r="G110" s="29">
        <f t="shared" ref="G110" ca="1" si="352">ROUNDUP(F110*3,0)</f>
        <v>51</v>
      </c>
      <c r="H110" s="31" t="str">
        <f ca="1">IF(ISNUMBER(N110),codeEAN13(INT(N110/10)),"")</f>
        <v>8APASOG*ajbhdd+</v>
      </c>
      <c r="I110" s="1" t="b">
        <f t="shared" ref="I110" ca="1" si="353">AND(A113&lt;&gt;0,A111=A113)</f>
        <v>0</v>
      </c>
      <c r="J110" s="15">
        <f t="shared" si="227"/>
        <v>51</v>
      </c>
      <c r="K110" s="1">
        <f t="shared" ref="K110" ca="1" si="354">A111</f>
        <v>97</v>
      </c>
      <c r="L110" s="5" t="str">
        <f ca="1">INDEX(INDIRECT(zoneFichierTraite),$J110+offsetInitialFichierTraite,1)</f>
        <v>'051</v>
      </c>
      <c r="M110" s="11">
        <f ca="1">INDEX(INDIRECT(zoneFichierTraite),$J110+offsetInitialFichierTraite,9)</f>
        <v>16.670000000000002</v>
      </c>
      <c r="N110" s="14">
        <f ca="1">INDEX(INDIRECT(zoneFichierTraite),$J110+offsetInitialFichierTraite,3)</f>
        <v>8050846091733</v>
      </c>
      <c r="O110" s="14"/>
      <c r="P110" s="56">
        <f ca="1">MATCH(N110,INDIRECT(nomFichierEAN13Valmag &amp; "!A:A"),0)</f>
        <v>829</v>
      </c>
      <c r="R110" s="50" t="str">
        <f ca="1">LEFT(B110,14)</f>
        <v>OBAGB033-EVS09</v>
      </c>
      <c r="S110" s="52">
        <f ca="1">MATCH($R110,INDIRECT(nomFichierEAN13ValmagUniq &amp; "!A:A"),0)</f>
        <v>97</v>
      </c>
      <c r="T110" s="49" t="str">
        <f ca="1">IFERROR(INDEX(INDIRECT(zoneFichierEAN13ValmagUniq),S110,2),"")</f>
        <v xml:space="preserve"> </v>
      </c>
      <c r="U110" s="52" t="e">
        <f ca="1">MATCH($R110,INDIRECT(nomFichierEAN13ValmagUniq &amp; "!A" &amp; (S110+1) &amp; ":A" &amp;  (S110+10)),0)</f>
        <v>#N/A</v>
      </c>
      <c r="V110" s="51" t="e">
        <f t="shared" ref="V110" ca="1" si="355">U110+S110</f>
        <v>#N/A</v>
      </c>
      <c r="W110" s="49" t="str">
        <f ca="1">IFERROR(INDEX(INDIRECT(zoneFichierEAN13ValmagUniq),V110,2),"")</f>
        <v/>
      </c>
      <c r="X110" s="52" t="e">
        <f ca="1">MATCH($R110,INDIRECT(nomFichierEAN13ValmagUniq &amp; "!A" &amp; (V110+1) &amp; ":A" &amp;  (V110+10)),0)</f>
        <v>#N/A</v>
      </c>
      <c r="Y110" s="51" t="e">
        <f t="shared" ref="Y110" ca="1" si="356">X110+V110</f>
        <v>#N/A</v>
      </c>
      <c r="Z110" s="49" t="str">
        <f ca="1">IFERROR(INDEX(INDIRECT(zoneFichierEAN13ValmagUniq),Y110,2),"")</f>
        <v/>
      </c>
      <c r="AA110" s="53" t="str">
        <f t="shared" ref="AA110" ca="1" si="357">T110 &amp; IF(W110="","", " | " &amp; W110) &amp; IF(Z110="","", " | " &amp;Z110)</f>
        <v xml:space="preserve"> </v>
      </c>
      <c r="AC110" s="55">
        <f ca="1">MATCH(B110,INDIRECT(nomFichierFiltreCatalogue &amp; "!B:B"),0)</f>
        <v>47</v>
      </c>
      <c r="AD110" s="14"/>
    </row>
    <row r="111" spans="1:30" s="20" customFormat="1" ht="15.75" customHeight="1" x14ac:dyDescent="0.25">
      <c r="A111" s="25">
        <f ca="1">INDEX(INDIRECT(zoneFichierTraite),$J110+offsetInitialFichierTraite,2)</f>
        <v>97</v>
      </c>
      <c r="B111" s="57" t="str">
        <f ca="1">IF(ISERROR($P110),msgRefValmagAcreer,IF(INDEX(INDIRECT(zoneFichierEAN13Valmag),$P110,3) = "",msgCodeValmagVide, INDEX(INDIRECT(zoneFichierEAN13Valmag),$P110,3)))</f>
        <v xml:space="preserve"> </v>
      </c>
      <c r="C111" s="54" t="str">
        <f t="shared" ref="C111" ca="1" si="358">AA110</f>
        <v xml:space="preserve"> </v>
      </c>
      <c r="D111" s="19" t="str">
        <f ca="1">IFERROR(INDEX(INDIRECT(zoneFichierEAN13Valmag),$P110,4),"")</f>
        <v xml:space="preserve"> </v>
      </c>
      <c r="E111" s="58" t="str">
        <f ca="1">IFERROR(INDEX(INDIRECT(zoneFichierFiltreCatalogue),AC110,3),"")</f>
        <v>p012-1-03</v>
      </c>
      <c r="F111" s="19"/>
      <c r="G111" s="18"/>
      <c r="H111" s="32" t="str">
        <f ca="1">IFERROR(INDEX(INDIRECT(zoneFichierFiltreCatalogue),AC110,6),"")</f>
        <v>fall 2019 presentation_/catalogo fall 19.txt</v>
      </c>
      <c r="S111" s="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</row>
    <row r="112" spans="1:30" ht="39" customHeight="1" thickBot="1" x14ac:dyDescent="0.65">
      <c r="A112" s="9" t="str">
        <f ca="1">INDEX(INDIRECT(zoneFichierTraite),$J112+offsetInitialFichierTraite,6)</f>
        <v>UNICA</v>
      </c>
      <c r="B112" s="5" t="str">
        <f ca="1">INDEX(INDIRECT(zoneFichierTraite),$J112+offsetInitialFichierTraite,4)</f>
        <v>OBAGB033-EVS09-615</v>
      </c>
      <c r="C112" s="26" t="str">
        <f ca="1">INDEX(INDIRECT(zoneFichierTraite),$J112+offsetInitialFichierTraite,5)</f>
        <v>CORPS O BAG URBAN EVA COMPOUND TEXTURE MATELASSEE</v>
      </c>
      <c r="D112" s="27" t="str">
        <f ca="1">INDEX(INDIRECT(zoneFichierTraite),$J112+offsetInitialFichierTraite,13)</f>
        <v>military</v>
      </c>
      <c r="E112" s="30">
        <f ca="1">INDEX(INDIRECT(zoneFichierTraite),$J112+offsetInitialFichierTraite,7)</f>
        <v>1</v>
      </c>
      <c r="F112" s="28">
        <f ca="1">INDEX(INDIRECT(zoneFichierTraite),$J112+offsetInitialFichierTraite,8)</f>
        <v>16.670000000000002</v>
      </c>
      <c r="G112" s="29">
        <f t="shared" ref="G112" ca="1" si="359">ROUNDUP(F112*3,0)</f>
        <v>51</v>
      </c>
      <c r="H112" s="31" t="str">
        <f ca="1">IF(ISNUMBER(N112),codeEAN13(INT(N112/10)),"")</f>
        <v>8APASOG*ajbhea+</v>
      </c>
      <c r="I112" s="1" t="b">
        <f t="shared" ref="I112" ca="1" si="360">AND(A115&lt;&gt;0,A113=A115)</f>
        <v>0</v>
      </c>
      <c r="J112" s="15">
        <f t="shared" si="227"/>
        <v>52</v>
      </c>
      <c r="K112" s="1">
        <f t="shared" ref="K112" ca="1" si="361">A113</f>
        <v>139</v>
      </c>
      <c r="L112" s="5" t="str">
        <f ca="1">INDEX(INDIRECT(zoneFichierTraite),$J112+offsetInitialFichierTraite,1)</f>
        <v>'052</v>
      </c>
      <c r="M112" s="11">
        <f ca="1">INDEX(INDIRECT(zoneFichierTraite),$J112+offsetInitialFichierTraite,9)</f>
        <v>16.670000000000002</v>
      </c>
      <c r="N112" s="14">
        <f ca="1">INDEX(INDIRECT(zoneFichierTraite),$J112+offsetInitialFichierTraite,3)</f>
        <v>8050846091740</v>
      </c>
      <c r="O112" s="14"/>
      <c r="P112" s="56">
        <f ca="1">MATCH(N112,INDIRECT(nomFichierEAN13Valmag &amp; "!A:A"),0)</f>
        <v>830</v>
      </c>
      <c r="R112" s="50" t="str">
        <f ca="1">LEFT(B112,14)</f>
        <v>OBAGB033-EVS09</v>
      </c>
      <c r="S112" s="52">
        <f ca="1">MATCH($R112,INDIRECT(nomFichierEAN13ValmagUniq &amp; "!A:A"),0)</f>
        <v>97</v>
      </c>
      <c r="T112" s="49" t="str">
        <f ca="1">IFERROR(INDEX(INDIRECT(zoneFichierEAN13ValmagUniq),S112,2),"")</f>
        <v xml:space="preserve"> </v>
      </c>
      <c r="U112" s="52" t="e">
        <f ca="1">MATCH($R112,INDIRECT(nomFichierEAN13ValmagUniq &amp; "!A" &amp; (S112+1) &amp; ":A" &amp;  (S112+10)),0)</f>
        <v>#N/A</v>
      </c>
      <c r="V112" s="51" t="e">
        <f t="shared" ref="V112" ca="1" si="362">U112+S112</f>
        <v>#N/A</v>
      </c>
      <c r="W112" s="49" t="str">
        <f ca="1">IFERROR(INDEX(INDIRECT(zoneFichierEAN13ValmagUniq),V112,2),"")</f>
        <v/>
      </c>
      <c r="X112" s="52" t="e">
        <f ca="1">MATCH($R112,INDIRECT(nomFichierEAN13ValmagUniq &amp; "!A" &amp; (V112+1) &amp; ":A" &amp;  (V112+10)),0)</f>
        <v>#N/A</v>
      </c>
      <c r="Y112" s="51" t="e">
        <f t="shared" ref="Y112" ca="1" si="363">X112+V112</f>
        <v>#N/A</v>
      </c>
      <c r="Z112" s="49" t="str">
        <f ca="1">IFERROR(INDEX(INDIRECT(zoneFichierEAN13ValmagUniq),Y112,2),"")</f>
        <v/>
      </c>
      <c r="AA112" s="53" t="str">
        <f t="shared" ref="AA112" ca="1" si="364">T112 &amp; IF(W112="","", " | " &amp; W112) &amp; IF(Z112="","", " | " &amp;Z112)</f>
        <v xml:space="preserve"> </v>
      </c>
      <c r="AC112" s="55">
        <f ca="1">MATCH(B112,INDIRECT(nomFichierFiltreCatalogue &amp; "!B:B"),0)</f>
        <v>50</v>
      </c>
      <c r="AD112" s="14"/>
    </row>
    <row r="113" spans="1:30" s="20" customFormat="1" ht="15.75" customHeight="1" x14ac:dyDescent="0.25">
      <c r="A113" s="25">
        <f ca="1">INDEX(INDIRECT(zoneFichierTraite),$J112+offsetInitialFichierTraite,2)</f>
        <v>139</v>
      </c>
      <c r="B113" s="57" t="str">
        <f ca="1">IF(ISERROR($P112),msgRefValmagAcreer,IF(INDEX(INDIRECT(zoneFichierEAN13Valmag),$P112,3) = "",msgCodeValmagVide, INDEX(INDIRECT(zoneFichierEAN13Valmag),$P112,3)))</f>
        <v xml:space="preserve"> </v>
      </c>
      <c r="C113" s="54" t="str">
        <f t="shared" ref="C113" ca="1" si="365">AA112</f>
        <v xml:space="preserve"> </v>
      </c>
      <c r="D113" s="19" t="str">
        <f ca="1">IFERROR(INDEX(INDIRECT(zoneFichierEAN13Valmag),$P112,4),"")</f>
        <v xml:space="preserve"> </v>
      </c>
      <c r="E113" s="58" t="str">
        <f ca="1">IFERROR(INDEX(INDIRECT(zoneFichierFiltreCatalogue),AC112,3),"")</f>
        <v>p012-1-06</v>
      </c>
      <c r="F113" s="19"/>
      <c r="G113" s="18"/>
      <c r="H113" s="32" t="str">
        <f ca="1">IFERROR(INDEX(INDIRECT(zoneFichierFiltreCatalogue),AC112,6),"")</f>
        <v>fall 2019 presentation_/catalogo fall 19.txt</v>
      </c>
      <c r="S113" s="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</row>
    <row r="114" spans="1:30" ht="39" customHeight="1" thickBot="1" x14ac:dyDescent="0.65">
      <c r="A114" s="9" t="str">
        <f ca="1">INDEX(INDIRECT(zoneFichierTraite),$J114+offsetInitialFichierTraite,6)</f>
        <v>UNICA</v>
      </c>
      <c r="B114" s="5" t="str">
        <f ca="1">INDEX(INDIRECT(zoneFichierTraite),$J114+offsetInitialFichierTraite,4)</f>
        <v>OBAGB034-EVS00-017</v>
      </c>
      <c r="C114" s="26" t="str">
        <f ca="1">INDEX(INDIRECT(zoneFichierTraite),$J114+offsetInitialFichierTraite,5)</f>
        <v>CORPS O BAG GLAM EVA COMPOUND</v>
      </c>
      <c r="D114" s="27" t="str">
        <f ca="1">INDEX(INDIRECT(zoneFichierTraite),$J114+offsetInitialFichierTraite,13)</f>
        <v>blu navy</v>
      </c>
      <c r="E114" s="30">
        <f ca="1">INDEX(INDIRECT(zoneFichierTraite),$J114+offsetInitialFichierTraite,7)</f>
        <v>2</v>
      </c>
      <c r="F114" s="28">
        <f ca="1">INDEX(INDIRECT(zoneFichierTraite),$J114+offsetInitialFichierTraite,8)</f>
        <v>12.59</v>
      </c>
      <c r="G114" s="29">
        <f t="shared" ref="G114" ca="1" si="366">ROUNDUP(F114*3,0)</f>
        <v>38</v>
      </c>
      <c r="H114" s="31" t="str">
        <f ca="1">IF(ISNUMBER(N114),codeEAN13(INT(N114/10)),"")</f>
        <v>8APASOG*adjhia+</v>
      </c>
      <c r="I114" s="1" t="b">
        <f t="shared" ref="I114" ca="1" si="367">AND(A117&lt;&gt;0,A115=A117)</f>
        <v>0</v>
      </c>
      <c r="J114" s="15">
        <f t="shared" si="227"/>
        <v>53</v>
      </c>
      <c r="K114" s="1">
        <f t="shared" ref="K114" ca="1" si="368">A115</f>
        <v>11</v>
      </c>
      <c r="L114" s="5" t="str">
        <f ca="1">INDEX(INDIRECT(zoneFichierTraite),$J114+offsetInitialFichierTraite,1)</f>
        <v>'053</v>
      </c>
      <c r="M114" s="11">
        <f ca="1">INDEX(INDIRECT(zoneFichierTraite),$J114+offsetInitialFichierTraite,9)</f>
        <v>25.18</v>
      </c>
      <c r="N114" s="14">
        <f ca="1">INDEX(INDIRECT(zoneFichierTraite),$J114+offsetInitialFichierTraite,3)</f>
        <v>8050846039780</v>
      </c>
      <c r="O114" s="14"/>
      <c r="P114" s="56">
        <f ca="1">MATCH(N114,INDIRECT(nomFichierEAN13Valmag &amp; "!A:A"),0)</f>
        <v>259</v>
      </c>
      <c r="R114" s="50" t="str">
        <f ca="1">LEFT(B114,14)</f>
        <v>OBAGB034-EVS00</v>
      </c>
      <c r="S114" s="52">
        <f ca="1">MATCH($R114,INDIRECT(nomFichierEAN13ValmagUniq &amp; "!A:A"),0)</f>
        <v>98</v>
      </c>
      <c r="T114" s="49" t="str">
        <f ca="1">IFERROR(INDEX(INDIRECT(zoneFichierEAN13ValmagUniq),S114,2),"")</f>
        <v xml:space="preserve"> </v>
      </c>
      <c r="U114" s="52">
        <f ca="1">MATCH($R114,INDIRECT(nomFichierEAN13ValmagUniq &amp; "!A" &amp; (S114+1) &amp; ":A" &amp;  (S114+10)),0)</f>
        <v>1</v>
      </c>
      <c r="V114" s="51">
        <f t="shared" ref="V114" ca="1" si="369">U114+S114</f>
        <v>99</v>
      </c>
      <c r="W114" s="49" t="str">
        <f ca="1">IFERROR(INDEX(INDIRECT(zoneFichierEAN13ValmagUniq),V114,2),"")</f>
        <v xml:space="preserve">OGLAM           </v>
      </c>
      <c r="X114" s="52" t="e">
        <f ca="1">MATCH($R114,INDIRECT(nomFichierEAN13ValmagUniq &amp; "!A" &amp; (V114+1) &amp; ":A" &amp;  (V114+10)),0)</f>
        <v>#N/A</v>
      </c>
      <c r="Y114" s="51" t="e">
        <f t="shared" ref="Y114" ca="1" si="370">X114+V114</f>
        <v>#N/A</v>
      </c>
      <c r="Z114" s="49" t="str">
        <f ca="1">IFERROR(INDEX(INDIRECT(zoneFichierEAN13ValmagUniq),Y114,2),"")</f>
        <v/>
      </c>
      <c r="AA114" s="53" t="str">
        <f t="shared" ref="AA114" ca="1" si="371">T114 &amp; IF(W114="","", " | " &amp; W114) &amp; IF(Z114="","", " | " &amp;Z114)</f>
        <v xml:space="preserve">  | OGLAM           </v>
      </c>
      <c r="AC114" s="55">
        <f ca="1">MATCH(B114,INDIRECT(nomFichierFiltreCatalogue &amp; "!B:B"),0)</f>
        <v>51</v>
      </c>
      <c r="AD114" s="14"/>
    </row>
    <row r="115" spans="1:30" s="20" customFormat="1" ht="15.75" customHeight="1" x14ac:dyDescent="0.25">
      <c r="A115" s="25">
        <f ca="1">INDEX(INDIRECT(zoneFichierTraite),$J114+offsetInitialFichierTraite,2)</f>
        <v>11</v>
      </c>
      <c r="B115" s="57" t="str">
        <f ca="1">IF(ISERROR($P114),msgRefValmagAcreer,IF(INDEX(INDIRECT(zoneFichierEAN13Valmag),$P114,3) = "",msgCodeValmagVide, INDEX(INDIRECT(zoneFichierEAN13Valmag),$P114,3)))</f>
        <v xml:space="preserve">OGLAM           </v>
      </c>
      <c r="C115" s="54" t="str">
        <f t="shared" ref="C115" ca="1" si="372">AA114</f>
        <v xml:space="preserve">  | OGLAM           </v>
      </c>
      <c r="D115" s="19" t="str">
        <f ca="1">IFERROR(INDEX(INDIRECT(zoneFichierEAN13Valmag),$P114,4),"")</f>
        <v xml:space="preserve">NAVY </v>
      </c>
      <c r="E115" s="58" t="str">
        <f ca="1">IFERROR(INDEX(INDIRECT(zoneFichierFiltreCatalogue),AC114,3),"")</f>
        <v>p013-1-01</v>
      </c>
      <c r="F115" s="19"/>
      <c r="G115" s="18"/>
      <c r="H115" s="32" t="str">
        <f ca="1">IFERROR(INDEX(INDIRECT(zoneFichierFiltreCatalogue),AC114,6),"")</f>
        <v>fall 2019 presentation_/catalogo fall 19.txt</v>
      </c>
      <c r="S115" s="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</row>
    <row r="116" spans="1:30" ht="39" customHeight="1" thickBot="1" x14ac:dyDescent="0.65">
      <c r="A116" s="9" t="str">
        <f ca="1">INDEX(INDIRECT(zoneFichierTraite),$J116+offsetInitialFichierTraite,6)</f>
        <v>UNICA</v>
      </c>
      <c r="B116" s="5" t="str">
        <f ca="1">INDEX(INDIRECT(zoneFichierTraite),$J116+offsetInitialFichierTraite,4)</f>
        <v>OBAGB034-EVS00-038</v>
      </c>
      <c r="C116" s="26" t="str">
        <f ca="1">INDEX(INDIRECT(zoneFichierTraite),$J116+offsetInitialFichierTraite,5)</f>
        <v>CORPS O BAG GLAM EVA COMPOUND</v>
      </c>
      <c r="D116" s="27" t="str">
        <f ca="1">INDEX(INDIRECT(zoneFichierTraite),$J116+offsetInitialFichierTraite,13)</f>
        <v>grafite</v>
      </c>
      <c r="E116" s="30">
        <f ca="1">INDEX(INDIRECT(zoneFichierTraite),$J116+offsetInitialFichierTraite,7)</f>
        <v>2</v>
      </c>
      <c r="F116" s="28">
        <f ca="1">INDEX(INDIRECT(zoneFichierTraite),$J116+offsetInitialFichierTraite,8)</f>
        <v>12.59</v>
      </c>
      <c r="G116" s="29">
        <f t="shared" ref="G116" ca="1" si="373">ROUNDUP(F116*3,0)</f>
        <v>38</v>
      </c>
      <c r="H116" s="31" t="str">
        <f ca="1">IF(ISNUMBER(N116),codeEAN13(INT(N116/10)),"")</f>
        <v>8APASOG*ajadda+</v>
      </c>
      <c r="I116" s="1" t="b">
        <f t="shared" ref="I116" ca="1" si="374">AND(A119&lt;&gt;0,A117=A119)</f>
        <v>0</v>
      </c>
      <c r="J116" s="15">
        <f t="shared" si="227"/>
        <v>54</v>
      </c>
      <c r="K116" s="1">
        <f t="shared" ref="K116" ca="1" si="375">A117</f>
        <v>210</v>
      </c>
      <c r="L116" s="5" t="str">
        <f ca="1">INDEX(INDIRECT(zoneFichierTraite),$J116+offsetInitialFichierTraite,1)</f>
        <v>'054</v>
      </c>
      <c r="M116" s="11">
        <f ca="1">INDEX(INDIRECT(zoneFichierTraite),$J116+offsetInitialFichierTraite,9)</f>
        <v>25.18</v>
      </c>
      <c r="N116" s="14">
        <f ca="1">INDEX(INDIRECT(zoneFichierTraite),$J116+offsetInitialFichierTraite,3)</f>
        <v>8050846090330</v>
      </c>
      <c r="O116" s="14"/>
      <c r="P116" s="56">
        <f ca="1">MATCH(N116,INDIRECT(nomFichierEAN13Valmag &amp; "!A:A"),0)</f>
        <v>717</v>
      </c>
      <c r="R116" s="50" t="str">
        <f ca="1">LEFT(B116,14)</f>
        <v>OBAGB034-EVS00</v>
      </c>
      <c r="S116" s="52">
        <f ca="1">MATCH($R116,INDIRECT(nomFichierEAN13ValmagUniq &amp; "!A:A"),0)</f>
        <v>98</v>
      </c>
      <c r="T116" s="49" t="str">
        <f ca="1">IFERROR(INDEX(INDIRECT(zoneFichierEAN13ValmagUniq),S116,2),"")</f>
        <v xml:space="preserve"> </v>
      </c>
      <c r="U116" s="52">
        <f ca="1">MATCH($R116,INDIRECT(nomFichierEAN13ValmagUniq &amp; "!A" &amp; (S116+1) &amp; ":A" &amp;  (S116+10)),0)</f>
        <v>1</v>
      </c>
      <c r="V116" s="51">
        <f t="shared" ref="V116" ca="1" si="376">U116+S116</f>
        <v>99</v>
      </c>
      <c r="W116" s="49" t="str">
        <f ca="1">IFERROR(INDEX(INDIRECT(zoneFichierEAN13ValmagUniq),V116,2),"")</f>
        <v xml:space="preserve">OGLAM           </v>
      </c>
      <c r="X116" s="52" t="e">
        <f ca="1">MATCH($R116,INDIRECT(nomFichierEAN13ValmagUniq &amp; "!A" &amp; (V116+1) &amp; ":A" &amp;  (V116+10)),0)</f>
        <v>#N/A</v>
      </c>
      <c r="Y116" s="51" t="e">
        <f t="shared" ref="Y116" ca="1" si="377">X116+V116</f>
        <v>#N/A</v>
      </c>
      <c r="Z116" s="49" t="str">
        <f ca="1">IFERROR(INDEX(INDIRECT(zoneFichierEAN13ValmagUniq),Y116,2),"")</f>
        <v/>
      </c>
      <c r="AA116" s="53" t="str">
        <f t="shared" ref="AA116" ca="1" si="378">T116 &amp; IF(W116="","", " | " &amp; W116) &amp; IF(Z116="","", " | " &amp;Z116)</f>
        <v xml:space="preserve">  | OGLAM           </v>
      </c>
      <c r="AC116" s="55">
        <f ca="1">MATCH(B116,INDIRECT(nomFichierFiltreCatalogue &amp; "!B:B"),0)</f>
        <v>54</v>
      </c>
      <c r="AD116" s="14"/>
    </row>
    <row r="117" spans="1:30" s="20" customFormat="1" ht="15.75" customHeight="1" x14ac:dyDescent="0.25">
      <c r="A117" s="25">
        <f ca="1">INDEX(INDIRECT(zoneFichierTraite),$J116+offsetInitialFichierTraite,2)</f>
        <v>210</v>
      </c>
      <c r="B117" s="57" t="str">
        <f ca="1">IF(ISERROR($P116),msgRefValmagAcreer,IF(INDEX(INDIRECT(zoneFichierEAN13Valmag),$P116,3) = "",msgCodeValmagVide, INDEX(INDIRECT(zoneFichierEAN13Valmag),$P116,3)))</f>
        <v xml:space="preserve"> </v>
      </c>
      <c r="C117" s="54" t="str">
        <f t="shared" ref="C117" ca="1" si="379">AA116</f>
        <v xml:space="preserve">  | OGLAM           </v>
      </c>
      <c r="D117" s="19" t="str">
        <f ca="1">IFERROR(INDEX(INDIRECT(zoneFichierEAN13Valmag),$P116,4),"")</f>
        <v xml:space="preserve"> </v>
      </c>
      <c r="E117" s="58" t="str">
        <f ca="1">IFERROR(INDEX(INDIRECT(zoneFichierFiltreCatalogue),AC116,3),"")</f>
        <v>p013-1-04</v>
      </c>
      <c r="F117" s="19"/>
      <c r="G117" s="18"/>
      <c r="H117" s="32" t="str">
        <f ca="1">IFERROR(INDEX(INDIRECT(zoneFichierFiltreCatalogue),AC116,6),"")</f>
        <v>fall 2019 presentation_/catalogo fall 19.txt</v>
      </c>
      <c r="S117" s="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</row>
    <row r="118" spans="1:30" ht="39" customHeight="1" thickBot="1" x14ac:dyDescent="0.65">
      <c r="A118" s="9" t="str">
        <f ca="1">INDEX(INDIRECT(zoneFichierTraite),$J118+offsetInitialFichierTraite,6)</f>
        <v>UNICA</v>
      </c>
      <c r="B118" s="5" t="str">
        <f ca="1">INDEX(INDIRECT(zoneFichierTraite),$J118+offsetInitialFichierTraite,4)</f>
        <v>OBAGB034-EVS00-055</v>
      </c>
      <c r="C118" s="26" t="str">
        <f ca="1">INDEX(INDIRECT(zoneFichierTraite),$J118+offsetInitialFichierTraite,5)</f>
        <v>CORPS O BAG GLAM EVA COMPOUND</v>
      </c>
      <c r="D118" s="27" t="str">
        <f ca="1">INDEX(INDIRECT(zoneFichierTraite),$J118+offsetInitialFichierTraite,13)</f>
        <v>nero</v>
      </c>
      <c r="E118" s="30">
        <f ca="1">INDEX(INDIRECT(zoneFichierTraite),$J118+offsetInitialFichierTraite,7)</f>
        <v>3</v>
      </c>
      <c r="F118" s="28">
        <f ca="1">INDEX(INDIRECT(zoneFichierTraite),$J118+offsetInitialFichierTraite,8)</f>
        <v>12.59</v>
      </c>
      <c r="G118" s="29">
        <f t="shared" ref="G118" ca="1" si="380">ROUNDUP(F118*3,0)</f>
        <v>38</v>
      </c>
      <c r="H118" s="31" t="str">
        <f ca="1">IF(ISNUMBER(N118),codeEAN13(INT(N118/10)),"")</f>
        <v>8APASOG*adjich+</v>
      </c>
      <c r="I118" s="1" t="b">
        <f t="shared" ref="I118" ca="1" si="381">AND(A121&lt;&gt;0,A119=A121)</f>
        <v>0</v>
      </c>
      <c r="J118" s="15">
        <f t="shared" si="227"/>
        <v>55</v>
      </c>
      <c r="K118" s="1">
        <f t="shared" ref="K118" ca="1" si="382">A119</f>
        <v>91</v>
      </c>
      <c r="L118" s="5" t="str">
        <f ca="1">INDEX(INDIRECT(zoneFichierTraite),$J118+offsetInitialFichierTraite,1)</f>
        <v>'055</v>
      </c>
      <c r="M118" s="11">
        <f ca="1">INDEX(INDIRECT(zoneFichierTraite),$J118+offsetInitialFichierTraite,9)</f>
        <v>37.770000000000003</v>
      </c>
      <c r="N118" s="14">
        <f ca="1">INDEX(INDIRECT(zoneFichierTraite),$J118+offsetInitialFichierTraite,3)</f>
        <v>8050846039827</v>
      </c>
      <c r="O118" s="14"/>
      <c r="P118" s="56">
        <f ca="1">MATCH(N118,INDIRECT(nomFichierEAN13Valmag &amp; "!A:A"),0)</f>
        <v>262</v>
      </c>
      <c r="R118" s="50" t="str">
        <f ca="1">LEFT(B118,14)</f>
        <v>OBAGB034-EVS00</v>
      </c>
      <c r="S118" s="52">
        <f ca="1">MATCH($R118,INDIRECT(nomFichierEAN13ValmagUniq &amp; "!A:A"),0)</f>
        <v>98</v>
      </c>
      <c r="T118" s="49" t="str">
        <f ca="1">IFERROR(INDEX(INDIRECT(zoneFichierEAN13ValmagUniq),S118,2),"")</f>
        <v xml:space="preserve"> </v>
      </c>
      <c r="U118" s="52">
        <f ca="1">MATCH($R118,INDIRECT(nomFichierEAN13ValmagUniq &amp; "!A" &amp; (S118+1) &amp; ":A" &amp;  (S118+10)),0)</f>
        <v>1</v>
      </c>
      <c r="V118" s="51">
        <f t="shared" ref="V118" ca="1" si="383">U118+S118</f>
        <v>99</v>
      </c>
      <c r="W118" s="49" t="str">
        <f ca="1">IFERROR(INDEX(INDIRECT(zoneFichierEAN13ValmagUniq),V118,2),"")</f>
        <v xml:space="preserve">OGLAM           </v>
      </c>
      <c r="X118" s="52" t="e">
        <f ca="1">MATCH($R118,INDIRECT(nomFichierEAN13ValmagUniq &amp; "!A" &amp; (V118+1) &amp; ":A" &amp;  (V118+10)),0)</f>
        <v>#N/A</v>
      </c>
      <c r="Y118" s="51" t="e">
        <f t="shared" ref="Y118" ca="1" si="384">X118+V118</f>
        <v>#N/A</v>
      </c>
      <c r="Z118" s="49" t="str">
        <f ca="1">IFERROR(INDEX(INDIRECT(zoneFichierEAN13ValmagUniq),Y118,2),"")</f>
        <v/>
      </c>
      <c r="AA118" s="53" t="str">
        <f t="shared" ref="AA118" ca="1" si="385">T118 &amp; IF(W118="","", " | " &amp; W118) &amp; IF(Z118="","", " | " &amp;Z118)</f>
        <v xml:space="preserve">  | OGLAM           </v>
      </c>
      <c r="AC118" s="55">
        <f ca="1">MATCH(B118,INDIRECT(nomFichierFiltreCatalogue &amp; "!B:B"),0)</f>
        <v>52</v>
      </c>
      <c r="AD118" s="14"/>
    </row>
    <row r="119" spans="1:30" s="20" customFormat="1" ht="15.75" customHeight="1" x14ac:dyDescent="0.25">
      <c r="A119" s="25">
        <f ca="1">INDEX(INDIRECT(zoneFichierTraite),$J118+offsetInitialFichierTraite,2)</f>
        <v>91</v>
      </c>
      <c r="B119" s="57" t="str">
        <f ca="1">IF(ISERROR($P118),msgRefValmagAcreer,IF(INDEX(INDIRECT(zoneFichierEAN13Valmag),$P118,3) = "",msgCodeValmagVide, INDEX(INDIRECT(zoneFichierEAN13Valmag),$P118,3)))</f>
        <v xml:space="preserve">OGLAM           </v>
      </c>
      <c r="C119" s="54" t="str">
        <f t="shared" ref="C119" ca="1" si="386">AA118</f>
        <v xml:space="preserve">  | OGLAM           </v>
      </c>
      <c r="D119" s="19" t="str">
        <f ca="1">IFERROR(INDEX(INDIRECT(zoneFichierEAN13Valmag),$P118,4),"")</f>
        <v>BLACK</v>
      </c>
      <c r="E119" s="58" t="str">
        <f ca="1">IFERROR(INDEX(INDIRECT(zoneFichierFiltreCatalogue),AC118,3),"")</f>
        <v>p013-1-02</v>
      </c>
      <c r="F119" s="19"/>
      <c r="G119" s="18"/>
      <c r="H119" s="32" t="str">
        <f ca="1">IFERROR(INDEX(INDIRECT(zoneFichierFiltreCatalogue),AC118,6),"")</f>
        <v>fall 2019 presentation_/catalogo fall 19.txt</v>
      </c>
      <c r="S119" s="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</row>
    <row r="120" spans="1:30" ht="39" customHeight="1" thickBot="1" x14ac:dyDescent="0.65">
      <c r="A120" s="9" t="str">
        <f ca="1">INDEX(INDIRECT(zoneFichierTraite),$J120+offsetInitialFichierTraite,6)</f>
        <v>UNICA</v>
      </c>
      <c r="B120" s="5" t="str">
        <f ca="1">INDEX(INDIRECT(zoneFichierTraite),$J120+offsetInitialFichierTraite,4)</f>
        <v>OBAGB034-EVS00-076</v>
      </c>
      <c r="C120" s="26" t="str">
        <f ca="1">INDEX(INDIRECT(zoneFichierTraite),$J120+offsetInitialFichierTraite,5)</f>
        <v>CORPS O BAG GLAM EVA COMPOUND</v>
      </c>
      <c r="D120" s="27" t="str">
        <f ca="1">INDEX(INDIRECT(zoneFichierTraite),$J120+offsetInitialFichierTraite,13)</f>
        <v>rosso</v>
      </c>
      <c r="E120" s="30">
        <f ca="1">INDEX(INDIRECT(zoneFichierTraite),$J120+offsetInitialFichierTraite,7)</f>
        <v>2</v>
      </c>
      <c r="F120" s="28">
        <f ca="1">INDEX(INDIRECT(zoneFichierTraite),$J120+offsetInitialFichierTraite,8)</f>
        <v>12.59</v>
      </c>
      <c r="G120" s="29">
        <f t="shared" ref="G120" ca="1" si="387">ROUNDUP(F120*3,0)</f>
        <v>38</v>
      </c>
      <c r="H120" s="31" t="str">
        <f ca="1">IF(ISNUMBER(N120),codeEAN13(INT(N120/10)),"")</f>
        <v>8APASOG*adjifi+</v>
      </c>
      <c r="I120" s="1" t="b">
        <f t="shared" ref="I120" ca="1" si="388">AND(A123&lt;&gt;0,A121=A123)</f>
        <v>0</v>
      </c>
      <c r="J120" s="15">
        <f t="shared" si="227"/>
        <v>56</v>
      </c>
      <c r="K120" s="1">
        <f t="shared" ref="K120" ca="1" si="389">A121</f>
        <v>94</v>
      </c>
      <c r="L120" s="5" t="str">
        <f ca="1">INDEX(INDIRECT(zoneFichierTraite),$J120+offsetInitialFichierTraite,1)</f>
        <v>'056</v>
      </c>
      <c r="M120" s="11">
        <f ca="1">INDEX(INDIRECT(zoneFichierTraite),$J120+offsetInitialFichierTraite,9)</f>
        <v>25.18</v>
      </c>
      <c r="N120" s="14">
        <f ca="1">INDEX(INDIRECT(zoneFichierTraite),$J120+offsetInitialFichierTraite,3)</f>
        <v>8050846039858</v>
      </c>
      <c r="O120" s="14"/>
      <c r="P120" s="56">
        <f ca="1">MATCH(N120,INDIRECT(nomFichierEAN13Valmag &amp; "!A:A"),0)</f>
        <v>264</v>
      </c>
      <c r="R120" s="50" t="str">
        <f ca="1">LEFT(B120,14)</f>
        <v>OBAGB034-EVS00</v>
      </c>
      <c r="S120" s="52">
        <f ca="1">MATCH($R120,INDIRECT(nomFichierEAN13ValmagUniq &amp; "!A:A"),0)</f>
        <v>98</v>
      </c>
      <c r="T120" s="49" t="str">
        <f ca="1">IFERROR(INDEX(INDIRECT(zoneFichierEAN13ValmagUniq),S120,2),"")</f>
        <v xml:space="preserve"> </v>
      </c>
      <c r="U120" s="52">
        <f ca="1">MATCH($R120,INDIRECT(nomFichierEAN13ValmagUniq &amp; "!A" &amp; (S120+1) &amp; ":A" &amp;  (S120+10)),0)</f>
        <v>1</v>
      </c>
      <c r="V120" s="51">
        <f t="shared" ref="V120" ca="1" si="390">U120+S120</f>
        <v>99</v>
      </c>
      <c r="W120" s="49" t="str">
        <f ca="1">IFERROR(INDEX(INDIRECT(zoneFichierEAN13ValmagUniq),V120,2),"")</f>
        <v xml:space="preserve">OGLAM           </v>
      </c>
      <c r="X120" s="52" t="e">
        <f ca="1">MATCH($R120,INDIRECT(nomFichierEAN13ValmagUniq &amp; "!A" &amp; (V120+1) &amp; ":A" &amp;  (V120+10)),0)</f>
        <v>#N/A</v>
      </c>
      <c r="Y120" s="51" t="e">
        <f t="shared" ref="Y120" ca="1" si="391">X120+V120</f>
        <v>#N/A</v>
      </c>
      <c r="Z120" s="49" t="str">
        <f ca="1">IFERROR(INDEX(INDIRECT(zoneFichierEAN13ValmagUniq),Y120,2),"")</f>
        <v/>
      </c>
      <c r="AA120" s="53" t="str">
        <f t="shared" ref="AA120" ca="1" si="392">T120 &amp; IF(W120="","", " | " &amp; W120) &amp; IF(Z120="","", " | " &amp;Z120)</f>
        <v xml:space="preserve">  | OGLAM           </v>
      </c>
      <c r="AC120" s="55">
        <f ca="1">MATCH(B120,INDIRECT(nomFichierFiltreCatalogue &amp; "!B:B"),0)</f>
        <v>56</v>
      </c>
      <c r="AD120" s="14"/>
    </row>
    <row r="121" spans="1:30" s="20" customFormat="1" ht="15.75" customHeight="1" x14ac:dyDescent="0.25">
      <c r="A121" s="25">
        <f ca="1">INDEX(INDIRECT(zoneFichierTraite),$J120+offsetInitialFichierTraite,2)</f>
        <v>94</v>
      </c>
      <c r="B121" s="57" t="str">
        <f ca="1">IF(ISERROR($P120),msgRefValmagAcreer,IF(INDEX(INDIRECT(zoneFichierEAN13Valmag),$P120,3) = "",msgCodeValmagVide, INDEX(INDIRECT(zoneFichierEAN13Valmag),$P120,3)))</f>
        <v xml:space="preserve">OGLAM           </v>
      </c>
      <c r="C121" s="54" t="str">
        <f t="shared" ref="C121" ca="1" si="393">AA120</f>
        <v xml:space="preserve">  | OGLAM           </v>
      </c>
      <c r="D121" s="19" t="str">
        <f ca="1">IFERROR(INDEX(INDIRECT(zoneFichierEAN13Valmag),$P120,4),"")</f>
        <v xml:space="preserve">RED  </v>
      </c>
      <c r="E121" s="58" t="str">
        <f ca="1">IFERROR(INDEX(INDIRECT(zoneFichierFiltreCatalogue),AC120,3),"")</f>
        <v>p013-1-06</v>
      </c>
      <c r="F121" s="19"/>
      <c r="G121" s="18"/>
      <c r="H121" s="32" t="str">
        <f ca="1">IFERROR(INDEX(INDIRECT(zoneFichierFiltreCatalogue),AC120,6),"")</f>
        <v>fall 2019 presentation_/catalogo fall 19.txt</v>
      </c>
      <c r="S121" s="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</row>
    <row r="122" spans="1:30" ht="39" customHeight="1" thickBot="1" x14ac:dyDescent="0.65">
      <c r="A122" s="9" t="str">
        <f ca="1">INDEX(INDIRECT(zoneFichierTraite),$J122+offsetInitialFichierTraite,6)</f>
        <v>UNICA</v>
      </c>
      <c r="B122" s="5" t="str">
        <f ca="1">INDEX(INDIRECT(zoneFichierTraite),$J122+offsetInitialFichierTraite,4)</f>
        <v>OBAGB034-EVS00-078</v>
      </c>
      <c r="C122" s="26" t="str">
        <f ca="1">INDEX(INDIRECT(zoneFichierTraite),$J122+offsetInitialFichierTraite,5)</f>
        <v>CORPS O BAG GLAM EVA COMPOUND</v>
      </c>
      <c r="D122" s="27" t="str">
        <f ca="1">INDEX(INDIRECT(zoneFichierTraite),$J122+offsetInitialFichierTraite,13)</f>
        <v>sabbia</v>
      </c>
      <c r="E122" s="30">
        <f ca="1">INDEX(INDIRECT(zoneFichierTraite),$J122+offsetInitialFichierTraite,7)</f>
        <v>2</v>
      </c>
      <c r="F122" s="28">
        <f ca="1">INDEX(INDIRECT(zoneFichierTraite),$J122+offsetInitialFichierTraite,8)</f>
        <v>12.59</v>
      </c>
      <c r="G122" s="29">
        <f t="shared" ref="G122" ca="1" si="394">ROUNDUP(F122*3,0)</f>
        <v>38</v>
      </c>
      <c r="H122" s="31" t="str">
        <f ca="1">IF(ISNUMBER(N122),codeEAN13(INT(N122/10)),"")</f>
        <v>8APASOG*agciih+</v>
      </c>
      <c r="I122" s="1" t="b">
        <f t="shared" ref="I122" ca="1" si="395">AND(A125&lt;&gt;0,A123=A125)</f>
        <v>0</v>
      </c>
      <c r="J122" s="15">
        <f t="shared" si="227"/>
        <v>57</v>
      </c>
      <c r="K122" s="1">
        <f t="shared" ref="K122" ca="1" si="396">A123</f>
        <v>148</v>
      </c>
      <c r="L122" s="5" t="str">
        <f ca="1">INDEX(INDIRECT(zoneFichierTraite),$J122+offsetInitialFichierTraite,1)</f>
        <v>'057</v>
      </c>
      <c r="M122" s="11">
        <f ca="1">INDEX(INDIRECT(zoneFichierTraite),$J122+offsetInitialFichierTraite,9)</f>
        <v>25.18</v>
      </c>
      <c r="N122" s="14">
        <f ca="1">INDEX(INDIRECT(zoneFichierTraite),$J122+offsetInitialFichierTraite,3)</f>
        <v>8050846062887</v>
      </c>
      <c r="O122" s="14"/>
      <c r="P122" s="56">
        <f ca="1">MATCH(N122,INDIRECT(nomFichierEAN13Valmag &amp; "!A:A"),0)</f>
        <v>536</v>
      </c>
      <c r="R122" s="50" t="str">
        <f ca="1">LEFT(B122,14)</f>
        <v>OBAGB034-EVS00</v>
      </c>
      <c r="S122" s="52">
        <f ca="1">MATCH($R122,INDIRECT(nomFichierEAN13ValmagUniq &amp; "!A:A"),0)</f>
        <v>98</v>
      </c>
      <c r="T122" s="49" t="str">
        <f ca="1">IFERROR(INDEX(INDIRECT(zoneFichierEAN13ValmagUniq),S122,2),"")</f>
        <v xml:space="preserve"> </v>
      </c>
      <c r="U122" s="52">
        <f ca="1">MATCH($R122,INDIRECT(nomFichierEAN13ValmagUniq &amp; "!A" &amp; (S122+1) &amp; ":A" &amp;  (S122+10)),0)</f>
        <v>1</v>
      </c>
      <c r="V122" s="51">
        <f t="shared" ref="V122" ca="1" si="397">U122+S122</f>
        <v>99</v>
      </c>
      <c r="W122" s="49" t="str">
        <f ca="1">IFERROR(INDEX(INDIRECT(zoneFichierEAN13ValmagUniq),V122,2),"")</f>
        <v xml:space="preserve">OGLAM           </v>
      </c>
      <c r="X122" s="52" t="e">
        <f ca="1">MATCH($R122,INDIRECT(nomFichierEAN13ValmagUniq &amp; "!A" &amp; (V122+1) &amp; ":A" &amp;  (V122+10)),0)</f>
        <v>#N/A</v>
      </c>
      <c r="Y122" s="51" t="e">
        <f t="shared" ref="Y122" ca="1" si="398">X122+V122</f>
        <v>#N/A</v>
      </c>
      <c r="Z122" s="49" t="str">
        <f ca="1">IFERROR(INDEX(INDIRECT(zoneFichierEAN13ValmagUniq),Y122,2),"")</f>
        <v/>
      </c>
      <c r="AA122" s="53" t="str">
        <f t="shared" ref="AA122" ca="1" si="399">T122 &amp; IF(W122="","", " | " &amp; W122) &amp; IF(Z122="","", " | " &amp;Z122)</f>
        <v xml:space="preserve">  | OGLAM           </v>
      </c>
      <c r="AC122" s="55">
        <f ca="1">MATCH(B122,INDIRECT(nomFichierFiltreCatalogue &amp; "!B:B"),0)</f>
        <v>58</v>
      </c>
      <c r="AD122" s="14"/>
    </row>
    <row r="123" spans="1:30" s="20" customFormat="1" ht="15.75" customHeight="1" x14ac:dyDescent="0.25">
      <c r="A123" s="25">
        <f ca="1">INDEX(INDIRECT(zoneFichierTraite),$J122+offsetInitialFichierTraite,2)</f>
        <v>148</v>
      </c>
      <c r="B123" s="57" t="str">
        <f ca="1">IF(ISERROR($P122),msgRefValmagAcreer,IF(INDEX(INDIRECT(zoneFichierEAN13Valmag),$P122,3) = "",msgCodeValmagVide, INDEX(INDIRECT(zoneFichierEAN13Valmag),$P122,3)))</f>
        <v xml:space="preserve">OGLAM           </v>
      </c>
      <c r="C123" s="54" t="str">
        <f t="shared" ref="C123" ca="1" si="400">AA122</f>
        <v xml:space="preserve">  | OGLAM           </v>
      </c>
      <c r="D123" s="19" t="str">
        <f ca="1">IFERROR(INDEX(INDIRECT(zoneFichierEAN13Valmag),$P122,4),"")</f>
        <v xml:space="preserve">SAND </v>
      </c>
      <c r="E123" s="58" t="str">
        <f ca="1">IFERROR(INDEX(INDIRECT(zoneFichierFiltreCatalogue),AC122,3),"")</f>
        <v>p013-1-08</v>
      </c>
      <c r="F123" s="19"/>
      <c r="G123" s="18"/>
      <c r="H123" s="32" t="str">
        <f ca="1">IFERROR(INDEX(INDIRECT(zoneFichierFiltreCatalogue),AC122,6),"")</f>
        <v>fall 2019 presentation_/catalogo fall 19.txt</v>
      </c>
      <c r="S123" s="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</row>
    <row r="124" spans="1:30" ht="39" customHeight="1" thickBot="1" x14ac:dyDescent="0.65">
      <c r="A124" s="9" t="str">
        <f ca="1">INDEX(INDIRECT(zoneFichierTraite),$J124+offsetInitialFichierTraite,6)</f>
        <v>UNICA</v>
      </c>
      <c r="B124" s="5" t="str">
        <f ca="1">INDEX(INDIRECT(zoneFichierTraite),$J124+offsetInitialFichierTraite,4)</f>
        <v>OBAGB034-EVS00-614</v>
      </c>
      <c r="C124" s="26" t="str">
        <f ca="1">INDEX(INDIRECT(zoneFichierTraite),$J124+offsetInitialFichierTraite,5)</f>
        <v>CORPS O BAG GLAM EVA COMPOUND</v>
      </c>
      <c r="D124" s="27" t="str">
        <f ca="1">INDEX(INDIRECT(zoneFichierTraite),$J124+offsetInitialFichierTraite,13)</f>
        <v>imperial blu</v>
      </c>
      <c r="E124" s="30">
        <f ca="1">INDEX(INDIRECT(zoneFichierTraite),$J124+offsetInitialFichierTraite,7)</f>
        <v>2</v>
      </c>
      <c r="F124" s="28">
        <f ca="1">INDEX(INDIRECT(zoneFichierTraite),$J124+offsetInitialFichierTraite,8)</f>
        <v>12.59</v>
      </c>
      <c r="G124" s="29">
        <f t="shared" ref="G124" ca="1" si="401">ROUNDUP(F124*3,0)</f>
        <v>38</v>
      </c>
      <c r="H124" s="31" t="str">
        <f ca="1">IF(ISNUMBER(N124),codeEAN13(INT(N124/10)),"")</f>
        <v>8APASOG*ajadbg+</v>
      </c>
      <c r="I124" s="1" t="b">
        <f t="shared" ref="I124" ca="1" si="402">AND(A127&lt;&gt;0,A125=A127)</f>
        <v>0</v>
      </c>
      <c r="J124" s="15">
        <f t="shared" si="227"/>
        <v>58</v>
      </c>
      <c r="K124" s="1">
        <f t="shared" ref="K124" ca="1" si="403">A125</f>
        <v>98</v>
      </c>
      <c r="L124" s="5" t="str">
        <f ca="1">INDEX(INDIRECT(zoneFichierTraite),$J124+offsetInitialFichierTraite,1)</f>
        <v>'058</v>
      </c>
      <c r="M124" s="11">
        <f ca="1">INDEX(INDIRECT(zoneFichierTraite),$J124+offsetInitialFichierTraite,9)</f>
        <v>25.18</v>
      </c>
      <c r="N124" s="14">
        <f ca="1">INDEX(INDIRECT(zoneFichierTraite),$J124+offsetInitialFichierTraite,3)</f>
        <v>8050846090316</v>
      </c>
      <c r="O124" s="14"/>
      <c r="P124" s="56">
        <f ca="1">MATCH(N124,INDIRECT(nomFichierEAN13Valmag &amp; "!A:A"),0)</f>
        <v>715</v>
      </c>
      <c r="R124" s="50" t="str">
        <f ca="1">LEFT(B124,14)</f>
        <v>OBAGB034-EVS00</v>
      </c>
      <c r="S124" s="52">
        <f ca="1">MATCH($R124,INDIRECT(nomFichierEAN13ValmagUniq &amp; "!A:A"),0)</f>
        <v>98</v>
      </c>
      <c r="T124" s="49" t="str">
        <f ca="1">IFERROR(INDEX(INDIRECT(zoneFichierEAN13ValmagUniq),S124,2),"")</f>
        <v xml:space="preserve"> </v>
      </c>
      <c r="U124" s="52">
        <f ca="1">MATCH($R124,INDIRECT(nomFichierEAN13ValmagUniq &amp; "!A" &amp; (S124+1) &amp; ":A" &amp;  (S124+10)),0)</f>
        <v>1</v>
      </c>
      <c r="V124" s="51">
        <f t="shared" ref="V124" ca="1" si="404">U124+S124</f>
        <v>99</v>
      </c>
      <c r="W124" s="49" t="str">
        <f ca="1">IFERROR(INDEX(INDIRECT(zoneFichierEAN13ValmagUniq),V124,2),"")</f>
        <v xml:space="preserve">OGLAM           </v>
      </c>
      <c r="X124" s="52" t="e">
        <f ca="1">MATCH($R124,INDIRECT(nomFichierEAN13ValmagUniq &amp; "!A" &amp; (V124+1) &amp; ":A" &amp;  (V124+10)),0)</f>
        <v>#N/A</v>
      </c>
      <c r="Y124" s="51" t="e">
        <f t="shared" ref="Y124" ca="1" si="405">X124+V124</f>
        <v>#N/A</v>
      </c>
      <c r="Z124" s="49" t="str">
        <f ca="1">IFERROR(INDEX(INDIRECT(zoneFichierEAN13ValmagUniq),Y124,2),"")</f>
        <v/>
      </c>
      <c r="AA124" s="53" t="str">
        <f t="shared" ref="AA124" ca="1" si="406">T124 &amp; IF(W124="","", " | " &amp; W124) &amp; IF(Z124="","", " | " &amp;Z124)</f>
        <v xml:space="preserve">  | OGLAM           </v>
      </c>
      <c r="AC124" s="55">
        <f ca="1">MATCH(B124,INDIRECT(nomFichierFiltreCatalogue &amp; "!B:B"),0)</f>
        <v>59</v>
      </c>
      <c r="AD124" s="14"/>
    </row>
    <row r="125" spans="1:30" s="20" customFormat="1" ht="15.75" customHeight="1" x14ac:dyDescent="0.25">
      <c r="A125" s="25">
        <f ca="1">INDEX(INDIRECT(zoneFichierTraite),$J124+offsetInitialFichierTraite,2)</f>
        <v>98</v>
      </c>
      <c r="B125" s="57" t="str">
        <f ca="1">IF(ISERROR($P124),msgRefValmagAcreer,IF(INDEX(INDIRECT(zoneFichierEAN13Valmag),$P124,3) = "",msgCodeValmagVide, INDEX(INDIRECT(zoneFichierEAN13Valmag),$P124,3)))</f>
        <v xml:space="preserve"> </v>
      </c>
      <c r="C125" s="54" t="str">
        <f t="shared" ref="C125" ca="1" si="407">AA124</f>
        <v xml:space="preserve">  | OGLAM           </v>
      </c>
      <c r="D125" s="19" t="str">
        <f ca="1">IFERROR(INDEX(INDIRECT(zoneFichierEAN13Valmag),$P124,4),"")</f>
        <v xml:space="preserve"> </v>
      </c>
      <c r="E125" s="58" t="str">
        <f ca="1">IFERROR(INDEX(INDIRECT(zoneFichierFiltreCatalogue),AC124,3),"")</f>
        <v>p013-1-09</v>
      </c>
      <c r="F125" s="19"/>
      <c r="G125" s="18"/>
      <c r="H125" s="32" t="str">
        <f ca="1">IFERROR(INDEX(INDIRECT(zoneFichierFiltreCatalogue),AC124,6),"")</f>
        <v>fall 2019 presentation_/catalogo fall 19.txt</v>
      </c>
      <c r="S125" s="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</row>
    <row r="126" spans="1:30" ht="39" customHeight="1" thickBot="1" x14ac:dyDescent="0.65">
      <c r="A126" s="9" t="str">
        <f ca="1">INDEX(INDIRECT(zoneFichierTraite),$J126+offsetInitialFichierTraite,6)</f>
        <v>UNICA</v>
      </c>
      <c r="B126" s="5" t="str">
        <f ca="1">INDEX(INDIRECT(zoneFichierTraite),$J126+offsetInitialFichierTraite,4)</f>
        <v>OBAGB034-EVS00-615</v>
      </c>
      <c r="C126" s="26" t="str">
        <f ca="1">INDEX(INDIRECT(zoneFichierTraite),$J126+offsetInitialFichierTraite,5)</f>
        <v>CORPS O BAG GLAM EVA COMPOUND</v>
      </c>
      <c r="D126" s="27" t="str">
        <f ca="1">INDEX(INDIRECT(zoneFichierTraite),$J126+offsetInitialFichierTraite,13)</f>
        <v>military</v>
      </c>
      <c r="E126" s="30">
        <f ca="1">INDEX(INDIRECT(zoneFichierTraite),$J126+offsetInitialFichierTraite,7)</f>
        <v>2</v>
      </c>
      <c r="F126" s="28">
        <f ca="1">INDEX(INDIRECT(zoneFichierTraite),$J126+offsetInitialFichierTraite,8)</f>
        <v>12.59</v>
      </c>
      <c r="G126" s="29">
        <f t="shared" ref="G126" ca="1" si="408">ROUNDUP(F126*3,0)</f>
        <v>38</v>
      </c>
      <c r="H126" s="31" t="str">
        <f ca="1">IF(ISNUMBER(N126),codeEAN13(INT(N126/10)),"")</f>
        <v>8APASOG*ajadeh+</v>
      </c>
      <c r="I126" s="1" t="b">
        <f t="shared" ref="I126" ca="1" si="409">AND(A129&lt;&gt;0,A127=A129)</f>
        <v>0</v>
      </c>
      <c r="J126" s="15">
        <f t="shared" si="227"/>
        <v>59</v>
      </c>
      <c r="K126" s="1">
        <f t="shared" ref="K126" ca="1" si="410">A127</f>
        <v>33</v>
      </c>
      <c r="L126" s="5" t="str">
        <f ca="1">INDEX(INDIRECT(zoneFichierTraite),$J126+offsetInitialFichierTraite,1)</f>
        <v>'059</v>
      </c>
      <c r="M126" s="11">
        <f ca="1">INDEX(INDIRECT(zoneFichierTraite),$J126+offsetInitialFichierTraite,9)</f>
        <v>25.18</v>
      </c>
      <c r="N126" s="14">
        <f ca="1">INDEX(INDIRECT(zoneFichierTraite),$J126+offsetInitialFichierTraite,3)</f>
        <v>8050846090347</v>
      </c>
      <c r="O126" s="14"/>
      <c r="P126" s="56">
        <f ca="1">MATCH(N126,INDIRECT(nomFichierEAN13Valmag &amp; "!A:A"),0)</f>
        <v>718</v>
      </c>
      <c r="R126" s="50" t="str">
        <f ca="1">LEFT(B126,14)</f>
        <v>OBAGB034-EVS00</v>
      </c>
      <c r="S126" s="52">
        <f ca="1">MATCH($R126,INDIRECT(nomFichierEAN13ValmagUniq &amp; "!A:A"),0)</f>
        <v>98</v>
      </c>
      <c r="T126" s="49" t="str">
        <f ca="1">IFERROR(INDEX(INDIRECT(zoneFichierEAN13ValmagUniq),S126,2),"")</f>
        <v xml:space="preserve"> </v>
      </c>
      <c r="U126" s="52">
        <f ca="1">MATCH($R126,INDIRECT(nomFichierEAN13ValmagUniq &amp; "!A" &amp; (S126+1) &amp; ":A" &amp;  (S126+10)),0)</f>
        <v>1</v>
      </c>
      <c r="V126" s="51">
        <f t="shared" ref="V126" ca="1" si="411">U126+S126</f>
        <v>99</v>
      </c>
      <c r="W126" s="49" t="str">
        <f ca="1">IFERROR(INDEX(INDIRECT(zoneFichierEAN13ValmagUniq),V126,2),"")</f>
        <v xml:space="preserve">OGLAM           </v>
      </c>
      <c r="X126" s="52" t="e">
        <f ca="1">MATCH($R126,INDIRECT(nomFichierEAN13ValmagUniq &amp; "!A" &amp; (V126+1) &amp; ":A" &amp;  (V126+10)),0)</f>
        <v>#N/A</v>
      </c>
      <c r="Y126" s="51" t="e">
        <f t="shared" ref="Y126" ca="1" si="412">X126+V126</f>
        <v>#N/A</v>
      </c>
      <c r="Z126" s="49" t="str">
        <f ca="1">IFERROR(INDEX(INDIRECT(zoneFichierEAN13ValmagUniq),Y126,2),"")</f>
        <v/>
      </c>
      <c r="AA126" s="53" t="str">
        <f t="shared" ref="AA126" ca="1" si="413">T126 &amp; IF(W126="","", " | " &amp; W126) &amp; IF(Z126="","", " | " &amp;Z126)</f>
        <v xml:space="preserve">  | OGLAM           </v>
      </c>
      <c r="AC126" s="55">
        <f ca="1">MATCH(B126,INDIRECT(nomFichierFiltreCatalogue &amp; "!B:B"),0)</f>
        <v>61</v>
      </c>
      <c r="AD126" s="14"/>
    </row>
    <row r="127" spans="1:30" s="20" customFormat="1" ht="15.75" customHeight="1" x14ac:dyDescent="0.25">
      <c r="A127" s="25">
        <f ca="1">INDEX(INDIRECT(zoneFichierTraite),$J126+offsetInitialFichierTraite,2)</f>
        <v>33</v>
      </c>
      <c r="B127" s="57" t="str">
        <f ca="1">IF(ISERROR($P126),msgRefValmagAcreer,IF(INDEX(INDIRECT(zoneFichierEAN13Valmag),$P126,3) = "",msgCodeValmagVide, INDEX(INDIRECT(zoneFichierEAN13Valmag),$P126,3)))</f>
        <v xml:space="preserve"> </v>
      </c>
      <c r="C127" s="54" t="str">
        <f t="shared" ref="C127" ca="1" si="414">AA126</f>
        <v xml:space="preserve">  | OGLAM           </v>
      </c>
      <c r="D127" s="19" t="str">
        <f ca="1">IFERROR(INDEX(INDIRECT(zoneFichierEAN13Valmag),$P126,4),"")</f>
        <v xml:space="preserve"> </v>
      </c>
      <c r="E127" s="58" t="str">
        <f ca="1">IFERROR(INDEX(INDIRECT(zoneFichierFiltreCatalogue),AC126,3),"")</f>
        <v>p013-1-11</v>
      </c>
      <c r="F127" s="19"/>
      <c r="G127" s="18"/>
      <c r="H127" s="32" t="str">
        <f ca="1">IFERROR(INDEX(INDIRECT(zoneFichierFiltreCatalogue),AC126,6),"")</f>
        <v>fall 2019 presentation_/catalogo fall 19.txt</v>
      </c>
      <c r="S127" s="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</row>
    <row r="128" spans="1:30" ht="39" customHeight="1" thickBot="1" x14ac:dyDescent="0.65">
      <c r="A128" s="9" t="str">
        <f ca="1">INDEX(INDIRECT(zoneFichierTraite),$J128+offsetInitialFichierTraite,6)</f>
        <v>UNICA</v>
      </c>
      <c r="B128" s="5" t="str">
        <f ca="1">INDEX(INDIRECT(zoneFichierTraite),$J128+offsetInitialFichierTraite,4)</f>
        <v>OBAGB034-EVS00-616</v>
      </c>
      <c r="C128" s="26" t="str">
        <f ca="1">INDEX(INDIRECT(zoneFichierTraite),$J128+offsetInitialFichierTraite,5)</f>
        <v>CORPS O BAG GLAM EVA COMPOUND</v>
      </c>
      <c r="D128" s="27" t="str">
        <f ca="1">INDEX(INDIRECT(zoneFichierTraite),$J128+offsetInitialFichierTraite,13)</f>
        <v>ice</v>
      </c>
      <c r="E128" s="30">
        <f ca="1">INDEX(INDIRECT(zoneFichierTraite),$J128+offsetInitialFichierTraite,7)</f>
        <v>2</v>
      </c>
      <c r="F128" s="28">
        <f ca="1">INDEX(INDIRECT(zoneFichierTraite),$J128+offsetInitialFichierTraite,8)</f>
        <v>12.59</v>
      </c>
      <c r="G128" s="29">
        <f t="shared" ref="G128" ca="1" si="415">ROUNDUP(F128*3,0)</f>
        <v>38</v>
      </c>
      <c r="H128" s="31" t="str">
        <f ca="1">IF(ISNUMBER(N128),codeEAN13(INT(N128/10)),"")</f>
        <v>8APASOG*ajadgb+</v>
      </c>
      <c r="I128" s="1" t="b">
        <f t="shared" ref="I128" ca="1" si="416">AND(A131&lt;&gt;0,A129=A131)</f>
        <v>0</v>
      </c>
      <c r="J128" s="15">
        <f t="shared" si="227"/>
        <v>60</v>
      </c>
      <c r="K128" s="1">
        <f t="shared" ref="K128" ca="1" si="417">A129</f>
        <v>56</v>
      </c>
      <c r="L128" s="5" t="str">
        <f ca="1">INDEX(INDIRECT(zoneFichierTraite),$J128+offsetInitialFichierTraite,1)</f>
        <v>'060</v>
      </c>
      <c r="M128" s="11">
        <f ca="1">INDEX(INDIRECT(zoneFichierTraite),$J128+offsetInitialFichierTraite,9)</f>
        <v>25.18</v>
      </c>
      <c r="N128" s="14">
        <f ca="1">INDEX(INDIRECT(zoneFichierTraite),$J128+offsetInitialFichierTraite,3)</f>
        <v>8050846090361</v>
      </c>
      <c r="O128" s="14"/>
      <c r="P128" s="56">
        <f ca="1">MATCH(N128,INDIRECT(nomFichierEAN13Valmag &amp; "!A:A"),0)</f>
        <v>720</v>
      </c>
      <c r="R128" s="50" t="str">
        <f ca="1">LEFT(B128,14)</f>
        <v>OBAGB034-EVS00</v>
      </c>
      <c r="S128" s="52">
        <f ca="1">MATCH($R128,INDIRECT(nomFichierEAN13ValmagUniq &amp; "!A:A"),0)</f>
        <v>98</v>
      </c>
      <c r="T128" s="49" t="str">
        <f ca="1">IFERROR(INDEX(INDIRECT(zoneFichierEAN13ValmagUniq),S128,2),"")</f>
        <v xml:space="preserve"> </v>
      </c>
      <c r="U128" s="52">
        <f ca="1">MATCH($R128,INDIRECT(nomFichierEAN13ValmagUniq &amp; "!A" &amp; (S128+1) &amp; ":A" &amp;  (S128+10)),0)</f>
        <v>1</v>
      </c>
      <c r="V128" s="51">
        <f t="shared" ref="V128" ca="1" si="418">U128+S128</f>
        <v>99</v>
      </c>
      <c r="W128" s="49" t="str">
        <f ca="1">IFERROR(INDEX(INDIRECT(zoneFichierEAN13ValmagUniq),V128,2),"")</f>
        <v xml:space="preserve">OGLAM           </v>
      </c>
      <c r="X128" s="52" t="e">
        <f ca="1">MATCH($R128,INDIRECT(nomFichierEAN13ValmagUniq &amp; "!A" &amp; (V128+1) &amp; ":A" &amp;  (V128+10)),0)</f>
        <v>#N/A</v>
      </c>
      <c r="Y128" s="51" t="e">
        <f t="shared" ref="Y128" ca="1" si="419">X128+V128</f>
        <v>#N/A</v>
      </c>
      <c r="Z128" s="49" t="str">
        <f ca="1">IFERROR(INDEX(INDIRECT(zoneFichierEAN13ValmagUniq),Y128,2),"")</f>
        <v/>
      </c>
      <c r="AA128" s="53" t="str">
        <f t="shared" ref="AA128" ca="1" si="420">T128 &amp; IF(W128="","", " | " &amp; W128) &amp; IF(Z128="","", " | " &amp;Z128)</f>
        <v xml:space="preserve">  | OGLAM           </v>
      </c>
      <c r="AC128" s="55">
        <f ca="1">MATCH(B128,INDIRECT(nomFichierFiltreCatalogue &amp; "!B:B"),0)</f>
        <v>62</v>
      </c>
      <c r="AD128" s="14"/>
    </row>
    <row r="129" spans="1:30" s="20" customFormat="1" ht="15.75" customHeight="1" x14ac:dyDescent="0.25">
      <c r="A129" s="25">
        <f ca="1">INDEX(INDIRECT(zoneFichierTraite),$J128+offsetInitialFichierTraite,2)</f>
        <v>56</v>
      </c>
      <c r="B129" s="57" t="str">
        <f ca="1">IF(ISERROR($P128),msgRefValmagAcreer,IF(INDEX(INDIRECT(zoneFichierEAN13Valmag),$P128,3) = "",msgCodeValmagVide, INDEX(INDIRECT(zoneFichierEAN13Valmag),$P128,3)))</f>
        <v xml:space="preserve"> </v>
      </c>
      <c r="C129" s="54" t="str">
        <f t="shared" ref="C129" ca="1" si="421">AA128</f>
        <v xml:space="preserve">  | OGLAM           </v>
      </c>
      <c r="D129" s="19" t="str">
        <f ca="1">IFERROR(INDEX(INDIRECT(zoneFichierEAN13Valmag),$P128,4),"")</f>
        <v xml:space="preserve"> </v>
      </c>
      <c r="E129" s="58" t="str">
        <f ca="1">IFERROR(INDEX(INDIRECT(zoneFichierFiltreCatalogue),AC128,3),"")</f>
        <v>p013-1-12</v>
      </c>
      <c r="F129" s="19"/>
      <c r="G129" s="18"/>
      <c r="H129" s="32" t="str">
        <f ca="1">IFERROR(INDEX(INDIRECT(zoneFichierFiltreCatalogue),AC128,6),"")</f>
        <v>fall 2019 presentation_/catalogo fall 19.txt</v>
      </c>
      <c r="S129" s="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</row>
    <row r="130" spans="1:30" ht="39" customHeight="1" thickBot="1" x14ac:dyDescent="0.65">
      <c r="A130" s="9" t="str">
        <f ca="1">INDEX(INDIRECT(zoneFichierTraite),$J130+offsetInitialFichierTraite,6)</f>
        <v>UNICA</v>
      </c>
      <c r="B130" s="5" t="str">
        <f ca="1">INDEX(INDIRECT(zoneFichierTraite),$J130+offsetInitialFichierTraite,4)</f>
        <v>OBAGB056-TESBK-055</v>
      </c>
      <c r="C130" s="26" t="str">
        <f ca="1">INDEX(INDIRECT(zoneFichierTraite),$J130+offsetInitialFichierTraite,5)</f>
        <v>CORPS O BAG MARKET EN TISSU DOUDOUNE Ã€ CHEVRONS</v>
      </c>
      <c r="D130" s="27" t="str">
        <f ca="1">INDEX(INDIRECT(zoneFichierTraite),$J130+offsetInitialFichierTraite,13)</f>
        <v>nero</v>
      </c>
      <c r="E130" s="30">
        <f ca="1">INDEX(INDIRECT(zoneFichierTraite),$J130+offsetInitialFichierTraite,7)</f>
        <v>2</v>
      </c>
      <c r="F130" s="28">
        <f ca="1">INDEX(INDIRECT(zoneFichierTraite),$J130+offsetInitialFichierTraite,8)</f>
        <v>18.52</v>
      </c>
      <c r="G130" s="29">
        <f t="shared" ref="G130" ca="1" si="422">ROUNDUP(F130*3,0)</f>
        <v>56</v>
      </c>
      <c r="H130" s="31" t="str">
        <f ca="1">IF(ISNUMBER(N130),codeEAN13(INT(N130/10)),"")</f>
        <v>8APASOG*ajahaf+</v>
      </c>
      <c r="I130" s="1" t="b">
        <f t="shared" ref="I130" ca="1" si="423">AND(A133&lt;&gt;0,A131=A133)</f>
        <v>0</v>
      </c>
      <c r="J130" s="15">
        <f t="shared" si="227"/>
        <v>61</v>
      </c>
      <c r="K130" s="1">
        <f t="shared" ref="K130" ca="1" si="424">A131</f>
        <v>184</v>
      </c>
      <c r="L130" s="5" t="str">
        <f ca="1">INDEX(INDIRECT(zoneFichierTraite),$J130+offsetInitialFichierTraite,1)</f>
        <v>'061</v>
      </c>
      <c r="M130" s="11">
        <f ca="1">INDEX(INDIRECT(zoneFichierTraite),$J130+offsetInitialFichierTraite,9)</f>
        <v>37.04</v>
      </c>
      <c r="N130" s="14">
        <f ca="1">INDEX(INDIRECT(zoneFichierTraite),$J130+offsetInitialFichierTraite,3)</f>
        <v>8050846090705</v>
      </c>
      <c r="O130" s="14"/>
      <c r="P130" s="56">
        <f ca="1">MATCH(N130,INDIRECT(nomFichierEAN13Valmag &amp; "!A:A"),0)</f>
        <v>752</v>
      </c>
      <c r="R130" s="50" t="str">
        <f ca="1">LEFT(B130,14)</f>
        <v>OBAGB056-TESBK</v>
      </c>
      <c r="S130" s="52">
        <f ca="1">MATCH($R130,INDIRECT(nomFichierEAN13ValmagUniq &amp; "!A:A"),0)</f>
        <v>108</v>
      </c>
      <c r="T130" s="49" t="str">
        <f ca="1">IFERROR(INDEX(INDIRECT(zoneFichierEAN13ValmagUniq),S130,2),"")</f>
        <v xml:space="preserve"> </v>
      </c>
      <c r="U130" s="52" t="e">
        <f ca="1">MATCH($R130,INDIRECT(nomFichierEAN13ValmagUniq &amp; "!A" &amp; (S130+1) &amp; ":A" &amp;  (S130+10)),0)</f>
        <v>#N/A</v>
      </c>
      <c r="V130" s="51" t="e">
        <f t="shared" ref="V130" ca="1" si="425">U130+S130</f>
        <v>#N/A</v>
      </c>
      <c r="W130" s="49" t="str">
        <f ca="1">IFERROR(INDEX(INDIRECT(zoneFichierEAN13ValmagUniq),V130,2),"")</f>
        <v/>
      </c>
      <c r="X130" s="52" t="e">
        <f ca="1">MATCH($R130,INDIRECT(nomFichierEAN13ValmagUniq &amp; "!A" &amp; (V130+1) &amp; ":A" &amp;  (V130+10)),0)</f>
        <v>#N/A</v>
      </c>
      <c r="Y130" s="51" t="e">
        <f t="shared" ref="Y130" ca="1" si="426">X130+V130</f>
        <v>#N/A</v>
      </c>
      <c r="Z130" s="49" t="str">
        <f ca="1">IFERROR(INDEX(INDIRECT(zoneFichierEAN13ValmagUniq),Y130,2),"")</f>
        <v/>
      </c>
      <c r="AA130" s="53" t="str">
        <f t="shared" ref="AA130" ca="1" si="427">T130 &amp; IF(W130="","", " | " &amp; W130) &amp; IF(Z130="","", " | " &amp;Z130)</f>
        <v xml:space="preserve"> </v>
      </c>
      <c r="AC130" s="55">
        <f ca="1">MATCH(B130,INDIRECT(nomFichierFiltreCatalogue &amp; "!B:B"),0)</f>
        <v>120</v>
      </c>
      <c r="AD130" s="14"/>
    </row>
    <row r="131" spans="1:30" s="20" customFormat="1" ht="15.75" customHeight="1" x14ac:dyDescent="0.25">
      <c r="A131" s="25">
        <f ca="1">INDEX(INDIRECT(zoneFichierTraite),$J130+offsetInitialFichierTraite,2)</f>
        <v>184</v>
      </c>
      <c r="B131" s="57" t="str">
        <f ca="1">IF(ISERROR($P130),msgRefValmagAcreer,IF(INDEX(INDIRECT(zoneFichierEAN13Valmag),$P130,3) = "",msgCodeValmagVide, INDEX(INDIRECT(zoneFichierEAN13Valmag),$P130,3)))</f>
        <v xml:space="preserve"> </v>
      </c>
      <c r="C131" s="54" t="str">
        <f t="shared" ref="C131" ca="1" si="428">AA130</f>
        <v xml:space="preserve"> </v>
      </c>
      <c r="D131" s="19" t="str">
        <f ca="1">IFERROR(INDEX(INDIRECT(zoneFichierEAN13Valmag),$P130,4),"")</f>
        <v xml:space="preserve"> </v>
      </c>
      <c r="E131" s="58" t="str">
        <f ca="1">IFERROR(INDEX(INDIRECT(zoneFichierFiltreCatalogue),AC130,3),"")</f>
        <v>p022-1-01</v>
      </c>
      <c r="F131" s="19"/>
      <c r="G131" s="18"/>
      <c r="H131" s="32" t="str">
        <f ca="1">IFERROR(INDEX(INDIRECT(zoneFichierFiltreCatalogue),AC130,6),"")</f>
        <v>fall 2019 presentation_/catalogo fall 19.txt</v>
      </c>
      <c r="S131" s="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</row>
    <row r="132" spans="1:30" ht="39" customHeight="1" thickBot="1" x14ac:dyDescent="0.65">
      <c r="A132" s="9" t="str">
        <f ca="1">INDEX(INDIRECT(zoneFichierTraite),$J132+offsetInitialFichierTraite,6)</f>
        <v>UNICA</v>
      </c>
      <c r="B132" s="5" t="str">
        <f ca="1">INDEX(INDIRECT(zoneFichierTraite),$J132+offsetInitialFichierTraite,4)</f>
        <v>OBAGB056-TESBN-615</v>
      </c>
      <c r="C132" s="26" t="str">
        <f ca="1">INDEX(INDIRECT(zoneFichierTraite),$J132+offsetInitialFichierTraite,5)</f>
        <v>CORPS O BAG MARKET EN TISSU DOUDOUNE Ã€ CHECK</v>
      </c>
      <c r="D132" s="27" t="str">
        <f ca="1">INDEX(INDIRECT(zoneFichierTraite),$J132+offsetInitialFichierTraite,13)</f>
        <v>military</v>
      </c>
      <c r="E132" s="30">
        <f ca="1">INDEX(INDIRECT(zoneFichierTraite),$J132+offsetInitialFichierTraite,7)</f>
        <v>2</v>
      </c>
      <c r="F132" s="28">
        <f ca="1">INDEX(INDIRECT(zoneFichierTraite),$J132+offsetInitialFichierTraite,8)</f>
        <v>18.52</v>
      </c>
      <c r="G132" s="29">
        <f t="shared" ref="G132" ca="1" si="429">ROUNDUP(F132*3,0)</f>
        <v>56</v>
      </c>
      <c r="H132" s="31" t="str">
        <f ca="1">IF(ISNUMBER(N132),codeEAN13(INT(N132/10)),"")</f>
        <v>8APASOG*ajahbc+</v>
      </c>
      <c r="I132" s="1" t="b">
        <f t="shared" ref="I132" ca="1" si="430">AND(A135&lt;&gt;0,A133=A135)</f>
        <v>0</v>
      </c>
      <c r="J132" s="15">
        <f t="shared" si="227"/>
        <v>62</v>
      </c>
      <c r="K132" s="1">
        <f t="shared" ref="K132" ca="1" si="431">A133</f>
        <v>12</v>
      </c>
      <c r="L132" s="5" t="str">
        <f ca="1">INDEX(INDIRECT(zoneFichierTraite),$J132+offsetInitialFichierTraite,1)</f>
        <v>'062</v>
      </c>
      <c r="M132" s="11">
        <f ca="1">INDEX(INDIRECT(zoneFichierTraite),$J132+offsetInitialFichierTraite,9)</f>
        <v>37.04</v>
      </c>
      <c r="N132" s="14">
        <f ca="1">INDEX(INDIRECT(zoneFichierTraite),$J132+offsetInitialFichierTraite,3)</f>
        <v>8050846090712</v>
      </c>
      <c r="O132" s="14"/>
      <c r="P132" s="56">
        <f ca="1">MATCH(N132,INDIRECT(nomFichierEAN13Valmag &amp; "!A:A"),0)</f>
        <v>753</v>
      </c>
      <c r="R132" s="50" t="str">
        <f ca="1">LEFT(B132,14)</f>
        <v>OBAGB056-TESBN</v>
      </c>
      <c r="S132" s="52">
        <f ca="1">MATCH($R132,INDIRECT(nomFichierEAN13ValmagUniq &amp; "!A:A"),0)</f>
        <v>109</v>
      </c>
      <c r="T132" s="49" t="str">
        <f ca="1">IFERROR(INDEX(INDIRECT(zoneFichierEAN13ValmagUniq),S132,2),"")</f>
        <v xml:space="preserve"> </v>
      </c>
      <c r="U132" s="52" t="e">
        <f ca="1">MATCH($R132,INDIRECT(nomFichierEAN13ValmagUniq &amp; "!A" &amp; (S132+1) &amp; ":A" &amp;  (S132+10)),0)</f>
        <v>#N/A</v>
      </c>
      <c r="V132" s="51" t="e">
        <f t="shared" ref="V132" ca="1" si="432">U132+S132</f>
        <v>#N/A</v>
      </c>
      <c r="W132" s="49" t="str">
        <f ca="1">IFERROR(INDEX(INDIRECT(zoneFichierEAN13ValmagUniq),V132,2),"")</f>
        <v/>
      </c>
      <c r="X132" s="52" t="e">
        <f ca="1">MATCH($R132,INDIRECT(nomFichierEAN13ValmagUniq &amp; "!A" &amp; (V132+1) &amp; ":A" &amp;  (V132+10)),0)</f>
        <v>#N/A</v>
      </c>
      <c r="Y132" s="51" t="e">
        <f t="shared" ref="Y132" ca="1" si="433">X132+V132</f>
        <v>#N/A</v>
      </c>
      <c r="Z132" s="49" t="str">
        <f ca="1">IFERROR(INDEX(INDIRECT(zoneFichierEAN13ValmagUniq),Y132,2),"")</f>
        <v/>
      </c>
      <c r="AA132" s="53" t="str">
        <f t="shared" ref="AA132" ca="1" si="434">T132 &amp; IF(W132="","", " | " &amp; W132) &amp; IF(Z132="","", " | " &amp;Z132)</f>
        <v xml:space="preserve"> </v>
      </c>
      <c r="AC132" s="55">
        <f ca="1">MATCH(B132,INDIRECT(nomFichierFiltreCatalogue &amp; "!B:B"),0)</f>
        <v>121</v>
      </c>
      <c r="AD132" s="14"/>
    </row>
    <row r="133" spans="1:30" s="20" customFormat="1" ht="15.75" customHeight="1" x14ac:dyDescent="0.25">
      <c r="A133" s="25">
        <f ca="1">INDEX(INDIRECT(zoneFichierTraite),$J132+offsetInitialFichierTraite,2)</f>
        <v>12</v>
      </c>
      <c r="B133" s="57" t="str">
        <f ca="1">IF(ISERROR($P132),msgRefValmagAcreer,IF(INDEX(INDIRECT(zoneFichierEAN13Valmag),$P132,3) = "",msgCodeValmagVide, INDEX(INDIRECT(zoneFichierEAN13Valmag),$P132,3)))</f>
        <v xml:space="preserve"> </v>
      </c>
      <c r="C133" s="54" t="str">
        <f t="shared" ref="C133" ca="1" si="435">AA132</f>
        <v xml:space="preserve"> </v>
      </c>
      <c r="D133" s="19" t="str">
        <f ca="1">IFERROR(INDEX(INDIRECT(zoneFichierEAN13Valmag),$P132,4),"")</f>
        <v xml:space="preserve"> </v>
      </c>
      <c r="E133" s="58" t="str">
        <f ca="1">IFERROR(INDEX(INDIRECT(zoneFichierFiltreCatalogue),AC132,3),"")</f>
        <v>p022-2-01</v>
      </c>
      <c r="F133" s="19"/>
      <c r="G133" s="18"/>
      <c r="H133" s="32" t="str">
        <f ca="1">IFERROR(INDEX(INDIRECT(zoneFichierFiltreCatalogue),AC132,6),"")</f>
        <v>fall 2019 presentation_/catalogo fall 19.txt</v>
      </c>
      <c r="S133" s="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</row>
    <row r="134" spans="1:30" ht="39" customHeight="1" thickBot="1" x14ac:dyDescent="0.65">
      <c r="A134" s="9" t="str">
        <f ca="1">INDEX(INDIRECT(zoneFichierTraite),$J134+offsetInitialFichierTraite,6)</f>
        <v>UNICA</v>
      </c>
      <c r="B134" s="5" t="str">
        <f ca="1">INDEX(INDIRECT(zoneFichierTraite),$J134+offsetInitialFichierTraite,4)</f>
        <v>OBAGB206-EVS00-076</v>
      </c>
      <c r="C134" s="26" t="str">
        <f ca="1">INDEX(INDIRECT(zoneFichierTraite),$J134+offsetInitialFichierTraite,5)</f>
        <v>CORPS INFERIEUR O POCKET EVA COMPOUND</v>
      </c>
      <c r="D134" s="27" t="str">
        <f ca="1">INDEX(INDIRECT(zoneFichierTraite),$J134+offsetInitialFichierTraite,13)</f>
        <v>rosso</v>
      </c>
      <c r="E134" s="30">
        <f ca="1">INDEX(INDIRECT(zoneFichierTraite),$J134+offsetInitialFichierTraite,7)</f>
        <v>2</v>
      </c>
      <c r="F134" s="28">
        <f ca="1">INDEX(INDIRECT(zoneFichierTraite),$J134+offsetInitialFichierTraite,8)</f>
        <v>4.8</v>
      </c>
      <c r="G134" s="29">
        <f t="shared" ref="G134" ca="1" si="436">ROUNDUP(F134*3,0)</f>
        <v>15</v>
      </c>
      <c r="H134" s="31" t="str">
        <f ca="1">IF(ISNUMBER(N134),codeEAN13(INT(N134/10)),"")</f>
        <v>8APGKTJ*bhiigd+</v>
      </c>
      <c r="I134" s="1" t="b">
        <f t="shared" ref="I134" ca="1" si="437">AND(A137&lt;&gt;0,A135=A137)</f>
        <v>0</v>
      </c>
      <c r="J134" s="15">
        <f t="shared" si="227"/>
        <v>63</v>
      </c>
      <c r="K134" s="1">
        <f t="shared" ref="K134" ca="1" si="438">A135</f>
        <v>50</v>
      </c>
      <c r="L134" s="5" t="str">
        <f ca="1">INDEX(INDIRECT(zoneFichierTraite),$J134+offsetInitialFichierTraite,1)</f>
        <v>'063</v>
      </c>
      <c r="M134" s="11">
        <f ca="1">INDEX(INDIRECT(zoneFichierTraite),$J134+offsetInitialFichierTraite,9)</f>
        <v>9.6</v>
      </c>
      <c r="N134" s="14">
        <f ca="1">INDEX(INDIRECT(zoneFichierTraite),$J134+offsetInitialFichierTraite,3)</f>
        <v>8056099178863</v>
      </c>
      <c r="O134" s="14"/>
      <c r="P134" s="56">
        <f ca="1">MATCH(N134,INDIRECT(nomFichierEAN13Valmag &amp; "!A:A"),0)</f>
        <v>1048</v>
      </c>
      <c r="R134" s="50" t="str">
        <f ca="1">LEFT(B134,14)</f>
        <v>OBAGB206-EVS00</v>
      </c>
      <c r="S134" s="52">
        <f ca="1">MATCH($R134,INDIRECT(nomFichierEAN13ValmagUniq &amp; "!A:A"),0)</f>
        <v>111</v>
      </c>
      <c r="T134" s="49" t="str">
        <f ca="1">IFERROR(INDEX(INDIRECT(zoneFichierEAN13ValmagUniq),S134,2),"")</f>
        <v xml:space="preserve"> </v>
      </c>
      <c r="U134" s="52">
        <f ca="1">MATCH($R134,INDIRECT(nomFichierEAN13ValmagUniq &amp; "!A" &amp; (S134+1) &amp; ":A" &amp;  (S134+10)),0)</f>
        <v>1</v>
      </c>
      <c r="V134" s="51">
        <f t="shared" ref="V134" ca="1" si="439">U134+S134</f>
        <v>112</v>
      </c>
      <c r="W134" s="49" t="str">
        <f ca="1">IFERROR(INDEX(INDIRECT(zoneFichierEAN13ValmagUniq),V134,2),"")</f>
        <v xml:space="preserve">COQUOPOCKET     </v>
      </c>
      <c r="X134" s="52">
        <f ca="1">MATCH($R134,INDIRECT(nomFichierEAN13ValmagUniq &amp; "!A" &amp; (V134+1) &amp; ":A" &amp;  (V134+10)),0)</f>
        <v>1</v>
      </c>
      <c r="Y134" s="51">
        <f t="shared" ref="Y134" ca="1" si="440">X134+V134</f>
        <v>113</v>
      </c>
      <c r="Z134" s="49" t="str">
        <f ca="1">IFERROR(INDEX(INDIRECT(zoneFichierEAN13ValmagUniq),Y134,2),"")</f>
        <v xml:space="preserve">OPOCKET         </v>
      </c>
      <c r="AA134" s="53" t="str">
        <f t="shared" ref="AA134" ca="1" si="441">T134 &amp; IF(W134="","", " | " &amp; W134) &amp; IF(Z134="","", " | " &amp;Z134)</f>
        <v xml:space="preserve">  | COQUOPOCKET      | OPOCKET         </v>
      </c>
      <c r="AC134" s="55">
        <f ca="1">MATCH(B134,INDIRECT(nomFichierFiltreCatalogue &amp; "!B:B"),0)</f>
        <v>95</v>
      </c>
      <c r="AD134" s="14"/>
    </row>
    <row r="135" spans="1:30" s="20" customFormat="1" ht="15.75" customHeight="1" x14ac:dyDescent="0.25">
      <c r="A135" s="25">
        <f ca="1">INDEX(INDIRECT(zoneFichierTraite),$J134+offsetInitialFichierTraite,2)</f>
        <v>50</v>
      </c>
      <c r="B135" s="57" t="str">
        <f ca="1">IF(ISERROR($P134),msgRefValmagAcreer,IF(INDEX(INDIRECT(zoneFichierEAN13Valmag),$P134,3) = "",msgCodeValmagVide, INDEX(INDIRECT(zoneFichierEAN13Valmag),$P134,3)))</f>
        <v xml:space="preserve">COQUOPOCKET     </v>
      </c>
      <c r="C135" s="54" t="str">
        <f t="shared" ref="C135" ca="1" si="442">AA134</f>
        <v xml:space="preserve">  | COQUOPOCKET      | OPOCKET         </v>
      </c>
      <c r="D135" s="19" t="str">
        <f ca="1">IFERROR(INDEX(INDIRECT(zoneFichierEAN13Valmag),$P134,4),"")</f>
        <v xml:space="preserve">RED  </v>
      </c>
      <c r="E135" s="58" t="str">
        <f ca="1">IFERROR(INDEX(INDIRECT(zoneFichierFiltreCatalogue),AC134,3),"")</f>
        <v>p018-1-06</v>
      </c>
      <c r="F135" s="19"/>
      <c r="G135" s="18"/>
      <c r="H135" s="32" t="str">
        <f ca="1">IFERROR(INDEX(INDIRECT(zoneFichierFiltreCatalogue),AC134,6),"")</f>
        <v>fall 2019 presentation_/catalogo fall 19.txt</v>
      </c>
      <c r="S135" s="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</row>
    <row r="136" spans="1:30" ht="39" customHeight="1" thickBot="1" x14ac:dyDescent="0.65">
      <c r="A136" s="9" t="str">
        <f ca="1">INDEX(INDIRECT(zoneFichierTraite),$J136+offsetInitialFichierTraite,6)</f>
        <v>UNICA</v>
      </c>
      <c r="B136" s="5" t="str">
        <f ca="1">INDEX(INDIRECT(zoneFichierTraite),$J136+offsetInitialFichierTraite,4)</f>
        <v>OBAGB206-EVS00-144</v>
      </c>
      <c r="C136" s="26" t="str">
        <f ca="1">INDEX(INDIRECT(zoneFichierTraite),$J136+offsetInitialFichierTraite,5)</f>
        <v>CORPS INFERIEUR O POCKET EVA COMPOUND</v>
      </c>
      <c r="D136" s="27" t="str">
        <f ca="1">INDEX(INDIRECT(zoneFichierTraite),$J136+offsetInitialFichierTraite,13)</f>
        <v>ginestra</v>
      </c>
      <c r="E136" s="30">
        <f ca="1">INDEX(INDIRECT(zoneFichierTraite),$J136+offsetInitialFichierTraite,7)</f>
        <v>2</v>
      </c>
      <c r="F136" s="28">
        <f ca="1">INDEX(INDIRECT(zoneFichierTraite),$J136+offsetInitialFichierTraite,8)</f>
        <v>4.8</v>
      </c>
      <c r="G136" s="29">
        <f t="shared" ref="G136" ca="1" si="443">ROUNDUP(F136*3,0)</f>
        <v>15</v>
      </c>
      <c r="H136" s="31" t="str">
        <f ca="1">IF(ISNUMBER(N136),codeEAN13(INT(N136/10)),"")</f>
        <v>8APASOG*ajbjgc+</v>
      </c>
      <c r="I136" s="1" t="b">
        <f t="shared" ref="I136" ca="1" si="444">AND(A139&lt;&gt;0,A137=A139)</f>
        <v>0</v>
      </c>
      <c r="J136" s="15">
        <f t="shared" si="227"/>
        <v>64</v>
      </c>
      <c r="K136" s="1">
        <f t="shared" ref="K136" ca="1" si="445">A137</f>
        <v>164</v>
      </c>
      <c r="L136" s="5" t="str">
        <f ca="1">INDEX(INDIRECT(zoneFichierTraite),$J136+offsetInitialFichierTraite,1)</f>
        <v>'064</v>
      </c>
      <c r="M136" s="11">
        <f ca="1">INDEX(INDIRECT(zoneFichierTraite),$J136+offsetInitialFichierTraite,9)</f>
        <v>9.6</v>
      </c>
      <c r="N136" s="14">
        <f ca="1">INDEX(INDIRECT(zoneFichierTraite),$J136+offsetInitialFichierTraite,3)</f>
        <v>8050846091962</v>
      </c>
      <c r="O136" s="14"/>
      <c r="P136" s="56">
        <f ca="1">MATCH(N136,INDIRECT(nomFichierEAN13Valmag &amp; "!A:A"),0)</f>
        <v>850</v>
      </c>
      <c r="R136" s="50" t="str">
        <f ca="1">LEFT(B136,14)</f>
        <v>OBAGB206-EVS00</v>
      </c>
      <c r="S136" s="52">
        <f ca="1">MATCH($R136,INDIRECT(nomFichierEAN13ValmagUniq &amp; "!A:A"),0)</f>
        <v>111</v>
      </c>
      <c r="T136" s="49" t="str">
        <f ca="1">IFERROR(INDEX(INDIRECT(zoneFichierEAN13ValmagUniq),S136,2),"")</f>
        <v xml:space="preserve"> </v>
      </c>
      <c r="U136" s="52">
        <f ca="1">MATCH($R136,INDIRECT(nomFichierEAN13ValmagUniq &amp; "!A" &amp; (S136+1) &amp; ":A" &amp;  (S136+10)),0)</f>
        <v>1</v>
      </c>
      <c r="V136" s="51">
        <f t="shared" ref="V136" ca="1" si="446">U136+S136</f>
        <v>112</v>
      </c>
      <c r="W136" s="49" t="str">
        <f ca="1">IFERROR(INDEX(INDIRECT(zoneFichierEAN13ValmagUniq),V136,2),"")</f>
        <v xml:space="preserve">COQUOPOCKET     </v>
      </c>
      <c r="X136" s="52">
        <f ca="1">MATCH($R136,INDIRECT(nomFichierEAN13ValmagUniq &amp; "!A" &amp; (V136+1) &amp; ":A" &amp;  (V136+10)),0)</f>
        <v>1</v>
      </c>
      <c r="Y136" s="51">
        <f t="shared" ref="Y136" ca="1" si="447">X136+V136</f>
        <v>113</v>
      </c>
      <c r="Z136" s="49" t="str">
        <f ca="1">IFERROR(INDEX(INDIRECT(zoneFichierEAN13ValmagUniq),Y136,2),"")</f>
        <v xml:space="preserve">OPOCKET         </v>
      </c>
      <c r="AA136" s="53" t="str">
        <f t="shared" ref="AA136" ca="1" si="448">T136 &amp; IF(W136="","", " | " &amp; W136) &amp; IF(Z136="","", " | " &amp;Z136)</f>
        <v xml:space="preserve">  | COQUOPOCKET      | OPOCKET         </v>
      </c>
      <c r="AC136" s="55">
        <f ca="1">MATCH(B136,INDIRECT(nomFichierFiltreCatalogue &amp; "!B:B"),0)</f>
        <v>98</v>
      </c>
      <c r="AD136" s="14"/>
    </row>
    <row r="137" spans="1:30" s="20" customFormat="1" ht="15.75" customHeight="1" x14ac:dyDescent="0.25">
      <c r="A137" s="25">
        <f ca="1">INDEX(INDIRECT(zoneFichierTraite),$J136+offsetInitialFichierTraite,2)</f>
        <v>164</v>
      </c>
      <c r="B137" s="57" t="str">
        <f ca="1">IF(ISERROR($P136),msgRefValmagAcreer,IF(INDEX(INDIRECT(zoneFichierEAN13Valmag),$P136,3) = "",msgCodeValmagVide, INDEX(INDIRECT(zoneFichierEAN13Valmag),$P136,3)))</f>
        <v xml:space="preserve"> </v>
      </c>
      <c r="C137" s="54" t="str">
        <f t="shared" ref="C137" ca="1" si="449">AA136</f>
        <v xml:space="preserve">  | COQUOPOCKET      | OPOCKET         </v>
      </c>
      <c r="D137" s="19" t="str">
        <f ca="1">IFERROR(INDEX(INDIRECT(zoneFichierEAN13Valmag),$P136,4),"")</f>
        <v xml:space="preserve"> </v>
      </c>
      <c r="E137" s="58" t="str">
        <f ca="1">IFERROR(INDEX(INDIRECT(zoneFichierFiltreCatalogue),AC136,3),"")</f>
        <v>p018-1-09</v>
      </c>
      <c r="F137" s="19"/>
      <c r="G137" s="18"/>
      <c r="H137" s="32" t="str">
        <f ca="1">IFERROR(INDEX(INDIRECT(zoneFichierFiltreCatalogue),AC136,6),"")</f>
        <v>fall 2019 presentation_/catalogo fall 19.txt</v>
      </c>
      <c r="S137" s="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</row>
    <row r="138" spans="1:30" ht="39" customHeight="1" thickBot="1" x14ac:dyDescent="0.65">
      <c r="A138" s="9" t="str">
        <f ca="1">INDEX(INDIRECT(zoneFichierTraite),$J138+offsetInitialFichierTraite,6)</f>
        <v>UNICA</v>
      </c>
      <c r="B138" s="5" t="str">
        <f ca="1">INDEX(INDIRECT(zoneFichierTraite),$J138+offsetInitialFichierTraite,4)</f>
        <v>OBAGB206-EVS00-158</v>
      </c>
      <c r="C138" s="26" t="str">
        <f ca="1">INDEX(INDIRECT(zoneFichierTraite),$J138+offsetInitialFichierTraite,5)</f>
        <v>CORPS INFERIEUR O POCKET EVA COMPOUND</v>
      </c>
      <c r="D138" s="27" t="str">
        <f ca="1">INDEX(INDIRECT(zoneFichierTraite),$J138+offsetInitialFichierTraite,13)</f>
        <v>vulcano</v>
      </c>
      <c r="E138" s="30">
        <f ca="1">INDEX(INDIRECT(zoneFichierTraite),$J138+offsetInitialFichierTraite,7)</f>
        <v>2</v>
      </c>
      <c r="F138" s="28">
        <f ca="1">INDEX(INDIRECT(zoneFichierTraite),$J138+offsetInitialFichierTraite,8)</f>
        <v>4.8</v>
      </c>
      <c r="G138" s="29">
        <f t="shared" ref="G138" ca="1" si="450">ROUNDUP(F138*3,0)</f>
        <v>15</v>
      </c>
      <c r="H138" s="31" t="str">
        <f ca="1">IF(ISNUMBER(N138),codeEAN13(INT(N138/10)),"")</f>
        <v>8APAPNI*fjabbh+</v>
      </c>
      <c r="I138" s="1" t="b">
        <f t="shared" ref="I138" ca="1" si="451">AND(A141&lt;&gt;0,A139=A141)</f>
        <v>0</v>
      </c>
      <c r="J138" s="15">
        <f t="shared" ref="J138:J200" si="452">J136+1</f>
        <v>65</v>
      </c>
      <c r="K138" s="1">
        <f t="shared" ref="K138" ca="1" si="453">A139</f>
        <v>141</v>
      </c>
      <c r="L138" s="5" t="str">
        <f ca="1">INDEX(INDIRECT(zoneFichierTraite),$J138+offsetInitialFichierTraite,1)</f>
        <v>'065</v>
      </c>
      <c r="M138" s="11">
        <f ca="1">INDEX(INDIRECT(zoneFichierTraite),$J138+offsetInitialFichierTraite,9)</f>
        <v>9.6</v>
      </c>
      <c r="N138" s="14">
        <f ca="1">INDEX(INDIRECT(zoneFichierTraite),$J138+offsetInitialFichierTraite,3)</f>
        <v>8050538590117</v>
      </c>
      <c r="O138" s="14"/>
      <c r="P138" s="56">
        <f ca="1">MATCH(N138,INDIRECT(nomFichierEAN13Valmag &amp; "!A:A"),0)</f>
        <v>44</v>
      </c>
      <c r="R138" s="50" t="str">
        <f ca="1">LEFT(B138,14)</f>
        <v>OBAGB206-EVS00</v>
      </c>
      <c r="S138" s="52">
        <f ca="1">MATCH($R138,INDIRECT(nomFichierEAN13ValmagUniq &amp; "!A:A"),0)</f>
        <v>111</v>
      </c>
      <c r="T138" s="49" t="str">
        <f ca="1">IFERROR(INDEX(INDIRECT(zoneFichierEAN13ValmagUniq),S138,2),"")</f>
        <v xml:space="preserve"> </v>
      </c>
      <c r="U138" s="52">
        <f ca="1">MATCH($R138,INDIRECT(nomFichierEAN13ValmagUniq &amp; "!A" &amp; (S138+1) &amp; ":A" &amp;  (S138+10)),0)</f>
        <v>1</v>
      </c>
      <c r="V138" s="51">
        <f t="shared" ref="V138" ca="1" si="454">U138+S138</f>
        <v>112</v>
      </c>
      <c r="W138" s="49" t="str">
        <f ca="1">IFERROR(INDEX(INDIRECT(zoneFichierEAN13ValmagUniq),V138,2),"")</f>
        <v xml:space="preserve">COQUOPOCKET     </v>
      </c>
      <c r="X138" s="52">
        <f ca="1">MATCH($R138,INDIRECT(nomFichierEAN13ValmagUniq &amp; "!A" &amp; (V138+1) &amp; ":A" &amp;  (V138+10)),0)</f>
        <v>1</v>
      </c>
      <c r="Y138" s="51">
        <f t="shared" ref="Y138" ca="1" si="455">X138+V138</f>
        <v>113</v>
      </c>
      <c r="Z138" s="49" t="str">
        <f ca="1">IFERROR(INDEX(INDIRECT(zoneFichierEAN13ValmagUniq),Y138,2),"")</f>
        <v xml:space="preserve">OPOCKET         </v>
      </c>
      <c r="AA138" s="53" t="str">
        <f t="shared" ref="AA138" ca="1" si="456">T138 &amp; IF(W138="","", " | " &amp; W138) &amp; IF(Z138="","", " | " &amp;Z138)</f>
        <v xml:space="preserve">  | COQUOPOCKET      | OPOCKET         </v>
      </c>
      <c r="AC138" s="55">
        <f ca="1">MATCH(B138,INDIRECT(nomFichierFiltreCatalogue &amp; "!B:B"),0)</f>
        <v>102</v>
      </c>
      <c r="AD138" s="14"/>
    </row>
    <row r="139" spans="1:30" s="20" customFormat="1" ht="15.75" customHeight="1" x14ac:dyDescent="0.25">
      <c r="A139" s="25">
        <f ca="1">INDEX(INDIRECT(zoneFichierTraite),$J138+offsetInitialFichierTraite,2)</f>
        <v>141</v>
      </c>
      <c r="B139" s="57" t="str">
        <f ca="1">IF(ISERROR($P138),msgRefValmagAcreer,IF(INDEX(INDIRECT(zoneFichierEAN13Valmag),$P138,3) = "",msgCodeValmagVide, INDEX(INDIRECT(zoneFichierEAN13Valmag),$P138,3)))</f>
        <v xml:space="preserve">COQUOPOCKET     </v>
      </c>
      <c r="C139" s="54" t="str">
        <f t="shared" ref="C139" ca="1" si="457">AA138</f>
        <v xml:space="preserve">  | COQUOPOCKET      | OPOCKET         </v>
      </c>
      <c r="D139" s="19" t="str">
        <f ca="1">IFERROR(INDEX(INDIRECT(zoneFichierEAN13Valmag),$P138,4),"")</f>
        <v xml:space="preserve">VOLC </v>
      </c>
      <c r="E139" s="58" t="str">
        <f ca="1">IFERROR(INDEX(INDIRECT(zoneFichierFiltreCatalogue),AC138,3),"")</f>
        <v>p018-1-13</v>
      </c>
      <c r="F139" s="19"/>
      <c r="G139" s="18"/>
      <c r="H139" s="32" t="str">
        <f ca="1">IFERROR(INDEX(INDIRECT(zoneFichierFiltreCatalogue),AC138,6),"")</f>
        <v>fall 2019 presentation_/catalogo fall 19.txt</v>
      </c>
      <c r="S139" s="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</row>
    <row r="140" spans="1:30" ht="39" customHeight="1" thickBot="1" x14ac:dyDescent="0.65">
      <c r="A140" s="9" t="str">
        <f ca="1">INDEX(INDIRECT(zoneFichierTraite),$J140+offsetInitialFichierTraite,6)</f>
        <v>UNICA</v>
      </c>
      <c r="B140" s="5" t="str">
        <f ca="1">INDEX(INDIRECT(zoneFichierTraite),$J140+offsetInitialFichierTraite,4)</f>
        <v>OBAGB206-EVS00-614</v>
      </c>
      <c r="C140" s="26" t="str">
        <f ca="1">INDEX(INDIRECT(zoneFichierTraite),$J140+offsetInitialFichierTraite,5)</f>
        <v>CORPS INFERIEUR O POCKET EVA COMPOUND</v>
      </c>
      <c r="D140" s="27" t="str">
        <f ca="1">INDEX(INDIRECT(zoneFichierTraite),$J140+offsetInitialFichierTraite,13)</f>
        <v>imperial blu</v>
      </c>
      <c r="E140" s="30">
        <f ca="1">INDEX(INDIRECT(zoneFichierTraite),$J140+offsetInitialFichierTraite,7)</f>
        <v>2</v>
      </c>
      <c r="F140" s="28">
        <f ca="1">INDEX(INDIRECT(zoneFichierTraite),$J140+offsetInitialFichierTraite,8)</f>
        <v>4.8</v>
      </c>
      <c r="G140" s="29">
        <f t="shared" ref="G140" ca="1" si="458">ROUNDUP(F140*3,0)</f>
        <v>15</v>
      </c>
      <c r="H140" s="31" t="str">
        <f ca="1">IF(ISNUMBER(N140),codeEAN13(INT(N140/10)),"")</f>
        <v>8APASOG*ajbjff+</v>
      </c>
      <c r="I140" s="1" t="b">
        <f t="shared" ref="I140" ca="1" si="459">AND(A143&lt;&gt;0,A141=A143)</f>
        <v>0</v>
      </c>
      <c r="J140" s="15">
        <f t="shared" si="452"/>
        <v>66</v>
      </c>
      <c r="K140" s="1">
        <f t="shared" ref="K140" ca="1" si="460">A141</f>
        <v>123</v>
      </c>
      <c r="L140" s="5" t="str">
        <f ca="1">INDEX(INDIRECT(zoneFichierTraite),$J140+offsetInitialFichierTraite,1)</f>
        <v>'066</v>
      </c>
      <c r="M140" s="11">
        <f ca="1">INDEX(INDIRECT(zoneFichierTraite),$J140+offsetInitialFichierTraite,9)</f>
        <v>9.6</v>
      </c>
      <c r="N140" s="14">
        <f ca="1">INDEX(INDIRECT(zoneFichierTraite),$J140+offsetInitialFichierTraite,3)</f>
        <v>8050846091955</v>
      </c>
      <c r="O140" s="14"/>
      <c r="P140" s="56">
        <f ca="1">MATCH(N140,INDIRECT(nomFichierEAN13Valmag &amp; "!A:A"),0)</f>
        <v>849</v>
      </c>
      <c r="R140" s="50" t="str">
        <f ca="1">LEFT(B140,14)</f>
        <v>OBAGB206-EVS00</v>
      </c>
      <c r="S140" s="52">
        <f ca="1">MATCH($R140,INDIRECT(nomFichierEAN13ValmagUniq &amp; "!A:A"),0)</f>
        <v>111</v>
      </c>
      <c r="T140" s="49" t="str">
        <f ca="1">IFERROR(INDEX(INDIRECT(zoneFichierEAN13ValmagUniq),S140,2),"")</f>
        <v xml:space="preserve"> </v>
      </c>
      <c r="U140" s="52">
        <f ca="1">MATCH($R140,INDIRECT(nomFichierEAN13ValmagUniq &amp; "!A" &amp; (S140+1) &amp; ":A" &amp;  (S140+10)),0)</f>
        <v>1</v>
      </c>
      <c r="V140" s="51">
        <f t="shared" ref="V140" ca="1" si="461">U140+S140</f>
        <v>112</v>
      </c>
      <c r="W140" s="49" t="str">
        <f ca="1">IFERROR(INDEX(INDIRECT(zoneFichierEAN13ValmagUniq),V140,2),"")</f>
        <v xml:space="preserve">COQUOPOCKET     </v>
      </c>
      <c r="X140" s="52">
        <f ca="1">MATCH($R140,INDIRECT(nomFichierEAN13ValmagUniq &amp; "!A" &amp; (V140+1) &amp; ":A" &amp;  (V140+10)),0)</f>
        <v>1</v>
      </c>
      <c r="Y140" s="51">
        <f t="shared" ref="Y140" ca="1" si="462">X140+V140</f>
        <v>113</v>
      </c>
      <c r="Z140" s="49" t="str">
        <f ca="1">IFERROR(INDEX(INDIRECT(zoneFichierEAN13ValmagUniq),Y140,2),"")</f>
        <v xml:space="preserve">OPOCKET         </v>
      </c>
      <c r="AA140" s="53" t="str">
        <f t="shared" ref="AA140" ca="1" si="463">T140 &amp; IF(W140="","", " | " &amp; W140) &amp; IF(Z140="","", " | " &amp;Z140)</f>
        <v xml:space="preserve">  | COQUOPOCKET      | OPOCKET         </v>
      </c>
      <c r="AC140" s="55">
        <f ca="1">MATCH(B140,INDIRECT(nomFichierFiltreCatalogue &amp; "!B:B"),0)</f>
        <v>97</v>
      </c>
      <c r="AD140" s="14"/>
    </row>
    <row r="141" spans="1:30" s="20" customFormat="1" ht="15.75" customHeight="1" x14ac:dyDescent="0.25">
      <c r="A141" s="25">
        <f ca="1">INDEX(INDIRECT(zoneFichierTraite),$J140+offsetInitialFichierTraite,2)</f>
        <v>123</v>
      </c>
      <c r="B141" s="57" t="str">
        <f ca="1">IF(ISERROR($P140),msgRefValmagAcreer,IF(INDEX(INDIRECT(zoneFichierEAN13Valmag),$P140,3) = "",msgCodeValmagVide, INDEX(INDIRECT(zoneFichierEAN13Valmag),$P140,3)))</f>
        <v xml:space="preserve"> </v>
      </c>
      <c r="C141" s="54" t="str">
        <f t="shared" ref="C141" ca="1" si="464">AA140</f>
        <v xml:space="preserve">  | COQUOPOCKET      | OPOCKET         </v>
      </c>
      <c r="D141" s="19" t="str">
        <f ca="1">IFERROR(INDEX(INDIRECT(zoneFichierEAN13Valmag),$P140,4),"")</f>
        <v xml:space="preserve"> </v>
      </c>
      <c r="E141" s="58" t="str">
        <f ca="1">IFERROR(INDEX(INDIRECT(zoneFichierFiltreCatalogue),AC140,3),"")</f>
        <v>p018-1-08</v>
      </c>
      <c r="F141" s="19"/>
      <c r="G141" s="18"/>
      <c r="H141" s="32" t="str">
        <f ca="1">IFERROR(INDEX(INDIRECT(zoneFichierFiltreCatalogue),AC140,6),"")</f>
        <v>fall 2019 presentation_/catalogo fall 19.txt</v>
      </c>
      <c r="S141" s="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</row>
    <row r="142" spans="1:30" ht="39" customHeight="1" thickBot="1" x14ac:dyDescent="0.65">
      <c r="A142" s="9" t="str">
        <f ca="1">INDEX(INDIRECT(zoneFichierTraite),$J142+offsetInitialFichierTraite,6)</f>
        <v>UNICA</v>
      </c>
      <c r="B142" s="5" t="str">
        <f ca="1">INDEX(INDIRECT(zoneFichierTraite),$J142+offsetInitialFichierTraite,4)</f>
        <v>OBAGB206-EVS00-615</v>
      </c>
      <c r="C142" s="26" t="str">
        <f ca="1">INDEX(INDIRECT(zoneFichierTraite),$J142+offsetInitialFichierTraite,5)</f>
        <v>CORPS INFERIEUR O POCKET EVA COMPOUND</v>
      </c>
      <c r="D142" s="27" t="str">
        <f ca="1">INDEX(INDIRECT(zoneFichierTraite),$J142+offsetInitialFichierTraite,13)</f>
        <v>military</v>
      </c>
      <c r="E142" s="30">
        <f ca="1">INDEX(INDIRECT(zoneFichierTraite),$J142+offsetInitialFichierTraite,7)</f>
        <v>2</v>
      </c>
      <c r="F142" s="28">
        <f ca="1">INDEX(INDIRECT(zoneFichierTraite),$J142+offsetInitialFichierTraite,8)</f>
        <v>4.8</v>
      </c>
      <c r="G142" s="29">
        <f t="shared" ref="G142" ca="1" si="465">ROUNDUP(F142*3,0)</f>
        <v>15</v>
      </c>
      <c r="H142" s="31" t="str">
        <f ca="1">IF(ISNUMBER(N142),codeEAN13(INT(N142/10)),"")</f>
        <v>8APASOG*ajbjig+</v>
      </c>
      <c r="I142" s="1" t="b">
        <f t="shared" ref="I142" ca="1" si="466">AND(A145&lt;&gt;0,A143=A145)</f>
        <v>0</v>
      </c>
      <c r="J142" s="15">
        <f t="shared" si="452"/>
        <v>67</v>
      </c>
      <c r="K142" s="1">
        <f t="shared" ref="K142" ca="1" si="467">A143</f>
        <v>37</v>
      </c>
      <c r="L142" s="5" t="str">
        <f ca="1">INDEX(INDIRECT(zoneFichierTraite),$J142+offsetInitialFichierTraite,1)</f>
        <v>'067</v>
      </c>
      <c r="M142" s="11">
        <f ca="1">INDEX(INDIRECT(zoneFichierTraite),$J142+offsetInitialFichierTraite,9)</f>
        <v>9.6</v>
      </c>
      <c r="N142" s="14">
        <f ca="1">INDEX(INDIRECT(zoneFichierTraite),$J142+offsetInitialFichierTraite,3)</f>
        <v>8050846091986</v>
      </c>
      <c r="O142" s="14"/>
      <c r="P142" s="56">
        <f ca="1">MATCH(N142,INDIRECT(nomFichierEAN13Valmag &amp; "!A:A"),0)</f>
        <v>852</v>
      </c>
      <c r="R142" s="50" t="str">
        <f ca="1">LEFT(B142,14)</f>
        <v>OBAGB206-EVS00</v>
      </c>
      <c r="S142" s="52">
        <f ca="1">MATCH($R142,INDIRECT(nomFichierEAN13ValmagUniq &amp; "!A:A"),0)</f>
        <v>111</v>
      </c>
      <c r="T142" s="49" t="str">
        <f ca="1">IFERROR(INDEX(INDIRECT(zoneFichierEAN13ValmagUniq),S142,2),"")</f>
        <v xml:space="preserve"> </v>
      </c>
      <c r="U142" s="52">
        <f ca="1">MATCH($R142,INDIRECT(nomFichierEAN13ValmagUniq &amp; "!A" &amp; (S142+1) &amp; ":A" &amp;  (S142+10)),0)</f>
        <v>1</v>
      </c>
      <c r="V142" s="51">
        <f t="shared" ref="V142" ca="1" si="468">U142+S142</f>
        <v>112</v>
      </c>
      <c r="W142" s="49" t="str">
        <f ca="1">IFERROR(INDEX(INDIRECT(zoneFichierEAN13ValmagUniq),V142,2),"")</f>
        <v xml:space="preserve">COQUOPOCKET     </v>
      </c>
      <c r="X142" s="52">
        <f ca="1">MATCH($R142,INDIRECT(nomFichierEAN13ValmagUniq &amp; "!A" &amp; (V142+1) &amp; ":A" &amp;  (V142+10)),0)</f>
        <v>1</v>
      </c>
      <c r="Y142" s="51">
        <f t="shared" ref="Y142" ca="1" si="469">X142+V142</f>
        <v>113</v>
      </c>
      <c r="Z142" s="49" t="str">
        <f ca="1">IFERROR(INDEX(INDIRECT(zoneFichierEAN13ValmagUniq),Y142,2),"")</f>
        <v xml:space="preserve">OPOCKET         </v>
      </c>
      <c r="AA142" s="53" t="str">
        <f t="shared" ref="AA142" ca="1" si="470">T142 &amp; IF(W142="","", " | " &amp; W142) &amp; IF(Z142="","", " | " &amp;Z142)</f>
        <v xml:space="preserve">  | COQUOPOCKET      | OPOCKET         </v>
      </c>
      <c r="AC142" s="55">
        <f ca="1">MATCH(B142,INDIRECT(nomFichierFiltreCatalogue &amp; "!B:B"),0)</f>
        <v>99</v>
      </c>
      <c r="AD142" s="14"/>
    </row>
    <row r="143" spans="1:30" s="20" customFormat="1" ht="15.75" customHeight="1" x14ac:dyDescent="0.25">
      <c r="A143" s="25">
        <f ca="1">INDEX(INDIRECT(zoneFichierTraite),$J142+offsetInitialFichierTraite,2)</f>
        <v>37</v>
      </c>
      <c r="B143" s="57" t="str">
        <f ca="1">IF(ISERROR($P142),msgRefValmagAcreer,IF(INDEX(INDIRECT(zoneFichierEAN13Valmag),$P142,3) = "",msgCodeValmagVide, INDEX(INDIRECT(zoneFichierEAN13Valmag),$P142,3)))</f>
        <v xml:space="preserve"> </v>
      </c>
      <c r="C143" s="54" t="str">
        <f t="shared" ref="C143" ca="1" si="471">AA142</f>
        <v xml:space="preserve">  | COQUOPOCKET      | OPOCKET         </v>
      </c>
      <c r="D143" s="19" t="str">
        <f ca="1">IFERROR(INDEX(INDIRECT(zoneFichierEAN13Valmag),$P142,4),"")</f>
        <v xml:space="preserve"> </v>
      </c>
      <c r="E143" s="58" t="str">
        <f ca="1">IFERROR(INDEX(INDIRECT(zoneFichierFiltreCatalogue),AC142,3),"")</f>
        <v>p018-1-10</v>
      </c>
      <c r="F143" s="19"/>
      <c r="G143" s="18"/>
      <c r="H143" s="32" t="str">
        <f ca="1">IFERROR(INDEX(INDIRECT(zoneFichierFiltreCatalogue),AC142,6),"")</f>
        <v>fall 2019 presentation_/catalogo fall 19.txt</v>
      </c>
      <c r="S143" s="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</row>
    <row r="144" spans="1:30" ht="39" customHeight="1" thickBot="1" x14ac:dyDescent="0.65">
      <c r="A144" s="9" t="str">
        <f ca="1">INDEX(INDIRECT(zoneFichierTraite),$J144+offsetInitialFichierTraite,6)</f>
        <v>UNICA</v>
      </c>
      <c r="B144" s="5" t="str">
        <f ca="1">INDEX(INDIRECT(zoneFichierTraite),$J144+offsetInitialFichierTraite,4)</f>
        <v>OBAGB206-EVS00-616</v>
      </c>
      <c r="C144" s="26" t="str">
        <f ca="1">INDEX(INDIRECT(zoneFichierTraite),$J144+offsetInitialFichierTraite,5)</f>
        <v>CORPS INFERIEUR O POCKET EVA COMPOUND</v>
      </c>
      <c r="D144" s="27" t="str">
        <f ca="1">INDEX(INDIRECT(zoneFichierTraite),$J144+offsetInitialFichierTraite,13)</f>
        <v>ice</v>
      </c>
      <c r="E144" s="30">
        <f ca="1">INDEX(INDIRECT(zoneFichierTraite),$J144+offsetInitialFichierTraite,7)</f>
        <v>2</v>
      </c>
      <c r="F144" s="28">
        <f ca="1">INDEX(INDIRECT(zoneFichierTraite),$J144+offsetInitialFichierTraite,8)</f>
        <v>4.8</v>
      </c>
      <c r="G144" s="29">
        <f t="shared" ref="G144:G207" ca="1" si="472">ROUNDUP(F144*3,0)</f>
        <v>15</v>
      </c>
      <c r="H144" s="31" t="str">
        <f ca="1">IF(ISNUMBER(N144),codeEAN13(INT(N144/10)),"")</f>
        <v>8APASOG*ajbjhj+</v>
      </c>
      <c r="I144" s="1" t="b">
        <f t="shared" ref="I144:I207" ca="1" si="473">AND(A147&lt;&gt;0,A145=A147)</f>
        <v>0</v>
      </c>
      <c r="J144" s="15">
        <f t="shared" si="452"/>
        <v>68</v>
      </c>
      <c r="K144" s="1">
        <f t="shared" ref="K144:K207" ca="1" si="474">A145</f>
        <v>154</v>
      </c>
      <c r="L144" s="5" t="str">
        <f ca="1">INDEX(INDIRECT(zoneFichierTraite),$J144+offsetInitialFichierTraite,1)</f>
        <v>'068</v>
      </c>
      <c r="M144" s="11">
        <f ca="1">INDEX(INDIRECT(zoneFichierTraite),$J144+offsetInitialFichierTraite,9)</f>
        <v>9.6</v>
      </c>
      <c r="N144" s="14">
        <f ca="1">INDEX(INDIRECT(zoneFichierTraite),$J144+offsetInitialFichierTraite,3)</f>
        <v>8050846091979</v>
      </c>
      <c r="O144" s="14"/>
      <c r="P144" s="56">
        <f ca="1">MATCH(N144,INDIRECT(nomFichierEAN13Valmag &amp; "!A:A"),0)</f>
        <v>851</v>
      </c>
      <c r="R144" s="50" t="str">
        <f t="shared" ref="R144:R207" ca="1" si="475">LEFT(B144,14)</f>
        <v>OBAGB206-EVS00</v>
      </c>
      <c r="S144" s="52">
        <f ca="1">MATCH($R144,INDIRECT(nomFichierEAN13ValmagUniq &amp; "!A:A"),0)</f>
        <v>111</v>
      </c>
      <c r="T144" s="49" t="str">
        <f ca="1">IFERROR(INDEX(INDIRECT(zoneFichierEAN13ValmagUniq),S144,2),"")</f>
        <v xml:space="preserve"> </v>
      </c>
      <c r="U144" s="52">
        <f ca="1">MATCH($R144,INDIRECT(nomFichierEAN13ValmagUniq &amp; "!A" &amp; (S144+1) &amp; ":A" &amp;  (S144+10)),0)</f>
        <v>1</v>
      </c>
      <c r="V144" s="51">
        <f t="shared" ref="V144:V207" ca="1" si="476">U144+S144</f>
        <v>112</v>
      </c>
      <c r="W144" s="49" t="str">
        <f ca="1">IFERROR(INDEX(INDIRECT(zoneFichierEAN13ValmagUniq),V144,2),"")</f>
        <v xml:space="preserve">COQUOPOCKET     </v>
      </c>
      <c r="X144" s="52">
        <f ca="1">MATCH($R144,INDIRECT(nomFichierEAN13ValmagUniq &amp; "!A" &amp; (V144+1) &amp; ":A" &amp;  (V144+10)),0)</f>
        <v>1</v>
      </c>
      <c r="Y144" s="51">
        <f t="shared" ref="Y144:Y207" ca="1" si="477">X144+V144</f>
        <v>113</v>
      </c>
      <c r="Z144" s="49" t="str">
        <f ca="1">IFERROR(INDEX(INDIRECT(zoneFichierEAN13ValmagUniq),Y144,2),"")</f>
        <v xml:space="preserve">OPOCKET         </v>
      </c>
      <c r="AA144" s="53" t="str">
        <f t="shared" ref="AA144:AA207" ca="1" si="478">T144 &amp; IF(W144="","", " | " &amp; W144) &amp; IF(Z144="","", " | " &amp;Z144)</f>
        <v xml:space="preserve">  | COQUOPOCKET      | OPOCKET         </v>
      </c>
      <c r="AC144" s="55">
        <f ca="1">MATCH(B144,INDIRECT(nomFichierFiltreCatalogue &amp; "!B:B"),0)</f>
        <v>101</v>
      </c>
      <c r="AD144" s="14"/>
    </row>
    <row r="145" spans="1:30" s="20" customFormat="1" ht="15.75" customHeight="1" x14ac:dyDescent="0.25">
      <c r="A145" s="25">
        <f ca="1">INDEX(INDIRECT(zoneFichierTraite),$J144+offsetInitialFichierTraite,2)</f>
        <v>154</v>
      </c>
      <c r="B145" s="57" t="str">
        <f ca="1">IF(ISERROR($P144),msgRefValmagAcreer,IF(INDEX(INDIRECT(zoneFichierEAN13Valmag),$P144,3) = "",msgCodeValmagVide, INDEX(INDIRECT(zoneFichierEAN13Valmag),$P144,3)))</f>
        <v xml:space="preserve"> </v>
      </c>
      <c r="C145" s="54" t="str">
        <f t="shared" ref="C145:C208" ca="1" si="479">AA144</f>
        <v xml:space="preserve">  | COQUOPOCKET      | OPOCKET         </v>
      </c>
      <c r="D145" s="19" t="str">
        <f ca="1">IFERROR(INDEX(INDIRECT(zoneFichierEAN13Valmag),$P144,4),"")</f>
        <v xml:space="preserve"> </v>
      </c>
      <c r="E145" s="58" t="str">
        <f ca="1">IFERROR(INDEX(INDIRECT(zoneFichierFiltreCatalogue),AC144,3),"")</f>
        <v>p018-1-12</v>
      </c>
      <c r="F145" s="19"/>
      <c r="G145" s="18"/>
      <c r="H145" s="32" t="str">
        <f ca="1">IFERROR(INDEX(INDIRECT(zoneFichierFiltreCatalogue),AC144,6),"")</f>
        <v>fall 2019 presentation_/catalogo fall 19.txt</v>
      </c>
      <c r="S145" s="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</row>
    <row r="146" spans="1:30" ht="39" customHeight="1" thickBot="1" x14ac:dyDescent="0.65">
      <c r="A146" s="9" t="str">
        <f ca="1">INDEX(INDIRECT(zoneFichierTraite),$J146+offsetInitialFichierTraite,6)</f>
        <v>UNICA</v>
      </c>
      <c r="B146" s="5" t="str">
        <f ca="1">INDEX(INDIRECT(zoneFichierTraite),$J146+offsetInitialFichierTraite,4)</f>
        <v>OBAGB426-ECSD3-227</v>
      </c>
      <c r="C146" s="26" t="str">
        <f ca="1">INDEX(INDIRECT(zoneFichierTraite),$J146+offsetInitialFichierTraite,5)</f>
        <v>CORPS COMPLET O BAG TOTE EN FAUX CUIR IMPRIME MARIGOLD</v>
      </c>
      <c r="D146" s="27" t="str">
        <f ca="1">INDEX(INDIRECT(zoneFichierTraite),$J146+offsetInitialFichierTraite,13)</f>
        <v>bianco/nero</v>
      </c>
      <c r="E146" s="30">
        <f ca="1">INDEX(INDIRECT(zoneFichierTraite),$J146+offsetInitialFichierTraite,7)</f>
        <v>2</v>
      </c>
      <c r="F146" s="28">
        <f ca="1">INDEX(INDIRECT(zoneFichierTraite),$J146+offsetInitialFichierTraite,8)</f>
        <v>31.48</v>
      </c>
      <c r="G146" s="29">
        <f t="shared" ref="G146:G209" ca="1" si="480">ROUNDUP(F146*3,0)</f>
        <v>95</v>
      </c>
      <c r="H146" s="31" t="str">
        <f ca="1">IF(ISNUMBER(N146),codeEAN13(INT(N146/10)),"")</f>
        <v>8APASOG*ajbghc+</v>
      </c>
      <c r="I146" s="1" t="b">
        <f t="shared" ref="I146:I209" ca="1" si="481">AND(A149&lt;&gt;0,A147=A149)</f>
        <v>0</v>
      </c>
      <c r="J146" s="15">
        <f t="shared" si="452"/>
        <v>69</v>
      </c>
      <c r="K146" s="1">
        <f t="shared" ref="K146:K209" ca="1" si="482">A147</f>
        <v>142</v>
      </c>
      <c r="L146" s="5" t="str">
        <f ca="1">INDEX(INDIRECT(zoneFichierTraite),$J146+offsetInitialFichierTraite,1)</f>
        <v>'069</v>
      </c>
      <c r="M146" s="11">
        <f ca="1">INDEX(INDIRECT(zoneFichierTraite),$J146+offsetInitialFichierTraite,9)</f>
        <v>62.96</v>
      </c>
      <c r="N146" s="14">
        <f ca="1">INDEX(INDIRECT(zoneFichierTraite),$J146+offsetInitialFichierTraite,3)</f>
        <v>8050846091672</v>
      </c>
      <c r="O146" s="14"/>
      <c r="P146" s="56">
        <f ca="1">MATCH(N146,INDIRECT(nomFichierEAN13Valmag &amp; "!A:A"),0)</f>
        <v>823</v>
      </c>
      <c r="R146" s="50" t="str">
        <f t="shared" ref="R146:R209" ca="1" si="483">LEFT(B146,14)</f>
        <v>OBAGB426-ECSD3</v>
      </c>
      <c r="S146" s="52">
        <f ca="1">MATCH($R146,INDIRECT(nomFichierEAN13ValmagUniq &amp; "!A:A"),0)</f>
        <v>114</v>
      </c>
      <c r="T146" s="49" t="str">
        <f ca="1">IFERROR(INDEX(INDIRECT(zoneFichierEAN13ValmagUniq),S146,2),"")</f>
        <v xml:space="preserve"> </v>
      </c>
      <c r="U146" s="52" t="e">
        <f ca="1">MATCH($R146,INDIRECT(nomFichierEAN13ValmagUniq &amp; "!A" &amp; (S146+1) &amp; ":A" &amp;  (S146+10)),0)</f>
        <v>#N/A</v>
      </c>
      <c r="V146" s="51" t="e">
        <f t="shared" ref="V146:V209" ca="1" si="484">U146+S146</f>
        <v>#N/A</v>
      </c>
      <c r="W146" s="49" t="str">
        <f ca="1">IFERROR(INDEX(INDIRECT(zoneFichierEAN13ValmagUniq),V146,2),"")</f>
        <v/>
      </c>
      <c r="X146" s="52" t="e">
        <f ca="1">MATCH($R146,INDIRECT(nomFichierEAN13ValmagUniq &amp; "!A" &amp; (V146+1) &amp; ":A" &amp;  (V146+10)),0)</f>
        <v>#N/A</v>
      </c>
      <c r="Y146" s="51" t="e">
        <f t="shared" ref="Y146:Y209" ca="1" si="485">X146+V146</f>
        <v>#N/A</v>
      </c>
      <c r="Z146" s="49" t="str">
        <f ca="1">IFERROR(INDEX(INDIRECT(zoneFichierEAN13ValmagUniq),Y146,2),"")</f>
        <v/>
      </c>
      <c r="AA146" s="53" t="str">
        <f t="shared" ref="AA146:AA209" ca="1" si="486">T146 &amp; IF(W146="","", " | " &amp; W146) &amp; IF(Z146="","", " | " &amp;Z146)</f>
        <v xml:space="preserve"> </v>
      </c>
      <c r="AC146" s="55">
        <f ca="1">MATCH(B146,INDIRECT(nomFichierFiltreCatalogue &amp; "!B:B"),0)</f>
        <v>563</v>
      </c>
      <c r="AD146" s="14"/>
    </row>
    <row r="147" spans="1:30" s="20" customFormat="1" ht="15.75" customHeight="1" x14ac:dyDescent="0.25">
      <c r="A147" s="25">
        <f ca="1">INDEX(INDIRECT(zoneFichierTraite),$J146+offsetInitialFichierTraite,2)</f>
        <v>142</v>
      </c>
      <c r="B147" s="57" t="str">
        <f ca="1">IF(ISERROR($P146),msgRefValmagAcreer,IF(INDEX(INDIRECT(zoneFichierEAN13Valmag),$P146,3) = "",msgCodeValmagVide, INDEX(INDIRECT(zoneFichierEAN13Valmag),$P146,3)))</f>
        <v xml:space="preserve"> </v>
      </c>
      <c r="C147" s="54" t="str">
        <f t="shared" ref="C147:C210" ca="1" si="487">AA146</f>
        <v xml:space="preserve"> </v>
      </c>
      <c r="D147" s="19" t="str">
        <f ca="1">IFERROR(INDEX(INDIRECT(zoneFichierEAN13Valmag),$P146,4),"")</f>
        <v xml:space="preserve"> </v>
      </c>
      <c r="E147" s="58" t="str">
        <f ca="1">IFERROR(INDEX(INDIRECT(zoneFichierFiltreCatalogue),AC146,3),"")</f>
        <v>p141-2-01</v>
      </c>
      <c r="F147" s="19"/>
      <c r="G147" s="18"/>
      <c r="H147" s="32" t="str">
        <f ca="1">IFERROR(INDEX(INDIRECT(zoneFichierFiltreCatalogue),AC146,6),"")</f>
        <v>fall 2019 presentation_/catalogo fall 19.txt</v>
      </c>
      <c r="S147" s="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</row>
    <row r="148" spans="1:30" ht="39" customHeight="1" thickBot="1" x14ac:dyDescent="0.65">
      <c r="A148" s="9" t="str">
        <f ca="1">INDEX(INDIRECT(zoneFichierTraite),$J148+offsetInitialFichierTraite,6)</f>
        <v>UNICA</v>
      </c>
      <c r="B148" s="5" t="str">
        <f ca="1">INDEX(INDIRECT(zoneFichierTraite),$J148+offsetInitialFichierTraite,4)</f>
        <v>OBAGC534-ECS29-017</v>
      </c>
      <c r="C148" s="26" t="str">
        <f ca="1">INDEX(INDIRECT(zoneFichierTraite),$J148+offsetInitialFichierTraite,5)</f>
        <v>FERMETURE Ã€ BANDEAU AVEC BOUCLE O BAG GLAM EN FAUX CUIR IMPRIME COCO</v>
      </c>
      <c r="D148" s="27" t="str">
        <f ca="1">INDEX(INDIRECT(zoneFichierTraite),$J148+offsetInitialFichierTraite,13)</f>
        <v>blu navy</v>
      </c>
      <c r="E148" s="30">
        <f ca="1">INDEX(INDIRECT(zoneFichierTraite),$J148+offsetInitialFichierTraite,7)</f>
        <v>1</v>
      </c>
      <c r="F148" s="28">
        <f ca="1">INDEX(INDIRECT(zoneFichierTraite),$J148+offsetInitialFichierTraite,8)</f>
        <v>8.89</v>
      </c>
      <c r="G148" s="29">
        <f t="shared" ref="G148:G211" ca="1" si="488">ROUNDUP(F148*3,0)</f>
        <v>27</v>
      </c>
      <c r="H148" s="31" t="str">
        <f ca="1">IF(ISNUMBER(N148),codeEAN13(INT(N148/10)),"")</f>
        <v>8APASOG*ajagjj+</v>
      </c>
      <c r="I148" s="1" t="b">
        <f t="shared" ref="I148:I211" ca="1" si="489">AND(A151&lt;&gt;0,A149=A151)</f>
        <v>0</v>
      </c>
      <c r="J148" s="15">
        <f t="shared" si="452"/>
        <v>70</v>
      </c>
      <c r="K148" s="1">
        <f t="shared" ref="K148:K211" ca="1" si="490">A149</f>
        <v>89</v>
      </c>
      <c r="L148" s="5" t="str">
        <f ca="1">INDEX(INDIRECT(zoneFichierTraite),$J148+offsetInitialFichierTraite,1)</f>
        <v>'070</v>
      </c>
      <c r="M148" s="11">
        <f ca="1">INDEX(INDIRECT(zoneFichierTraite),$J148+offsetInitialFichierTraite,9)</f>
        <v>8.89</v>
      </c>
      <c r="N148" s="14">
        <f ca="1">INDEX(INDIRECT(zoneFichierTraite),$J148+offsetInitialFichierTraite,3)</f>
        <v>8050846090699</v>
      </c>
      <c r="O148" s="14"/>
      <c r="P148" s="56">
        <f ca="1">MATCH(N148,INDIRECT(nomFichierEAN13Valmag &amp; "!A:A"),0)</f>
        <v>751</v>
      </c>
      <c r="R148" s="50" t="str">
        <f t="shared" ref="R148:R211" ca="1" si="491">LEFT(B148,14)</f>
        <v>OBAGC534-ECS29</v>
      </c>
      <c r="S148" s="52">
        <f ca="1">MATCH($R148,INDIRECT(nomFichierEAN13ValmagUniq &amp; "!A:A"),0)</f>
        <v>121</v>
      </c>
      <c r="T148" s="49" t="str">
        <f ca="1">IFERROR(INDEX(INDIRECT(zoneFichierEAN13ValmagUniq),S148,2),"")</f>
        <v xml:space="preserve"> </v>
      </c>
      <c r="U148" s="52" t="e">
        <f ca="1">MATCH($R148,INDIRECT(nomFichierEAN13ValmagUniq &amp; "!A" &amp; (S148+1) &amp; ":A" &amp;  (S148+10)),0)</f>
        <v>#N/A</v>
      </c>
      <c r="V148" s="51" t="e">
        <f t="shared" ref="V148:V211" ca="1" si="492">U148+S148</f>
        <v>#N/A</v>
      </c>
      <c r="W148" s="49" t="str">
        <f ca="1">IFERROR(INDEX(INDIRECT(zoneFichierEAN13ValmagUniq),V148,2),"")</f>
        <v/>
      </c>
      <c r="X148" s="52" t="e">
        <f ca="1">MATCH($R148,INDIRECT(nomFichierEAN13ValmagUniq &amp; "!A" &amp; (V148+1) &amp; ":A" &amp;  (V148+10)),0)</f>
        <v>#N/A</v>
      </c>
      <c r="Y148" s="51" t="e">
        <f t="shared" ref="Y148:Y211" ca="1" si="493">X148+V148</f>
        <v>#N/A</v>
      </c>
      <c r="Z148" s="49" t="str">
        <f ca="1">IFERROR(INDEX(INDIRECT(zoneFichierEAN13ValmagUniq),Y148,2),"")</f>
        <v/>
      </c>
      <c r="AA148" s="53" t="str">
        <f t="shared" ref="AA148:AA211" ca="1" si="494">T148 &amp; IF(W148="","", " | " &amp; W148) &amp; IF(Z148="","", " | " &amp;Z148)</f>
        <v xml:space="preserve"> </v>
      </c>
      <c r="AC148" s="55">
        <f ca="1">MATCH(B148,INDIRECT(nomFichierFiltreCatalogue &amp; "!B:B"),0)</f>
        <v>513</v>
      </c>
      <c r="AD148" s="14"/>
    </row>
    <row r="149" spans="1:30" s="20" customFormat="1" ht="15.75" customHeight="1" x14ac:dyDescent="0.25">
      <c r="A149" s="25">
        <f ca="1">INDEX(INDIRECT(zoneFichierTraite),$J148+offsetInitialFichierTraite,2)</f>
        <v>89</v>
      </c>
      <c r="B149" s="57" t="str">
        <f ca="1">IF(ISERROR($P148),msgRefValmagAcreer,IF(INDEX(INDIRECT(zoneFichierEAN13Valmag),$P148,3) = "",msgCodeValmagVide, INDEX(INDIRECT(zoneFichierEAN13Valmag),$P148,3)))</f>
        <v xml:space="preserve"> </v>
      </c>
      <c r="C149" s="54" t="str">
        <f t="shared" ref="C149:C212" ca="1" si="495">AA148</f>
        <v xml:space="preserve"> </v>
      </c>
      <c r="D149" s="19" t="str">
        <f ca="1">IFERROR(INDEX(INDIRECT(zoneFichierEAN13Valmag),$P148,4),"")</f>
        <v xml:space="preserve"> </v>
      </c>
      <c r="E149" s="58" t="str">
        <f ca="1">IFERROR(INDEX(INDIRECT(zoneFichierFiltreCatalogue),AC148,3),"")</f>
        <v>p128-2-01</v>
      </c>
      <c r="F149" s="19"/>
      <c r="G149" s="18"/>
      <c r="H149" s="32" t="str">
        <f ca="1">IFERROR(INDEX(INDIRECT(zoneFichierFiltreCatalogue),AC148,6),"")</f>
        <v>fall 2019 presentation_/catalogo fall 19.txt</v>
      </c>
      <c r="S149" s="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</row>
    <row r="150" spans="1:30" ht="39" customHeight="1" thickBot="1" x14ac:dyDescent="0.65">
      <c r="A150" s="9" t="str">
        <f ca="1">INDEX(INDIRECT(zoneFichierTraite),$J150+offsetInitialFichierTraite,6)</f>
        <v>UNICA</v>
      </c>
      <c r="B150" s="5" t="str">
        <f ca="1">INDEX(INDIRECT(zoneFichierTraite),$J150+offsetInitialFichierTraite,4)</f>
        <v>OBAGC534-ECS29-084</v>
      </c>
      <c r="C150" s="26" t="str">
        <f ca="1">INDEX(INDIRECT(zoneFichierTraite),$J150+offsetInitialFichierTraite,5)</f>
        <v>FERMETURE Ã€ BANDEAU AVEC BOUCLE O BAG GLAM EN FAUX CUIR IMPRIME COCO</v>
      </c>
      <c r="D150" s="27" t="str">
        <f ca="1">INDEX(INDIRECT(zoneFichierTraite),$J150+offsetInitialFichierTraite,13)</f>
        <v>testa di moro</v>
      </c>
      <c r="E150" s="30">
        <f ca="1">INDEX(INDIRECT(zoneFichierTraite),$J150+offsetInitialFichierTraite,7)</f>
        <v>1</v>
      </c>
      <c r="F150" s="28">
        <f ca="1">INDEX(INDIRECT(zoneFichierTraite),$J150+offsetInitialFichierTraite,8)</f>
        <v>8.89</v>
      </c>
      <c r="G150" s="29">
        <f t="shared" ref="G150:G213" ca="1" si="496">ROUNDUP(F150*3,0)</f>
        <v>27</v>
      </c>
      <c r="H150" s="31" t="str">
        <f ca="1">IF(ISNUMBER(N150),codeEAN13(INT(N150/10)),"")</f>
        <v>8APASOG*ajagic+</v>
      </c>
      <c r="I150" s="1" t="b">
        <f t="shared" ref="I150:I213" ca="1" si="497">AND(A153&lt;&gt;0,A151=A153)</f>
        <v>0</v>
      </c>
      <c r="J150" s="15">
        <f t="shared" si="452"/>
        <v>71</v>
      </c>
      <c r="K150" s="1">
        <f t="shared" ref="K150:K213" ca="1" si="498">A151</f>
        <v>218</v>
      </c>
      <c r="L150" s="5" t="str">
        <f ca="1">INDEX(INDIRECT(zoneFichierTraite),$J150+offsetInitialFichierTraite,1)</f>
        <v>'071</v>
      </c>
      <c r="M150" s="11">
        <f ca="1">INDEX(INDIRECT(zoneFichierTraite),$J150+offsetInitialFichierTraite,9)</f>
        <v>8.89</v>
      </c>
      <c r="N150" s="14">
        <f ca="1">INDEX(INDIRECT(zoneFichierTraite),$J150+offsetInitialFichierTraite,3)</f>
        <v>8050846090682</v>
      </c>
      <c r="O150" s="14"/>
      <c r="P150" s="56">
        <f ca="1">MATCH(N150,INDIRECT(nomFichierEAN13Valmag &amp; "!A:A"),0)</f>
        <v>750</v>
      </c>
      <c r="R150" s="50" t="str">
        <f t="shared" ref="R150:R213" ca="1" si="499">LEFT(B150,14)</f>
        <v>OBAGC534-ECS29</v>
      </c>
      <c r="S150" s="52">
        <f ca="1">MATCH($R150,INDIRECT(nomFichierEAN13ValmagUniq &amp; "!A:A"),0)</f>
        <v>121</v>
      </c>
      <c r="T150" s="49" t="str">
        <f ca="1">IFERROR(INDEX(INDIRECT(zoneFichierEAN13ValmagUniq),S150,2),"")</f>
        <v xml:space="preserve"> </v>
      </c>
      <c r="U150" s="52" t="e">
        <f ca="1">MATCH($R150,INDIRECT(nomFichierEAN13ValmagUniq &amp; "!A" &amp; (S150+1) &amp; ":A" &amp;  (S150+10)),0)</f>
        <v>#N/A</v>
      </c>
      <c r="V150" s="51" t="e">
        <f t="shared" ref="V150:V213" ca="1" si="500">U150+S150</f>
        <v>#N/A</v>
      </c>
      <c r="W150" s="49" t="str">
        <f ca="1">IFERROR(INDEX(INDIRECT(zoneFichierEAN13ValmagUniq),V150,2),"")</f>
        <v/>
      </c>
      <c r="X150" s="52" t="e">
        <f ca="1">MATCH($R150,INDIRECT(nomFichierEAN13ValmagUniq &amp; "!A" &amp; (V150+1) &amp; ":A" &amp;  (V150+10)),0)</f>
        <v>#N/A</v>
      </c>
      <c r="Y150" s="51" t="e">
        <f t="shared" ref="Y150:Y213" ca="1" si="501">X150+V150</f>
        <v>#N/A</v>
      </c>
      <c r="Z150" s="49" t="str">
        <f ca="1">IFERROR(INDEX(INDIRECT(zoneFichierEAN13ValmagUniq),Y150,2),"")</f>
        <v/>
      </c>
      <c r="AA150" s="53" t="str">
        <f t="shared" ref="AA150:AA213" ca="1" si="502">T150 &amp; IF(W150="","", " | " &amp; W150) &amp; IF(Z150="","", " | " &amp;Z150)</f>
        <v xml:space="preserve"> </v>
      </c>
      <c r="AC150" s="55">
        <f ca="1">MATCH(B150,INDIRECT(nomFichierFiltreCatalogue &amp; "!B:B"),0)</f>
        <v>514</v>
      </c>
      <c r="AD150" s="14"/>
    </row>
    <row r="151" spans="1:30" s="20" customFormat="1" ht="15.75" customHeight="1" x14ac:dyDescent="0.25">
      <c r="A151" s="25">
        <f ca="1">INDEX(INDIRECT(zoneFichierTraite),$J150+offsetInitialFichierTraite,2)</f>
        <v>218</v>
      </c>
      <c r="B151" s="57" t="str">
        <f ca="1">IF(ISERROR($P150),msgRefValmagAcreer,IF(INDEX(INDIRECT(zoneFichierEAN13Valmag),$P150,3) = "",msgCodeValmagVide, INDEX(INDIRECT(zoneFichierEAN13Valmag),$P150,3)))</f>
        <v xml:space="preserve"> </v>
      </c>
      <c r="C151" s="54" t="str">
        <f t="shared" ref="C151:C214" ca="1" si="503">AA150</f>
        <v xml:space="preserve"> </v>
      </c>
      <c r="D151" s="19" t="str">
        <f ca="1">IFERROR(INDEX(INDIRECT(zoneFichierEAN13Valmag),$P150,4),"")</f>
        <v xml:space="preserve"> </v>
      </c>
      <c r="E151" s="58" t="str">
        <f ca="1">IFERROR(INDEX(INDIRECT(zoneFichierFiltreCatalogue),AC150,3),"")</f>
        <v>p128-2-02</v>
      </c>
      <c r="F151" s="19"/>
      <c r="G151" s="18"/>
      <c r="H151" s="32" t="str">
        <f ca="1">IFERROR(INDEX(INDIRECT(zoneFichierFiltreCatalogue),AC150,6),"")</f>
        <v>fall 2019 presentation_/catalogo fall 19.txt</v>
      </c>
      <c r="S151" s="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</row>
    <row r="152" spans="1:30" ht="39" customHeight="1" thickBot="1" x14ac:dyDescent="0.65">
      <c r="A152" s="9" t="str">
        <f ca="1">INDEX(INDIRECT(zoneFichierTraite),$J152+offsetInitialFichierTraite,6)</f>
        <v>UNICA</v>
      </c>
      <c r="B152" s="5" t="str">
        <f ca="1">INDEX(INDIRECT(zoneFichierTraite),$J152+offsetInitialFichierTraite,4)</f>
        <v>OBAGC534-ECSC4-371</v>
      </c>
      <c r="C152" s="26" t="str">
        <f ca="1">INDEX(INDIRECT(zoneFichierTraite),$J152+offsetInitialFichierTraite,5)</f>
        <v>FERMETURE Ã€ BANDEAU AVEC BOUCLE O BAG GLAM EN FAUX CUIR EFFET GRIFFE + CLOUS</v>
      </c>
      <c r="D152" s="27" t="str">
        <f ca="1">INDEX(INDIRECT(zoneFichierTraite),$J152+offsetInitialFichierTraite,13)</f>
        <v>latte</v>
      </c>
      <c r="E152" s="30">
        <f ca="1">INDEX(INDIRECT(zoneFichierTraite),$J152+offsetInitialFichierTraite,7)</f>
        <v>1</v>
      </c>
      <c r="F152" s="28">
        <f ca="1">INDEX(INDIRECT(zoneFichierTraite),$J152+offsetInitialFichierTraite,8)</f>
        <v>11.85</v>
      </c>
      <c r="G152" s="29">
        <f t="shared" ref="G152:G215" ca="1" si="504">ROUNDUP(F152*3,0)</f>
        <v>36</v>
      </c>
      <c r="H152" s="31" t="str">
        <f ca="1">IF(ISNUMBER(N152),codeEAN13(INT(N152/10)),"")</f>
        <v>8APASOG*ajaggi+</v>
      </c>
      <c r="I152" s="1" t="b">
        <f t="shared" ref="I152:I215" ca="1" si="505">AND(A155&lt;&gt;0,A153=A155)</f>
        <v>0</v>
      </c>
      <c r="J152" s="15">
        <f t="shared" si="452"/>
        <v>72</v>
      </c>
      <c r="K152" s="1">
        <f t="shared" ref="K152:K215" ca="1" si="506">A153</f>
        <v>173</v>
      </c>
      <c r="L152" s="5" t="str">
        <f ca="1">INDEX(INDIRECT(zoneFichierTraite),$J152+offsetInitialFichierTraite,1)</f>
        <v>'072</v>
      </c>
      <c r="M152" s="11">
        <f ca="1">INDEX(INDIRECT(zoneFichierTraite),$J152+offsetInitialFichierTraite,9)</f>
        <v>11.85</v>
      </c>
      <c r="N152" s="14">
        <f ca="1">INDEX(INDIRECT(zoneFichierTraite),$J152+offsetInitialFichierTraite,3)</f>
        <v>8050846090668</v>
      </c>
      <c r="O152" s="14"/>
      <c r="P152" s="56">
        <f ca="1">MATCH(N152,INDIRECT(nomFichierEAN13Valmag &amp; "!A:A"),0)</f>
        <v>748</v>
      </c>
      <c r="R152" s="50" t="str">
        <f t="shared" ref="R152:R215" ca="1" si="507">LEFT(B152,14)</f>
        <v>OBAGC534-ECSC4</v>
      </c>
      <c r="S152" s="52">
        <f ca="1">MATCH($R152,INDIRECT(nomFichierEAN13ValmagUniq &amp; "!A:A"),0)</f>
        <v>122</v>
      </c>
      <c r="T152" s="49" t="str">
        <f ca="1">IFERROR(INDEX(INDIRECT(zoneFichierEAN13ValmagUniq),S152,2),"")</f>
        <v xml:space="preserve"> </v>
      </c>
      <c r="U152" s="52" t="e">
        <f ca="1">MATCH($R152,INDIRECT(nomFichierEAN13ValmagUniq &amp; "!A" &amp; (S152+1) &amp; ":A" &amp;  (S152+10)),0)</f>
        <v>#N/A</v>
      </c>
      <c r="V152" s="51" t="e">
        <f t="shared" ref="V152:V215" ca="1" si="508">U152+S152</f>
        <v>#N/A</v>
      </c>
      <c r="W152" s="49" t="str">
        <f ca="1">IFERROR(INDEX(INDIRECT(zoneFichierEAN13ValmagUniq),V152,2),"")</f>
        <v/>
      </c>
      <c r="X152" s="52" t="e">
        <f ca="1">MATCH($R152,INDIRECT(nomFichierEAN13ValmagUniq &amp; "!A" &amp; (V152+1) &amp; ":A" &amp;  (V152+10)),0)</f>
        <v>#N/A</v>
      </c>
      <c r="Y152" s="51" t="e">
        <f t="shared" ref="Y152:Y215" ca="1" si="509">X152+V152</f>
        <v>#N/A</v>
      </c>
      <c r="Z152" s="49" t="str">
        <f ca="1">IFERROR(INDEX(INDIRECT(zoneFichierEAN13ValmagUniq),Y152,2),"")</f>
        <v/>
      </c>
      <c r="AA152" s="53" t="str">
        <f t="shared" ref="AA152:AA215" ca="1" si="510">T152 &amp; IF(W152="","", " | " &amp; W152) &amp; IF(Z152="","", " | " &amp;Z152)</f>
        <v xml:space="preserve"> </v>
      </c>
      <c r="AC152" s="55">
        <f ca="1">MATCH(B152,INDIRECT(nomFichierFiltreCatalogue &amp; "!B:B"),0)</f>
        <v>519</v>
      </c>
      <c r="AD152" s="14"/>
    </row>
    <row r="153" spans="1:30" s="20" customFormat="1" ht="15.75" customHeight="1" x14ac:dyDescent="0.25">
      <c r="A153" s="25">
        <f ca="1">INDEX(INDIRECT(zoneFichierTraite),$J152+offsetInitialFichierTraite,2)</f>
        <v>173</v>
      </c>
      <c r="B153" s="57" t="str">
        <f ca="1">IF(ISERROR($P152),msgRefValmagAcreer,IF(INDEX(INDIRECT(zoneFichierEAN13Valmag),$P152,3) = "",msgCodeValmagVide, INDEX(INDIRECT(zoneFichierEAN13Valmag),$P152,3)))</f>
        <v xml:space="preserve"> </v>
      </c>
      <c r="C153" s="54" t="str">
        <f t="shared" ref="C153:C216" ca="1" si="511">AA152</f>
        <v xml:space="preserve"> </v>
      </c>
      <c r="D153" s="19" t="str">
        <f ca="1">IFERROR(INDEX(INDIRECT(zoneFichierEAN13Valmag),$P152,4),"")</f>
        <v xml:space="preserve"> </v>
      </c>
      <c r="E153" s="58" t="str">
        <f ca="1">IFERROR(INDEX(INDIRECT(zoneFichierFiltreCatalogue),AC152,3),"")</f>
        <v>p130-2-02</v>
      </c>
      <c r="F153" s="19"/>
      <c r="G153" s="18"/>
      <c r="H153" s="32" t="str">
        <f ca="1">IFERROR(INDEX(INDIRECT(zoneFichierFiltreCatalogue),AC152,6),"")</f>
        <v>fall 2019 presentation_/catalogo fall 19.txt</v>
      </c>
      <c r="S153" s="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</row>
    <row r="154" spans="1:30" ht="39" customHeight="1" thickBot="1" x14ac:dyDescent="0.65">
      <c r="A154" s="9" t="str">
        <f ca="1">INDEX(INDIRECT(zoneFichierTraite),$J154+offsetInitialFichierTraite,6)</f>
        <v>UNICA</v>
      </c>
      <c r="B154" s="5" t="str">
        <f ca="1">INDEX(INDIRECT(zoneFichierTraite),$J154+offsetInitialFichierTraite,4)</f>
        <v>OBAGC534-ECSC9-055</v>
      </c>
      <c r="C154" s="26" t="str">
        <f ca="1">INDEX(INDIRECT(zoneFichierTraite),$J154+offsetInitialFichierTraite,5)</f>
        <v>FERMETURE Ã€ BANDEAU AVEC BOUCLE O BAG GLAM EN FAUX CUIR IMPRIME ATHLEISURE</v>
      </c>
      <c r="D154" s="27" t="str">
        <f ca="1">INDEX(INDIRECT(zoneFichierTraite),$J154+offsetInitialFichierTraite,13)</f>
        <v>nero</v>
      </c>
      <c r="E154" s="30">
        <f ca="1">INDEX(INDIRECT(zoneFichierTraite),$J154+offsetInitialFichierTraite,7)</f>
        <v>1</v>
      </c>
      <c r="F154" s="28">
        <f ca="1">INDEX(INDIRECT(zoneFichierTraite),$J154+offsetInitialFichierTraite,8)</f>
        <v>8.89</v>
      </c>
      <c r="G154" s="29">
        <f t="shared" ref="G154:G217" ca="1" si="512">ROUNDUP(F154*3,0)</f>
        <v>27</v>
      </c>
      <c r="H154" s="31" t="str">
        <f ca="1">IF(ISNUMBER(N154),codeEAN13(INT(N154/10)),"")</f>
        <v>8APASOG*ajagee+</v>
      </c>
      <c r="I154" s="1" t="b">
        <f t="shared" ref="I154:I217" ca="1" si="513">AND(A157&lt;&gt;0,A155=A157)</f>
        <v>0</v>
      </c>
      <c r="J154" s="15">
        <f t="shared" si="452"/>
        <v>73</v>
      </c>
      <c r="K154" s="1">
        <f t="shared" ref="K154:K217" ca="1" si="514">A155</f>
        <v>99</v>
      </c>
      <c r="L154" s="5" t="str">
        <f ca="1">INDEX(INDIRECT(zoneFichierTraite),$J154+offsetInitialFichierTraite,1)</f>
        <v>'073</v>
      </c>
      <c r="M154" s="11">
        <f ca="1">INDEX(INDIRECT(zoneFichierTraite),$J154+offsetInitialFichierTraite,9)</f>
        <v>8.89</v>
      </c>
      <c r="N154" s="14">
        <f ca="1">INDEX(INDIRECT(zoneFichierTraite),$J154+offsetInitialFichierTraite,3)</f>
        <v>8050846090644</v>
      </c>
      <c r="O154" s="14"/>
      <c r="P154" s="56">
        <f ca="1">MATCH(N154,INDIRECT(nomFichierEAN13Valmag &amp; "!A:A"),0)</f>
        <v>746</v>
      </c>
      <c r="R154" s="50" t="str">
        <f t="shared" ref="R154:R217" ca="1" si="515">LEFT(B154,14)</f>
        <v>OBAGC534-ECSC9</v>
      </c>
      <c r="S154" s="52">
        <f ca="1">MATCH($R154,INDIRECT(nomFichierEAN13ValmagUniq &amp; "!A:A"),0)</f>
        <v>123</v>
      </c>
      <c r="T154" s="49" t="str">
        <f ca="1">IFERROR(INDEX(INDIRECT(zoneFichierEAN13ValmagUniq),S154,2),"")</f>
        <v xml:space="preserve"> </v>
      </c>
      <c r="U154" s="52" t="e">
        <f ca="1">MATCH($R154,INDIRECT(nomFichierEAN13ValmagUniq &amp; "!A" &amp; (S154+1) &amp; ":A" &amp;  (S154+10)),0)</f>
        <v>#N/A</v>
      </c>
      <c r="V154" s="51" t="e">
        <f t="shared" ref="V154:V217" ca="1" si="516">U154+S154</f>
        <v>#N/A</v>
      </c>
      <c r="W154" s="49" t="str">
        <f ca="1">IFERROR(INDEX(INDIRECT(zoneFichierEAN13ValmagUniq),V154,2),"")</f>
        <v/>
      </c>
      <c r="X154" s="52" t="e">
        <f ca="1">MATCH($R154,INDIRECT(nomFichierEAN13ValmagUniq &amp; "!A" &amp; (V154+1) &amp; ":A" &amp;  (V154+10)),0)</f>
        <v>#N/A</v>
      </c>
      <c r="Y154" s="51" t="e">
        <f t="shared" ref="Y154:Y217" ca="1" si="517">X154+V154</f>
        <v>#N/A</v>
      </c>
      <c r="Z154" s="49" t="str">
        <f ca="1">IFERROR(INDEX(INDIRECT(zoneFichierEAN13ValmagUniq),Y154,2),"")</f>
        <v/>
      </c>
      <c r="AA154" s="53" t="str">
        <f t="shared" ref="AA154:AA217" ca="1" si="518">T154 &amp; IF(W154="","", " | " &amp; W154) &amp; IF(Z154="","", " | " &amp;Z154)</f>
        <v xml:space="preserve"> </v>
      </c>
      <c r="AC154" s="55">
        <f ca="1">MATCH(B154,INDIRECT(nomFichierFiltreCatalogue &amp; "!B:B"),0)</f>
        <v>511</v>
      </c>
      <c r="AD154" s="14"/>
    </row>
    <row r="155" spans="1:30" s="20" customFormat="1" ht="15.75" customHeight="1" x14ac:dyDescent="0.25">
      <c r="A155" s="25">
        <f ca="1">INDEX(INDIRECT(zoneFichierTraite),$J154+offsetInitialFichierTraite,2)</f>
        <v>99</v>
      </c>
      <c r="B155" s="57" t="str">
        <f ca="1">IF(ISERROR($P154),msgRefValmagAcreer,IF(INDEX(INDIRECT(zoneFichierEAN13Valmag),$P154,3) = "",msgCodeValmagVide, INDEX(INDIRECT(zoneFichierEAN13Valmag),$P154,3)))</f>
        <v xml:space="preserve"> </v>
      </c>
      <c r="C155" s="54" t="str">
        <f t="shared" ref="C155:C218" ca="1" si="519">AA154</f>
        <v xml:space="preserve"> </v>
      </c>
      <c r="D155" s="19" t="str">
        <f ca="1">IFERROR(INDEX(INDIRECT(zoneFichierEAN13Valmag),$P154,4),"")</f>
        <v xml:space="preserve"> </v>
      </c>
      <c r="E155" s="58" t="str">
        <f ca="1">IFERROR(INDEX(INDIRECT(zoneFichierFiltreCatalogue),AC154,3),"")</f>
        <v>p128-1-01</v>
      </c>
      <c r="F155" s="19"/>
      <c r="G155" s="18"/>
      <c r="H155" s="32" t="str">
        <f ca="1">IFERROR(INDEX(INDIRECT(zoneFichierFiltreCatalogue),AC154,6),"")</f>
        <v>fall 2019 presentation_/catalogo fall 19.txt</v>
      </c>
      <c r="S155" s="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</row>
    <row r="156" spans="1:30" ht="39" customHeight="1" thickBot="1" x14ac:dyDescent="0.65">
      <c r="A156" s="9" t="str">
        <f ca="1">INDEX(INDIRECT(zoneFichierTraite),$J156+offsetInitialFichierTraite,6)</f>
        <v>UNICA</v>
      </c>
      <c r="B156" s="5" t="str">
        <f ca="1">INDEX(INDIRECT(zoneFichierTraite),$J156+offsetInitialFichierTraite,4)</f>
        <v>OBAGC534-ECSC9-137</v>
      </c>
      <c r="C156" s="26" t="str">
        <f ca="1">INDEX(INDIRECT(zoneFichierTraite),$J156+offsetInitialFichierTraite,5)</f>
        <v>FERMETURE Ã€ BANDEAU AVEC BOUCLE O BAG GLAM EN FAUX CUIR IMPRIME ATHLEISURE</v>
      </c>
      <c r="D156" s="27" t="str">
        <f ca="1">INDEX(INDIRECT(zoneFichierTraite),$J156+offsetInitialFichierTraite,13)</f>
        <v>bluette</v>
      </c>
      <c r="E156" s="30">
        <f ca="1">INDEX(INDIRECT(zoneFichierTraite),$J156+offsetInitialFichierTraite,7)</f>
        <v>1</v>
      </c>
      <c r="F156" s="28">
        <f ca="1">INDEX(INDIRECT(zoneFichierTraite),$J156+offsetInitialFichierTraite,8)</f>
        <v>8.89</v>
      </c>
      <c r="G156" s="29">
        <f t="shared" ref="G156:G219" ca="1" si="520">ROUNDUP(F156*3,0)</f>
        <v>27</v>
      </c>
      <c r="H156" s="31" t="str">
        <f ca="1">IF(ISNUMBER(N156),codeEAN13(INT(N156/10)),"")</f>
        <v>8APASOG*ajagfb+</v>
      </c>
      <c r="I156" s="1" t="b">
        <f t="shared" ref="I156:I219" ca="1" si="521">AND(A159&lt;&gt;0,A157=A159)</f>
        <v>0</v>
      </c>
      <c r="J156" s="15">
        <f t="shared" si="452"/>
        <v>74</v>
      </c>
      <c r="K156" s="1">
        <f t="shared" ref="K156:K219" ca="1" si="522">A157</f>
        <v>114</v>
      </c>
      <c r="L156" s="5" t="str">
        <f ca="1">INDEX(INDIRECT(zoneFichierTraite),$J156+offsetInitialFichierTraite,1)</f>
        <v>'074</v>
      </c>
      <c r="M156" s="11">
        <f ca="1">INDEX(INDIRECT(zoneFichierTraite),$J156+offsetInitialFichierTraite,9)</f>
        <v>8.89</v>
      </c>
      <c r="N156" s="14">
        <f ca="1">INDEX(INDIRECT(zoneFichierTraite),$J156+offsetInitialFichierTraite,3)</f>
        <v>8050846090651</v>
      </c>
      <c r="O156" s="14"/>
      <c r="P156" s="56">
        <f ca="1">MATCH(N156,INDIRECT(nomFichierEAN13Valmag &amp; "!A:A"),0)</f>
        <v>747</v>
      </c>
      <c r="R156" s="50" t="str">
        <f t="shared" ref="R156:R219" ca="1" si="523">LEFT(B156,14)</f>
        <v>OBAGC534-ECSC9</v>
      </c>
      <c r="S156" s="52">
        <f ca="1">MATCH($R156,INDIRECT(nomFichierEAN13ValmagUniq &amp; "!A:A"),0)</f>
        <v>123</v>
      </c>
      <c r="T156" s="49" t="str">
        <f ca="1">IFERROR(INDEX(INDIRECT(zoneFichierEAN13ValmagUniq),S156,2),"")</f>
        <v xml:space="preserve"> </v>
      </c>
      <c r="U156" s="52" t="e">
        <f ca="1">MATCH($R156,INDIRECT(nomFichierEAN13ValmagUniq &amp; "!A" &amp; (S156+1) &amp; ":A" &amp;  (S156+10)),0)</f>
        <v>#N/A</v>
      </c>
      <c r="V156" s="51" t="e">
        <f t="shared" ref="V156:V219" ca="1" si="524">U156+S156</f>
        <v>#N/A</v>
      </c>
      <c r="W156" s="49" t="str">
        <f ca="1">IFERROR(INDEX(INDIRECT(zoneFichierEAN13ValmagUniq),V156,2),"")</f>
        <v/>
      </c>
      <c r="X156" s="52" t="e">
        <f ca="1">MATCH($R156,INDIRECT(nomFichierEAN13ValmagUniq &amp; "!A" &amp; (V156+1) &amp; ":A" &amp;  (V156+10)),0)</f>
        <v>#N/A</v>
      </c>
      <c r="Y156" s="51" t="e">
        <f t="shared" ref="Y156:Y219" ca="1" si="525">X156+V156</f>
        <v>#N/A</v>
      </c>
      <c r="Z156" s="49" t="str">
        <f ca="1">IFERROR(INDEX(INDIRECT(zoneFichierEAN13ValmagUniq),Y156,2),"")</f>
        <v/>
      </c>
      <c r="AA156" s="53" t="str">
        <f t="shared" ref="AA156:AA219" ca="1" si="526">T156 &amp; IF(W156="","", " | " &amp; W156) &amp; IF(Z156="","", " | " &amp;Z156)</f>
        <v xml:space="preserve"> </v>
      </c>
      <c r="AC156" s="55">
        <f ca="1">MATCH(B156,INDIRECT(nomFichierFiltreCatalogue &amp; "!B:B"),0)</f>
        <v>512</v>
      </c>
      <c r="AD156" s="14"/>
    </row>
    <row r="157" spans="1:30" s="20" customFormat="1" ht="15.75" customHeight="1" x14ac:dyDescent="0.25">
      <c r="A157" s="25">
        <f ca="1">INDEX(INDIRECT(zoneFichierTraite),$J156+offsetInitialFichierTraite,2)</f>
        <v>114</v>
      </c>
      <c r="B157" s="57" t="str">
        <f ca="1">IF(ISERROR($P156),msgRefValmagAcreer,IF(INDEX(INDIRECT(zoneFichierEAN13Valmag),$P156,3) = "",msgCodeValmagVide, INDEX(INDIRECT(zoneFichierEAN13Valmag),$P156,3)))</f>
        <v xml:space="preserve"> </v>
      </c>
      <c r="C157" s="54" t="str">
        <f t="shared" ref="C157:C220" ca="1" si="527">AA156</f>
        <v xml:space="preserve"> </v>
      </c>
      <c r="D157" s="19" t="str">
        <f ca="1">IFERROR(INDEX(INDIRECT(zoneFichierEAN13Valmag),$P156,4),"")</f>
        <v xml:space="preserve"> </v>
      </c>
      <c r="E157" s="58" t="str">
        <f ca="1">IFERROR(INDEX(INDIRECT(zoneFichierFiltreCatalogue),AC156,3),"")</f>
        <v>p128-1-02</v>
      </c>
      <c r="F157" s="19"/>
      <c r="G157" s="18"/>
      <c r="H157" s="32" t="str">
        <f ca="1">IFERROR(INDEX(INDIRECT(zoneFichierFiltreCatalogue),AC156,6),"")</f>
        <v>fall 2019 presentation_/catalogo fall 19.txt</v>
      </c>
      <c r="S157" s="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</row>
    <row r="158" spans="1:30" ht="39" customHeight="1" thickBot="1" x14ac:dyDescent="0.65">
      <c r="A158" s="9" t="str">
        <f ca="1">INDEX(INDIRECT(zoneFichierTraite),$J158+offsetInitialFichierTraite,6)</f>
        <v>UNICA</v>
      </c>
      <c r="B158" s="5" t="str">
        <f ca="1">INDEX(INDIRECT(zoneFichierTraite),$J158+offsetInitialFichierTraite,4)</f>
        <v>OBAGC534-ECSD1-615</v>
      </c>
      <c r="C158" s="26" t="str">
        <f ca="1">INDEX(INDIRECT(zoneFichierTraite),$J158+offsetInitialFichierTraite,5)</f>
        <v>FERMETURE Ã€ BANDEAU AVEC BOUCLE O BAG GLAM EN FAUX CUIR IMPRIME FLEURS GEOMETRIQUES</v>
      </c>
      <c r="D158" s="27" t="str">
        <f ca="1">INDEX(INDIRECT(zoneFichierTraite),$J158+offsetInitialFichierTraite,13)</f>
        <v>military</v>
      </c>
      <c r="E158" s="30">
        <f ca="1">INDEX(INDIRECT(zoneFichierTraite),$J158+offsetInitialFichierTraite,7)</f>
        <v>1</v>
      </c>
      <c r="F158" s="28">
        <f ca="1">INDEX(INDIRECT(zoneFichierTraite),$J158+offsetInitialFichierTraite,8)</f>
        <v>10</v>
      </c>
      <c r="G158" s="29">
        <f t="shared" ref="G158:G221" ca="1" si="528">ROUNDUP(F158*3,0)</f>
        <v>30</v>
      </c>
      <c r="H158" s="31" t="str">
        <f ca="1">IF(ISNUMBER(N158),codeEAN13(INT(N158/10)),"")</f>
        <v>8APASOG*ajagca+</v>
      </c>
      <c r="I158" s="1" t="b">
        <f t="shared" ref="I158:I221" ca="1" si="529">AND(A161&lt;&gt;0,A159=A161)</f>
        <v>0</v>
      </c>
      <c r="J158" s="15">
        <f t="shared" si="452"/>
        <v>75</v>
      </c>
      <c r="K158" s="1">
        <f t="shared" ref="K158:K221" ca="1" si="530">A159</f>
        <v>2</v>
      </c>
      <c r="L158" s="5" t="str">
        <f ca="1">INDEX(INDIRECT(zoneFichierTraite),$J158+offsetInitialFichierTraite,1)</f>
        <v>'075</v>
      </c>
      <c r="M158" s="11">
        <f ca="1">INDEX(INDIRECT(zoneFichierTraite),$J158+offsetInitialFichierTraite,9)</f>
        <v>10</v>
      </c>
      <c r="N158" s="14">
        <f ca="1">INDEX(INDIRECT(zoneFichierTraite),$J158+offsetInitialFichierTraite,3)</f>
        <v>8050846090620</v>
      </c>
      <c r="O158" s="14"/>
      <c r="P158" s="56">
        <f ca="1">MATCH(N158,INDIRECT(nomFichierEAN13Valmag &amp; "!A:A"),0)</f>
        <v>744</v>
      </c>
      <c r="R158" s="50" t="str">
        <f t="shared" ref="R158:R221" ca="1" si="531">LEFT(B158,14)</f>
        <v>OBAGC534-ECSD1</v>
      </c>
      <c r="S158" s="52">
        <f ca="1">MATCH($R158,INDIRECT(nomFichierEAN13ValmagUniq &amp; "!A:A"),0)</f>
        <v>124</v>
      </c>
      <c r="T158" s="49" t="str">
        <f ca="1">IFERROR(INDEX(INDIRECT(zoneFichierEAN13ValmagUniq),S158,2),"")</f>
        <v xml:space="preserve"> </v>
      </c>
      <c r="U158" s="52" t="e">
        <f ca="1">MATCH($R158,INDIRECT(nomFichierEAN13ValmagUniq &amp; "!A" &amp; (S158+1) &amp; ":A" &amp;  (S158+10)),0)</f>
        <v>#N/A</v>
      </c>
      <c r="V158" s="51" t="e">
        <f t="shared" ref="V158:V221" ca="1" si="532">U158+S158</f>
        <v>#N/A</v>
      </c>
      <c r="W158" s="49" t="str">
        <f ca="1">IFERROR(INDEX(INDIRECT(zoneFichierEAN13ValmagUniq),V158,2),"")</f>
        <v/>
      </c>
      <c r="X158" s="52" t="e">
        <f ca="1">MATCH($R158,INDIRECT(nomFichierEAN13ValmagUniq &amp; "!A" &amp; (V158+1) &amp; ":A" &amp;  (V158+10)),0)</f>
        <v>#N/A</v>
      </c>
      <c r="Y158" s="51" t="e">
        <f t="shared" ref="Y158:Y221" ca="1" si="533">X158+V158</f>
        <v>#N/A</v>
      </c>
      <c r="Z158" s="49" t="str">
        <f ca="1">IFERROR(INDEX(INDIRECT(zoneFichierEAN13ValmagUniq),Y158,2),"")</f>
        <v/>
      </c>
      <c r="AA158" s="53" t="str">
        <f t="shared" ref="AA158:AA221" ca="1" si="534">T158 &amp; IF(W158="","", " | " &amp; W158) &amp; IF(Z158="","", " | " &amp;Z158)</f>
        <v xml:space="preserve"> </v>
      </c>
      <c r="AC158" s="55">
        <f ca="1">MATCH(B158,INDIRECT(nomFichierFiltreCatalogue &amp; "!B:B"),0)</f>
        <v>515</v>
      </c>
      <c r="AD158" s="14"/>
    </row>
    <row r="159" spans="1:30" s="20" customFormat="1" ht="15.75" customHeight="1" x14ac:dyDescent="0.25">
      <c r="A159" s="25">
        <f ca="1">INDEX(INDIRECT(zoneFichierTraite),$J158+offsetInitialFichierTraite,2)</f>
        <v>2</v>
      </c>
      <c r="B159" s="57" t="str">
        <f ca="1">IF(ISERROR($P158),msgRefValmagAcreer,IF(INDEX(INDIRECT(zoneFichierEAN13Valmag),$P158,3) = "",msgCodeValmagVide, INDEX(INDIRECT(zoneFichierEAN13Valmag),$P158,3)))</f>
        <v xml:space="preserve"> </v>
      </c>
      <c r="C159" s="54" t="str">
        <f t="shared" ref="C159:C222" ca="1" si="535">AA158</f>
        <v xml:space="preserve"> </v>
      </c>
      <c r="D159" s="19" t="str">
        <f ca="1">IFERROR(INDEX(INDIRECT(zoneFichierEAN13Valmag),$P158,4),"")</f>
        <v xml:space="preserve"> </v>
      </c>
      <c r="E159" s="58" t="str">
        <f ca="1">IFERROR(INDEX(INDIRECT(zoneFichierFiltreCatalogue),AC158,3),"")</f>
        <v>p129-1-01</v>
      </c>
      <c r="F159" s="19"/>
      <c r="G159" s="18"/>
      <c r="H159" s="32" t="str">
        <f ca="1">IFERROR(INDEX(INDIRECT(zoneFichierFiltreCatalogue),AC158,6),"")</f>
        <v>fall 2019 presentation_/catalogo fall 19.txt</v>
      </c>
      <c r="S159" s="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</row>
    <row r="160" spans="1:30" ht="39" customHeight="1" thickBot="1" x14ac:dyDescent="0.65">
      <c r="A160" s="9" t="str">
        <f ca="1">INDEX(INDIRECT(zoneFichierTraite),$J160+offsetInitialFichierTraite,6)</f>
        <v>UNICA</v>
      </c>
      <c r="B160" s="5" t="str">
        <f ca="1">INDEX(INDIRECT(zoneFichierTraite),$J160+offsetInitialFichierTraite,4)</f>
        <v>OBAGC534-ECSD2-227</v>
      </c>
      <c r="C160" s="26" t="str">
        <f ca="1">INDEX(INDIRECT(zoneFichierTraite),$J160+offsetInitialFichierTraite,5)</f>
        <v>FERMETURE Ã€ BANDEAU AVEC BOUCLE O BAG GLAM EN FAUX CUIR IMPRIME GEOMETRIC LILY</v>
      </c>
      <c r="D160" s="27" t="str">
        <f ca="1">INDEX(INDIRECT(zoneFichierTraite),$J160+offsetInitialFichierTraite,13)</f>
        <v>bianco/nero</v>
      </c>
      <c r="E160" s="30">
        <f ca="1">INDEX(INDIRECT(zoneFichierTraite),$J160+offsetInitialFichierTraite,7)</f>
        <v>1</v>
      </c>
      <c r="F160" s="28">
        <f ca="1">INDEX(INDIRECT(zoneFichierTraite),$J160+offsetInitialFichierTraite,8)</f>
        <v>10</v>
      </c>
      <c r="G160" s="29">
        <f t="shared" ref="G160:G223" ca="1" si="536">ROUNDUP(F160*3,0)</f>
        <v>30</v>
      </c>
      <c r="H160" s="31" t="str">
        <f ca="1">IF(ISNUMBER(N160),codeEAN13(INT(N160/10)),"")</f>
        <v>8APASOG*ajafcb+</v>
      </c>
      <c r="I160" s="1" t="b">
        <f t="shared" ref="I160:I223" ca="1" si="537">AND(A163&lt;&gt;0,A161=A163)</f>
        <v>0</v>
      </c>
      <c r="J160" s="15">
        <f t="shared" si="452"/>
        <v>76</v>
      </c>
      <c r="K160" s="1">
        <f t="shared" ref="K160:K223" ca="1" si="538">A161</f>
        <v>211</v>
      </c>
      <c r="L160" s="5" t="str">
        <f ca="1">INDEX(INDIRECT(zoneFichierTraite),$J160+offsetInitialFichierTraite,1)</f>
        <v>'076</v>
      </c>
      <c r="M160" s="11">
        <f ca="1">INDEX(INDIRECT(zoneFichierTraite),$J160+offsetInitialFichierTraite,9)</f>
        <v>10</v>
      </c>
      <c r="N160" s="14">
        <f ca="1">INDEX(INDIRECT(zoneFichierTraite),$J160+offsetInitialFichierTraite,3)</f>
        <v>8050846090521</v>
      </c>
      <c r="O160" s="14"/>
      <c r="P160" s="56">
        <f ca="1">MATCH(N160,INDIRECT(nomFichierEAN13Valmag &amp; "!A:A"),0)</f>
        <v>736</v>
      </c>
      <c r="R160" s="50" t="str">
        <f t="shared" ref="R160:R223" ca="1" si="539">LEFT(B160,14)</f>
        <v>OBAGC534-ECSD2</v>
      </c>
      <c r="S160" s="52">
        <f ca="1">MATCH($R160,INDIRECT(nomFichierEAN13ValmagUniq &amp; "!A:A"),0)</f>
        <v>125</v>
      </c>
      <c r="T160" s="49" t="str">
        <f ca="1">IFERROR(INDEX(INDIRECT(zoneFichierEAN13ValmagUniq),S160,2),"")</f>
        <v xml:space="preserve"> </v>
      </c>
      <c r="U160" s="52" t="e">
        <f ca="1">MATCH($R160,INDIRECT(nomFichierEAN13ValmagUniq &amp; "!A" &amp; (S160+1) &amp; ":A" &amp;  (S160+10)),0)</f>
        <v>#N/A</v>
      </c>
      <c r="V160" s="51" t="e">
        <f t="shared" ref="V160:V223" ca="1" si="540">U160+S160</f>
        <v>#N/A</v>
      </c>
      <c r="W160" s="49" t="str">
        <f ca="1">IFERROR(INDEX(INDIRECT(zoneFichierEAN13ValmagUniq),V160,2),"")</f>
        <v/>
      </c>
      <c r="X160" s="52" t="e">
        <f ca="1">MATCH($R160,INDIRECT(nomFichierEAN13ValmagUniq &amp; "!A" &amp; (V160+1) &amp; ":A" &amp;  (V160+10)),0)</f>
        <v>#N/A</v>
      </c>
      <c r="Y160" s="51" t="e">
        <f t="shared" ref="Y160:Y223" ca="1" si="541">X160+V160</f>
        <v>#N/A</v>
      </c>
      <c r="Z160" s="49" t="str">
        <f ca="1">IFERROR(INDEX(INDIRECT(zoneFichierEAN13ValmagUniq),Y160,2),"")</f>
        <v/>
      </c>
      <c r="AA160" s="53" t="str">
        <f t="shared" ref="AA160:AA223" ca="1" si="542">T160 &amp; IF(W160="","", " | " &amp; W160) &amp; IF(Z160="","", " | " &amp;Z160)</f>
        <v xml:space="preserve"> </v>
      </c>
      <c r="AC160" s="55">
        <f ca="1">MATCH(B160,INDIRECT(nomFichierFiltreCatalogue &amp; "!B:B"),0)</f>
        <v>516</v>
      </c>
      <c r="AD160" s="14"/>
    </row>
    <row r="161" spans="1:30" s="20" customFormat="1" ht="15.75" customHeight="1" x14ac:dyDescent="0.25">
      <c r="A161" s="25">
        <f ca="1">INDEX(INDIRECT(zoneFichierTraite),$J160+offsetInitialFichierTraite,2)</f>
        <v>211</v>
      </c>
      <c r="B161" s="57" t="str">
        <f ca="1">IF(ISERROR($P160),msgRefValmagAcreer,IF(INDEX(INDIRECT(zoneFichierEAN13Valmag),$P160,3) = "",msgCodeValmagVide, INDEX(INDIRECT(zoneFichierEAN13Valmag),$P160,3)))</f>
        <v xml:space="preserve"> </v>
      </c>
      <c r="C161" s="54" t="str">
        <f t="shared" ref="C161:C224" ca="1" si="543">AA160</f>
        <v xml:space="preserve"> </v>
      </c>
      <c r="D161" s="19" t="str">
        <f ca="1">IFERROR(INDEX(INDIRECT(zoneFichierEAN13Valmag),$P160,4),"")</f>
        <v xml:space="preserve"> </v>
      </c>
      <c r="E161" s="58" t="str">
        <f ca="1">IFERROR(INDEX(INDIRECT(zoneFichierFiltreCatalogue),AC160,3),"")</f>
        <v>p129-2-01</v>
      </c>
      <c r="F161" s="19"/>
      <c r="G161" s="18"/>
      <c r="H161" s="32" t="str">
        <f ca="1">IFERROR(INDEX(INDIRECT(zoneFichierFiltreCatalogue),AC160,6),"")</f>
        <v>fall 2019 presentation_/catalogo fall 19.txt</v>
      </c>
      <c r="S161" s="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</row>
    <row r="162" spans="1:30" ht="39" customHeight="1" thickBot="1" x14ac:dyDescent="0.65">
      <c r="A162" s="9" t="str">
        <f ca="1">INDEX(INDIRECT(zoneFichierTraite),$J162+offsetInitialFichierTraite,6)</f>
        <v>UNICA</v>
      </c>
      <c r="B162" s="5" t="str">
        <f ca="1">INDEX(INDIRECT(zoneFichierTraite),$J162+offsetInitialFichierTraite,4)</f>
        <v>OBAGC534-ECSD6-615</v>
      </c>
      <c r="C162" s="26" t="str">
        <f ca="1">INDEX(INDIRECT(zoneFichierTraite),$J162+offsetInitialFichierTraite,5)</f>
        <v>FERMETURE Ã€ BANDEAU AVEC BOUCLE O BAG GLAM EN FAUX CUIR IMPRIME DIANTHUS</v>
      </c>
      <c r="D162" s="27" t="str">
        <f ca="1">INDEX(INDIRECT(zoneFichierTraite),$J162+offsetInitialFichierTraite,13)</f>
        <v>military</v>
      </c>
      <c r="E162" s="30">
        <f ca="1">INDEX(INDIRECT(zoneFichierTraite),$J162+offsetInitialFichierTraite,7)</f>
        <v>1</v>
      </c>
      <c r="F162" s="28">
        <f ca="1">INDEX(INDIRECT(zoneFichierTraite),$J162+offsetInitialFichierTraite,8)</f>
        <v>10</v>
      </c>
      <c r="G162" s="29">
        <f t="shared" ref="G162:G225" ca="1" si="544">ROUNDUP(F162*3,0)</f>
        <v>30</v>
      </c>
      <c r="H162" s="31" t="str">
        <f ca="1">IF(ISNUMBER(N162),codeEAN13(INT(N162/10)),"")</f>
        <v>8APASOG*ajagdh+</v>
      </c>
      <c r="I162" s="1" t="b">
        <f t="shared" ref="I162:I225" ca="1" si="545">AND(A165&lt;&gt;0,A163=A165)</f>
        <v>0</v>
      </c>
      <c r="J162" s="15">
        <f t="shared" si="452"/>
        <v>77</v>
      </c>
      <c r="K162" s="1">
        <f t="shared" ref="K162:K225" ca="1" si="546">A163</f>
        <v>203</v>
      </c>
      <c r="L162" s="5" t="str">
        <f ca="1">INDEX(INDIRECT(zoneFichierTraite),$J162+offsetInitialFichierTraite,1)</f>
        <v>'077</v>
      </c>
      <c r="M162" s="11">
        <f ca="1">INDEX(INDIRECT(zoneFichierTraite),$J162+offsetInitialFichierTraite,9)</f>
        <v>10</v>
      </c>
      <c r="N162" s="14">
        <f ca="1">INDEX(INDIRECT(zoneFichierTraite),$J162+offsetInitialFichierTraite,3)</f>
        <v>8050846090637</v>
      </c>
      <c r="O162" s="14"/>
      <c r="P162" s="56">
        <f ca="1">MATCH(N162,INDIRECT(nomFichierEAN13Valmag &amp; "!A:A"),0)</f>
        <v>745</v>
      </c>
      <c r="R162" s="50" t="str">
        <f t="shared" ref="R162:R225" ca="1" si="547">LEFT(B162,14)</f>
        <v>OBAGC534-ECSD6</v>
      </c>
      <c r="S162" s="52">
        <f ca="1">MATCH($R162,INDIRECT(nomFichierEAN13ValmagUniq &amp; "!A:A"),0)</f>
        <v>126</v>
      </c>
      <c r="T162" s="49" t="str">
        <f ca="1">IFERROR(INDEX(INDIRECT(zoneFichierEAN13ValmagUniq),S162,2),"")</f>
        <v xml:space="preserve"> </v>
      </c>
      <c r="U162" s="52" t="e">
        <f ca="1">MATCH($R162,INDIRECT(nomFichierEAN13ValmagUniq &amp; "!A" &amp; (S162+1) &amp; ":A" &amp;  (S162+10)),0)</f>
        <v>#N/A</v>
      </c>
      <c r="V162" s="51" t="e">
        <f t="shared" ref="V162:V225" ca="1" si="548">U162+S162</f>
        <v>#N/A</v>
      </c>
      <c r="W162" s="49" t="str">
        <f ca="1">IFERROR(INDEX(INDIRECT(zoneFichierEAN13ValmagUniq),V162,2),"")</f>
        <v/>
      </c>
      <c r="X162" s="52" t="e">
        <f ca="1">MATCH($R162,INDIRECT(nomFichierEAN13ValmagUniq &amp; "!A" &amp; (V162+1) &amp; ":A" &amp;  (V162+10)),0)</f>
        <v>#N/A</v>
      </c>
      <c r="Y162" s="51" t="e">
        <f t="shared" ref="Y162:Y225" ca="1" si="549">X162+V162</f>
        <v>#N/A</v>
      </c>
      <c r="Z162" s="49" t="str">
        <f ca="1">IFERROR(INDEX(INDIRECT(zoneFichierEAN13ValmagUniq),Y162,2),"")</f>
        <v/>
      </c>
      <c r="AA162" s="53" t="str">
        <f t="shared" ref="AA162:AA225" ca="1" si="550">T162 &amp; IF(W162="","", " | " &amp; W162) &amp; IF(Z162="","", " | " &amp;Z162)</f>
        <v xml:space="preserve"> </v>
      </c>
      <c r="AC162" s="55">
        <f ca="1">MATCH(B162,INDIRECT(nomFichierFiltreCatalogue &amp; "!B:B"),0)</f>
        <v>517</v>
      </c>
      <c r="AD162" s="14"/>
    </row>
    <row r="163" spans="1:30" s="20" customFormat="1" ht="15.75" customHeight="1" x14ac:dyDescent="0.25">
      <c r="A163" s="25">
        <f ca="1">INDEX(INDIRECT(zoneFichierTraite),$J162+offsetInitialFichierTraite,2)</f>
        <v>203</v>
      </c>
      <c r="B163" s="57" t="str">
        <f ca="1">IF(ISERROR($P162),msgRefValmagAcreer,IF(INDEX(INDIRECT(zoneFichierEAN13Valmag),$P162,3) = "",msgCodeValmagVide, INDEX(INDIRECT(zoneFichierEAN13Valmag),$P162,3)))</f>
        <v xml:space="preserve"> </v>
      </c>
      <c r="C163" s="54" t="str">
        <f t="shared" ref="C163:C226" ca="1" si="551">AA162</f>
        <v xml:space="preserve"> </v>
      </c>
      <c r="D163" s="19" t="str">
        <f ca="1">IFERROR(INDEX(INDIRECT(zoneFichierEAN13Valmag),$P162,4),"")</f>
        <v xml:space="preserve"> </v>
      </c>
      <c r="E163" s="58" t="str">
        <f ca="1">IFERROR(INDEX(INDIRECT(zoneFichierFiltreCatalogue),AC162,3),"")</f>
        <v>p130-1-01</v>
      </c>
      <c r="F163" s="19"/>
      <c r="G163" s="18"/>
      <c r="H163" s="32" t="str">
        <f ca="1">IFERROR(INDEX(INDIRECT(zoneFichierFiltreCatalogue),AC162,6),"")</f>
        <v>fall 2019 presentation_/catalogo fall 19.txt</v>
      </c>
      <c r="S163" s="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</row>
    <row r="164" spans="1:30" ht="39" customHeight="1" thickBot="1" x14ac:dyDescent="0.65">
      <c r="A164" s="9" t="str">
        <f ca="1">INDEX(INDIRECT(zoneFichierTraite),$J164+offsetInitialFichierTraite,6)</f>
        <v>UNICA</v>
      </c>
      <c r="B164" s="5" t="str">
        <f ca="1">INDEX(INDIRECT(zoneFichierTraite),$J164+offsetInitialFichierTraite,4)</f>
        <v>OBAGP006-ECSD2-227</v>
      </c>
      <c r="C164" s="26" t="str">
        <f ca="1">INDEX(INDIRECT(zoneFichierTraite),$J164+offsetInitialFichierTraite,5)</f>
        <v>RABAT O POCKET EN FAUX CUIR IMPRIME GEOMETRIC LILY</v>
      </c>
      <c r="D164" s="27" t="str">
        <f ca="1">INDEX(INDIRECT(zoneFichierTraite),$J164+offsetInitialFichierTraite,13)</f>
        <v>bianco/nero</v>
      </c>
      <c r="E164" s="30">
        <f ca="1">INDEX(INDIRECT(zoneFichierTraite),$J164+offsetInitialFichierTraite,7)</f>
        <v>2</v>
      </c>
      <c r="F164" s="28">
        <f ca="1">INDEX(INDIRECT(zoneFichierTraite),$J164+offsetInitialFichierTraite,8)</f>
        <v>11.85</v>
      </c>
      <c r="G164" s="29">
        <f t="shared" ref="G164:G227" ca="1" si="552">ROUNDUP(F164*3,0)</f>
        <v>36</v>
      </c>
      <c r="H164" s="31" t="str">
        <f ca="1">IF(ISNUMBER(N164),codeEAN13(INT(N164/10)),"")</f>
        <v>8APASOG*ajcabd+</v>
      </c>
      <c r="I164" s="1" t="b">
        <f t="shared" ref="I164:I227" ca="1" si="553">AND(A167&lt;&gt;0,A165=A167)</f>
        <v>0</v>
      </c>
      <c r="J164" s="15">
        <f t="shared" si="452"/>
        <v>78</v>
      </c>
      <c r="K164" s="1">
        <f t="shared" ref="K164:K227" ca="1" si="554">A165</f>
        <v>149</v>
      </c>
      <c r="L164" s="5" t="str">
        <f ca="1">INDEX(INDIRECT(zoneFichierTraite),$J164+offsetInitialFichierTraite,1)</f>
        <v>'078</v>
      </c>
      <c r="M164" s="11">
        <f ca="1">INDEX(INDIRECT(zoneFichierTraite),$J164+offsetInitialFichierTraite,9)</f>
        <v>23.7</v>
      </c>
      <c r="N164" s="14">
        <f ca="1">INDEX(INDIRECT(zoneFichierTraite),$J164+offsetInitialFichierTraite,3)</f>
        <v>8050846092013</v>
      </c>
      <c r="O164" s="14"/>
      <c r="P164" s="56">
        <f ca="1">MATCH(N164,INDIRECT(nomFichierEAN13Valmag &amp; "!A:A"),0)</f>
        <v>855</v>
      </c>
      <c r="R164" s="50" t="str">
        <f t="shared" ref="R164:R227" ca="1" si="555">LEFT(B164,14)</f>
        <v>OBAGP006-ECSD2</v>
      </c>
      <c r="S164" s="52">
        <f ca="1">MATCH($R164,INDIRECT(nomFichierEAN13ValmagUniq &amp; "!A:A"),0)</f>
        <v>133</v>
      </c>
      <c r="T164" s="49" t="str">
        <f ca="1">IFERROR(INDEX(INDIRECT(zoneFichierEAN13ValmagUniq),S164,2),"")</f>
        <v xml:space="preserve"> </v>
      </c>
      <c r="U164" s="52" t="e">
        <f ca="1">MATCH($R164,INDIRECT(nomFichierEAN13ValmagUniq &amp; "!A" &amp; (S164+1) &amp; ":A" &amp;  (S164+10)),0)</f>
        <v>#N/A</v>
      </c>
      <c r="V164" s="51" t="e">
        <f t="shared" ref="V164:V227" ca="1" si="556">U164+S164</f>
        <v>#N/A</v>
      </c>
      <c r="W164" s="49" t="str">
        <f ca="1">IFERROR(INDEX(INDIRECT(zoneFichierEAN13ValmagUniq),V164,2),"")</f>
        <v/>
      </c>
      <c r="X164" s="52" t="e">
        <f ca="1">MATCH($R164,INDIRECT(nomFichierEAN13ValmagUniq &amp; "!A" &amp; (V164+1) &amp; ":A" &amp;  (V164+10)),0)</f>
        <v>#N/A</v>
      </c>
      <c r="Y164" s="51" t="e">
        <f t="shared" ref="Y164:Y227" ca="1" si="557">X164+V164</f>
        <v>#N/A</v>
      </c>
      <c r="Z164" s="49" t="str">
        <f ca="1">IFERROR(INDEX(INDIRECT(zoneFichierEAN13ValmagUniq),Y164,2),"")</f>
        <v/>
      </c>
      <c r="AA164" s="53" t="str">
        <f t="shared" ref="AA164:AA227" ca="1" si="558">T164 &amp; IF(W164="","", " | " &amp; W164) &amp; IF(Z164="","", " | " &amp;Z164)</f>
        <v xml:space="preserve"> </v>
      </c>
      <c r="AC164" s="55">
        <f ca="1">MATCH(B164,INDIRECT(nomFichierFiltreCatalogue &amp; "!B:B"),0)</f>
        <v>456</v>
      </c>
      <c r="AD164" s="14"/>
    </row>
    <row r="165" spans="1:30" s="20" customFormat="1" ht="15.75" customHeight="1" x14ac:dyDescent="0.25">
      <c r="A165" s="25">
        <f ca="1">INDEX(INDIRECT(zoneFichierTraite),$J164+offsetInitialFichierTraite,2)</f>
        <v>149</v>
      </c>
      <c r="B165" s="57" t="str">
        <f ca="1">IF(ISERROR($P164),msgRefValmagAcreer,IF(INDEX(INDIRECT(zoneFichierEAN13Valmag),$P164,3) = "",msgCodeValmagVide, INDEX(INDIRECT(zoneFichierEAN13Valmag),$P164,3)))</f>
        <v xml:space="preserve"> </v>
      </c>
      <c r="C165" s="54" t="str">
        <f t="shared" ref="C165:C228" ca="1" si="559">AA164</f>
        <v xml:space="preserve"> </v>
      </c>
      <c r="D165" s="19" t="str">
        <f ca="1">IFERROR(INDEX(INDIRECT(zoneFichierEAN13Valmag),$P164,4),"")</f>
        <v xml:space="preserve"> </v>
      </c>
      <c r="E165" s="58" t="str">
        <f ca="1">IFERROR(INDEX(INDIRECT(zoneFichierFiltreCatalogue),AC164,3),"")</f>
        <v>p110-1-01</v>
      </c>
      <c r="F165" s="19"/>
      <c r="G165" s="18"/>
      <c r="H165" s="32" t="str">
        <f ca="1">IFERROR(INDEX(INDIRECT(zoneFichierFiltreCatalogue),AC164,6),"")</f>
        <v>fall 2019 presentation_/catalogo fall 19.txt</v>
      </c>
      <c r="S165" s="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</row>
    <row r="166" spans="1:30" ht="39" customHeight="1" thickBot="1" x14ac:dyDescent="0.65">
      <c r="A166" s="9" t="str">
        <f ca="1">INDEX(INDIRECT(zoneFichierTraite),$J166+offsetInitialFichierTraite,6)</f>
        <v>UNICA</v>
      </c>
      <c r="B166" s="5" t="str">
        <f ca="1">INDEX(INDIRECT(zoneFichierTraite),$J166+offsetInitialFichierTraite,4)</f>
        <v>OBAGP006-ECSD6-615</v>
      </c>
      <c r="C166" s="26" t="str">
        <f ca="1">INDEX(INDIRECT(zoneFichierTraite),$J166+offsetInitialFichierTraite,5)</f>
        <v>RABAT O POCKET EN FAUX CUIR IMPRIME DIANTHUS</v>
      </c>
      <c r="D166" s="27" t="str">
        <f ca="1">INDEX(INDIRECT(zoneFichierTraite),$J166+offsetInitialFichierTraite,13)</f>
        <v>military</v>
      </c>
      <c r="E166" s="30">
        <f ca="1">INDEX(INDIRECT(zoneFichierTraite),$J166+offsetInitialFichierTraite,7)</f>
        <v>2</v>
      </c>
      <c r="F166" s="28">
        <f ca="1">INDEX(INDIRECT(zoneFichierTraite),$J166+offsetInitialFichierTraite,8)</f>
        <v>11.85</v>
      </c>
      <c r="G166" s="29">
        <f t="shared" ref="G166:G229" ca="1" si="560">ROUNDUP(F166*3,0)</f>
        <v>36</v>
      </c>
      <c r="H166" s="31" t="str">
        <f ca="1">IF(ISNUMBER(N166),codeEAN13(INT(N166/10)),"")</f>
        <v>8APASOG*ajbjjd+</v>
      </c>
      <c r="I166" s="1" t="b">
        <f t="shared" ref="I166:I229" ca="1" si="561">AND(A169&lt;&gt;0,A167=A169)</f>
        <v>0</v>
      </c>
      <c r="J166" s="15">
        <f t="shared" si="452"/>
        <v>79</v>
      </c>
      <c r="K166" s="1">
        <f t="shared" ref="K166:K229" ca="1" si="562">A167</f>
        <v>115</v>
      </c>
      <c r="L166" s="5" t="str">
        <f ca="1">INDEX(INDIRECT(zoneFichierTraite),$J166+offsetInitialFichierTraite,1)</f>
        <v>'079</v>
      </c>
      <c r="M166" s="11">
        <f ca="1">INDEX(INDIRECT(zoneFichierTraite),$J166+offsetInitialFichierTraite,9)</f>
        <v>23.7</v>
      </c>
      <c r="N166" s="14">
        <f ca="1">INDEX(INDIRECT(zoneFichierTraite),$J166+offsetInitialFichierTraite,3)</f>
        <v>8050846091993</v>
      </c>
      <c r="O166" s="14"/>
      <c r="P166" s="56">
        <f ca="1">MATCH(N166,INDIRECT(nomFichierEAN13Valmag &amp; "!A:A"),0)</f>
        <v>853</v>
      </c>
      <c r="R166" s="50" t="str">
        <f t="shared" ref="R166:R229" ca="1" si="563">LEFT(B166,14)</f>
        <v>OBAGP006-ECSD6</v>
      </c>
      <c r="S166" s="52">
        <f ca="1">MATCH($R166,INDIRECT(nomFichierEAN13ValmagUniq &amp; "!A:A"),0)</f>
        <v>134</v>
      </c>
      <c r="T166" s="49" t="str">
        <f ca="1">IFERROR(INDEX(INDIRECT(zoneFichierEAN13ValmagUniq),S166,2),"")</f>
        <v xml:space="preserve"> </v>
      </c>
      <c r="U166" s="52" t="e">
        <f ca="1">MATCH($R166,INDIRECT(nomFichierEAN13ValmagUniq &amp; "!A" &amp; (S166+1) &amp; ":A" &amp;  (S166+10)),0)</f>
        <v>#N/A</v>
      </c>
      <c r="V166" s="51" t="e">
        <f t="shared" ref="V166:V229" ca="1" si="564">U166+S166</f>
        <v>#N/A</v>
      </c>
      <c r="W166" s="49" t="str">
        <f ca="1">IFERROR(INDEX(INDIRECT(zoneFichierEAN13ValmagUniq),V166,2),"")</f>
        <v/>
      </c>
      <c r="X166" s="52" t="e">
        <f ca="1">MATCH($R166,INDIRECT(nomFichierEAN13ValmagUniq &amp; "!A" &amp; (V166+1) &amp; ":A" &amp;  (V166+10)),0)</f>
        <v>#N/A</v>
      </c>
      <c r="Y166" s="51" t="e">
        <f t="shared" ref="Y166:Y229" ca="1" si="565">X166+V166</f>
        <v>#N/A</v>
      </c>
      <c r="Z166" s="49" t="str">
        <f ca="1">IFERROR(INDEX(INDIRECT(zoneFichierEAN13ValmagUniq),Y166,2),"")</f>
        <v/>
      </c>
      <c r="AA166" s="53" t="str">
        <f t="shared" ref="AA166:AA229" ca="1" si="566">T166 &amp; IF(W166="","", " | " &amp; W166) &amp; IF(Z166="","", " | " &amp;Z166)</f>
        <v xml:space="preserve"> </v>
      </c>
      <c r="AC166" s="55">
        <f ca="1">MATCH(B166,INDIRECT(nomFichierFiltreCatalogue &amp; "!B:B"),0)</f>
        <v>457</v>
      </c>
      <c r="AD166" s="14"/>
    </row>
    <row r="167" spans="1:30" s="20" customFormat="1" ht="15.75" customHeight="1" x14ac:dyDescent="0.25">
      <c r="A167" s="25">
        <f ca="1">INDEX(INDIRECT(zoneFichierTraite),$J166+offsetInitialFichierTraite,2)</f>
        <v>115</v>
      </c>
      <c r="B167" s="57" t="str">
        <f ca="1">IF(ISERROR($P166),msgRefValmagAcreer,IF(INDEX(INDIRECT(zoneFichierEAN13Valmag),$P166,3) = "",msgCodeValmagVide, INDEX(INDIRECT(zoneFichierEAN13Valmag),$P166,3)))</f>
        <v xml:space="preserve"> </v>
      </c>
      <c r="C167" s="54" t="str">
        <f t="shared" ref="C167:C230" ca="1" si="567">AA166</f>
        <v xml:space="preserve"> </v>
      </c>
      <c r="D167" s="19" t="str">
        <f ca="1">IFERROR(INDEX(INDIRECT(zoneFichierEAN13Valmag),$P166,4),"")</f>
        <v xml:space="preserve"> </v>
      </c>
      <c r="E167" s="58" t="str">
        <f ca="1">IFERROR(INDEX(INDIRECT(zoneFichierFiltreCatalogue),AC166,3),"")</f>
        <v>p110-2-01</v>
      </c>
      <c r="F167" s="19"/>
      <c r="G167" s="18"/>
      <c r="H167" s="32" t="str">
        <f ca="1">IFERROR(INDEX(INDIRECT(zoneFichierFiltreCatalogue),AC166,6),"")</f>
        <v>fall 2019 presentation_/catalogo fall 19.txt</v>
      </c>
      <c r="S167" s="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</row>
    <row r="168" spans="1:30" ht="39" customHeight="1" thickBot="1" x14ac:dyDescent="0.65">
      <c r="A168" s="9" t="str">
        <f ca="1">INDEX(INDIRECT(zoneFichierTraite),$J168+offsetInitialFichierTraite,6)</f>
        <v>UNICA</v>
      </c>
      <c r="B168" s="5" t="str">
        <f ca="1">INDEX(INDIRECT(zoneFichierTraite),$J168+offsetInitialFichierTraite,4)</f>
        <v>OBAGP006-FAS09-067</v>
      </c>
      <c r="C168" s="26" t="str">
        <f ca="1">INDEX(INDIRECT(zoneFichierTraite),$J168+offsetInitialFichierTraite,5)</f>
        <v>RABAT O POCKET EN FAUSSE FOURRURE LAPIN REX</v>
      </c>
      <c r="D168" s="27" t="str">
        <f ca="1">INDEX(INDIRECT(zoneFichierTraite),$J168+offsetInitialFichierTraite,13)</f>
        <v>phard</v>
      </c>
      <c r="E168" s="30">
        <f ca="1">INDEX(INDIRECT(zoneFichierTraite),$J168+offsetInitialFichierTraite,7)</f>
        <v>2</v>
      </c>
      <c r="F168" s="28">
        <f ca="1">INDEX(INDIRECT(zoneFichierTraite),$J168+offsetInitialFichierTraite,8)</f>
        <v>18</v>
      </c>
      <c r="G168" s="29">
        <f t="shared" ref="G168:G231" ca="1" si="568">ROUNDUP(F168*3,0)</f>
        <v>54</v>
      </c>
      <c r="H168" s="31" t="str">
        <f ca="1">IF(ISNUMBER(N168),codeEAN13(INT(N168/10)),"")</f>
        <v>8APGKTJ*bhhfef+</v>
      </c>
      <c r="I168" s="1" t="b">
        <f t="shared" ref="I168:I231" ca="1" si="569">AND(A171&lt;&gt;0,A169=A171)</f>
        <v>0</v>
      </c>
      <c r="J168" s="15">
        <f t="shared" si="452"/>
        <v>80</v>
      </c>
      <c r="K168" s="1">
        <f t="shared" ref="K168:K231" ca="1" si="570">A169</f>
        <v>134</v>
      </c>
      <c r="L168" s="5" t="str">
        <f ca="1">INDEX(INDIRECT(zoneFichierTraite),$J168+offsetInitialFichierTraite,1)</f>
        <v>'080</v>
      </c>
      <c r="M168" s="11">
        <f ca="1">INDEX(INDIRECT(zoneFichierTraite),$J168+offsetInitialFichierTraite,9)</f>
        <v>36</v>
      </c>
      <c r="N168" s="14">
        <f ca="1">INDEX(INDIRECT(zoneFichierTraite),$J168+offsetInitialFichierTraite,3)</f>
        <v>8056099177545</v>
      </c>
      <c r="O168" s="14"/>
      <c r="P168" s="56">
        <f ca="1">MATCH(N168,INDIRECT(nomFichierEAN13Valmag &amp; "!A:A"),0)</f>
        <v>1039</v>
      </c>
      <c r="R168" s="50" t="str">
        <f t="shared" ref="R168:R231" ca="1" si="571">LEFT(B168,14)</f>
        <v>OBAGP006-FAS09</v>
      </c>
      <c r="S168" s="52">
        <f ca="1">MATCH($R168,INDIRECT(nomFichierEAN13ValmagUniq &amp; "!A:A"),0)</f>
        <v>135</v>
      </c>
      <c r="T168" s="49" t="str">
        <f ca="1">IFERROR(INDEX(INDIRECT(zoneFichierEAN13ValmagUniq),S168,2),"")</f>
        <v xml:space="preserve"> </v>
      </c>
      <c r="U168" s="52">
        <f ca="1">MATCH($R168,INDIRECT(nomFichierEAN13ValmagUniq &amp; "!A" &amp; (S168+1) &amp; ":A" &amp;  (S168+10)),0)</f>
        <v>1</v>
      </c>
      <c r="V168" s="51">
        <f t="shared" ref="V168:V231" ca="1" si="572">U168+S168</f>
        <v>136</v>
      </c>
      <c r="W168" s="49" t="str">
        <f ca="1">IFERROR(INDEX(INDIRECT(zoneFichierEAN13ValmagUniq),V168,2),"")</f>
        <v xml:space="preserve">FLAPECO         </v>
      </c>
      <c r="X168" s="52">
        <f ca="1">MATCH($R168,INDIRECT(nomFichierEAN13ValmagUniq &amp; "!A" &amp; (V168+1) &amp; ":A" &amp;  (V168+10)),0)</f>
        <v>1</v>
      </c>
      <c r="Y168" s="51">
        <f t="shared" ref="Y168:Y231" ca="1" si="573">X168+V168</f>
        <v>137</v>
      </c>
      <c r="Z168" s="49" t="str">
        <f ca="1">IFERROR(INDEX(INDIRECT(zoneFichierEAN13ValmagUniq),Y168,2),"")</f>
        <v xml:space="preserve">FLAPECOFOU      </v>
      </c>
      <c r="AA168" s="53" t="str">
        <f t="shared" ref="AA168:AA231" ca="1" si="574">T168 &amp; IF(W168="","", " | " &amp; W168) &amp; IF(Z168="","", " | " &amp;Z168)</f>
        <v xml:space="preserve">  | FLAPECO          | FLAPECOFOU      </v>
      </c>
      <c r="AC168" s="55">
        <f ca="1">MATCH(B168,INDIRECT(nomFichierFiltreCatalogue &amp; "!B:B"),0)</f>
        <v>464</v>
      </c>
      <c r="AD168" s="14"/>
    </row>
    <row r="169" spans="1:30" s="20" customFormat="1" ht="15.75" customHeight="1" x14ac:dyDescent="0.25">
      <c r="A169" s="25">
        <f ca="1">INDEX(INDIRECT(zoneFichierTraite),$J168+offsetInitialFichierTraite,2)</f>
        <v>134</v>
      </c>
      <c r="B169" s="57" t="str">
        <f ca="1">IF(ISERROR($P168),msgRefValmagAcreer,IF(INDEX(INDIRECT(zoneFichierEAN13Valmag),$P168,3) = "",msgCodeValmagVide, INDEX(INDIRECT(zoneFichierEAN13Valmag),$P168,3)))</f>
        <v xml:space="preserve">FLAPECOFOU      </v>
      </c>
      <c r="C169" s="54" t="str">
        <f t="shared" ref="C169:C232" ca="1" si="575">AA168</f>
        <v xml:space="preserve">  | FLAPECO          | FLAPECOFOU      </v>
      </c>
      <c r="D169" s="19" t="str">
        <f ca="1">IFERROR(INDEX(INDIRECT(zoneFichierEAN13Valmag),$P168,4),"")</f>
        <v>LAPHA</v>
      </c>
      <c r="E169" s="58" t="str">
        <f ca="1">IFERROR(INDEX(INDIRECT(zoneFichierFiltreCatalogue),AC168,3),"")</f>
        <v>p112-1-05</v>
      </c>
      <c r="F169" s="19"/>
      <c r="G169" s="18"/>
      <c r="H169" s="32" t="str">
        <f ca="1">IFERROR(INDEX(INDIRECT(zoneFichierFiltreCatalogue),AC168,6),"")</f>
        <v>fall 2019 presentation_/catalogo fall 19.txt</v>
      </c>
      <c r="S169" s="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</row>
    <row r="170" spans="1:30" ht="39" customHeight="1" thickBot="1" x14ac:dyDescent="0.65">
      <c r="A170" s="9" t="str">
        <f ca="1">INDEX(INDIRECT(zoneFichierTraite),$J170+offsetInitialFichierTraite,6)</f>
        <v>UNICA</v>
      </c>
      <c r="B170" s="5" t="str">
        <f ca="1">INDEX(INDIRECT(zoneFichierTraite),$J170+offsetInitialFichierTraite,4)</f>
        <v>OBAGP006-FAS09-615</v>
      </c>
      <c r="C170" s="26" t="str">
        <f ca="1">INDEX(INDIRECT(zoneFichierTraite),$J170+offsetInitialFichierTraite,5)</f>
        <v>RABAT O POCKET EN FAUSSE FOURRURE LAPIN REX</v>
      </c>
      <c r="D170" s="27" t="str">
        <f ca="1">INDEX(INDIRECT(zoneFichierTraite),$J170+offsetInitialFichierTraite,13)</f>
        <v>military</v>
      </c>
      <c r="E170" s="30">
        <f ca="1">INDEX(INDIRECT(zoneFichierTraite),$J170+offsetInitialFichierTraite,7)</f>
        <v>2</v>
      </c>
      <c r="F170" s="28">
        <f ca="1">INDEX(INDIRECT(zoneFichierTraite),$J170+offsetInitialFichierTraite,8)</f>
        <v>18</v>
      </c>
      <c r="G170" s="29">
        <f t="shared" ref="G170:G233" ca="1" si="576">ROUNDUP(F170*3,0)</f>
        <v>54</v>
      </c>
      <c r="H170" s="31" t="str">
        <f ca="1">IF(ISNUMBER(N170),codeEAN13(INT(N170/10)),"")</f>
        <v>8APASOG*ajeiii+</v>
      </c>
      <c r="I170" s="1" t="b">
        <f t="shared" ref="I170:I233" ca="1" si="577">AND(A173&lt;&gt;0,A171=A173)</f>
        <v>0</v>
      </c>
      <c r="J170" s="15">
        <f t="shared" si="452"/>
        <v>81</v>
      </c>
      <c r="K170" s="1">
        <f t="shared" ref="K170:K233" ca="1" si="578">A171</f>
        <v>65</v>
      </c>
      <c r="L170" s="5" t="str">
        <f ca="1">INDEX(INDIRECT(zoneFichierTraite),$J170+offsetInitialFichierTraite,1)</f>
        <v>'081</v>
      </c>
      <c r="M170" s="11">
        <f ca="1">INDEX(INDIRECT(zoneFichierTraite),$J170+offsetInitialFichierTraite,9)</f>
        <v>36</v>
      </c>
      <c r="N170" s="14">
        <f ca="1">INDEX(INDIRECT(zoneFichierTraite),$J170+offsetInitialFichierTraite,3)</f>
        <v>8050846094888</v>
      </c>
      <c r="O170" s="14"/>
      <c r="P170" s="56">
        <f ca="1">MATCH(N170,INDIRECT(nomFichierEAN13Valmag &amp; "!A:A"),0)</f>
        <v>923</v>
      </c>
      <c r="R170" s="50" t="str">
        <f t="shared" ref="R170:R233" ca="1" si="579">LEFT(B170,14)</f>
        <v>OBAGP006-FAS09</v>
      </c>
      <c r="S170" s="52">
        <f ca="1">MATCH($R170,INDIRECT(nomFichierEAN13ValmagUniq &amp; "!A:A"),0)</f>
        <v>135</v>
      </c>
      <c r="T170" s="49" t="str">
        <f ca="1">IFERROR(INDEX(INDIRECT(zoneFichierEAN13ValmagUniq),S170,2),"")</f>
        <v xml:space="preserve"> </v>
      </c>
      <c r="U170" s="52">
        <f ca="1">MATCH($R170,INDIRECT(nomFichierEAN13ValmagUniq &amp; "!A" &amp; (S170+1) &amp; ":A" &amp;  (S170+10)),0)</f>
        <v>1</v>
      </c>
      <c r="V170" s="51">
        <f t="shared" ref="V170:V233" ca="1" si="580">U170+S170</f>
        <v>136</v>
      </c>
      <c r="W170" s="49" t="str">
        <f ca="1">IFERROR(INDEX(INDIRECT(zoneFichierEAN13ValmagUniq),V170,2),"")</f>
        <v xml:space="preserve">FLAPECO         </v>
      </c>
      <c r="X170" s="52">
        <f ca="1">MATCH($R170,INDIRECT(nomFichierEAN13ValmagUniq &amp; "!A" &amp; (V170+1) &amp; ":A" &amp;  (V170+10)),0)</f>
        <v>1</v>
      </c>
      <c r="Y170" s="51">
        <f t="shared" ref="Y170:Y233" ca="1" si="581">X170+V170</f>
        <v>137</v>
      </c>
      <c r="Z170" s="49" t="str">
        <f ca="1">IFERROR(INDEX(INDIRECT(zoneFichierEAN13ValmagUniq),Y170,2),"")</f>
        <v xml:space="preserve">FLAPECOFOU      </v>
      </c>
      <c r="AA170" s="53" t="str">
        <f t="shared" ref="AA170:AA233" ca="1" si="582">T170 &amp; IF(W170="","", " | " &amp; W170) &amp; IF(Z170="","", " | " &amp;Z170)</f>
        <v xml:space="preserve">  | FLAPECO          | FLAPECOFOU      </v>
      </c>
      <c r="AC170" s="55">
        <f ca="1">MATCH(B170,INDIRECT(nomFichierFiltreCatalogue &amp; "!B:B"),0)</f>
        <v>460</v>
      </c>
      <c r="AD170" s="14"/>
    </row>
    <row r="171" spans="1:30" s="20" customFormat="1" ht="15.75" customHeight="1" x14ac:dyDescent="0.25">
      <c r="A171" s="25">
        <f ca="1">INDEX(INDIRECT(zoneFichierTraite),$J170+offsetInitialFichierTraite,2)</f>
        <v>65</v>
      </c>
      <c r="B171" s="57" t="str">
        <f ca="1">IF(ISERROR($P170),msgRefValmagAcreer,IF(INDEX(INDIRECT(zoneFichierEAN13Valmag),$P170,3) = "",msgCodeValmagVide, INDEX(INDIRECT(zoneFichierEAN13Valmag),$P170,3)))</f>
        <v xml:space="preserve"> </v>
      </c>
      <c r="C171" s="54" t="str">
        <f t="shared" ref="C171:C234" ca="1" si="583">AA170</f>
        <v xml:space="preserve">  | FLAPECO          | FLAPECOFOU      </v>
      </c>
      <c r="D171" s="19" t="str">
        <f ca="1">IFERROR(INDEX(INDIRECT(zoneFichierEAN13Valmag),$P170,4),"")</f>
        <v xml:space="preserve"> </v>
      </c>
      <c r="E171" s="58" t="str">
        <f ca="1">IFERROR(INDEX(INDIRECT(zoneFichierFiltreCatalogue),AC170,3),"")</f>
        <v>p112-1-01</v>
      </c>
      <c r="F171" s="19"/>
      <c r="G171" s="18"/>
      <c r="H171" s="32" t="str">
        <f ca="1">IFERROR(INDEX(INDIRECT(zoneFichierFiltreCatalogue),AC170,6),"")</f>
        <v>fall 2019 presentation_/catalogo fall 19.txt</v>
      </c>
      <c r="S171" s="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</row>
    <row r="172" spans="1:30" ht="39" customHeight="1" thickBot="1" x14ac:dyDescent="0.65">
      <c r="A172" s="9" t="str">
        <f ca="1">INDEX(INDIRECT(zoneFichierTraite),$J172+offsetInitialFichierTraite,6)</f>
        <v>UNICA</v>
      </c>
      <c r="B172" s="5" t="str">
        <f ca="1">INDEX(INDIRECT(zoneFichierTraite),$J172+offsetInitialFichierTraite,4)</f>
        <v>OBAGP006-TESBG-227</v>
      </c>
      <c r="C172" s="26" t="str">
        <f ca="1">INDEX(INDIRECT(zoneFichierTraite),$J172+offsetInitialFichierTraite,5)</f>
        <v>REVERS O POCKET EN TISSU PRINCE DE GALLES + FLEURS</v>
      </c>
      <c r="D172" s="27" t="str">
        <f ca="1">INDEX(INDIRECT(zoneFichierTraite),$J172+offsetInitialFichierTraite,13)</f>
        <v>bianco/nero</v>
      </c>
      <c r="E172" s="30">
        <f ca="1">INDEX(INDIRECT(zoneFichierTraite),$J172+offsetInitialFichierTraite,7)</f>
        <v>2</v>
      </c>
      <c r="F172" s="28">
        <f ca="1">INDEX(INDIRECT(zoneFichierTraite),$J172+offsetInitialFichierTraite,8)</f>
        <v>12.59</v>
      </c>
      <c r="G172" s="29">
        <f t="shared" ref="G172:G235" ca="1" si="584">ROUNDUP(F172*3,0)</f>
        <v>38</v>
      </c>
      <c r="H172" s="31" t="str">
        <f ca="1">IF(ISNUMBER(N172),codeEAN13(INT(N172/10)),"")</f>
        <v>8APASOG*ajcbed+</v>
      </c>
      <c r="I172" s="1" t="b">
        <f t="shared" ref="I172:I235" ca="1" si="585">AND(A175&lt;&gt;0,A173=A175)</f>
        <v>0</v>
      </c>
      <c r="J172" s="15">
        <f t="shared" si="452"/>
        <v>82</v>
      </c>
      <c r="K172" s="1">
        <f t="shared" ref="K172:K235" ca="1" si="586">A173</f>
        <v>78</v>
      </c>
      <c r="L172" s="5" t="str">
        <f ca="1">INDEX(INDIRECT(zoneFichierTraite),$J172+offsetInitialFichierTraite,1)</f>
        <v>'082</v>
      </c>
      <c r="M172" s="11">
        <f ca="1">INDEX(INDIRECT(zoneFichierTraite),$J172+offsetInitialFichierTraite,9)</f>
        <v>25.18</v>
      </c>
      <c r="N172" s="14">
        <f ca="1">INDEX(INDIRECT(zoneFichierTraite),$J172+offsetInitialFichierTraite,3)</f>
        <v>8050846092143</v>
      </c>
      <c r="O172" s="14"/>
      <c r="P172" s="56">
        <f ca="1">MATCH(N172,INDIRECT(nomFichierEAN13Valmag &amp; "!A:A"),0)</f>
        <v>867</v>
      </c>
      <c r="R172" s="50" t="str">
        <f t="shared" ref="R172:R235" ca="1" si="587">LEFT(B172,14)</f>
        <v>OBAGP006-TESBG</v>
      </c>
      <c r="S172" s="52">
        <f ca="1">MATCH($R172,INDIRECT(nomFichierEAN13ValmagUniq &amp; "!A:A"),0)</f>
        <v>138</v>
      </c>
      <c r="T172" s="49" t="str">
        <f ca="1">IFERROR(INDEX(INDIRECT(zoneFichierEAN13ValmagUniq),S172,2),"")</f>
        <v xml:space="preserve"> </v>
      </c>
      <c r="U172" s="52" t="e">
        <f ca="1">MATCH($R172,INDIRECT(nomFichierEAN13ValmagUniq &amp; "!A" &amp; (S172+1) &amp; ":A" &amp;  (S172+10)),0)</f>
        <v>#N/A</v>
      </c>
      <c r="V172" s="51" t="e">
        <f t="shared" ref="V172:V235" ca="1" si="588">U172+S172</f>
        <v>#N/A</v>
      </c>
      <c r="W172" s="49" t="str">
        <f ca="1">IFERROR(INDEX(INDIRECT(zoneFichierEAN13ValmagUniq),V172,2),"")</f>
        <v/>
      </c>
      <c r="X172" s="52" t="e">
        <f ca="1">MATCH($R172,INDIRECT(nomFichierEAN13ValmagUniq &amp; "!A" &amp; (V172+1) &amp; ":A" &amp;  (V172+10)),0)</f>
        <v>#N/A</v>
      </c>
      <c r="Y172" s="51" t="e">
        <f t="shared" ref="Y172:Y235" ca="1" si="589">X172+V172</f>
        <v>#N/A</v>
      </c>
      <c r="Z172" s="49" t="str">
        <f ca="1">IFERROR(INDEX(INDIRECT(zoneFichierEAN13ValmagUniq),Y172,2),"")</f>
        <v/>
      </c>
      <c r="AA172" s="53" t="str">
        <f t="shared" ref="AA172:AA235" ca="1" si="590">T172 &amp; IF(W172="","", " | " &amp; W172) &amp; IF(Z172="","", " | " &amp;Z172)</f>
        <v xml:space="preserve"> </v>
      </c>
      <c r="AC172" s="55">
        <f ca="1">MATCH(B172,INDIRECT(nomFichierFiltreCatalogue &amp; "!B:B"),0)</f>
        <v>459</v>
      </c>
      <c r="AD172" s="14"/>
    </row>
    <row r="173" spans="1:30" s="20" customFormat="1" ht="15.75" customHeight="1" x14ac:dyDescent="0.25">
      <c r="A173" s="25">
        <f ca="1">INDEX(INDIRECT(zoneFichierTraite),$J172+offsetInitialFichierTraite,2)</f>
        <v>78</v>
      </c>
      <c r="B173" s="57" t="str">
        <f ca="1">IF(ISERROR($P172),msgRefValmagAcreer,IF(INDEX(INDIRECT(zoneFichierEAN13Valmag),$P172,3) = "",msgCodeValmagVide, INDEX(INDIRECT(zoneFichierEAN13Valmag),$P172,3)))</f>
        <v xml:space="preserve"> </v>
      </c>
      <c r="C173" s="54" t="str">
        <f t="shared" ref="C173:C236" ca="1" si="591">AA172</f>
        <v xml:space="preserve"> </v>
      </c>
      <c r="D173" s="19" t="str">
        <f ca="1">IFERROR(INDEX(INDIRECT(zoneFichierEAN13Valmag),$P172,4),"")</f>
        <v xml:space="preserve"> </v>
      </c>
      <c r="E173" s="58" t="str">
        <f ca="1">IFERROR(INDEX(INDIRECT(zoneFichierFiltreCatalogue),AC172,3),"")</f>
        <v>p111-2-01</v>
      </c>
      <c r="F173" s="19"/>
      <c r="G173" s="18"/>
      <c r="H173" s="32" t="str">
        <f ca="1">IFERROR(INDEX(INDIRECT(zoneFichierFiltreCatalogue),AC172,6),"")</f>
        <v>fall 2019 presentation_/catalogo fall 19.txt</v>
      </c>
      <c r="S173" s="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</row>
    <row r="174" spans="1:30" ht="39" customHeight="1" thickBot="1" x14ac:dyDescent="0.65">
      <c r="A174" s="9" t="str">
        <f ca="1">INDEX(INDIRECT(zoneFichierTraite),$J174+offsetInitialFichierTraite,6)</f>
        <v>UNICA</v>
      </c>
      <c r="B174" s="5" t="str">
        <f ca="1">INDEX(INDIRECT(zoneFichierTraite),$J174+offsetInitialFichierTraite,4)</f>
        <v>OBAGP034-ECSC3-615</v>
      </c>
      <c r="C174" s="26" t="str">
        <f ca="1">INDEX(INDIRECT(zoneFichierTraite),$J174+offsetInitialFichierTraite,5)</f>
        <v>RABAT O BAG GLAM EN FAUX CUIR SUÃˆDE + CLOUS</v>
      </c>
      <c r="D174" s="27" t="str">
        <f ca="1">INDEX(INDIRECT(zoneFichierTraite),$J174+offsetInitialFichierTraite,13)</f>
        <v>military</v>
      </c>
      <c r="E174" s="30">
        <f ca="1">INDEX(INDIRECT(zoneFichierTraite),$J174+offsetInitialFichierTraite,7)</f>
        <v>1</v>
      </c>
      <c r="F174" s="28">
        <f ca="1">INDEX(INDIRECT(zoneFichierTraite),$J174+offsetInitialFichierTraite,8)</f>
        <v>16.670000000000002</v>
      </c>
      <c r="G174" s="29">
        <f t="shared" ref="G174:G237" ca="1" si="592">ROUNDUP(F174*3,0)</f>
        <v>51</v>
      </c>
      <c r="H174" s="31" t="str">
        <f ca="1">IF(ISNUMBER(N174),codeEAN13(INT(N174/10)),"")</f>
        <v>8APASOG*ajafah+</v>
      </c>
      <c r="I174" s="1" t="b">
        <f t="shared" ref="I174:I237" ca="1" si="593">AND(A177&lt;&gt;0,A175=A177)</f>
        <v>0</v>
      </c>
      <c r="J174" s="15">
        <f t="shared" si="452"/>
        <v>83</v>
      </c>
      <c r="K174" s="1">
        <f t="shared" ref="K174:K237" ca="1" si="594">A175</f>
        <v>30</v>
      </c>
      <c r="L174" s="5" t="str">
        <f ca="1">INDEX(INDIRECT(zoneFichierTraite),$J174+offsetInitialFichierTraite,1)</f>
        <v>'083</v>
      </c>
      <c r="M174" s="11">
        <f ca="1">INDEX(INDIRECT(zoneFichierTraite),$J174+offsetInitialFichierTraite,9)</f>
        <v>16.670000000000002</v>
      </c>
      <c r="N174" s="14">
        <f ca="1">INDEX(INDIRECT(zoneFichierTraite),$J174+offsetInitialFichierTraite,3)</f>
        <v>8050846090507</v>
      </c>
      <c r="O174" s="14"/>
      <c r="P174" s="56">
        <f ca="1">MATCH(N174,INDIRECT(nomFichierEAN13Valmag &amp; "!A:A"),0)</f>
        <v>734</v>
      </c>
      <c r="R174" s="50" t="str">
        <f t="shared" ref="R174:R237" ca="1" si="595">LEFT(B174,14)</f>
        <v>OBAGP034-ECSC3</v>
      </c>
      <c r="S174" s="52">
        <f ca="1">MATCH($R174,INDIRECT(nomFichierEAN13ValmagUniq &amp; "!A:A"),0)</f>
        <v>141</v>
      </c>
      <c r="T174" s="49" t="str">
        <f ca="1">IFERROR(INDEX(INDIRECT(zoneFichierEAN13ValmagUniq),S174,2),"")</f>
        <v xml:space="preserve"> </v>
      </c>
      <c r="U174" s="52" t="e">
        <f ca="1">MATCH($R174,INDIRECT(nomFichierEAN13ValmagUniq &amp; "!A" &amp; (S174+1) &amp; ":A" &amp;  (S174+10)),0)</f>
        <v>#N/A</v>
      </c>
      <c r="V174" s="51" t="e">
        <f t="shared" ref="V174:V237" ca="1" si="596">U174+S174</f>
        <v>#N/A</v>
      </c>
      <c r="W174" s="49" t="str">
        <f ca="1">IFERROR(INDEX(INDIRECT(zoneFichierEAN13ValmagUniq),V174,2),"")</f>
        <v/>
      </c>
      <c r="X174" s="52" t="e">
        <f ca="1">MATCH($R174,INDIRECT(nomFichierEAN13ValmagUniq &amp; "!A" &amp; (V174+1) &amp; ":A" &amp;  (V174+10)),0)</f>
        <v>#N/A</v>
      </c>
      <c r="Y174" s="51" t="e">
        <f t="shared" ref="Y174:Y237" ca="1" si="597">X174+V174</f>
        <v>#N/A</v>
      </c>
      <c r="Z174" s="49" t="str">
        <f ca="1">IFERROR(INDEX(INDIRECT(zoneFichierEAN13ValmagUniq),Y174,2),"")</f>
        <v/>
      </c>
      <c r="AA174" s="53" t="str">
        <f t="shared" ref="AA174:AA237" ca="1" si="598">T174 &amp; IF(W174="","", " | " &amp; W174) &amp; IF(Z174="","", " | " &amp;Z174)</f>
        <v xml:space="preserve"> </v>
      </c>
      <c r="AC174" s="55">
        <f ca="1">MATCH(B174,INDIRECT(nomFichierFiltreCatalogue &amp; "!B:B"),0)</f>
        <v>483</v>
      </c>
      <c r="AD174" s="14"/>
    </row>
    <row r="175" spans="1:30" s="20" customFormat="1" ht="15.75" customHeight="1" x14ac:dyDescent="0.25">
      <c r="A175" s="25">
        <f ca="1">INDEX(INDIRECT(zoneFichierTraite),$J174+offsetInitialFichierTraite,2)</f>
        <v>30</v>
      </c>
      <c r="B175" s="57" t="str">
        <f ca="1">IF(ISERROR($P174),msgRefValmagAcreer,IF(INDEX(INDIRECT(zoneFichierEAN13Valmag),$P174,3) = "",msgCodeValmagVide, INDEX(INDIRECT(zoneFichierEAN13Valmag),$P174,3)))</f>
        <v xml:space="preserve"> </v>
      </c>
      <c r="C175" s="54" t="str">
        <f t="shared" ref="C175:C238" ca="1" si="599">AA174</f>
        <v xml:space="preserve"> </v>
      </c>
      <c r="D175" s="19" t="str">
        <f ca="1">IFERROR(INDEX(INDIRECT(zoneFichierEAN13Valmag),$P174,4),"")</f>
        <v xml:space="preserve"> </v>
      </c>
      <c r="E175" s="58" t="str">
        <f ca="1">IFERROR(INDEX(INDIRECT(zoneFichierFiltreCatalogue),AC174,3),"")</f>
        <v>p116-1-02</v>
      </c>
      <c r="F175" s="19"/>
      <c r="G175" s="18"/>
      <c r="H175" s="32" t="str">
        <f ca="1">IFERROR(INDEX(INDIRECT(zoneFichierFiltreCatalogue),AC174,6),"")</f>
        <v>fall 2019 presentation_/catalogo fall 19.txt</v>
      </c>
      <c r="S175" s="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</row>
    <row r="176" spans="1:30" ht="39" customHeight="1" thickBot="1" x14ac:dyDescent="0.65">
      <c r="A176" s="9" t="str">
        <f ca="1">INDEX(INDIRECT(zoneFichierTraite),$J176+offsetInitialFichierTraite,6)</f>
        <v>UNICA</v>
      </c>
      <c r="B176" s="5" t="str">
        <f ca="1">INDEX(INDIRECT(zoneFichierTraite),$J176+offsetInitialFichierTraite,4)</f>
        <v>OBAGP034-ECSC4-055</v>
      </c>
      <c r="C176" s="26" t="str">
        <f ca="1">INDEX(INDIRECT(zoneFichierTraite),$J176+offsetInitialFichierTraite,5)</f>
        <v>RABAT O BAG GLAM EN FAUX CUIR EFFET GRIFFE + CLOUS</v>
      </c>
      <c r="D176" s="27" t="str">
        <f ca="1">INDEX(INDIRECT(zoneFichierTraite),$J176+offsetInitialFichierTraite,13)</f>
        <v>nero</v>
      </c>
      <c r="E176" s="30">
        <f ca="1">INDEX(INDIRECT(zoneFichierTraite),$J176+offsetInitialFichierTraite,7)</f>
        <v>1</v>
      </c>
      <c r="F176" s="28">
        <f ca="1">INDEX(INDIRECT(zoneFichierTraite),$J176+offsetInitialFichierTraite,8)</f>
        <v>16.670000000000002</v>
      </c>
      <c r="G176" s="29">
        <f t="shared" ref="G176:G239" ca="1" si="600">ROUNDUP(F176*3,0)</f>
        <v>51</v>
      </c>
      <c r="H176" s="31" t="str">
        <f ca="1">IF(ISNUMBER(N176),codeEAN13(INT(N176/10)),"")</f>
        <v>8APASOG*ajaefd+</v>
      </c>
      <c r="I176" s="1" t="b">
        <f t="shared" ref="I176:I239" ca="1" si="601">AND(A179&lt;&gt;0,A177=A179)</f>
        <v>0</v>
      </c>
      <c r="J176" s="15">
        <f t="shared" si="452"/>
        <v>84</v>
      </c>
      <c r="K176" s="1">
        <f t="shared" ref="K176:K239" ca="1" si="602">A177</f>
        <v>165</v>
      </c>
      <c r="L176" s="5" t="str">
        <f ca="1">INDEX(INDIRECT(zoneFichierTraite),$J176+offsetInitialFichierTraite,1)</f>
        <v>'084</v>
      </c>
      <c r="M176" s="11">
        <f ca="1">INDEX(INDIRECT(zoneFichierTraite),$J176+offsetInitialFichierTraite,9)</f>
        <v>16.670000000000002</v>
      </c>
      <c r="N176" s="14">
        <f ca="1">INDEX(INDIRECT(zoneFichierTraite),$J176+offsetInitialFichierTraite,3)</f>
        <v>8050846090453</v>
      </c>
      <c r="O176" s="14"/>
      <c r="P176" s="56">
        <f ca="1">MATCH(N176,INDIRECT(nomFichierEAN13Valmag &amp; "!A:A"),0)</f>
        <v>729</v>
      </c>
      <c r="R176" s="50" t="str">
        <f t="shared" ref="R176:R239" ca="1" si="603">LEFT(B176,14)</f>
        <v>OBAGP034-ECSC4</v>
      </c>
      <c r="S176" s="52">
        <f ca="1">MATCH($R176,INDIRECT(nomFichierEAN13ValmagUniq &amp; "!A:A"),0)</f>
        <v>142</v>
      </c>
      <c r="T176" s="49" t="str">
        <f ca="1">IFERROR(INDEX(INDIRECT(zoneFichierEAN13ValmagUniq),S176,2),"")</f>
        <v xml:space="preserve"> </v>
      </c>
      <c r="U176" s="52" t="e">
        <f ca="1">MATCH($R176,INDIRECT(nomFichierEAN13ValmagUniq &amp; "!A" &amp; (S176+1) &amp; ":A" &amp;  (S176+10)),0)</f>
        <v>#N/A</v>
      </c>
      <c r="V176" s="51" t="e">
        <f t="shared" ref="V176:V239" ca="1" si="604">U176+S176</f>
        <v>#N/A</v>
      </c>
      <c r="W176" s="49" t="str">
        <f ca="1">IFERROR(INDEX(INDIRECT(zoneFichierEAN13ValmagUniq),V176,2),"")</f>
        <v/>
      </c>
      <c r="X176" s="52" t="e">
        <f ca="1">MATCH($R176,INDIRECT(nomFichierEAN13ValmagUniq &amp; "!A" &amp; (V176+1) &amp; ":A" &amp;  (V176+10)),0)</f>
        <v>#N/A</v>
      </c>
      <c r="Y176" s="51" t="e">
        <f t="shared" ref="Y176:Y239" ca="1" si="605">X176+V176</f>
        <v>#N/A</v>
      </c>
      <c r="Z176" s="49" t="str">
        <f ca="1">IFERROR(INDEX(INDIRECT(zoneFichierEAN13ValmagUniq),Y176,2),"")</f>
        <v/>
      </c>
      <c r="AA176" s="53" t="str">
        <f t="shared" ref="AA176:AA239" ca="1" si="606">T176 &amp; IF(W176="","", " | " &amp; W176) &amp; IF(Z176="","", " | " &amp;Z176)</f>
        <v xml:space="preserve"> </v>
      </c>
      <c r="AC176" s="55">
        <f ca="1">MATCH(B176,INDIRECT(nomFichierFiltreCatalogue &amp; "!B:B"),0)</f>
        <v>484</v>
      </c>
      <c r="AD176" s="14"/>
    </row>
    <row r="177" spans="1:30" s="20" customFormat="1" ht="15.75" customHeight="1" x14ac:dyDescent="0.25">
      <c r="A177" s="25">
        <f ca="1">INDEX(INDIRECT(zoneFichierTraite),$J176+offsetInitialFichierTraite,2)</f>
        <v>165</v>
      </c>
      <c r="B177" s="57" t="str">
        <f ca="1">IF(ISERROR($P176),msgRefValmagAcreer,IF(INDEX(INDIRECT(zoneFichierEAN13Valmag),$P176,3) = "",msgCodeValmagVide, INDEX(INDIRECT(zoneFichierEAN13Valmag),$P176,3)))</f>
        <v xml:space="preserve"> </v>
      </c>
      <c r="C177" s="54" t="str">
        <f t="shared" ref="C177:C240" ca="1" si="607">AA176</f>
        <v xml:space="preserve"> </v>
      </c>
      <c r="D177" s="19" t="str">
        <f ca="1">IFERROR(INDEX(INDIRECT(zoneFichierEAN13Valmag),$P176,4),"")</f>
        <v xml:space="preserve"> </v>
      </c>
      <c r="E177" s="58" t="str">
        <f ca="1">IFERROR(INDEX(INDIRECT(zoneFichierFiltreCatalogue),AC176,3),"")</f>
        <v>p116-2-01</v>
      </c>
      <c r="F177" s="19"/>
      <c r="G177" s="18"/>
      <c r="H177" s="32" t="str">
        <f ca="1">IFERROR(INDEX(INDIRECT(zoneFichierFiltreCatalogue),AC176,6),"")</f>
        <v>fall 2019 presentation_/catalogo fall 19.txt</v>
      </c>
      <c r="S177" s="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</row>
    <row r="178" spans="1:30" ht="39" customHeight="1" thickBot="1" x14ac:dyDescent="0.65">
      <c r="A178" s="9" t="str">
        <f ca="1">INDEX(INDIRECT(zoneFichierTraite),$J178+offsetInitialFichierTraite,6)</f>
        <v>UNICA</v>
      </c>
      <c r="B178" s="5" t="str">
        <f ca="1">INDEX(INDIRECT(zoneFichierTraite),$J178+offsetInitialFichierTraite,4)</f>
        <v>OBAGP034-ECSC4-371</v>
      </c>
      <c r="C178" s="26" t="str">
        <f ca="1">INDEX(INDIRECT(zoneFichierTraite),$J178+offsetInitialFichierTraite,5)</f>
        <v>RABAT O BAG GLAM EN FAUX CUIR EFFET GRIFFE + CLOUS</v>
      </c>
      <c r="D178" s="27" t="str">
        <f ca="1">INDEX(INDIRECT(zoneFichierTraite),$J178+offsetInitialFichierTraite,13)</f>
        <v>latte</v>
      </c>
      <c r="E178" s="30">
        <f ca="1">INDEX(INDIRECT(zoneFichierTraite),$J178+offsetInitialFichierTraite,7)</f>
        <v>1</v>
      </c>
      <c r="F178" s="28">
        <f ca="1">INDEX(INDIRECT(zoneFichierTraite),$J178+offsetInitialFichierTraite,8)</f>
        <v>16.670000000000002</v>
      </c>
      <c r="G178" s="29">
        <f t="shared" ref="G178:G241" ca="1" si="608">ROUNDUP(F178*3,0)</f>
        <v>51</v>
      </c>
      <c r="H178" s="31" t="str">
        <f ca="1">IF(ISNUMBER(N178),codeEAN13(INT(N178/10)),"")</f>
        <v>8APASOG*ajaedj+</v>
      </c>
      <c r="I178" s="1" t="b">
        <f t="shared" ref="I178:I241" ca="1" si="609">AND(A181&lt;&gt;0,A179=A181)</f>
        <v>0</v>
      </c>
      <c r="J178" s="15">
        <f t="shared" si="452"/>
        <v>85</v>
      </c>
      <c r="K178" s="1">
        <f t="shared" ref="K178:K241" ca="1" si="610">A179</f>
        <v>3</v>
      </c>
      <c r="L178" s="5" t="str">
        <f ca="1">INDEX(INDIRECT(zoneFichierTraite),$J178+offsetInitialFichierTraite,1)</f>
        <v>'085</v>
      </c>
      <c r="M178" s="11">
        <f ca="1">INDEX(INDIRECT(zoneFichierTraite),$J178+offsetInitialFichierTraite,9)</f>
        <v>16.670000000000002</v>
      </c>
      <c r="N178" s="14">
        <f ca="1">INDEX(INDIRECT(zoneFichierTraite),$J178+offsetInitialFichierTraite,3)</f>
        <v>8050846090439</v>
      </c>
      <c r="O178" s="14"/>
      <c r="P178" s="56">
        <f ca="1">MATCH(N178,INDIRECT(nomFichierEAN13Valmag &amp; "!A:A"),0)</f>
        <v>727</v>
      </c>
      <c r="R178" s="50" t="str">
        <f t="shared" ref="R178:R241" ca="1" si="611">LEFT(B178,14)</f>
        <v>OBAGP034-ECSC4</v>
      </c>
      <c r="S178" s="52">
        <f ca="1">MATCH($R178,INDIRECT(nomFichierEAN13ValmagUniq &amp; "!A:A"),0)</f>
        <v>142</v>
      </c>
      <c r="T178" s="49" t="str">
        <f ca="1">IFERROR(INDEX(INDIRECT(zoneFichierEAN13ValmagUniq),S178,2),"")</f>
        <v xml:space="preserve"> </v>
      </c>
      <c r="U178" s="52" t="e">
        <f ca="1">MATCH($R178,INDIRECT(nomFichierEAN13ValmagUniq &amp; "!A" &amp; (S178+1) &amp; ":A" &amp;  (S178+10)),0)</f>
        <v>#N/A</v>
      </c>
      <c r="V178" s="51" t="e">
        <f t="shared" ref="V178:V241" ca="1" si="612">U178+S178</f>
        <v>#N/A</v>
      </c>
      <c r="W178" s="49" t="str">
        <f ca="1">IFERROR(INDEX(INDIRECT(zoneFichierEAN13ValmagUniq),V178,2),"")</f>
        <v/>
      </c>
      <c r="X178" s="52" t="e">
        <f ca="1">MATCH($R178,INDIRECT(nomFichierEAN13ValmagUniq &amp; "!A" &amp; (V178+1) &amp; ":A" &amp;  (V178+10)),0)</f>
        <v>#N/A</v>
      </c>
      <c r="Y178" s="51" t="e">
        <f t="shared" ref="Y178:Y241" ca="1" si="613">X178+V178</f>
        <v>#N/A</v>
      </c>
      <c r="Z178" s="49" t="str">
        <f ca="1">IFERROR(INDEX(INDIRECT(zoneFichierEAN13ValmagUniq),Y178,2),"")</f>
        <v/>
      </c>
      <c r="AA178" s="53" t="str">
        <f t="shared" ref="AA178:AA241" ca="1" si="614">T178 &amp; IF(W178="","", " | " &amp; W178) &amp; IF(Z178="","", " | " &amp;Z178)</f>
        <v xml:space="preserve"> </v>
      </c>
      <c r="AC178" s="55">
        <f ca="1">MATCH(B178,INDIRECT(nomFichierFiltreCatalogue &amp; "!B:B"),0)</f>
        <v>485</v>
      </c>
      <c r="AD178" s="14"/>
    </row>
    <row r="179" spans="1:30" s="20" customFormat="1" ht="15.75" customHeight="1" x14ac:dyDescent="0.25">
      <c r="A179" s="25">
        <f ca="1">INDEX(INDIRECT(zoneFichierTraite),$J178+offsetInitialFichierTraite,2)</f>
        <v>3</v>
      </c>
      <c r="B179" s="57" t="str">
        <f ca="1">IF(ISERROR($P178),msgRefValmagAcreer,IF(INDEX(INDIRECT(zoneFichierEAN13Valmag),$P178,3) = "",msgCodeValmagVide, INDEX(INDIRECT(zoneFichierEAN13Valmag),$P178,3)))</f>
        <v xml:space="preserve"> </v>
      </c>
      <c r="C179" s="54" t="str">
        <f t="shared" ref="C179:C242" ca="1" si="615">AA178</f>
        <v xml:space="preserve"> </v>
      </c>
      <c r="D179" s="19" t="str">
        <f ca="1">IFERROR(INDEX(INDIRECT(zoneFichierEAN13Valmag),$P178,4),"")</f>
        <v xml:space="preserve"> </v>
      </c>
      <c r="E179" s="58" t="str">
        <f ca="1">IFERROR(INDEX(INDIRECT(zoneFichierFiltreCatalogue),AC178,3),"")</f>
        <v>p116-2-02</v>
      </c>
      <c r="F179" s="19"/>
      <c r="G179" s="18"/>
      <c r="H179" s="32" t="str">
        <f ca="1">IFERROR(INDEX(INDIRECT(zoneFichierFiltreCatalogue),AC178,6),"")</f>
        <v>fall 2019 presentation_/catalogo fall 19.txt</v>
      </c>
      <c r="S179" s="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</row>
    <row r="180" spans="1:30" ht="39" customHeight="1" thickBot="1" x14ac:dyDescent="0.65">
      <c r="A180" s="9" t="str">
        <f ca="1">INDEX(INDIRECT(zoneFichierTraite),$J180+offsetInitialFichierTraite,6)</f>
        <v>UNICA</v>
      </c>
      <c r="B180" s="5" t="str">
        <f ca="1">INDEX(INDIRECT(zoneFichierTraite),$J180+offsetInitialFichierTraite,4)</f>
        <v>OBAGP034-ECSD1-615</v>
      </c>
      <c r="C180" s="26" t="str">
        <f ca="1">INDEX(INDIRECT(zoneFichierTraite),$J180+offsetInitialFichierTraite,5)</f>
        <v>RABAT O BAG GLAM EN FAUX CUIR IMPRIME FLEURS GEOMETRIQUES</v>
      </c>
      <c r="D180" s="27" t="str">
        <f ca="1">INDEX(INDIRECT(zoneFichierTraite),$J180+offsetInitialFichierTraite,13)</f>
        <v>military</v>
      </c>
      <c r="E180" s="30">
        <f ca="1">INDEX(INDIRECT(zoneFichierTraite),$J180+offsetInitialFichierTraite,7)</f>
        <v>1</v>
      </c>
      <c r="F180" s="28">
        <f ca="1">INDEX(INDIRECT(zoneFichierTraite),$J180+offsetInitialFichierTraite,8)</f>
        <v>15.56</v>
      </c>
      <c r="G180" s="29">
        <f t="shared" ref="G180:G243" ca="1" si="616">ROUNDUP(F180*3,0)</f>
        <v>47</v>
      </c>
      <c r="H180" s="31" t="str">
        <f ca="1">IF(ISNUMBER(N180),codeEAN13(INT(N180/10)),"")</f>
        <v>8APASOG*ajaeeg+</v>
      </c>
      <c r="I180" s="1" t="b">
        <f t="shared" ref="I180:I243" ca="1" si="617">AND(A183&lt;&gt;0,A181=A183)</f>
        <v>0</v>
      </c>
      <c r="J180" s="15">
        <f t="shared" si="452"/>
        <v>86</v>
      </c>
      <c r="K180" s="1">
        <f t="shared" ref="K180:K243" ca="1" si="618">A181</f>
        <v>151</v>
      </c>
      <c r="L180" s="5" t="str">
        <f ca="1">INDEX(INDIRECT(zoneFichierTraite),$J180+offsetInitialFichierTraite,1)</f>
        <v>'086</v>
      </c>
      <c r="M180" s="11">
        <f ca="1">INDEX(INDIRECT(zoneFichierTraite),$J180+offsetInitialFichierTraite,9)</f>
        <v>15.56</v>
      </c>
      <c r="N180" s="14">
        <f ca="1">INDEX(INDIRECT(zoneFichierTraite),$J180+offsetInitialFichierTraite,3)</f>
        <v>8050846090446</v>
      </c>
      <c r="O180" s="14"/>
      <c r="P180" s="56">
        <f ca="1">MATCH(N180,INDIRECT(nomFichierEAN13Valmag &amp; "!A:A"),0)</f>
        <v>728</v>
      </c>
      <c r="R180" s="50" t="str">
        <f t="shared" ref="R180:R243" ca="1" si="619">LEFT(B180,14)</f>
        <v>OBAGP034-ECSD1</v>
      </c>
      <c r="S180" s="52">
        <f ca="1">MATCH($R180,INDIRECT(nomFichierEAN13ValmagUniq &amp; "!A:A"),0)</f>
        <v>143</v>
      </c>
      <c r="T180" s="49" t="str">
        <f ca="1">IFERROR(INDEX(INDIRECT(zoneFichierEAN13ValmagUniq),S180,2),"")</f>
        <v xml:space="preserve"> </v>
      </c>
      <c r="U180" s="52" t="e">
        <f ca="1">MATCH($R180,INDIRECT(nomFichierEAN13ValmagUniq &amp; "!A" &amp; (S180+1) &amp; ":A" &amp;  (S180+10)),0)</f>
        <v>#N/A</v>
      </c>
      <c r="V180" s="51" t="e">
        <f t="shared" ref="V180:V243" ca="1" si="620">U180+S180</f>
        <v>#N/A</v>
      </c>
      <c r="W180" s="49" t="str">
        <f ca="1">IFERROR(INDEX(INDIRECT(zoneFichierEAN13ValmagUniq),V180,2),"")</f>
        <v/>
      </c>
      <c r="X180" s="52" t="e">
        <f ca="1">MATCH($R180,INDIRECT(nomFichierEAN13ValmagUniq &amp; "!A" &amp; (V180+1) &amp; ":A" &amp;  (V180+10)),0)</f>
        <v>#N/A</v>
      </c>
      <c r="Y180" s="51" t="e">
        <f t="shared" ref="Y180:Y243" ca="1" si="621">X180+V180</f>
        <v>#N/A</v>
      </c>
      <c r="Z180" s="49" t="str">
        <f ca="1">IFERROR(INDEX(INDIRECT(zoneFichierEAN13ValmagUniq),Y180,2),"")</f>
        <v/>
      </c>
      <c r="AA180" s="53" t="str">
        <f t="shared" ref="AA180:AA243" ca="1" si="622">T180 &amp; IF(W180="","", " | " &amp; W180) &amp; IF(Z180="","", " | " &amp;Z180)</f>
        <v xml:space="preserve"> </v>
      </c>
      <c r="AC180" s="55">
        <f ca="1">MATCH(B180,INDIRECT(nomFichierFiltreCatalogue &amp; "!B:B"),0)</f>
        <v>486</v>
      </c>
      <c r="AD180" s="14"/>
    </row>
    <row r="181" spans="1:30" s="20" customFormat="1" ht="15.75" customHeight="1" x14ac:dyDescent="0.25">
      <c r="A181" s="25">
        <f ca="1">INDEX(INDIRECT(zoneFichierTraite),$J180+offsetInitialFichierTraite,2)</f>
        <v>151</v>
      </c>
      <c r="B181" s="57" t="str">
        <f ca="1">IF(ISERROR($P180),msgRefValmagAcreer,IF(INDEX(INDIRECT(zoneFichierEAN13Valmag),$P180,3) = "",msgCodeValmagVide, INDEX(INDIRECT(zoneFichierEAN13Valmag),$P180,3)))</f>
        <v xml:space="preserve"> </v>
      </c>
      <c r="C181" s="54" t="str">
        <f t="shared" ref="C181:C244" ca="1" si="623">AA180</f>
        <v xml:space="preserve"> </v>
      </c>
      <c r="D181" s="19" t="str">
        <f ca="1">IFERROR(INDEX(INDIRECT(zoneFichierEAN13Valmag),$P180,4),"")</f>
        <v xml:space="preserve"> </v>
      </c>
      <c r="E181" s="58" t="str">
        <f ca="1">IFERROR(INDEX(INDIRECT(zoneFichierFiltreCatalogue),AC180,3),"")</f>
        <v>p117-1-01</v>
      </c>
      <c r="F181" s="19"/>
      <c r="G181" s="18"/>
      <c r="H181" s="32" t="str">
        <f ca="1">IFERROR(INDEX(INDIRECT(zoneFichierFiltreCatalogue),AC180,6),"")</f>
        <v>fall 2019 presentation_/catalogo fall 19.txt</v>
      </c>
      <c r="S181" s="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</row>
    <row r="182" spans="1:30" ht="39" customHeight="1" thickBot="1" x14ac:dyDescent="0.65">
      <c r="A182" s="9" t="str">
        <f ca="1">INDEX(INDIRECT(zoneFichierTraite),$J182+offsetInitialFichierTraite,6)</f>
        <v>UNICA</v>
      </c>
      <c r="B182" s="5" t="str">
        <f ca="1">INDEX(INDIRECT(zoneFichierTraite),$J182+offsetInitialFichierTraite,4)</f>
        <v>OBAGP034-ECSD2-227</v>
      </c>
      <c r="C182" s="26" t="str">
        <f ca="1">INDEX(INDIRECT(zoneFichierTraite),$J182+offsetInitialFichierTraite,5)</f>
        <v>RABAT O BAG GLAM EN FAUX CUIR IMPRIME GEOMETRIC LILY</v>
      </c>
      <c r="D182" s="27" t="str">
        <f ca="1">INDEX(INDIRECT(zoneFichierTraite),$J182+offsetInitialFichierTraite,13)</f>
        <v>bianco/nero</v>
      </c>
      <c r="E182" s="30">
        <f ca="1">INDEX(INDIRECT(zoneFichierTraite),$J182+offsetInitialFichierTraite,7)</f>
        <v>1</v>
      </c>
      <c r="F182" s="28">
        <f ca="1">INDEX(INDIRECT(zoneFichierTraite),$J182+offsetInitialFichierTraite,8)</f>
        <v>15.56</v>
      </c>
      <c r="G182" s="29">
        <f t="shared" ref="G182:G245" ca="1" si="624">ROUNDUP(F182*3,0)</f>
        <v>47</v>
      </c>
      <c r="H182" s="31" t="str">
        <f ca="1">IF(ISNUMBER(N182),codeEAN13(INT(N182/10)),"")</f>
        <v>8APASOG*ajadhi+</v>
      </c>
      <c r="I182" s="1" t="b">
        <f t="shared" ref="I182:I245" ca="1" si="625">AND(A185&lt;&gt;0,A183=A185)</f>
        <v>0</v>
      </c>
      <c r="J182" s="15">
        <f t="shared" si="452"/>
        <v>87</v>
      </c>
      <c r="K182" s="1">
        <f t="shared" ref="K182:K245" ca="1" si="626">A183</f>
        <v>17</v>
      </c>
      <c r="L182" s="5" t="str">
        <f ca="1">INDEX(INDIRECT(zoneFichierTraite),$J182+offsetInitialFichierTraite,1)</f>
        <v>'087</v>
      </c>
      <c r="M182" s="11">
        <f ca="1">INDEX(INDIRECT(zoneFichierTraite),$J182+offsetInitialFichierTraite,9)</f>
        <v>15.56</v>
      </c>
      <c r="N182" s="14">
        <f ca="1">INDEX(INDIRECT(zoneFichierTraite),$J182+offsetInitialFichierTraite,3)</f>
        <v>8050846090378</v>
      </c>
      <c r="O182" s="14"/>
      <c r="P182" s="56">
        <f ca="1">MATCH(N182,INDIRECT(nomFichierEAN13Valmag &amp; "!A:A"),0)</f>
        <v>721</v>
      </c>
      <c r="R182" s="50" t="str">
        <f t="shared" ref="R182:R245" ca="1" si="627">LEFT(B182,14)</f>
        <v>OBAGP034-ECSD2</v>
      </c>
      <c r="S182" s="52">
        <f ca="1">MATCH($R182,INDIRECT(nomFichierEAN13ValmagUniq &amp; "!A:A"),0)</f>
        <v>144</v>
      </c>
      <c r="T182" s="49" t="str">
        <f ca="1">IFERROR(INDEX(INDIRECT(zoneFichierEAN13ValmagUniq),S182,2),"")</f>
        <v xml:space="preserve"> </v>
      </c>
      <c r="U182" s="52" t="e">
        <f ca="1">MATCH($R182,INDIRECT(nomFichierEAN13ValmagUniq &amp; "!A" &amp; (S182+1) &amp; ":A" &amp;  (S182+10)),0)</f>
        <v>#N/A</v>
      </c>
      <c r="V182" s="51" t="e">
        <f t="shared" ref="V182:V245" ca="1" si="628">U182+S182</f>
        <v>#N/A</v>
      </c>
      <c r="W182" s="49" t="str">
        <f ca="1">IFERROR(INDEX(INDIRECT(zoneFichierEAN13ValmagUniq),V182,2),"")</f>
        <v/>
      </c>
      <c r="X182" s="52" t="e">
        <f ca="1">MATCH($R182,INDIRECT(nomFichierEAN13ValmagUniq &amp; "!A" &amp; (V182+1) &amp; ":A" &amp;  (V182+10)),0)</f>
        <v>#N/A</v>
      </c>
      <c r="Y182" s="51" t="e">
        <f t="shared" ref="Y182:Y245" ca="1" si="629">X182+V182</f>
        <v>#N/A</v>
      </c>
      <c r="Z182" s="49" t="str">
        <f ca="1">IFERROR(INDEX(INDIRECT(zoneFichierEAN13ValmagUniq),Y182,2),"")</f>
        <v/>
      </c>
      <c r="AA182" s="53" t="str">
        <f t="shared" ref="AA182:AA245" ca="1" si="630">T182 &amp; IF(W182="","", " | " &amp; W182) &amp; IF(Z182="","", " | " &amp;Z182)</f>
        <v xml:space="preserve"> </v>
      </c>
      <c r="AC182" s="55">
        <f ca="1">MATCH(B182,INDIRECT(nomFichierFiltreCatalogue &amp; "!B:B"),0)</f>
        <v>487</v>
      </c>
      <c r="AD182" s="14"/>
    </row>
    <row r="183" spans="1:30" s="20" customFormat="1" ht="15.75" customHeight="1" x14ac:dyDescent="0.25">
      <c r="A183" s="25">
        <f ca="1">INDEX(INDIRECT(zoneFichierTraite),$J182+offsetInitialFichierTraite,2)</f>
        <v>17</v>
      </c>
      <c r="B183" s="57" t="str">
        <f ca="1">IF(ISERROR($P182),msgRefValmagAcreer,IF(INDEX(INDIRECT(zoneFichierEAN13Valmag),$P182,3) = "",msgCodeValmagVide, INDEX(INDIRECT(zoneFichierEAN13Valmag),$P182,3)))</f>
        <v xml:space="preserve"> </v>
      </c>
      <c r="C183" s="54" t="str">
        <f t="shared" ref="C183:C246" ca="1" si="631">AA182</f>
        <v xml:space="preserve"> </v>
      </c>
      <c r="D183" s="19" t="str">
        <f ca="1">IFERROR(INDEX(INDIRECT(zoneFichierEAN13Valmag),$P182,4),"")</f>
        <v xml:space="preserve"> </v>
      </c>
      <c r="E183" s="58" t="str">
        <f ca="1">IFERROR(INDEX(INDIRECT(zoneFichierFiltreCatalogue),AC182,3),"")</f>
        <v>p117-2-01</v>
      </c>
      <c r="F183" s="19"/>
      <c r="G183" s="18"/>
      <c r="H183" s="32" t="str">
        <f ca="1">IFERROR(INDEX(INDIRECT(zoneFichierFiltreCatalogue),AC182,6),"")</f>
        <v>fall 2019 presentation_/catalogo fall 19.txt</v>
      </c>
      <c r="S183" s="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</row>
    <row r="184" spans="1:30" ht="39" customHeight="1" thickBot="1" x14ac:dyDescent="0.65">
      <c r="A184" s="9" t="str">
        <f ca="1">INDEX(INDIRECT(zoneFichierTraite),$J184+offsetInitialFichierTraite,6)</f>
        <v>UNICA</v>
      </c>
      <c r="B184" s="5" t="str">
        <f ca="1">INDEX(INDIRECT(zoneFichierTraite),$J184+offsetInitialFichierTraite,4)</f>
        <v>OBAGP034-ECSD4-227</v>
      </c>
      <c r="C184" s="26" t="str">
        <f ca="1">INDEX(INDIRECT(zoneFichierTraite),$J184+offsetInitialFichierTraite,5)</f>
        <v>RABAT O BAG GLAM EN FAUX CUIR IMPRIME MARIGOLD 3D</v>
      </c>
      <c r="D184" s="27" t="str">
        <f ca="1">INDEX(INDIRECT(zoneFichierTraite),$J184+offsetInitialFichierTraite,13)</f>
        <v>bianco/nero</v>
      </c>
      <c r="E184" s="30">
        <f ca="1">INDEX(INDIRECT(zoneFichierTraite),$J184+offsetInitialFichierTraite,7)</f>
        <v>1</v>
      </c>
      <c r="F184" s="28">
        <f ca="1">INDEX(INDIRECT(zoneFichierTraite),$J184+offsetInitialFichierTraite,8)</f>
        <v>20</v>
      </c>
      <c r="G184" s="29">
        <f t="shared" ref="G184:G247" ca="1" si="632">ROUNDUP(F184*3,0)</f>
        <v>60</v>
      </c>
      <c r="H184" s="31" t="str">
        <f ca="1">IF(ISNUMBER(N184),codeEAN13(INT(N184/10)),"")</f>
        <v>8APASOG*ajaecc+</v>
      </c>
      <c r="I184" s="1" t="b">
        <f t="shared" ref="I184:I247" ca="1" si="633">AND(A187&lt;&gt;0,A185=A187)</f>
        <v>0</v>
      </c>
      <c r="J184" s="15">
        <f t="shared" si="452"/>
        <v>88</v>
      </c>
      <c r="K184" s="1">
        <f t="shared" ref="K184:K247" ca="1" si="634">A185</f>
        <v>47</v>
      </c>
      <c r="L184" s="5" t="str">
        <f ca="1">INDEX(INDIRECT(zoneFichierTraite),$J184+offsetInitialFichierTraite,1)</f>
        <v>'088</v>
      </c>
      <c r="M184" s="11">
        <f ca="1">INDEX(INDIRECT(zoneFichierTraite),$J184+offsetInitialFichierTraite,9)</f>
        <v>20</v>
      </c>
      <c r="N184" s="14">
        <f ca="1">INDEX(INDIRECT(zoneFichierTraite),$J184+offsetInitialFichierTraite,3)</f>
        <v>8050846090422</v>
      </c>
      <c r="O184" s="14"/>
      <c r="P184" s="56">
        <f ca="1">MATCH(N184,INDIRECT(nomFichierEAN13Valmag &amp; "!A:A"),0)</f>
        <v>726</v>
      </c>
      <c r="R184" s="50" t="str">
        <f t="shared" ref="R184:R247" ca="1" si="635">LEFT(B184,14)</f>
        <v>OBAGP034-ECSD4</v>
      </c>
      <c r="S184" s="52">
        <f ca="1">MATCH($R184,INDIRECT(nomFichierEAN13ValmagUniq &amp; "!A:A"),0)</f>
        <v>145</v>
      </c>
      <c r="T184" s="49" t="str">
        <f ca="1">IFERROR(INDEX(INDIRECT(zoneFichierEAN13ValmagUniq),S184,2),"")</f>
        <v xml:space="preserve"> </v>
      </c>
      <c r="U184" s="52" t="e">
        <f ca="1">MATCH($R184,INDIRECT(nomFichierEAN13ValmagUniq &amp; "!A" &amp; (S184+1) &amp; ":A" &amp;  (S184+10)),0)</f>
        <v>#N/A</v>
      </c>
      <c r="V184" s="51" t="e">
        <f t="shared" ref="V184:V247" ca="1" si="636">U184+S184</f>
        <v>#N/A</v>
      </c>
      <c r="W184" s="49" t="str">
        <f ca="1">IFERROR(INDEX(INDIRECT(zoneFichierEAN13ValmagUniq),V184,2),"")</f>
        <v/>
      </c>
      <c r="X184" s="52" t="e">
        <f ca="1">MATCH($R184,INDIRECT(nomFichierEAN13ValmagUniq &amp; "!A" &amp; (V184+1) &amp; ":A" &amp;  (V184+10)),0)</f>
        <v>#N/A</v>
      </c>
      <c r="Y184" s="51" t="e">
        <f t="shared" ref="Y184:Y247" ca="1" si="637">X184+V184</f>
        <v>#N/A</v>
      </c>
      <c r="Z184" s="49" t="str">
        <f ca="1">IFERROR(INDEX(INDIRECT(zoneFichierEAN13ValmagUniq),Y184,2),"")</f>
        <v/>
      </c>
      <c r="AA184" s="53" t="str">
        <f t="shared" ref="AA184:AA247" ca="1" si="638">T184 &amp; IF(W184="","", " | " &amp; W184) &amp; IF(Z184="","", " | " &amp;Z184)</f>
        <v xml:space="preserve"> </v>
      </c>
      <c r="AC184" s="55">
        <f ca="1">MATCH(B184,INDIRECT(nomFichierFiltreCatalogue &amp; "!B:B"),0)</f>
        <v>488</v>
      </c>
      <c r="AD184" s="14"/>
    </row>
    <row r="185" spans="1:30" s="20" customFormat="1" ht="15.75" customHeight="1" x14ac:dyDescent="0.25">
      <c r="A185" s="25">
        <f ca="1">INDEX(INDIRECT(zoneFichierTraite),$J184+offsetInitialFichierTraite,2)</f>
        <v>47</v>
      </c>
      <c r="B185" s="57" t="str">
        <f ca="1">IF(ISERROR($P184),msgRefValmagAcreer,IF(INDEX(INDIRECT(zoneFichierEAN13Valmag),$P184,3) = "",msgCodeValmagVide, INDEX(INDIRECT(zoneFichierEAN13Valmag),$P184,3)))</f>
        <v xml:space="preserve"> </v>
      </c>
      <c r="C185" s="54" t="str">
        <f t="shared" ref="C185:C248" ca="1" si="639">AA184</f>
        <v xml:space="preserve"> </v>
      </c>
      <c r="D185" s="19" t="str">
        <f ca="1">IFERROR(INDEX(INDIRECT(zoneFichierEAN13Valmag),$P184,4),"")</f>
        <v xml:space="preserve"> </v>
      </c>
      <c r="E185" s="58" t="str">
        <f ca="1">IFERROR(INDEX(INDIRECT(zoneFichierFiltreCatalogue),AC184,3),"")</f>
        <v>p118-1-01</v>
      </c>
      <c r="F185" s="19"/>
      <c r="G185" s="18"/>
      <c r="H185" s="32" t="str">
        <f ca="1">IFERROR(INDEX(INDIRECT(zoneFichierFiltreCatalogue),AC184,6),"")</f>
        <v>fall 2019 presentation_/catalogo fall 19.txt</v>
      </c>
      <c r="S185" s="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</row>
    <row r="186" spans="1:30" ht="39" customHeight="1" thickBot="1" x14ac:dyDescent="0.65">
      <c r="A186" s="9" t="str">
        <f ca="1">INDEX(INDIRECT(zoneFichierTraite),$J186+offsetInitialFichierTraite,6)</f>
        <v>UNICA</v>
      </c>
      <c r="B186" s="5" t="str">
        <f ca="1">INDEX(INDIRECT(zoneFichierTraite),$J186+offsetInitialFichierTraite,4)</f>
        <v>OBAGP106-ECSC4-227</v>
      </c>
      <c r="C186" s="26" t="str">
        <f ca="1">INDEX(INDIRECT(zoneFichierTraite),$J186+offsetInitialFichierTraite,5)</f>
        <v>RABAT AVEC BANDEAU O POCKET EN FAUX CUIR EFFET GRIFFE + CLOUS</v>
      </c>
      <c r="D186" s="27" t="str">
        <f ca="1">INDEX(INDIRECT(zoneFichierTraite),$J186+offsetInitialFichierTraite,13)</f>
        <v>bianco/nero</v>
      </c>
      <c r="E186" s="30">
        <f ca="1">INDEX(INDIRECT(zoneFichierTraite),$J186+offsetInitialFichierTraite,7)</f>
        <v>2</v>
      </c>
      <c r="F186" s="28">
        <f ca="1">INDEX(INDIRECT(zoneFichierTraite),$J186+offsetInitialFichierTraite,8)</f>
        <v>15.56</v>
      </c>
      <c r="G186" s="29">
        <f t="shared" ref="G186:G249" ca="1" si="640">ROUNDUP(F186*3,0)</f>
        <v>47</v>
      </c>
      <c r="H186" s="31" t="str">
        <f ca="1">IF(ISNUMBER(N186),codeEAN13(INT(N186/10)),"")</f>
        <v>8APASOG*ajcaca+</v>
      </c>
      <c r="I186" s="1" t="b">
        <f t="shared" ref="I186:I249" ca="1" si="641">AND(A189&lt;&gt;0,A187=A189)</f>
        <v>0</v>
      </c>
      <c r="J186" s="15">
        <f t="shared" si="452"/>
        <v>89</v>
      </c>
      <c r="K186" s="1">
        <f t="shared" ref="K186:K249" ca="1" si="642">A187</f>
        <v>69</v>
      </c>
      <c r="L186" s="5" t="str">
        <f ca="1">INDEX(INDIRECT(zoneFichierTraite),$J186+offsetInitialFichierTraite,1)</f>
        <v>'089</v>
      </c>
      <c r="M186" s="11">
        <f ca="1">INDEX(INDIRECT(zoneFichierTraite),$J186+offsetInitialFichierTraite,9)</f>
        <v>31.12</v>
      </c>
      <c r="N186" s="14">
        <f ca="1">INDEX(INDIRECT(zoneFichierTraite),$J186+offsetInitialFichierTraite,3)</f>
        <v>8050846092020</v>
      </c>
      <c r="O186" s="14"/>
      <c r="P186" s="56">
        <f ca="1">MATCH(N186,INDIRECT(nomFichierEAN13Valmag &amp; "!A:A"),0)</f>
        <v>856</v>
      </c>
      <c r="R186" s="50" t="str">
        <f t="shared" ref="R186:R249" ca="1" si="643">LEFT(B186,14)</f>
        <v>OBAGP106-ECSC4</v>
      </c>
      <c r="S186" s="52">
        <f ca="1">MATCH($R186,INDIRECT(nomFichierEAN13ValmagUniq &amp; "!A:A"),0)</f>
        <v>146</v>
      </c>
      <c r="T186" s="49" t="str">
        <f ca="1">IFERROR(INDEX(INDIRECT(zoneFichierEAN13ValmagUniq),S186,2),"")</f>
        <v xml:space="preserve"> </v>
      </c>
      <c r="U186" s="52" t="e">
        <f ca="1">MATCH($R186,INDIRECT(nomFichierEAN13ValmagUniq &amp; "!A" &amp; (S186+1) &amp; ":A" &amp;  (S186+10)),0)</f>
        <v>#N/A</v>
      </c>
      <c r="V186" s="51" t="e">
        <f t="shared" ref="V186:V249" ca="1" si="644">U186+S186</f>
        <v>#N/A</v>
      </c>
      <c r="W186" s="49" t="str">
        <f ca="1">IFERROR(INDEX(INDIRECT(zoneFichierEAN13ValmagUniq),V186,2),"")</f>
        <v/>
      </c>
      <c r="X186" s="52" t="e">
        <f ca="1">MATCH($R186,INDIRECT(nomFichierEAN13ValmagUniq &amp; "!A" &amp; (V186+1) &amp; ":A" &amp;  (V186+10)),0)</f>
        <v>#N/A</v>
      </c>
      <c r="Y186" s="51" t="e">
        <f t="shared" ref="Y186:Y249" ca="1" si="645">X186+V186</f>
        <v>#N/A</v>
      </c>
      <c r="Z186" s="49" t="str">
        <f ca="1">IFERROR(INDEX(INDIRECT(zoneFichierEAN13ValmagUniq),Y186,2),"")</f>
        <v/>
      </c>
      <c r="AA186" s="53" t="str">
        <f t="shared" ref="AA186:AA249" ca="1" si="646">T186 &amp; IF(W186="","", " | " &amp; W186) &amp; IF(Z186="","", " | " &amp;Z186)</f>
        <v xml:space="preserve"> </v>
      </c>
      <c r="AC186" s="55">
        <f ca="1">MATCH(B186,INDIRECT(nomFichierFiltreCatalogue &amp; "!B:B"),0)</f>
        <v>467</v>
      </c>
      <c r="AD186" s="14"/>
    </row>
    <row r="187" spans="1:30" s="20" customFormat="1" ht="15.75" customHeight="1" x14ac:dyDescent="0.25">
      <c r="A187" s="25">
        <f ca="1">INDEX(INDIRECT(zoneFichierTraite),$J186+offsetInitialFichierTraite,2)</f>
        <v>69</v>
      </c>
      <c r="B187" s="57" t="str">
        <f ca="1">IF(ISERROR($P186),msgRefValmagAcreer,IF(INDEX(INDIRECT(zoneFichierEAN13Valmag),$P186,3) = "",msgCodeValmagVide, INDEX(INDIRECT(zoneFichierEAN13Valmag),$P186,3)))</f>
        <v xml:space="preserve"> </v>
      </c>
      <c r="C187" s="54" t="str">
        <f t="shared" ref="C187:C250" ca="1" si="647">AA186</f>
        <v xml:space="preserve"> </v>
      </c>
      <c r="D187" s="19" t="str">
        <f ca="1">IFERROR(INDEX(INDIRECT(zoneFichierEAN13Valmag),$P186,4),"")</f>
        <v xml:space="preserve"> </v>
      </c>
      <c r="E187" s="58" t="str">
        <f ca="1">IFERROR(INDEX(INDIRECT(zoneFichierFiltreCatalogue),AC186,3),"")</f>
        <v>p113-1-01</v>
      </c>
      <c r="F187" s="19"/>
      <c r="G187" s="18"/>
      <c r="H187" s="32" t="str">
        <f ca="1">IFERROR(INDEX(INDIRECT(zoneFichierFiltreCatalogue),AC186,6),"")</f>
        <v>fall 2019 presentation_/catalogo fall 19.txt</v>
      </c>
      <c r="S187" s="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</row>
    <row r="188" spans="1:30" ht="39" customHeight="1" thickBot="1" x14ac:dyDescent="0.65">
      <c r="A188" s="9" t="str">
        <f ca="1">INDEX(INDIRECT(zoneFichierTraite),$J188+offsetInitialFichierTraite,6)</f>
        <v>UNICA</v>
      </c>
      <c r="B188" s="5" t="str">
        <f ca="1">INDEX(INDIRECT(zoneFichierTraite),$J188+offsetInitialFichierTraite,4)</f>
        <v>OBAGP134-ECSC4-227</v>
      </c>
      <c r="C188" s="26" t="str">
        <f ca="1">INDEX(INDIRECT(zoneFichierTraite),$J188+offsetInitialFichierTraite,5)</f>
        <v>RABAT AVEC BANDEAU O BAG GLAM EN FAUX CUIR EFFET GRIFFE + CLOUS</v>
      </c>
      <c r="D188" s="27" t="str">
        <f ca="1">INDEX(INDIRECT(zoneFichierTraite),$J188+offsetInitialFichierTraite,13)</f>
        <v>bianco/nero</v>
      </c>
      <c r="E188" s="30">
        <f ca="1">INDEX(INDIRECT(zoneFichierTraite),$J188+offsetInitialFichierTraite,7)</f>
        <v>2</v>
      </c>
      <c r="F188" s="28">
        <f ca="1">INDEX(INDIRECT(zoneFichierTraite),$J188+offsetInitialFichierTraite,8)</f>
        <v>20</v>
      </c>
      <c r="G188" s="29">
        <f t="shared" ref="G188:G251" ca="1" si="648">ROUNDUP(F188*3,0)</f>
        <v>60</v>
      </c>
      <c r="H188" s="31" t="str">
        <f ca="1">IF(ISNUMBER(N188),codeEAN13(INT(N188/10)),"")</f>
        <v>8APASOG*ajaega+</v>
      </c>
      <c r="I188" s="1" t="b">
        <f t="shared" ref="I188:I251" ca="1" si="649">AND(A191&lt;&gt;0,A189=A191)</f>
        <v>0</v>
      </c>
      <c r="J188" s="15">
        <f t="shared" si="452"/>
        <v>90</v>
      </c>
      <c r="K188" s="1">
        <f t="shared" ref="K188:K251" ca="1" si="650">A189</f>
        <v>137</v>
      </c>
      <c r="L188" s="5" t="str">
        <f ca="1">INDEX(INDIRECT(zoneFichierTraite),$J188+offsetInitialFichierTraite,1)</f>
        <v>'090</v>
      </c>
      <c r="M188" s="11">
        <f ca="1">INDEX(INDIRECT(zoneFichierTraite),$J188+offsetInitialFichierTraite,9)</f>
        <v>40</v>
      </c>
      <c r="N188" s="14">
        <f ca="1">INDEX(INDIRECT(zoneFichierTraite),$J188+offsetInitialFichierTraite,3)</f>
        <v>8050846090460</v>
      </c>
      <c r="O188" s="14"/>
      <c r="P188" s="56">
        <f ca="1">MATCH(N188,INDIRECT(nomFichierEAN13Valmag &amp; "!A:A"),0)</f>
        <v>730</v>
      </c>
      <c r="R188" s="50" t="str">
        <f t="shared" ref="R188:R251" ca="1" si="651">LEFT(B188,14)</f>
        <v>OBAGP134-ECSC4</v>
      </c>
      <c r="S188" s="52">
        <f ca="1">MATCH($R188,INDIRECT(nomFichierEAN13ValmagUniq &amp; "!A:A"),0)</f>
        <v>147</v>
      </c>
      <c r="T188" s="49" t="str">
        <f ca="1">IFERROR(INDEX(INDIRECT(zoneFichierEAN13ValmagUniq),S188,2),"")</f>
        <v xml:space="preserve"> </v>
      </c>
      <c r="U188" s="52" t="e">
        <f ca="1">MATCH($R188,INDIRECT(nomFichierEAN13ValmagUniq &amp; "!A" &amp; (S188+1) &amp; ":A" &amp;  (S188+10)),0)</f>
        <v>#N/A</v>
      </c>
      <c r="V188" s="51" t="e">
        <f t="shared" ref="V188:V251" ca="1" si="652">U188+S188</f>
        <v>#N/A</v>
      </c>
      <c r="W188" s="49" t="str">
        <f ca="1">IFERROR(INDEX(INDIRECT(zoneFichierEAN13ValmagUniq),V188,2),"")</f>
        <v/>
      </c>
      <c r="X188" s="52" t="e">
        <f ca="1">MATCH($R188,INDIRECT(nomFichierEAN13ValmagUniq &amp; "!A" &amp; (V188+1) &amp; ":A" &amp;  (V188+10)),0)</f>
        <v>#N/A</v>
      </c>
      <c r="Y188" s="51" t="e">
        <f t="shared" ref="Y188:Y251" ca="1" si="653">X188+V188</f>
        <v>#N/A</v>
      </c>
      <c r="Z188" s="49" t="str">
        <f ca="1">IFERROR(INDEX(INDIRECT(zoneFichierEAN13ValmagUniq),Y188,2),"")</f>
        <v/>
      </c>
      <c r="AA188" s="53" t="str">
        <f t="shared" ref="AA188:AA251" ca="1" si="654">T188 &amp; IF(W188="","", " | " &amp; W188) &amp; IF(Z188="","", " | " &amp;Z188)</f>
        <v xml:space="preserve"> </v>
      </c>
      <c r="AC188" s="55">
        <f ca="1">MATCH(B188,INDIRECT(nomFichierFiltreCatalogue &amp; "!B:B"),0)</f>
        <v>489</v>
      </c>
      <c r="AD188" s="14"/>
    </row>
    <row r="189" spans="1:30" s="20" customFormat="1" ht="15.75" customHeight="1" x14ac:dyDescent="0.25">
      <c r="A189" s="25">
        <f ca="1">INDEX(INDIRECT(zoneFichierTraite),$J188+offsetInitialFichierTraite,2)</f>
        <v>137</v>
      </c>
      <c r="B189" s="57" t="str">
        <f ca="1">IF(ISERROR($P188),msgRefValmagAcreer,IF(INDEX(INDIRECT(zoneFichierEAN13Valmag),$P188,3) = "",msgCodeValmagVide, INDEX(INDIRECT(zoneFichierEAN13Valmag),$P188,3)))</f>
        <v xml:space="preserve"> </v>
      </c>
      <c r="C189" s="54" t="str">
        <f t="shared" ref="C189:C252" ca="1" si="655">AA188</f>
        <v xml:space="preserve"> </v>
      </c>
      <c r="D189" s="19" t="str">
        <f ca="1">IFERROR(INDEX(INDIRECT(zoneFichierEAN13Valmag),$P188,4),"")</f>
        <v xml:space="preserve"> </v>
      </c>
      <c r="E189" s="58" t="str">
        <f ca="1">IFERROR(INDEX(INDIRECT(zoneFichierFiltreCatalogue),AC188,3),"")</f>
        <v>p118-2-01</v>
      </c>
      <c r="F189" s="19"/>
      <c r="G189" s="18"/>
      <c r="H189" s="32" t="str">
        <f ca="1">IFERROR(INDEX(INDIRECT(zoneFichierFiltreCatalogue),AC188,6),"")</f>
        <v>fall 2019 presentation_/catalogo fall 19.txt</v>
      </c>
      <c r="S189" s="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</row>
    <row r="190" spans="1:30" ht="39" customHeight="1" thickBot="1" x14ac:dyDescent="0.65">
      <c r="A190" s="9" t="str">
        <f ca="1">INDEX(INDIRECT(zoneFichierTraite),$J190+offsetInitialFichierTraite,6)</f>
        <v>UNICA</v>
      </c>
      <c r="B190" s="5" t="str">
        <f ca="1">INDEX(INDIRECT(zoneFichierTraite),$J190+offsetInitialFichierTraite,4)</f>
        <v>OBAGP206-ECS03-067</v>
      </c>
      <c r="C190" s="26" t="str">
        <f ca="1">INDEX(INDIRECT(zoneFichierTraite),$J190+offsetInitialFichierTraite,5)</f>
        <v>RABAT AVEC BOUCLE O POCKET EN FAUX CUIR SUÃˆDE</v>
      </c>
      <c r="D190" s="27" t="str">
        <f ca="1">INDEX(INDIRECT(zoneFichierTraite),$J190+offsetInitialFichierTraite,13)</f>
        <v>phard</v>
      </c>
      <c r="E190" s="30">
        <f ca="1">INDEX(INDIRECT(zoneFichierTraite),$J190+offsetInitialFichierTraite,7)</f>
        <v>2</v>
      </c>
      <c r="F190" s="28">
        <f ca="1">INDEX(INDIRECT(zoneFichierTraite),$J190+offsetInitialFichierTraite,8)</f>
        <v>12.59</v>
      </c>
      <c r="G190" s="29">
        <f t="shared" ref="G190:G253" ca="1" si="656">ROUNDUP(F190*3,0)</f>
        <v>38</v>
      </c>
      <c r="H190" s="31" t="str">
        <f ca="1">IF(ISNUMBER(N190),codeEAN13(INT(N190/10)),"")</f>
        <v>8APASOG*ajcagi+</v>
      </c>
      <c r="I190" s="1" t="b">
        <f t="shared" ref="I190:I253" ca="1" si="657">AND(A193&lt;&gt;0,A191=A193)</f>
        <v>0</v>
      </c>
      <c r="J190" s="15">
        <f t="shared" si="452"/>
        <v>91</v>
      </c>
      <c r="K190" s="1">
        <f t="shared" ref="K190:K253" ca="1" si="658">A191</f>
        <v>42</v>
      </c>
      <c r="L190" s="5" t="str">
        <f ca="1">INDEX(INDIRECT(zoneFichierTraite),$J190+offsetInitialFichierTraite,1)</f>
        <v>'091</v>
      </c>
      <c r="M190" s="11">
        <f ca="1">INDEX(INDIRECT(zoneFichierTraite),$J190+offsetInitialFichierTraite,9)</f>
        <v>25.18</v>
      </c>
      <c r="N190" s="14">
        <f ca="1">INDEX(INDIRECT(zoneFichierTraite),$J190+offsetInitialFichierTraite,3)</f>
        <v>8050846092068</v>
      </c>
      <c r="O190" s="14"/>
      <c r="P190" s="56">
        <f ca="1">MATCH(N190,INDIRECT(nomFichierEAN13Valmag &amp; "!A:A"),0)</f>
        <v>860</v>
      </c>
      <c r="R190" s="50" t="str">
        <f t="shared" ref="R190:R253" ca="1" si="659">LEFT(B190,14)</f>
        <v>OBAGP206-ECS03</v>
      </c>
      <c r="S190" s="52">
        <f ca="1">MATCH($R190,INDIRECT(nomFichierEAN13ValmagUniq &amp; "!A:A"),0)</f>
        <v>148</v>
      </c>
      <c r="T190" s="49" t="str">
        <f ca="1">IFERROR(INDEX(INDIRECT(zoneFichierEAN13ValmagUniq),S190,2),"")</f>
        <v xml:space="preserve"> </v>
      </c>
      <c r="U190" s="52" t="e">
        <f ca="1">MATCH($R190,INDIRECT(nomFichierEAN13ValmagUniq &amp; "!A" &amp; (S190+1) &amp; ":A" &amp;  (S190+10)),0)</f>
        <v>#N/A</v>
      </c>
      <c r="V190" s="51" t="e">
        <f t="shared" ref="V190:V253" ca="1" si="660">U190+S190</f>
        <v>#N/A</v>
      </c>
      <c r="W190" s="49" t="str">
        <f ca="1">IFERROR(INDEX(INDIRECT(zoneFichierEAN13ValmagUniq),V190,2),"")</f>
        <v/>
      </c>
      <c r="X190" s="52" t="e">
        <f ca="1">MATCH($R190,INDIRECT(nomFichierEAN13ValmagUniq &amp; "!A" &amp; (V190+1) &amp; ":A" &amp;  (V190+10)),0)</f>
        <v>#N/A</v>
      </c>
      <c r="Y190" s="51" t="e">
        <f t="shared" ref="Y190:Y253" ca="1" si="661">X190+V190</f>
        <v>#N/A</v>
      </c>
      <c r="Z190" s="49" t="str">
        <f ca="1">IFERROR(INDEX(INDIRECT(zoneFichierEAN13ValmagUniq),Y190,2),"")</f>
        <v/>
      </c>
      <c r="AA190" s="53" t="str">
        <f t="shared" ref="AA190:AA253" ca="1" si="662">T190 &amp; IF(W190="","", " | " &amp; W190) &amp; IF(Z190="","", " | " &amp;Z190)</f>
        <v xml:space="preserve"> </v>
      </c>
      <c r="AC190" s="55">
        <f ca="1">MATCH(B190,INDIRECT(nomFichierFiltreCatalogue &amp; "!B:B"),0)</f>
        <v>470</v>
      </c>
      <c r="AD190" s="14"/>
    </row>
    <row r="191" spans="1:30" s="20" customFormat="1" ht="15.75" customHeight="1" x14ac:dyDescent="0.25">
      <c r="A191" s="25">
        <f ca="1">INDEX(INDIRECT(zoneFichierTraite),$J190+offsetInitialFichierTraite,2)</f>
        <v>42</v>
      </c>
      <c r="B191" s="57" t="str">
        <f ca="1">IF(ISERROR($P190),msgRefValmagAcreer,IF(INDEX(INDIRECT(zoneFichierEAN13Valmag),$P190,3) = "",msgCodeValmagVide, INDEX(INDIRECT(zoneFichierEAN13Valmag),$P190,3)))</f>
        <v xml:space="preserve"> </v>
      </c>
      <c r="C191" s="54" t="str">
        <f t="shared" ref="C191:C254" ca="1" si="663">AA190</f>
        <v xml:space="preserve"> </v>
      </c>
      <c r="D191" s="19" t="str">
        <f ca="1">IFERROR(INDEX(INDIRECT(zoneFichierEAN13Valmag),$P190,4),"")</f>
        <v xml:space="preserve"> </v>
      </c>
      <c r="E191" s="58" t="str">
        <f ca="1">IFERROR(INDEX(INDIRECT(zoneFichierFiltreCatalogue),AC190,3),"")</f>
        <v>p114-1-01</v>
      </c>
      <c r="F191" s="19"/>
      <c r="G191" s="18"/>
      <c r="H191" s="32" t="str">
        <f ca="1">IFERROR(INDEX(INDIRECT(zoneFichierFiltreCatalogue),AC190,6),"")</f>
        <v>fall 2019 presentation_/catalogo fall 19.txt</v>
      </c>
      <c r="S191" s="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</row>
    <row r="192" spans="1:30" ht="39" customHeight="1" thickBot="1" x14ac:dyDescent="0.65">
      <c r="A192" s="9" t="str">
        <f ca="1">INDEX(INDIRECT(zoneFichierTraite),$J192+offsetInitialFichierTraite,6)</f>
        <v>UNICA</v>
      </c>
      <c r="B192" s="5" t="str">
        <f ca="1">INDEX(INDIRECT(zoneFichierTraite),$J192+offsetInitialFichierTraite,4)</f>
        <v>OBAGP206-ECS03-615</v>
      </c>
      <c r="C192" s="26" t="str">
        <f ca="1">INDEX(INDIRECT(zoneFichierTraite),$J192+offsetInitialFichierTraite,5)</f>
        <v>RABAT AVEC BOUCLE O POCKET EN FAUX CUIR SUÃˆDE</v>
      </c>
      <c r="D192" s="27" t="str">
        <f ca="1">INDEX(INDIRECT(zoneFichierTraite),$J192+offsetInitialFichierTraite,13)</f>
        <v>military</v>
      </c>
      <c r="E192" s="30">
        <f ca="1">INDEX(INDIRECT(zoneFichierTraite),$J192+offsetInitialFichierTraite,7)</f>
        <v>2</v>
      </c>
      <c r="F192" s="28">
        <f ca="1">INDEX(INDIRECT(zoneFichierTraite),$J192+offsetInitialFichierTraite,8)</f>
        <v>12.59</v>
      </c>
      <c r="G192" s="29">
        <f t="shared" ref="G192:G255" ca="1" si="664">ROUNDUP(F192*3,0)</f>
        <v>38</v>
      </c>
      <c r="H192" s="31" t="str">
        <f ca="1">IF(ISNUMBER(N192),codeEAN13(INT(N192/10)),"")</f>
        <v>8APASOG*ajcafb+</v>
      </c>
      <c r="I192" s="1" t="b">
        <f t="shared" ref="I192:I255" ca="1" si="665">AND(A195&lt;&gt;0,A193=A195)</f>
        <v>0</v>
      </c>
      <c r="J192" s="15">
        <f t="shared" si="452"/>
        <v>92</v>
      </c>
      <c r="K192" s="1">
        <f t="shared" ref="K192:K255" ca="1" si="666">A193</f>
        <v>66</v>
      </c>
      <c r="L192" s="5" t="str">
        <f ca="1">INDEX(INDIRECT(zoneFichierTraite),$J192+offsetInitialFichierTraite,1)</f>
        <v>'092</v>
      </c>
      <c r="M192" s="11">
        <f ca="1">INDEX(INDIRECT(zoneFichierTraite),$J192+offsetInitialFichierTraite,9)</f>
        <v>25.18</v>
      </c>
      <c r="N192" s="14">
        <f ca="1">INDEX(INDIRECT(zoneFichierTraite),$J192+offsetInitialFichierTraite,3)</f>
        <v>8050846092051</v>
      </c>
      <c r="O192" s="14"/>
      <c r="P192" s="56">
        <f ca="1">MATCH(N192,INDIRECT(nomFichierEAN13Valmag &amp; "!A:A"),0)</f>
        <v>859</v>
      </c>
      <c r="R192" s="50" t="str">
        <f t="shared" ref="R192:R255" ca="1" si="667">LEFT(B192,14)</f>
        <v>OBAGP206-ECS03</v>
      </c>
      <c r="S192" s="52">
        <f ca="1">MATCH($R192,INDIRECT(nomFichierEAN13ValmagUniq &amp; "!A:A"),0)</f>
        <v>148</v>
      </c>
      <c r="T192" s="49" t="str">
        <f ca="1">IFERROR(INDEX(INDIRECT(zoneFichierEAN13ValmagUniq),S192,2),"")</f>
        <v xml:space="preserve"> </v>
      </c>
      <c r="U192" s="52" t="e">
        <f ca="1">MATCH($R192,INDIRECT(nomFichierEAN13ValmagUniq &amp; "!A" &amp; (S192+1) &amp; ":A" &amp;  (S192+10)),0)</f>
        <v>#N/A</v>
      </c>
      <c r="V192" s="51" t="e">
        <f t="shared" ref="V192:V255" ca="1" si="668">U192+S192</f>
        <v>#N/A</v>
      </c>
      <c r="W192" s="49" t="str">
        <f ca="1">IFERROR(INDEX(INDIRECT(zoneFichierEAN13ValmagUniq),V192,2),"")</f>
        <v/>
      </c>
      <c r="X192" s="52" t="e">
        <f ca="1">MATCH($R192,INDIRECT(nomFichierEAN13ValmagUniq &amp; "!A" &amp; (V192+1) &amp; ":A" &amp;  (V192+10)),0)</f>
        <v>#N/A</v>
      </c>
      <c r="Y192" s="51" t="e">
        <f t="shared" ref="Y192:Y255" ca="1" si="669">X192+V192</f>
        <v>#N/A</v>
      </c>
      <c r="Z192" s="49" t="str">
        <f ca="1">IFERROR(INDEX(INDIRECT(zoneFichierEAN13ValmagUniq),Y192,2),"")</f>
        <v/>
      </c>
      <c r="AA192" s="53" t="str">
        <f t="shared" ref="AA192:AA255" ca="1" si="670">T192 &amp; IF(W192="","", " | " &amp; W192) &amp; IF(Z192="","", " | " &amp;Z192)</f>
        <v xml:space="preserve"> </v>
      </c>
      <c r="AC192" s="55">
        <f ca="1">MATCH(B192,INDIRECT(nomFichierFiltreCatalogue &amp; "!B:B"),0)</f>
        <v>471</v>
      </c>
      <c r="AD192" s="14"/>
    </row>
    <row r="193" spans="1:30" s="20" customFormat="1" ht="15.75" customHeight="1" x14ac:dyDescent="0.25">
      <c r="A193" s="25">
        <f ca="1">INDEX(INDIRECT(zoneFichierTraite),$J192+offsetInitialFichierTraite,2)</f>
        <v>66</v>
      </c>
      <c r="B193" s="57" t="str">
        <f ca="1">IF(ISERROR($P192),msgRefValmagAcreer,IF(INDEX(INDIRECT(zoneFichierEAN13Valmag),$P192,3) = "",msgCodeValmagVide, INDEX(INDIRECT(zoneFichierEAN13Valmag),$P192,3)))</f>
        <v xml:space="preserve"> </v>
      </c>
      <c r="C193" s="54" t="str">
        <f t="shared" ref="C193:C256" ca="1" si="671">AA192</f>
        <v xml:space="preserve"> </v>
      </c>
      <c r="D193" s="19" t="str">
        <f ca="1">IFERROR(INDEX(INDIRECT(zoneFichierEAN13Valmag),$P192,4),"")</f>
        <v xml:space="preserve"> </v>
      </c>
      <c r="E193" s="58" t="str">
        <f ca="1">IFERROR(INDEX(INDIRECT(zoneFichierFiltreCatalogue),AC192,3),"")</f>
        <v>p114-1-02</v>
      </c>
      <c r="F193" s="19"/>
      <c r="G193" s="18"/>
      <c r="H193" s="32" t="str">
        <f ca="1">IFERROR(INDEX(INDIRECT(zoneFichierFiltreCatalogue),AC192,6),"")</f>
        <v>fall 2019 presentation_/catalogo fall 19.txt</v>
      </c>
      <c r="S193" s="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</row>
    <row r="194" spans="1:30" ht="39" customHeight="1" thickBot="1" x14ac:dyDescent="0.65">
      <c r="A194" s="9" t="str">
        <f ca="1">INDEX(INDIRECT(zoneFichierTraite),$J194+offsetInitialFichierTraite,6)</f>
        <v>UNICA</v>
      </c>
      <c r="B194" s="5" t="str">
        <f ca="1">INDEX(INDIRECT(zoneFichierTraite),$J194+offsetInitialFichierTraite,4)</f>
        <v>OBAGP206-ECS29-017</v>
      </c>
      <c r="C194" s="26" t="str">
        <f ca="1">INDEX(INDIRECT(zoneFichierTraite),$J194+offsetInitialFichierTraite,5)</f>
        <v>RABAT AVEC BOUCLE O POCKET EN FAUX CUIR IMPRIME COCO</v>
      </c>
      <c r="D194" s="27" t="str">
        <f ca="1">INDEX(INDIRECT(zoneFichierTraite),$J194+offsetInitialFichierTraite,13)</f>
        <v>blu navy</v>
      </c>
      <c r="E194" s="30">
        <f ca="1">INDEX(INDIRECT(zoneFichierTraite),$J194+offsetInitialFichierTraite,7)</f>
        <v>2</v>
      </c>
      <c r="F194" s="28">
        <f ca="1">INDEX(INDIRECT(zoneFichierTraite),$J194+offsetInitialFichierTraite,8)</f>
        <v>13.33</v>
      </c>
      <c r="G194" s="29">
        <f t="shared" ref="G194:G257" ca="1" si="672">ROUNDUP(F194*3,0)</f>
        <v>40</v>
      </c>
      <c r="H194" s="31" t="str">
        <f ca="1">IF(ISNUMBER(N194),codeEAN13(INT(N194/10)),"")</f>
        <v>8APASOG*ajcadh+</v>
      </c>
      <c r="I194" s="1" t="b">
        <f t="shared" ref="I194:I257" ca="1" si="673">AND(A197&lt;&gt;0,A195=A197)</f>
        <v>0</v>
      </c>
      <c r="J194" s="15">
        <f t="shared" si="452"/>
        <v>93</v>
      </c>
      <c r="K194" s="1">
        <f t="shared" ref="K194:K257" ca="1" si="674">A195</f>
        <v>26</v>
      </c>
      <c r="L194" s="5" t="str">
        <f ca="1">INDEX(INDIRECT(zoneFichierTraite),$J194+offsetInitialFichierTraite,1)</f>
        <v>'093</v>
      </c>
      <c r="M194" s="11">
        <f ca="1">INDEX(INDIRECT(zoneFichierTraite),$J194+offsetInitialFichierTraite,9)</f>
        <v>26.66</v>
      </c>
      <c r="N194" s="14">
        <f ca="1">INDEX(INDIRECT(zoneFichierTraite),$J194+offsetInitialFichierTraite,3)</f>
        <v>8050846092037</v>
      </c>
      <c r="O194" s="14"/>
      <c r="P194" s="56">
        <f ca="1">MATCH(N194,INDIRECT(nomFichierEAN13Valmag &amp; "!A:A"),0)</f>
        <v>857</v>
      </c>
      <c r="R194" s="50" t="str">
        <f t="shared" ref="R194:R257" ca="1" si="675">LEFT(B194,14)</f>
        <v>OBAGP206-ECS29</v>
      </c>
      <c r="S194" s="52">
        <f ca="1">MATCH($R194,INDIRECT(nomFichierEAN13ValmagUniq &amp; "!A:A"),0)</f>
        <v>149</v>
      </c>
      <c r="T194" s="49" t="str">
        <f ca="1">IFERROR(INDEX(INDIRECT(zoneFichierEAN13ValmagUniq),S194,2),"")</f>
        <v xml:space="preserve"> </v>
      </c>
      <c r="U194" s="52" t="e">
        <f ca="1">MATCH($R194,INDIRECT(nomFichierEAN13ValmagUniq &amp; "!A" &amp; (S194+1) &amp; ":A" &amp;  (S194+10)),0)</f>
        <v>#N/A</v>
      </c>
      <c r="V194" s="51" t="e">
        <f t="shared" ref="V194:V257" ca="1" si="676">U194+S194</f>
        <v>#N/A</v>
      </c>
      <c r="W194" s="49" t="str">
        <f ca="1">IFERROR(INDEX(INDIRECT(zoneFichierEAN13ValmagUniq),V194,2),"")</f>
        <v/>
      </c>
      <c r="X194" s="52" t="e">
        <f ca="1">MATCH($R194,INDIRECT(nomFichierEAN13ValmagUniq &amp; "!A" &amp; (V194+1) &amp; ":A" &amp;  (V194+10)),0)</f>
        <v>#N/A</v>
      </c>
      <c r="Y194" s="51" t="e">
        <f t="shared" ref="Y194:Y257" ca="1" si="677">X194+V194</f>
        <v>#N/A</v>
      </c>
      <c r="Z194" s="49" t="str">
        <f ca="1">IFERROR(INDEX(INDIRECT(zoneFichierEAN13ValmagUniq),Y194,2),"")</f>
        <v/>
      </c>
      <c r="AA194" s="53" t="str">
        <f t="shared" ref="AA194:AA257" ca="1" si="678">T194 &amp; IF(W194="","", " | " &amp; W194) &amp; IF(Z194="","", " | " &amp;Z194)</f>
        <v xml:space="preserve"> </v>
      </c>
      <c r="AC194" s="55">
        <f ca="1">MATCH(B194,INDIRECT(nomFichierFiltreCatalogue &amp; "!B:B"),0)</f>
        <v>472</v>
      </c>
      <c r="AD194" s="14"/>
    </row>
    <row r="195" spans="1:30" s="20" customFormat="1" ht="15.75" customHeight="1" x14ac:dyDescent="0.25">
      <c r="A195" s="25">
        <f ca="1">INDEX(INDIRECT(zoneFichierTraite),$J194+offsetInitialFichierTraite,2)</f>
        <v>26</v>
      </c>
      <c r="B195" s="57" t="str">
        <f ca="1">IF(ISERROR($P194),msgRefValmagAcreer,IF(INDEX(INDIRECT(zoneFichierEAN13Valmag),$P194,3) = "",msgCodeValmagVide, INDEX(INDIRECT(zoneFichierEAN13Valmag),$P194,3)))</f>
        <v xml:space="preserve"> </v>
      </c>
      <c r="C195" s="54" t="str">
        <f t="shared" ref="C195:C258" ca="1" si="679">AA194</f>
        <v xml:space="preserve"> </v>
      </c>
      <c r="D195" s="19" t="str">
        <f ca="1">IFERROR(INDEX(INDIRECT(zoneFichierEAN13Valmag),$P194,4),"")</f>
        <v xml:space="preserve"> </v>
      </c>
      <c r="E195" s="58" t="str">
        <f ca="1">IFERROR(INDEX(INDIRECT(zoneFichierFiltreCatalogue),AC194,3),"")</f>
        <v>p114-2-01</v>
      </c>
      <c r="F195" s="19"/>
      <c r="G195" s="18"/>
      <c r="H195" s="32" t="str">
        <f ca="1">IFERROR(INDEX(INDIRECT(zoneFichierFiltreCatalogue),AC194,6),"")</f>
        <v>fall 2019 presentation_/catalogo fall 19.txt</v>
      </c>
      <c r="S195" s="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</row>
    <row r="196" spans="1:30" ht="39" customHeight="1" thickBot="1" x14ac:dyDescent="0.65">
      <c r="A196" s="9" t="str">
        <f ca="1">INDEX(INDIRECT(zoneFichierTraite),$J196+offsetInitialFichierTraite,6)</f>
        <v>UNICA</v>
      </c>
      <c r="B196" s="5" t="str">
        <f ca="1">INDEX(INDIRECT(zoneFichierTraite),$J196+offsetInitialFichierTraite,4)</f>
        <v>OBAGP206-ECS29-084</v>
      </c>
      <c r="C196" s="26" t="str">
        <f ca="1">INDEX(INDIRECT(zoneFichierTraite),$J196+offsetInitialFichierTraite,5)</f>
        <v>RABAT AVEC BOUCLE O POCKET EN FAUX CUIR IMPRIME COCO</v>
      </c>
      <c r="D196" s="27" t="str">
        <f ca="1">INDEX(INDIRECT(zoneFichierTraite),$J196+offsetInitialFichierTraite,13)</f>
        <v>testa di moro</v>
      </c>
      <c r="E196" s="30">
        <f ca="1">INDEX(INDIRECT(zoneFichierTraite),$J196+offsetInitialFichierTraite,7)</f>
        <v>2</v>
      </c>
      <c r="F196" s="28">
        <f ca="1">INDEX(INDIRECT(zoneFichierTraite),$J196+offsetInitialFichierTraite,8)</f>
        <v>13.33</v>
      </c>
      <c r="G196" s="29">
        <f t="shared" ref="G196:G259" ca="1" si="680">ROUNDUP(F196*3,0)</f>
        <v>40</v>
      </c>
      <c r="H196" s="31" t="str">
        <f ca="1">IF(ISNUMBER(N196),codeEAN13(INT(N196/10)),"")</f>
        <v>8APASOG*ajcaee+</v>
      </c>
      <c r="I196" s="1" t="b">
        <f t="shared" ref="I196:I259" ca="1" si="681">AND(A199&lt;&gt;0,A197=A199)</f>
        <v>0</v>
      </c>
      <c r="J196" s="15">
        <f t="shared" si="452"/>
        <v>94</v>
      </c>
      <c r="K196" s="1">
        <f t="shared" ref="K196:K259" ca="1" si="682">A197</f>
        <v>100</v>
      </c>
      <c r="L196" s="5" t="str">
        <f ca="1">INDEX(INDIRECT(zoneFichierTraite),$J196+offsetInitialFichierTraite,1)</f>
        <v>'094</v>
      </c>
      <c r="M196" s="11">
        <f ca="1">INDEX(INDIRECT(zoneFichierTraite),$J196+offsetInitialFichierTraite,9)</f>
        <v>26.66</v>
      </c>
      <c r="N196" s="14">
        <f ca="1">INDEX(INDIRECT(zoneFichierTraite),$J196+offsetInitialFichierTraite,3)</f>
        <v>8050846092044</v>
      </c>
      <c r="O196" s="14"/>
      <c r="P196" s="56">
        <f ca="1">MATCH(N196,INDIRECT(nomFichierEAN13Valmag &amp; "!A:A"),0)</f>
        <v>858</v>
      </c>
      <c r="R196" s="50" t="str">
        <f t="shared" ref="R196:R259" ca="1" si="683">LEFT(B196,14)</f>
        <v>OBAGP206-ECS29</v>
      </c>
      <c r="S196" s="52">
        <f ca="1">MATCH($R196,INDIRECT(nomFichierEAN13ValmagUniq &amp; "!A:A"),0)</f>
        <v>149</v>
      </c>
      <c r="T196" s="49" t="str">
        <f ca="1">IFERROR(INDEX(INDIRECT(zoneFichierEAN13ValmagUniq),S196,2),"")</f>
        <v xml:space="preserve"> </v>
      </c>
      <c r="U196" s="52" t="e">
        <f ca="1">MATCH($R196,INDIRECT(nomFichierEAN13ValmagUniq &amp; "!A" &amp; (S196+1) &amp; ":A" &amp;  (S196+10)),0)</f>
        <v>#N/A</v>
      </c>
      <c r="V196" s="51" t="e">
        <f t="shared" ref="V196:V259" ca="1" si="684">U196+S196</f>
        <v>#N/A</v>
      </c>
      <c r="W196" s="49" t="str">
        <f ca="1">IFERROR(INDEX(INDIRECT(zoneFichierEAN13ValmagUniq),V196,2),"")</f>
        <v/>
      </c>
      <c r="X196" s="52" t="e">
        <f ca="1">MATCH($R196,INDIRECT(nomFichierEAN13ValmagUniq &amp; "!A" &amp; (V196+1) &amp; ":A" &amp;  (V196+10)),0)</f>
        <v>#N/A</v>
      </c>
      <c r="Y196" s="51" t="e">
        <f t="shared" ref="Y196:Y259" ca="1" si="685">X196+V196</f>
        <v>#N/A</v>
      </c>
      <c r="Z196" s="49" t="str">
        <f ca="1">IFERROR(INDEX(INDIRECT(zoneFichierEAN13ValmagUniq),Y196,2),"")</f>
        <v/>
      </c>
      <c r="AA196" s="53" t="str">
        <f t="shared" ref="AA196:AA259" ca="1" si="686">T196 &amp; IF(W196="","", " | " &amp; W196) &amp; IF(Z196="","", " | " &amp;Z196)</f>
        <v xml:space="preserve"> </v>
      </c>
      <c r="AC196" s="55">
        <f ca="1">MATCH(B196,INDIRECT(nomFichierFiltreCatalogue &amp; "!B:B"),0)</f>
        <v>473</v>
      </c>
      <c r="AD196" s="14"/>
    </row>
    <row r="197" spans="1:30" s="20" customFormat="1" ht="15.75" customHeight="1" x14ac:dyDescent="0.25">
      <c r="A197" s="25">
        <f ca="1">INDEX(INDIRECT(zoneFichierTraite),$J196+offsetInitialFichierTraite,2)</f>
        <v>100</v>
      </c>
      <c r="B197" s="57" t="str">
        <f ca="1">IF(ISERROR($P196),msgRefValmagAcreer,IF(INDEX(INDIRECT(zoneFichierEAN13Valmag),$P196,3) = "",msgCodeValmagVide, INDEX(INDIRECT(zoneFichierEAN13Valmag),$P196,3)))</f>
        <v xml:space="preserve"> </v>
      </c>
      <c r="C197" s="54" t="str">
        <f t="shared" ref="C197:C260" ca="1" si="687">AA196</f>
        <v xml:space="preserve"> </v>
      </c>
      <c r="D197" s="19" t="str">
        <f ca="1">IFERROR(INDEX(INDIRECT(zoneFichierEAN13Valmag),$P196,4),"")</f>
        <v xml:space="preserve"> </v>
      </c>
      <c r="E197" s="58" t="str">
        <f ca="1">IFERROR(INDEX(INDIRECT(zoneFichierFiltreCatalogue),AC196,3),"")</f>
        <v>p114-2-02</v>
      </c>
      <c r="F197" s="19"/>
      <c r="G197" s="18"/>
      <c r="H197" s="32" t="str">
        <f ca="1">IFERROR(INDEX(INDIRECT(zoneFichierFiltreCatalogue),AC196,6),"")</f>
        <v>fall 2019 presentation_/catalogo fall 19.txt</v>
      </c>
      <c r="S197" s="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</row>
    <row r="198" spans="1:30" ht="39" customHeight="1" thickBot="1" x14ac:dyDescent="0.65">
      <c r="A198" s="9" t="str">
        <f ca="1">INDEX(INDIRECT(zoneFichierTraite),$J198+offsetInitialFichierTraite,6)</f>
        <v>UNICA</v>
      </c>
      <c r="B198" s="5" t="str">
        <f ca="1">INDEX(INDIRECT(zoneFichierTraite),$J198+offsetInitialFichierTraite,4)</f>
        <v>OBAGPA06-ECSC8-055</v>
      </c>
      <c r="C198" s="26" t="str">
        <f ca="1">INDEX(INDIRECT(zoneFichierTraite),$J198+offsetInitialFichierTraite,5)</f>
        <v>RABAT TOURNIQUET O POCKET EN FAUX CUIR ACTIVE STRIPES</v>
      </c>
      <c r="D198" s="27" t="str">
        <f ca="1">INDEX(INDIRECT(zoneFichierTraite),$J198+offsetInitialFichierTraite,13)</f>
        <v>nero</v>
      </c>
      <c r="E198" s="30">
        <f ca="1">INDEX(INDIRECT(zoneFichierTraite),$J198+offsetInitialFichierTraite,7)</f>
        <v>2</v>
      </c>
      <c r="F198" s="28">
        <f ca="1">INDEX(INDIRECT(zoneFichierTraite),$J198+offsetInitialFichierTraite,8)</f>
        <v>11.85</v>
      </c>
      <c r="G198" s="29">
        <f t="shared" ref="G198:G261" ca="1" si="688">ROUNDUP(F198*3,0)</f>
        <v>36</v>
      </c>
      <c r="H198" s="31" t="str">
        <f ca="1">IF(ISNUMBER(N198),codeEAN13(INT(N198/10)),"")</f>
        <v>8APASOG*ajcajj+</v>
      </c>
      <c r="I198" s="1" t="b">
        <f t="shared" ref="I198:I261" ca="1" si="689">AND(A201&lt;&gt;0,A199=A201)</f>
        <v>0</v>
      </c>
      <c r="J198" s="15">
        <f t="shared" si="452"/>
        <v>95</v>
      </c>
      <c r="K198" s="1">
        <f t="shared" ref="K198:K261" ca="1" si="690">A199</f>
        <v>166</v>
      </c>
      <c r="L198" s="5" t="str">
        <f ca="1">INDEX(INDIRECT(zoneFichierTraite),$J198+offsetInitialFichierTraite,1)</f>
        <v>'095</v>
      </c>
      <c r="M198" s="11">
        <f ca="1">INDEX(INDIRECT(zoneFichierTraite),$J198+offsetInitialFichierTraite,9)</f>
        <v>23.7</v>
      </c>
      <c r="N198" s="14">
        <f ca="1">INDEX(INDIRECT(zoneFichierTraite),$J198+offsetInitialFichierTraite,3)</f>
        <v>8050846092099</v>
      </c>
      <c r="O198" s="14"/>
      <c r="P198" s="56">
        <f ca="1">MATCH(N198,INDIRECT(nomFichierEAN13Valmag &amp; "!A:A"),0)</f>
        <v>862</v>
      </c>
      <c r="R198" s="50" t="str">
        <f t="shared" ref="R198:R261" ca="1" si="691">LEFT(B198,14)</f>
        <v>OBAGPA06-ECSC8</v>
      </c>
      <c r="S198" s="52">
        <f ca="1">MATCH($R198,INDIRECT(nomFichierEAN13ValmagUniq &amp; "!A:A"),0)</f>
        <v>150</v>
      </c>
      <c r="T198" s="49" t="str">
        <f ca="1">IFERROR(INDEX(INDIRECT(zoneFichierEAN13ValmagUniq),S198,2),"")</f>
        <v xml:space="preserve"> </v>
      </c>
      <c r="U198" s="52" t="e">
        <f ca="1">MATCH($R198,INDIRECT(nomFichierEAN13ValmagUniq &amp; "!A" &amp; (S198+1) &amp; ":A" &amp;  (S198+10)),0)</f>
        <v>#N/A</v>
      </c>
      <c r="V198" s="51" t="e">
        <f t="shared" ref="V198:V261" ca="1" si="692">U198+S198</f>
        <v>#N/A</v>
      </c>
      <c r="W198" s="49" t="str">
        <f ca="1">IFERROR(INDEX(INDIRECT(zoneFichierEAN13ValmagUniq),V198,2),"")</f>
        <v/>
      </c>
      <c r="X198" s="52" t="e">
        <f ca="1">MATCH($R198,INDIRECT(nomFichierEAN13ValmagUniq &amp; "!A" &amp; (V198+1) &amp; ":A" &amp;  (V198+10)),0)</f>
        <v>#N/A</v>
      </c>
      <c r="Y198" s="51" t="e">
        <f t="shared" ref="Y198:Y261" ca="1" si="693">X198+V198</f>
        <v>#N/A</v>
      </c>
      <c r="Z198" s="49" t="str">
        <f ca="1">IFERROR(INDEX(INDIRECT(zoneFichierEAN13ValmagUniq),Y198,2),"")</f>
        <v/>
      </c>
      <c r="AA198" s="53" t="str">
        <f t="shared" ref="AA198:AA261" ca="1" si="694">T198 &amp; IF(W198="","", " | " &amp; W198) &amp; IF(Z198="","", " | " &amp;Z198)</f>
        <v xml:space="preserve"> </v>
      </c>
      <c r="AC198" s="55">
        <f ca="1">MATCH(B198,INDIRECT(nomFichierFiltreCatalogue &amp; "!B:B"),0)</f>
        <v>468</v>
      </c>
      <c r="AD198" s="14"/>
    </row>
    <row r="199" spans="1:30" s="20" customFormat="1" ht="15.75" customHeight="1" x14ac:dyDescent="0.25">
      <c r="A199" s="25">
        <f ca="1">INDEX(INDIRECT(zoneFichierTraite),$J198+offsetInitialFichierTraite,2)</f>
        <v>166</v>
      </c>
      <c r="B199" s="57" t="str">
        <f ca="1">IF(ISERROR($P198),msgRefValmagAcreer,IF(INDEX(INDIRECT(zoneFichierEAN13Valmag),$P198,3) = "",msgCodeValmagVide, INDEX(INDIRECT(zoneFichierEAN13Valmag),$P198,3)))</f>
        <v xml:space="preserve"> </v>
      </c>
      <c r="C199" s="54" t="str">
        <f t="shared" ref="C199:C262" ca="1" si="695">AA198</f>
        <v xml:space="preserve"> </v>
      </c>
      <c r="D199" s="19" t="str">
        <f ca="1">IFERROR(INDEX(INDIRECT(zoneFichierEAN13Valmag),$P198,4),"")</f>
        <v xml:space="preserve"> </v>
      </c>
      <c r="E199" s="58" t="str">
        <f ca="1">IFERROR(INDEX(INDIRECT(zoneFichierFiltreCatalogue),AC198,3),"")</f>
        <v>p113-2-01</v>
      </c>
      <c r="F199" s="19"/>
      <c r="G199" s="18"/>
      <c r="H199" s="32" t="str">
        <f ca="1">IFERROR(INDEX(INDIRECT(zoneFichierFiltreCatalogue),AC198,6),"")</f>
        <v>fall 2019 presentation_/catalogo fall 19.txt</v>
      </c>
      <c r="S199" s="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</row>
    <row r="200" spans="1:30" ht="39" customHeight="1" thickBot="1" x14ac:dyDescent="0.65">
      <c r="A200" s="9" t="str">
        <f ca="1">INDEX(INDIRECT(zoneFichierTraite),$J200+offsetInitialFichierTraite,6)</f>
        <v>UNICA</v>
      </c>
      <c r="B200" s="5" t="str">
        <f ca="1">INDEX(INDIRECT(zoneFichierTraite),$J200+offsetInitialFichierTraite,4)</f>
        <v>OBAGPA06-ECSC8-137</v>
      </c>
      <c r="C200" s="26" t="str">
        <f ca="1">INDEX(INDIRECT(zoneFichierTraite),$J200+offsetInitialFichierTraite,5)</f>
        <v>RABAT TOURNIQUET O POCKET EN FAUX CUIR ACTIVE STRIPES</v>
      </c>
      <c r="D200" s="27" t="str">
        <f ca="1">INDEX(INDIRECT(zoneFichierTraite),$J200+offsetInitialFichierTraite,13)</f>
        <v>bluette</v>
      </c>
      <c r="E200" s="30">
        <f ca="1">INDEX(INDIRECT(zoneFichierTraite),$J200+offsetInitialFichierTraite,7)</f>
        <v>2</v>
      </c>
      <c r="F200" s="28">
        <f ca="1">INDEX(INDIRECT(zoneFichierTraite),$J200+offsetInitialFichierTraite,8)</f>
        <v>11.85</v>
      </c>
      <c r="G200" s="29">
        <f t="shared" ref="G200:G263" ca="1" si="696">ROUNDUP(F200*3,0)</f>
        <v>36</v>
      </c>
      <c r="H200" s="31" t="str">
        <f ca="1">IF(ISNUMBER(N200),codeEAN13(INT(N200/10)),"")</f>
        <v>8APASOG*ajcaic+</v>
      </c>
      <c r="I200" s="1" t="b">
        <f t="shared" ref="I200:I263" ca="1" si="697">AND(A203&lt;&gt;0,A201=A203)</f>
        <v>0</v>
      </c>
      <c r="J200" s="15">
        <f t="shared" si="452"/>
        <v>96</v>
      </c>
      <c r="K200" s="1">
        <f t="shared" ref="K200:K263" ca="1" si="698">A201</f>
        <v>150</v>
      </c>
      <c r="L200" s="5" t="str">
        <f ca="1">INDEX(INDIRECT(zoneFichierTraite),$J200+offsetInitialFichierTraite,1)</f>
        <v>'096</v>
      </c>
      <c r="M200" s="11">
        <f ca="1">INDEX(INDIRECT(zoneFichierTraite),$J200+offsetInitialFichierTraite,9)</f>
        <v>23.7</v>
      </c>
      <c r="N200" s="14">
        <f ca="1">INDEX(INDIRECT(zoneFichierTraite),$J200+offsetInitialFichierTraite,3)</f>
        <v>8050846092082</v>
      </c>
      <c r="O200" s="14"/>
      <c r="P200" s="56">
        <f ca="1">MATCH(N200,INDIRECT(nomFichierEAN13Valmag &amp; "!A:A"),0)</f>
        <v>861</v>
      </c>
      <c r="R200" s="50" t="str">
        <f t="shared" ref="R200:R263" ca="1" si="699">LEFT(B200,14)</f>
        <v>OBAGPA06-ECSC8</v>
      </c>
      <c r="S200" s="52">
        <f ca="1">MATCH($R200,INDIRECT(nomFichierEAN13ValmagUniq &amp; "!A:A"),0)</f>
        <v>150</v>
      </c>
      <c r="T200" s="49" t="str">
        <f ca="1">IFERROR(INDEX(INDIRECT(zoneFichierEAN13ValmagUniq),S200,2),"")</f>
        <v xml:space="preserve"> </v>
      </c>
      <c r="U200" s="52" t="e">
        <f ca="1">MATCH($R200,INDIRECT(nomFichierEAN13ValmagUniq &amp; "!A" &amp; (S200+1) &amp; ":A" &amp;  (S200+10)),0)</f>
        <v>#N/A</v>
      </c>
      <c r="V200" s="51" t="e">
        <f t="shared" ref="V200:V263" ca="1" si="700">U200+S200</f>
        <v>#N/A</v>
      </c>
      <c r="W200" s="49" t="str">
        <f ca="1">IFERROR(INDEX(INDIRECT(zoneFichierEAN13ValmagUniq),V200,2),"")</f>
        <v/>
      </c>
      <c r="X200" s="52" t="e">
        <f ca="1">MATCH($R200,INDIRECT(nomFichierEAN13ValmagUniq &amp; "!A" &amp; (V200+1) &amp; ":A" &amp;  (V200+10)),0)</f>
        <v>#N/A</v>
      </c>
      <c r="Y200" s="51" t="e">
        <f t="shared" ref="Y200:Y263" ca="1" si="701">X200+V200</f>
        <v>#N/A</v>
      </c>
      <c r="Z200" s="49" t="str">
        <f ca="1">IFERROR(INDEX(INDIRECT(zoneFichierEAN13ValmagUniq),Y200,2),"")</f>
        <v/>
      </c>
      <c r="AA200" s="53" t="str">
        <f t="shared" ref="AA200:AA263" ca="1" si="702">T200 &amp; IF(W200="","", " | " &amp; W200) &amp; IF(Z200="","", " | " &amp;Z200)</f>
        <v xml:space="preserve"> </v>
      </c>
      <c r="AC200" s="55">
        <f ca="1">MATCH(B200,INDIRECT(nomFichierFiltreCatalogue &amp; "!B:B"),0)</f>
        <v>469</v>
      </c>
      <c r="AD200" s="14"/>
    </row>
    <row r="201" spans="1:30" s="20" customFormat="1" ht="15.75" customHeight="1" x14ac:dyDescent="0.25">
      <c r="A201" s="25">
        <f ca="1">INDEX(INDIRECT(zoneFichierTraite),$J200+offsetInitialFichierTraite,2)</f>
        <v>150</v>
      </c>
      <c r="B201" s="57" t="str">
        <f ca="1">IF(ISERROR($P200),msgRefValmagAcreer,IF(INDEX(INDIRECT(zoneFichierEAN13Valmag),$P200,3) = "",msgCodeValmagVide, INDEX(INDIRECT(zoneFichierEAN13Valmag),$P200,3)))</f>
        <v xml:space="preserve"> </v>
      </c>
      <c r="C201" s="54" t="str">
        <f t="shared" ref="C201:C264" ca="1" si="703">AA200</f>
        <v xml:space="preserve"> </v>
      </c>
      <c r="D201" s="19" t="str">
        <f ca="1">IFERROR(INDEX(INDIRECT(zoneFichierEAN13Valmag),$P200,4),"")</f>
        <v xml:space="preserve"> </v>
      </c>
      <c r="E201" s="58" t="str">
        <f ca="1">IFERROR(INDEX(INDIRECT(zoneFichierFiltreCatalogue),AC200,3),"")</f>
        <v>p113-2-02</v>
      </c>
      <c r="F201" s="19"/>
      <c r="G201" s="18"/>
      <c r="H201" s="32" t="str">
        <f ca="1">IFERROR(INDEX(INDIRECT(zoneFichierFiltreCatalogue),AC200,6),"")</f>
        <v>fall 2019 presentation_/catalogo fall 19.txt</v>
      </c>
      <c r="S201" s="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</row>
    <row r="202" spans="1:30" ht="39" customHeight="1" thickBot="1" x14ac:dyDescent="0.65">
      <c r="A202" s="9" t="str">
        <f ca="1">INDEX(INDIRECT(zoneFichierTraite),$J202+offsetInitialFichierTraite,6)</f>
        <v>UNICA</v>
      </c>
      <c r="B202" s="5" t="str">
        <f ca="1">INDEX(INDIRECT(zoneFichierTraite),$J202+offsetInitialFichierTraite,4)</f>
        <v>OBAGPB34-ECS29-017</v>
      </c>
      <c r="C202" s="26" t="str">
        <f ca="1">INDEX(INDIRECT(zoneFichierTraite),$J202+offsetInitialFichierTraite,5)</f>
        <v>RABAT BASIC O BAG GLAM EN FAUX CUIR IMPRIME COCO</v>
      </c>
      <c r="D202" s="27" t="str">
        <f ca="1">INDEX(INDIRECT(zoneFichierTraite),$J202+offsetInitialFichierTraite,13)</f>
        <v>blu navy</v>
      </c>
      <c r="E202" s="30">
        <f ca="1">INDEX(INDIRECT(zoneFichierTraite),$J202+offsetInitialFichierTraite,7)</f>
        <v>1</v>
      </c>
      <c r="F202" s="28">
        <f ca="1">INDEX(INDIRECT(zoneFichierTraite),$J202+offsetInitialFichierTraite,8)</f>
        <v>12.59</v>
      </c>
      <c r="G202" s="29">
        <f t="shared" ref="G202:G265" ca="1" si="704">ROUNDUP(F202*3,0)</f>
        <v>38</v>
      </c>
      <c r="H202" s="31" t="str">
        <f ca="1">IF(ISNUMBER(N202),codeEAN13(INT(N202/10)),"")</f>
        <v>8APASOG*ajaeie+</v>
      </c>
      <c r="I202" s="1" t="b">
        <f t="shared" ref="I202:I265" ca="1" si="705">AND(A205&lt;&gt;0,A203=A205)</f>
        <v>0</v>
      </c>
      <c r="J202" s="15">
        <f t="shared" ref="J202:J264" si="706">J200+1</f>
        <v>97</v>
      </c>
      <c r="K202" s="1">
        <f t="shared" ref="K202:K265" ca="1" si="707">A203</f>
        <v>21</v>
      </c>
      <c r="L202" s="5" t="str">
        <f ca="1">INDEX(INDIRECT(zoneFichierTraite),$J202+offsetInitialFichierTraite,1)</f>
        <v>'097</v>
      </c>
      <c r="M202" s="11">
        <f ca="1">INDEX(INDIRECT(zoneFichierTraite),$J202+offsetInitialFichierTraite,9)</f>
        <v>12.59</v>
      </c>
      <c r="N202" s="14">
        <f ca="1">INDEX(INDIRECT(zoneFichierTraite),$J202+offsetInitialFichierTraite,3)</f>
        <v>8050846090484</v>
      </c>
      <c r="O202" s="14"/>
      <c r="P202" s="56">
        <f ca="1">MATCH(N202,INDIRECT(nomFichierEAN13Valmag &amp; "!A:A"),0)</f>
        <v>732</v>
      </c>
      <c r="R202" s="50" t="str">
        <f t="shared" ref="R202:R265" ca="1" si="708">LEFT(B202,14)</f>
        <v>OBAGPB34-ECS29</v>
      </c>
      <c r="S202" s="52">
        <f ca="1">MATCH($R202,INDIRECT(nomFichierEAN13ValmagUniq &amp; "!A:A"),0)</f>
        <v>153</v>
      </c>
      <c r="T202" s="49" t="str">
        <f ca="1">IFERROR(INDEX(INDIRECT(zoneFichierEAN13ValmagUniq),S202,2),"")</f>
        <v xml:space="preserve"> </v>
      </c>
      <c r="U202" s="52" t="e">
        <f ca="1">MATCH($R202,INDIRECT(nomFichierEAN13ValmagUniq &amp; "!A" &amp; (S202+1) &amp; ":A" &amp;  (S202+10)),0)</f>
        <v>#N/A</v>
      </c>
      <c r="V202" s="51" t="e">
        <f t="shared" ref="V202:V265" ca="1" si="709">U202+S202</f>
        <v>#N/A</v>
      </c>
      <c r="W202" s="49" t="str">
        <f ca="1">IFERROR(INDEX(INDIRECT(zoneFichierEAN13ValmagUniq),V202,2),"")</f>
        <v/>
      </c>
      <c r="X202" s="52" t="e">
        <f ca="1">MATCH($R202,INDIRECT(nomFichierEAN13ValmagUniq &amp; "!A" &amp; (V202+1) &amp; ":A" &amp;  (V202+10)),0)</f>
        <v>#N/A</v>
      </c>
      <c r="Y202" s="51" t="e">
        <f t="shared" ref="Y202:Y265" ca="1" si="710">X202+V202</f>
        <v>#N/A</v>
      </c>
      <c r="Z202" s="49" t="str">
        <f ca="1">IFERROR(INDEX(INDIRECT(zoneFichierEAN13ValmagUniq),Y202,2),"")</f>
        <v/>
      </c>
      <c r="AA202" s="53" t="str">
        <f t="shared" ref="AA202:AA265" ca="1" si="711">T202 &amp; IF(W202="","", " | " &amp; W202) &amp; IF(Z202="","", " | " &amp;Z202)</f>
        <v xml:space="preserve"> </v>
      </c>
      <c r="AC202" s="55">
        <f ca="1">MATCH(B202,INDIRECT(nomFichierFiltreCatalogue &amp; "!B:B"),0)</f>
        <v>494</v>
      </c>
      <c r="AD202" s="14"/>
    </row>
    <row r="203" spans="1:30" s="20" customFormat="1" ht="15.75" customHeight="1" x14ac:dyDescent="0.25">
      <c r="A203" s="25">
        <f ca="1">INDEX(INDIRECT(zoneFichierTraite),$J202+offsetInitialFichierTraite,2)</f>
        <v>21</v>
      </c>
      <c r="B203" s="57" t="str">
        <f ca="1">IF(ISERROR($P202),msgRefValmagAcreer,IF(INDEX(INDIRECT(zoneFichierEAN13Valmag),$P202,3) = "",msgCodeValmagVide, INDEX(INDIRECT(zoneFichierEAN13Valmag),$P202,3)))</f>
        <v xml:space="preserve"> </v>
      </c>
      <c r="C203" s="54" t="str">
        <f t="shared" ref="C203:C266" ca="1" si="712">AA202</f>
        <v xml:space="preserve"> </v>
      </c>
      <c r="D203" s="19" t="str">
        <f ca="1">IFERROR(INDEX(INDIRECT(zoneFichierEAN13Valmag),$P202,4),"")</f>
        <v xml:space="preserve"> </v>
      </c>
      <c r="E203" s="58" t="str">
        <f ca="1">IFERROR(INDEX(INDIRECT(zoneFichierFiltreCatalogue),AC202,3),"")</f>
        <v>p120-1-01</v>
      </c>
      <c r="F203" s="19"/>
      <c r="G203" s="18"/>
      <c r="H203" s="32" t="str">
        <f ca="1">IFERROR(INDEX(INDIRECT(zoneFichierFiltreCatalogue),AC202,6),"")</f>
        <v>fall 2019 presentation_/catalogo fall 19.txt</v>
      </c>
      <c r="S203" s="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</row>
    <row r="204" spans="1:30" ht="39" customHeight="1" thickBot="1" x14ac:dyDescent="0.65">
      <c r="A204" s="9" t="str">
        <f ca="1">INDEX(INDIRECT(zoneFichierTraite),$J204+offsetInitialFichierTraite,6)</f>
        <v>UNICA</v>
      </c>
      <c r="B204" s="5" t="str">
        <f ca="1">INDEX(INDIRECT(zoneFichierTraite),$J204+offsetInitialFichierTraite,4)</f>
        <v>OBAGPB34-ECS29-084</v>
      </c>
      <c r="C204" s="26" t="str">
        <f ca="1">INDEX(INDIRECT(zoneFichierTraite),$J204+offsetInitialFichierTraite,5)</f>
        <v>RABAT BASIC O BAG GLAM EN FAUX CUIR IMPRIME COCO</v>
      </c>
      <c r="D204" s="27" t="str">
        <f ca="1">INDEX(INDIRECT(zoneFichierTraite),$J204+offsetInitialFichierTraite,13)</f>
        <v>testa di moro</v>
      </c>
      <c r="E204" s="30">
        <f ca="1">INDEX(INDIRECT(zoneFichierTraite),$J204+offsetInitialFichierTraite,7)</f>
        <v>1</v>
      </c>
      <c r="F204" s="28">
        <f ca="1">INDEX(INDIRECT(zoneFichierTraite),$J204+offsetInitialFichierTraite,8)</f>
        <v>12.59</v>
      </c>
      <c r="G204" s="29">
        <f t="shared" ref="G204:G267" ca="1" si="713">ROUNDUP(F204*3,0)</f>
        <v>38</v>
      </c>
      <c r="H204" s="31" t="str">
        <f ca="1">IF(ISNUMBER(N204),codeEAN13(INT(N204/10)),"")</f>
        <v>8APASOG*ajaehh+</v>
      </c>
      <c r="I204" s="1" t="b">
        <f t="shared" ref="I204:I267" ca="1" si="714">AND(A207&lt;&gt;0,A205=A207)</f>
        <v>0</v>
      </c>
      <c r="J204" s="15">
        <f t="shared" si="706"/>
        <v>98</v>
      </c>
      <c r="K204" s="1">
        <f t="shared" ref="K204:K267" ca="1" si="715">A205</f>
        <v>105</v>
      </c>
      <c r="L204" s="5" t="str">
        <f ca="1">INDEX(INDIRECT(zoneFichierTraite),$J204+offsetInitialFichierTraite,1)</f>
        <v>'098</v>
      </c>
      <c r="M204" s="11">
        <f ca="1">INDEX(INDIRECT(zoneFichierTraite),$J204+offsetInitialFichierTraite,9)</f>
        <v>12.59</v>
      </c>
      <c r="N204" s="14">
        <f ca="1">INDEX(INDIRECT(zoneFichierTraite),$J204+offsetInitialFichierTraite,3)</f>
        <v>8050846090477</v>
      </c>
      <c r="O204" s="14"/>
      <c r="P204" s="56">
        <f ca="1">MATCH(N204,INDIRECT(nomFichierEAN13Valmag &amp; "!A:A"),0)</f>
        <v>731</v>
      </c>
      <c r="R204" s="50" t="str">
        <f t="shared" ref="R204:R267" ca="1" si="716">LEFT(B204,14)</f>
        <v>OBAGPB34-ECS29</v>
      </c>
      <c r="S204" s="52">
        <f ca="1">MATCH($R204,INDIRECT(nomFichierEAN13ValmagUniq &amp; "!A:A"),0)</f>
        <v>153</v>
      </c>
      <c r="T204" s="49" t="str">
        <f ca="1">IFERROR(INDEX(INDIRECT(zoneFichierEAN13ValmagUniq),S204,2),"")</f>
        <v xml:space="preserve"> </v>
      </c>
      <c r="U204" s="52" t="e">
        <f ca="1">MATCH($R204,INDIRECT(nomFichierEAN13ValmagUniq &amp; "!A" &amp; (S204+1) &amp; ":A" &amp;  (S204+10)),0)</f>
        <v>#N/A</v>
      </c>
      <c r="V204" s="51" t="e">
        <f t="shared" ref="V204:V267" ca="1" si="717">U204+S204</f>
        <v>#N/A</v>
      </c>
      <c r="W204" s="49" t="str">
        <f ca="1">IFERROR(INDEX(INDIRECT(zoneFichierEAN13ValmagUniq),V204,2),"")</f>
        <v/>
      </c>
      <c r="X204" s="52" t="e">
        <f ca="1">MATCH($R204,INDIRECT(nomFichierEAN13ValmagUniq &amp; "!A" &amp; (V204+1) &amp; ":A" &amp;  (V204+10)),0)</f>
        <v>#N/A</v>
      </c>
      <c r="Y204" s="51" t="e">
        <f t="shared" ref="Y204:Y267" ca="1" si="718">X204+V204</f>
        <v>#N/A</v>
      </c>
      <c r="Z204" s="49" t="str">
        <f ca="1">IFERROR(INDEX(INDIRECT(zoneFichierEAN13ValmagUniq),Y204,2),"")</f>
        <v/>
      </c>
      <c r="AA204" s="53" t="str">
        <f t="shared" ref="AA204:AA267" ca="1" si="719">T204 &amp; IF(W204="","", " | " &amp; W204) &amp; IF(Z204="","", " | " &amp;Z204)</f>
        <v xml:space="preserve"> </v>
      </c>
      <c r="AC204" s="55">
        <f ca="1">MATCH(B204,INDIRECT(nomFichierFiltreCatalogue &amp; "!B:B"),0)</f>
        <v>495</v>
      </c>
      <c r="AD204" s="14"/>
    </row>
    <row r="205" spans="1:30" s="20" customFormat="1" ht="15.75" customHeight="1" x14ac:dyDescent="0.25">
      <c r="A205" s="25">
        <f ca="1">INDEX(INDIRECT(zoneFichierTraite),$J204+offsetInitialFichierTraite,2)</f>
        <v>105</v>
      </c>
      <c r="B205" s="57" t="str">
        <f ca="1">IF(ISERROR($P204),msgRefValmagAcreer,IF(INDEX(INDIRECT(zoneFichierEAN13Valmag),$P204,3) = "",msgCodeValmagVide, INDEX(INDIRECT(zoneFichierEAN13Valmag),$P204,3)))</f>
        <v xml:space="preserve"> </v>
      </c>
      <c r="C205" s="54" t="str">
        <f t="shared" ref="C205:C268" ca="1" si="720">AA204</f>
        <v xml:space="preserve"> </v>
      </c>
      <c r="D205" s="19" t="str">
        <f ca="1">IFERROR(INDEX(INDIRECT(zoneFichierEAN13Valmag),$P204,4),"")</f>
        <v xml:space="preserve"> </v>
      </c>
      <c r="E205" s="58" t="str">
        <f ca="1">IFERROR(INDEX(INDIRECT(zoneFichierFiltreCatalogue),AC204,3),"")</f>
        <v>p120-1-02</v>
      </c>
      <c r="F205" s="19"/>
      <c r="G205" s="18"/>
      <c r="H205" s="32" t="str">
        <f ca="1">IFERROR(INDEX(INDIRECT(zoneFichierFiltreCatalogue),AC204,6),"")</f>
        <v>fall 2019 presentation_/catalogo fall 19.txt</v>
      </c>
      <c r="S205" s="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</row>
    <row r="206" spans="1:30" ht="39" customHeight="1" thickBot="1" x14ac:dyDescent="0.65">
      <c r="A206" s="9" t="str">
        <f ca="1">INDEX(INDIRECT(zoneFichierTraite),$J206+offsetInitialFichierTraite,6)</f>
        <v>UNICA</v>
      </c>
      <c r="B206" s="5" t="str">
        <f ca="1">INDEX(INDIRECT(zoneFichierTraite),$J206+offsetInitialFichierTraite,4)</f>
        <v>OBAGPB34-ECSD5-137</v>
      </c>
      <c r="C206" s="26" t="str">
        <f ca="1">INDEX(INDIRECT(zoneFichierTraite),$J206+offsetInitialFichierTraite,5)</f>
        <v>RABAT BASIC O BAG GLAM EN FAUX CUIR IMPRIME PATCH ACTIVE</v>
      </c>
      <c r="D206" s="27" t="str">
        <f ca="1">INDEX(INDIRECT(zoneFichierTraite),$J206+offsetInitialFichierTraite,13)</f>
        <v>bluette</v>
      </c>
      <c r="E206" s="30">
        <f ca="1">INDEX(INDIRECT(zoneFichierTraite),$J206+offsetInitialFichierTraite,7)</f>
        <v>1</v>
      </c>
      <c r="F206" s="28">
        <f ca="1">INDEX(INDIRECT(zoneFichierTraite),$J206+offsetInitialFichierTraite,8)</f>
        <v>13.33</v>
      </c>
      <c r="G206" s="29">
        <f t="shared" ref="G206:G269" ca="1" si="721">ROUNDUP(F206*3,0)</f>
        <v>40</v>
      </c>
      <c r="H206" s="31" t="str">
        <f ca="1">IF(ISNUMBER(N206),codeEAN13(INT(N206/10)),"")</f>
        <v>8APASOG*ajaeai+</v>
      </c>
      <c r="I206" s="1" t="b">
        <f t="shared" ref="I206:I269" ca="1" si="722">AND(A209&lt;&gt;0,A207=A209)</f>
        <v>0</v>
      </c>
      <c r="J206" s="15">
        <f t="shared" si="706"/>
        <v>99</v>
      </c>
      <c r="K206" s="1">
        <f t="shared" ref="K206:K269" ca="1" si="723">A207</f>
        <v>120</v>
      </c>
      <c r="L206" s="5" t="str">
        <f ca="1">INDEX(INDIRECT(zoneFichierTraite),$J206+offsetInitialFichierTraite,1)</f>
        <v>'099</v>
      </c>
      <c r="M206" s="11">
        <f ca="1">INDEX(INDIRECT(zoneFichierTraite),$J206+offsetInitialFichierTraite,9)</f>
        <v>13.33</v>
      </c>
      <c r="N206" s="14">
        <f ca="1">INDEX(INDIRECT(zoneFichierTraite),$J206+offsetInitialFichierTraite,3)</f>
        <v>8050846090408</v>
      </c>
      <c r="O206" s="14"/>
      <c r="P206" s="56">
        <f ca="1">MATCH(N206,INDIRECT(nomFichierEAN13Valmag &amp; "!A:A"),0)</f>
        <v>724</v>
      </c>
      <c r="R206" s="50" t="str">
        <f t="shared" ref="R206:R269" ca="1" si="724">LEFT(B206,14)</f>
        <v>OBAGPB34-ECSD5</v>
      </c>
      <c r="S206" s="52">
        <f ca="1">MATCH($R206,INDIRECT(nomFichierEAN13ValmagUniq &amp; "!A:A"),0)</f>
        <v>154</v>
      </c>
      <c r="T206" s="49" t="str">
        <f ca="1">IFERROR(INDEX(INDIRECT(zoneFichierEAN13ValmagUniq),S206,2),"")</f>
        <v xml:space="preserve"> </v>
      </c>
      <c r="U206" s="52" t="e">
        <f ca="1">MATCH($R206,INDIRECT(nomFichierEAN13ValmagUniq &amp; "!A" &amp; (S206+1) &amp; ":A" &amp;  (S206+10)),0)</f>
        <v>#N/A</v>
      </c>
      <c r="V206" s="51" t="e">
        <f t="shared" ref="V206:V269" ca="1" si="725">U206+S206</f>
        <v>#N/A</v>
      </c>
      <c r="W206" s="49" t="str">
        <f ca="1">IFERROR(INDEX(INDIRECT(zoneFichierEAN13ValmagUniq),V206,2),"")</f>
        <v/>
      </c>
      <c r="X206" s="52" t="e">
        <f ca="1">MATCH($R206,INDIRECT(nomFichierEAN13ValmagUniq &amp; "!A" &amp; (V206+1) &amp; ":A" &amp;  (V206+10)),0)</f>
        <v>#N/A</v>
      </c>
      <c r="Y206" s="51" t="e">
        <f t="shared" ref="Y206:Y269" ca="1" si="726">X206+V206</f>
        <v>#N/A</v>
      </c>
      <c r="Z206" s="49" t="str">
        <f ca="1">IFERROR(INDEX(INDIRECT(zoneFichierEAN13ValmagUniq),Y206,2),"")</f>
        <v/>
      </c>
      <c r="AA206" s="53" t="str">
        <f t="shared" ref="AA206:AA269" ca="1" si="727">T206 &amp; IF(W206="","", " | " &amp; W206) &amp; IF(Z206="","", " | " &amp;Z206)</f>
        <v xml:space="preserve"> </v>
      </c>
      <c r="AC206" s="55">
        <f ca="1">MATCH(B206,INDIRECT(nomFichierFiltreCatalogue &amp; "!B:B"),0)</f>
        <v>490</v>
      </c>
      <c r="AD206" s="14"/>
    </row>
    <row r="207" spans="1:30" s="20" customFormat="1" ht="15.75" customHeight="1" x14ac:dyDescent="0.25">
      <c r="A207" s="25">
        <f ca="1">INDEX(INDIRECT(zoneFichierTraite),$J206+offsetInitialFichierTraite,2)</f>
        <v>120</v>
      </c>
      <c r="B207" s="57" t="str">
        <f ca="1">IF(ISERROR($P206),msgRefValmagAcreer,IF(INDEX(INDIRECT(zoneFichierEAN13Valmag),$P206,3) = "",msgCodeValmagVide, INDEX(INDIRECT(zoneFichierEAN13Valmag),$P206,3)))</f>
        <v xml:space="preserve"> </v>
      </c>
      <c r="C207" s="54" t="str">
        <f t="shared" ref="C207:C270" ca="1" si="728">AA206</f>
        <v xml:space="preserve"> </v>
      </c>
      <c r="D207" s="19" t="str">
        <f ca="1">IFERROR(INDEX(INDIRECT(zoneFichierEAN13Valmag),$P206,4),"")</f>
        <v xml:space="preserve"> </v>
      </c>
      <c r="E207" s="58" t="str">
        <f ca="1">IFERROR(INDEX(INDIRECT(zoneFichierFiltreCatalogue),AC206,3),"")</f>
        <v>p119-1-01</v>
      </c>
      <c r="F207" s="19"/>
      <c r="G207" s="18"/>
      <c r="H207" s="32" t="str">
        <f ca="1">IFERROR(INDEX(INDIRECT(zoneFichierFiltreCatalogue),AC206,6),"")</f>
        <v>fall 2019 presentation_/catalogo fall 19.txt</v>
      </c>
      <c r="S207" s="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</row>
    <row r="208" spans="1:30" ht="39" customHeight="1" thickBot="1" x14ac:dyDescent="0.65">
      <c r="A208" s="9" t="str">
        <f ca="1">INDEX(INDIRECT(zoneFichierTraite),$J208+offsetInitialFichierTraite,6)</f>
        <v>UNICA</v>
      </c>
      <c r="B208" s="5" t="str">
        <f ca="1">INDEX(INDIRECT(zoneFichierTraite),$J208+offsetInitialFichierTraite,4)</f>
        <v>OBAGPB34-ECSD5-371</v>
      </c>
      <c r="C208" s="26" t="str">
        <f ca="1">INDEX(INDIRECT(zoneFichierTraite),$J208+offsetInitialFichierTraite,5)</f>
        <v>RABAT BASIC O BAG GLAM EN FAUX CUIR IMPRIME PATCH ACTIVE</v>
      </c>
      <c r="D208" s="27" t="str">
        <f ca="1">INDEX(INDIRECT(zoneFichierTraite),$J208+offsetInitialFichierTraite,13)</f>
        <v>latte</v>
      </c>
      <c r="E208" s="30">
        <f ca="1">INDEX(INDIRECT(zoneFichierTraite),$J208+offsetInitialFichierTraite,7)</f>
        <v>1</v>
      </c>
      <c r="F208" s="28">
        <f ca="1">INDEX(INDIRECT(zoneFichierTraite),$J208+offsetInitialFichierTraite,8)</f>
        <v>13.33</v>
      </c>
      <c r="G208" s="29">
        <f t="shared" ref="G208:G271" ca="1" si="729">ROUNDUP(F208*3,0)</f>
        <v>40</v>
      </c>
      <c r="H208" s="31" t="str">
        <f ca="1">IF(ISNUMBER(N208),codeEAN13(INT(N208/10)),"")</f>
        <v>8APASOG*ajaebf+</v>
      </c>
      <c r="I208" s="1" t="b">
        <f t="shared" ref="I208:I271" ca="1" si="730">AND(A211&lt;&gt;0,A209=A211)</f>
        <v>0</v>
      </c>
      <c r="J208" s="15">
        <f t="shared" si="706"/>
        <v>100</v>
      </c>
      <c r="K208" s="1">
        <f t="shared" ref="K208:K271" ca="1" si="731">A209</f>
        <v>18</v>
      </c>
      <c r="L208" s="5" t="str">
        <f ca="1">INDEX(INDIRECT(zoneFichierTraite),$J208+offsetInitialFichierTraite,1)</f>
        <v>'100</v>
      </c>
      <c r="M208" s="11">
        <f ca="1">INDEX(INDIRECT(zoneFichierTraite),$J208+offsetInitialFichierTraite,9)</f>
        <v>13.33</v>
      </c>
      <c r="N208" s="14">
        <f ca="1">INDEX(INDIRECT(zoneFichierTraite),$J208+offsetInitialFichierTraite,3)</f>
        <v>8050846090415</v>
      </c>
      <c r="O208" s="14"/>
      <c r="P208" s="56">
        <f ca="1">MATCH(N208,INDIRECT(nomFichierEAN13Valmag &amp; "!A:A"),0)</f>
        <v>725</v>
      </c>
      <c r="R208" s="50" t="str">
        <f t="shared" ref="R208:R271" ca="1" si="732">LEFT(B208,14)</f>
        <v>OBAGPB34-ECSD5</v>
      </c>
      <c r="S208" s="52">
        <f ca="1">MATCH($R208,INDIRECT(nomFichierEAN13ValmagUniq &amp; "!A:A"),0)</f>
        <v>154</v>
      </c>
      <c r="T208" s="49" t="str">
        <f ca="1">IFERROR(INDEX(INDIRECT(zoneFichierEAN13ValmagUniq),S208,2),"")</f>
        <v xml:space="preserve"> </v>
      </c>
      <c r="U208" s="52" t="e">
        <f ca="1">MATCH($R208,INDIRECT(nomFichierEAN13ValmagUniq &amp; "!A" &amp; (S208+1) &amp; ":A" &amp;  (S208+10)),0)</f>
        <v>#N/A</v>
      </c>
      <c r="V208" s="51" t="e">
        <f t="shared" ref="V208:V271" ca="1" si="733">U208+S208</f>
        <v>#N/A</v>
      </c>
      <c r="W208" s="49" t="str">
        <f ca="1">IFERROR(INDEX(INDIRECT(zoneFichierEAN13ValmagUniq),V208,2),"")</f>
        <v/>
      </c>
      <c r="X208" s="52" t="e">
        <f ca="1">MATCH($R208,INDIRECT(nomFichierEAN13ValmagUniq &amp; "!A" &amp; (V208+1) &amp; ":A" &amp;  (V208+10)),0)</f>
        <v>#N/A</v>
      </c>
      <c r="Y208" s="51" t="e">
        <f t="shared" ref="Y208:Y271" ca="1" si="734">X208+V208</f>
        <v>#N/A</v>
      </c>
      <c r="Z208" s="49" t="str">
        <f ca="1">IFERROR(INDEX(INDIRECT(zoneFichierEAN13ValmagUniq),Y208,2),"")</f>
        <v/>
      </c>
      <c r="AA208" s="53" t="str">
        <f t="shared" ref="AA208:AA271" ca="1" si="735">T208 &amp; IF(W208="","", " | " &amp; W208) &amp; IF(Z208="","", " | " &amp;Z208)</f>
        <v xml:space="preserve"> </v>
      </c>
      <c r="AC208" s="55">
        <f ca="1">MATCH(B208,INDIRECT(nomFichierFiltreCatalogue &amp; "!B:B"),0)</f>
        <v>491</v>
      </c>
      <c r="AD208" s="14"/>
    </row>
    <row r="209" spans="1:30" s="20" customFormat="1" ht="15.75" customHeight="1" x14ac:dyDescent="0.25">
      <c r="A209" s="25">
        <f ca="1">INDEX(INDIRECT(zoneFichierTraite),$J208+offsetInitialFichierTraite,2)</f>
        <v>18</v>
      </c>
      <c r="B209" s="57" t="str">
        <f ca="1">IF(ISERROR($P208),msgRefValmagAcreer,IF(INDEX(INDIRECT(zoneFichierEAN13Valmag),$P208,3) = "",msgCodeValmagVide, INDEX(INDIRECT(zoneFichierEAN13Valmag),$P208,3)))</f>
        <v xml:space="preserve"> </v>
      </c>
      <c r="C209" s="54" t="str">
        <f t="shared" ref="C209:C272" ca="1" si="736">AA208</f>
        <v xml:space="preserve"> </v>
      </c>
      <c r="D209" s="19" t="str">
        <f ca="1">IFERROR(INDEX(INDIRECT(zoneFichierEAN13Valmag),$P208,4),"")</f>
        <v xml:space="preserve"> </v>
      </c>
      <c r="E209" s="58" t="str">
        <f ca="1">IFERROR(INDEX(INDIRECT(zoneFichierFiltreCatalogue),AC208,3),"")</f>
        <v>p119-1-02</v>
      </c>
      <c r="F209" s="19"/>
      <c r="G209" s="18"/>
      <c r="H209" s="32" t="str">
        <f ca="1">IFERROR(INDEX(INDIRECT(zoneFichierFiltreCatalogue),AC208,6),"")</f>
        <v>fall 2019 presentation_/catalogo fall 19.txt</v>
      </c>
      <c r="S209" s="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</row>
    <row r="210" spans="1:30" ht="39" customHeight="1" thickBot="1" x14ac:dyDescent="0.65">
      <c r="A210" s="9" t="str">
        <f ca="1">INDEX(INDIRECT(zoneFichierTraite),$J210+offsetInitialFichierTraite,6)</f>
        <v>UNICA</v>
      </c>
      <c r="B210" s="5" t="str">
        <f ca="1">INDEX(INDIRECT(zoneFichierTraite),$J210+offsetInitialFichierTraite,4)</f>
        <v>OBAGPC48-ECSE2-017</v>
      </c>
      <c r="C210" s="26" t="str">
        <f ca="1">INDEX(INDIRECT(zoneFichierTraite),$J210+offsetInitialFichierTraite,5)</f>
        <v>RABAT AVEC CHAINE O BAG SHEEN EN FAUX CUIR EFFET GRIFFE ARABESQUE</v>
      </c>
      <c r="D210" s="27" t="str">
        <f ca="1">INDEX(INDIRECT(zoneFichierTraite),$J210+offsetInitialFichierTraite,13)</f>
        <v>blu navy</v>
      </c>
      <c r="E210" s="30">
        <f ca="1">INDEX(INDIRECT(zoneFichierTraite),$J210+offsetInitialFichierTraite,7)</f>
        <v>1</v>
      </c>
      <c r="F210" s="28">
        <f ca="1">INDEX(INDIRECT(zoneFichierTraite),$J210+offsetInitialFichierTraite,8)</f>
        <v>20</v>
      </c>
      <c r="G210" s="29">
        <f t="shared" ref="G210:G273" ca="1" si="737">ROUNDUP(F210*3,0)</f>
        <v>60</v>
      </c>
      <c r="H210" s="31" t="str">
        <f ca="1">IF(ISNUMBER(N210),codeEAN13(INT(N210/10)),"")</f>
        <v>8APASOG*ajicjj+</v>
      </c>
      <c r="I210" s="1" t="b">
        <f t="shared" ref="I210:I273" ca="1" si="738">AND(A213&lt;&gt;0,A211=A213)</f>
        <v>0</v>
      </c>
      <c r="J210" s="15">
        <f t="shared" si="706"/>
        <v>101</v>
      </c>
      <c r="K210" s="1">
        <f t="shared" ref="K210:K273" ca="1" si="739">A211</f>
        <v>169</v>
      </c>
      <c r="L210" s="5" t="str">
        <f ca="1">INDEX(INDIRECT(zoneFichierTraite),$J210+offsetInitialFichierTraite,1)</f>
        <v>'101</v>
      </c>
      <c r="M210" s="11">
        <f ca="1">INDEX(INDIRECT(zoneFichierTraite),$J210+offsetInitialFichierTraite,9)</f>
        <v>20</v>
      </c>
      <c r="N210" s="14">
        <f ca="1">INDEX(INDIRECT(zoneFichierTraite),$J210+offsetInitialFichierTraite,3)</f>
        <v>8050846098299</v>
      </c>
      <c r="O210" s="14"/>
      <c r="P210" s="56">
        <f ca="1">MATCH(N210,INDIRECT(nomFichierEAN13Valmag &amp; "!A:A"),0)</f>
        <v>932</v>
      </c>
      <c r="R210" s="50" t="str">
        <f t="shared" ref="R210:R273" ca="1" si="740">LEFT(B210,14)</f>
        <v>OBAGPC48-ECSE2</v>
      </c>
      <c r="S210" s="52">
        <f ca="1">MATCH($R210,INDIRECT(nomFichierEAN13ValmagUniq &amp; "!A:A"),0)</f>
        <v>159</v>
      </c>
      <c r="T210" s="49" t="str">
        <f ca="1">IFERROR(INDEX(INDIRECT(zoneFichierEAN13ValmagUniq),S210,2),"")</f>
        <v xml:space="preserve"> </v>
      </c>
      <c r="U210" s="52" t="e">
        <f ca="1">MATCH($R210,INDIRECT(nomFichierEAN13ValmagUniq &amp; "!A" &amp; (S210+1) &amp; ":A" &amp;  (S210+10)),0)</f>
        <v>#N/A</v>
      </c>
      <c r="V210" s="51" t="e">
        <f t="shared" ref="V210:V273" ca="1" si="741">U210+S210</f>
        <v>#N/A</v>
      </c>
      <c r="W210" s="49" t="str">
        <f ca="1">IFERROR(INDEX(INDIRECT(zoneFichierEAN13ValmagUniq),V210,2),"")</f>
        <v/>
      </c>
      <c r="X210" s="52" t="e">
        <f ca="1">MATCH($R210,INDIRECT(nomFichierEAN13ValmagUniq &amp; "!A" &amp; (V210+1) &amp; ":A" &amp;  (V210+10)),0)</f>
        <v>#N/A</v>
      </c>
      <c r="Y210" s="51" t="e">
        <f t="shared" ref="Y210:Y273" ca="1" si="742">X210+V210</f>
        <v>#N/A</v>
      </c>
      <c r="Z210" s="49" t="str">
        <f ca="1">IFERROR(INDEX(INDIRECT(zoneFichierEAN13ValmagUniq),Y210,2),"")</f>
        <v/>
      </c>
      <c r="AA210" s="53" t="str">
        <f t="shared" ref="AA210:AA273" ca="1" si="743">T210 &amp; IF(W210="","", " | " &amp; W210) &amp; IF(Z210="","", " | " &amp;Z210)</f>
        <v xml:space="preserve"> </v>
      </c>
      <c r="AC210" s="55">
        <f ca="1">MATCH(B210,INDIRECT(nomFichierFiltreCatalogue &amp; "!B:B"),0)</f>
        <v>497</v>
      </c>
      <c r="AD210" s="14"/>
    </row>
    <row r="211" spans="1:30" s="20" customFormat="1" ht="15.75" customHeight="1" x14ac:dyDescent="0.25">
      <c r="A211" s="25">
        <f ca="1">INDEX(INDIRECT(zoneFichierTraite),$J210+offsetInitialFichierTraite,2)</f>
        <v>169</v>
      </c>
      <c r="B211" s="57" t="str">
        <f ca="1">IF(ISERROR($P210),msgRefValmagAcreer,IF(INDEX(INDIRECT(zoneFichierEAN13Valmag),$P210,3) = "",msgCodeValmagVide, INDEX(INDIRECT(zoneFichierEAN13Valmag),$P210,3)))</f>
        <v xml:space="preserve"> </v>
      </c>
      <c r="C211" s="54" t="str">
        <f t="shared" ref="C211:C274" ca="1" si="744">AA210</f>
        <v xml:space="preserve"> </v>
      </c>
      <c r="D211" s="19" t="str">
        <f ca="1">IFERROR(INDEX(INDIRECT(zoneFichierEAN13Valmag),$P210,4),"")</f>
        <v xml:space="preserve"> </v>
      </c>
      <c r="E211" s="58" t="str">
        <f ca="1">IFERROR(INDEX(INDIRECT(zoneFichierFiltreCatalogue),AC210,3),"")</f>
        <v>p121-2-01</v>
      </c>
      <c r="F211" s="19"/>
      <c r="G211" s="18"/>
      <c r="H211" s="32" t="str">
        <f ca="1">IFERROR(INDEX(INDIRECT(zoneFichierFiltreCatalogue),AC210,6),"")</f>
        <v>fall 2019 presentation_/catalogo fall 19.txt</v>
      </c>
      <c r="S211" s="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</row>
    <row r="212" spans="1:30" ht="39" customHeight="1" thickBot="1" x14ac:dyDescent="0.65">
      <c r="A212" s="9" t="str">
        <f ca="1">INDEX(INDIRECT(zoneFichierTraite),$J212+offsetInitialFichierTraite,6)</f>
        <v>UNICA</v>
      </c>
      <c r="B212" s="5" t="str">
        <f ca="1">INDEX(INDIRECT(zoneFichierTraite),$J212+offsetInitialFichierTraite,4)</f>
        <v>OBAGPC48-ECSE3-055</v>
      </c>
      <c r="C212" s="26" t="str">
        <f ca="1">INDEX(INDIRECT(zoneFichierTraite),$J212+offsetInitialFichierTraite,5)</f>
        <v>RABAT AVEC CHAINE O BAG SHEEN EN FAUX CUIR EFFET GRIFFE ORCHIDEE</v>
      </c>
      <c r="D212" s="27" t="str">
        <f ca="1">INDEX(INDIRECT(zoneFichierTraite),$J212+offsetInitialFichierTraite,13)</f>
        <v>nero</v>
      </c>
      <c r="E212" s="30">
        <f ca="1">INDEX(INDIRECT(zoneFichierTraite),$J212+offsetInitialFichierTraite,7)</f>
        <v>1</v>
      </c>
      <c r="F212" s="28">
        <f ca="1">INDEX(INDIRECT(zoneFichierTraite),$J212+offsetInitialFichierTraite,8)</f>
        <v>20</v>
      </c>
      <c r="G212" s="29">
        <f t="shared" ref="G212:G275" ca="1" si="745">ROUNDUP(F212*3,0)</f>
        <v>60</v>
      </c>
      <c r="H212" s="31" t="str">
        <f ca="1">IF(ISNUMBER(N212),codeEAN13(INT(N212/10)),"")</f>
        <v>8APASOG*ajjgbg+</v>
      </c>
      <c r="I212" s="1" t="b">
        <f t="shared" ref="I212:I275" ca="1" si="746">AND(A215&lt;&gt;0,A213=A215)</f>
        <v>0</v>
      </c>
      <c r="J212" s="15">
        <f t="shared" si="706"/>
        <v>102</v>
      </c>
      <c r="K212" s="1">
        <f t="shared" ref="K212:K275" ca="1" si="747">A213</f>
        <v>51</v>
      </c>
      <c r="L212" s="5" t="str">
        <f ca="1">INDEX(INDIRECT(zoneFichierTraite),$J212+offsetInitialFichierTraite,1)</f>
        <v>'102</v>
      </c>
      <c r="M212" s="11">
        <f ca="1">INDEX(INDIRECT(zoneFichierTraite),$J212+offsetInitialFichierTraite,9)</f>
        <v>20</v>
      </c>
      <c r="N212" s="14">
        <f ca="1">INDEX(INDIRECT(zoneFichierTraite),$J212+offsetInitialFichierTraite,3)</f>
        <v>8050846099616</v>
      </c>
      <c r="O212" s="14"/>
      <c r="P212" s="56">
        <f ca="1">MATCH(N212,INDIRECT(nomFichierEAN13Valmag &amp; "!A:A"),0)</f>
        <v>933</v>
      </c>
      <c r="R212" s="50" t="str">
        <f t="shared" ref="R212:R275" ca="1" si="748">LEFT(B212,14)</f>
        <v>OBAGPC48-ECSE3</v>
      </c>
      <c r="S212" s="52">
        <f ca="1">MATCH($R212,INDIRECT(nomFichierEAN13ValmagUniq &amp; "!A:A"),0)</f>
        <v>160</v>
      </c>
      <c r="T212" s="49" t="str">
        <f ca="1">IFERROR(INDEX(INDIRECT(zoneFichierEAN13ValmagUniq),S212,2),"")</f>
        <v xml:space="preserve"> </v>
      </c>
      <c r="U212" s="52" t="e">
        <f ca="1">MATCH($R212,INDIRECT(nomFichierEAN13ValmagUniq &amp; "!A" &amp; (S212+1) &amp; ":A" &amp;  (S212+10)),0)</f>
        <v>#N/A</v>
      </c>
      <c r="V212" s="51" t="e">
        <f t="shared" ref="V212:V275" ca="1" si="749">U212+S212</f>
        <v>#N/A</v>
      </c>
      <c r="W212" s="49" t="str">
        <f ca="1">IFERROR(INDEX(INDIRECT(zoneFichierEAN13ValmagUniq),V212,2),"")</f>
        <v/>
      </c>
      <c r="X212" s="52" t="e">
        <f ca="1">MATCH($R212,INDIRECT(nomFichierEAN13ValmagUniq &amp; "!A" &amp; (V212+1) &amp; ":A" &amp;  (V212+10)),0)</f>
        <v>#N/A</v>
      </c>
      <c r="Y212" s="51" t="e">
        <f t="shared" ref="Y212:Y275" ca="1" si="750">X212+V212</f>
        <v>#N/A</v>
      </c>
      <c r="Z212" s="49" t="str">
        <f ca="1">IFERROR(INDEX(INDIRECT(zoneFichierEAN13ValmagUniq),Y212,2),"")</f>
        <v/>
      </c>
      <c r="AA212" s="53" t="str">
        <f t="shared" ref="AA212:AA275" ca="1" si="751">T212 &amp; IF(W212="","", " | " &amp; W212) &amp; IF(Z212="","", " | " &amp;Z212)</f>
        <v xml:space="preserve"> </v>
      </c>
      <c r="AC212" s="55">
        <f ca="1">MATCH(B212,INDIRECT(nomFichierFiltreCatalogue &amp; "!B:B"),0)</f>
        <v>496</v>
      </c>
      <c r="AD212" s="14"/>
    </row>
    <row r="213" spans="1:30" s="20" customFormat="1" ht="15.75" customHeight="1" x14ac:dyDescent="0.25">
      <c r="A213" s="25">
        <f ca="1">INDEX(INDIRECT(zoneFichierTraite),$J212+offsetInitialFichierTraite,2)</f>
        <v>51</v>
      </c>
      <c r="B213" s="57" t="str">
        <f ca="1">IF(ISERROR($P212),msgRefValmagAcreer,IF(INDEX(INDIRECT(zoneFichierEAN13Valmag),$P212,3) = "",msgCodeValmagVide, INDEX(INDIRECT(zoneFichierEAN13Valmag),$P212,3)))</f>
        <v xml:space="preserve"> </v>
      </c>
      <c r="C213" s="54" t="str">
        <f t="shared" ref="C213:C276" ca="1" si="752">AA212</f>
        <v xml:space="preserve"> </v>
      </c>
      <c r="D213" s="19" t="str">
        <f ca="1">IFERROR(INDEX(INDIRECT(zoneFichierEAN13Valmag),$P212,4),"")</f>
        <v xml:space="preserve"> </v>
      </c>
      <c r="E213" s="58" t="str">
        <f ca="1">IFERROR(INDEX(INDIRECT(zoneFichierFiltreCatalogue),AC212,3),"")</f>
        <v>p121-1-01</v>
      </c>
      <c r="F213" s="19"/>
      <c r="G213" s="18"/>
      <c r="H213" s="32" t="str">
        <f ca="1">IFERROR(INDEX(INDIRECT(zoneFichierFiltreCatalogue),AC212,6),"")</f>
        <v>fall 2019 presentation_/catalogo fall 19.txt</v>
      </c>
      <c r="S213" s="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</row>
    <row r="214" spans="1:30" ht="39" customHeight="1" thickBot="1" x14ac:dyDescent="0.65">
      <c r="A214" s="9" t="str">
        <f ca="1">INDEX(INDIRECT(zoneFichierTraite),$J214+offsetInitialFichierTraite,6)</f>
        <v>UNICA</v>
      </c>
      <c r="B214" s="5" t="str">
        <f ca="1">INDEX(INDIRECT(zoneFichierTraite),$J214+offsetInitialFichierTraite,4)</f>
        <v>OBAGPF34-ECSC9-055</v>
      </c>
      <c r="C214" s="26" t="str">
        <f ca="1">INDEX(INDIRECT(zoneFichierTraite),$J214+offsetInitialFichierTraite,5)</f>
        <v>RABAT TROUE Ã€ BANDEAU O BAG GLAM EN FAUX CUIR IMPRIME ATHLEISURE</v>
      </c>
      <c r="D214" s="27" t="str">
        <f ca="1">INDEX(INDIRECT(zoneFichierTraite),$J214+offsetInitialFichierTraite,13)</f>
        <v>nero</v>
      </c>
      <c r="E214" s="30">
        <f ca="1">INDEX(INDIRECT(zoneFichierTraite),$J214+offsetInitialFichierTraite,7)</f>
        <v>1</v>
      </c>
      <c r="F214" s="28">
        <f ca="1">INDEX(INDIRECT(zoneFichierTraite),$J214+offsetInitialFichierTraite,8)</f>
        <v>20</v>
      </c>
      <c r="G214" s="29">
        <f t="shared" ref="G214:G277" ca="1" si="753">ROUNDUP(F214*3,0)</f>
        <v>60</v>
      </c>
      <c r="H214" s="31" t="str">
        <f ca="1">IF(ISNUMBER(N214),codeEAN13(INT(N214/10)),"")</f>
        <v>8APASOG*ajadif+</v>
      </c>
      <c r="I214" s="1" t="b">
        <f t="shared" ref="I214:I277" ca="1" si="754">AND(A217&lt;&gt;0,A215=A217)</f>
        <v>0</v>
      </c>
      <c r="J214" s="15">
        <f t="shared" si="706"/>
        <v>103</v>
      </c>
      <c r="K214" s="1">
        <f t="shared" ref="K214:K277" ca="1" si="755">A215</f>
        <v>194</v>
      </c>
      <c r="L214" s="5" t="str">
        <f ca="1">INDEX(INDIRECT(zoneFichierTraite),$J214+offsetInitialFichierTraite,1)</f>
        <v>'103</v>
      </c>
      <c r="M214" s="11">
        <f ca="1">INDEX(INDIRECT(zoneFichierTraite),$J214+offsetInitialFichierTraite,9)</f>
        <v>20</v>
      </c>
      <c r="N214" s="14">
        <f ca="1">INDEX(INDIRECT(zoneFichierTraite),$J214+offsetInitialFichierTraite,3)</f>
        <v>8050846090385</v>
      </c>
      <c r="O214" s="14"/>
      <c r="P214" s="56">
        <f ca="1">MATCH(N214,INDIRECT(nomFichierEAN13Valmag &amp; "!A:A"),0)</f>
        <v>722</v>
      </c>
      <c r="R214" s="50" t="str">
        <f t="shared" ref="R214:R277" ca="1" si="756">LEFT(B214,14)</f>
        <v>OBAGPF34-ECSC9</v>
      </c>
      <c r="S214" s="52">
        <f ca="1">MATCH($R214,INDIRECT(nomFichierEAN13ValmagUniq &amp; "!A:A"),0)</f>
        <v>163</v>
      </c>
      <c r="T214" s="49" t="str">
        <f ca="1">IFERROR(INDEX(INDIRECT(zoneFichierEAN13ValmagUniq),S214,2),"")</f>
        <v xml:space="preserve"> </v>
      </c>
      <c r="U214" s="52" t="e">
        <f ca="1">MATCH($R214,INDIRECT(nomFichierEAN13ValmagUniq &amp; "!A" &amp; (S214+1) &amp; ":A" &amp;  (S214+10)),0)</f>
        <v>#N/A</v>
      </c>
      <c r="V214" s="51" t="e">
        <f t="shared" ref="V214:V277" ca="1" si="757">U214+S214</f>
        <v>#N/A</v>
      </c>
      <c r="W214" s="49" t="str">
        <f ca="1">IFERROR(INDEX(INDIRECT(zoneFichierEAN13ValmagUniq),V214,2),"")</f>
        <v/>
      </c>
      <c r="X214" s="52" t="e">
        <f ca="1">MATCH($R214,INDIRECT(nomFichierEAN13ValmagUniq &amp; "!A" &amp; (V214+1) &amp; ":A" &amp;  (V214+10)),0)</f>
        <v>#N/A</v>
      </c>
      <c r="Y214" s="51" t="e">
        <f t="shared" ref="Y214:Y277" ca="1" si="758">X214+V214</f>
        <v>#N/A</v>
      </c>
      <c r="Z214" s="49" t="str">
        <f ca="1">IFERROR(INDEX(INDIRECT(zoneFichierEAN13ValmagUniq),Y214,2),"")</f>
        <v/>
      </c>
      <c r="AA214" s="53" t="str">
        <f t="shared" ref="AA214:AA277" ca="1" si="759">T214 &amp; IF(W214="","", " | " &amp; W214) &amp; IF(Z214="","", " | " &amp;Z214)</f>
        <v xml:space="preserve"> </v>
      </c>
      <c r="AC214" s="55">
        <f ca="1">MATCH(B214,INDIRECT(nomFichierFiltreCatalogue &amp; "!B:B"),0)</f>
        <v>492</v>
      </c>
      <c r="AD214" s="14"/>
    </row>
    <row r="215" spans="1:30" s="20" customFormat="1" ht="15.75" customHeight="1" x14ac:dyDescent="0.25">
      <c r="A215" s="25">
        <f ca="1">INDEX(INDIRECT(zoneFichierTraite),$J214+offsetInitialFichierTraite,2)</f>
        <v>194</v>
      </c>
      <c r="B215" s="57" t="str">
        <f ca="1">IF(ISERROR($P214),msgRefValmagAcreer,IF(INDEX(INDIRECT(zoneFichierEAN13Valmag),$P214,3) = "",msgCodeValmagVide, INDEX(INDIRECT(zoneFichierEAN13Valmag),$P214,3)))</f>
        <v xml:space="preserve"> </v>
      </c>
      <c r="C215" s="54" t="str">
        <f t="shared" ref="C215:C278" ca="1" si="760">AA214</f>
        <v xml:space="preserve"> </v>
      </c>
      <c r="D215" s="19" t="str">
        <f ca="1">IFERROR(INDEX(INDIRECT(zoneFichierEAN13Valmag),$P214,4),"")</f>
        <v xml:space="preserve"> </v>
      </c>
      <c r="E215" s="58" t="str">
        <f ca="1">IFERROR(INDEX(INDIRECT(zoneFichierFiltreCatalogue),AC214,3),"")</f>
        <v>p119-2-01</v>
      </c>
      <c r="F215" s="19"/>
      <c r="G215" s="18"/>
      <c r="H215" s="32" t="str">
        <f ca="1">IFERROR(INDEX(INDIRECT(zoneFichierFiltreCatalogue),AC214,6),"")</f>
        <v>fall 2019 presentation_/catalogo fall 19.txt</v>
      </c>
      <c r="S215" s="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</row>
    <row r="216" spans="1:30" ht="39" customHeight="1" thickBot="1" x14ac:dyDescent="0.65">
      <c r="A216" s="9" t="str">
        <f ca="1">INDEX(INDIRECT(zoneFichierTraite),$J216+offsetInitialFichierTraite,6)</f>
        <v>UNICA</v>
      </c>
      <c r="B216" s="5" t="str">
        <f ca="1">INDEX(INDIRECT(zoneFichierTraite),$J216+offsetInitialFichierTraite,4)</f>
        <v>OBAGPF34-ECSC9-137</v>
      </c>
      <c r="C216" s="26" t="str">
        <f ca="1">INDEX(INDIRECT(zoneFichierTraite),$J216+offsetInitialFichierTraite,5)</f>
        <v>RABAT TROUE Ã€ BANDEAU O BAG GLAM EN FAUX CUIR IMPRIME ATHLEISURE</v>
      </c>
      <c r="D216" s="27" t="str">
        <f ca="1">INDEX(INDIRECT(zoneFichierTraite),$J216+offsetInitialFichierTraite,13)</f>
        <v>bluette</v>
      </c>
      <c r="E216" s="30">
        <f ca="1">INDEX(INDIRECT(zoneFichierTraite),$J216+offsetInitialFichierTraite,7)</f>
        <v>1</v>
      </c>
      <c r="F216" s="28">
        <f ca="1">INDEX(INDIRECT(zoneFichierTraite),$J216+offsetInitialFichierTraite,8)</f>
        <v>20</v>
      </c>
      <c r="G216" s="29">
        <f t="shared" ref="G216:G279" ca="1" si="761">ROUNDUP(F216*3,0)</f>
        <v>60</v>
      </c>
      <c r="H216" s="31" t="str">
        <f ca="1">IF(ISNUMBER(N216),codeEAN13(INT(N216/10)),"")</f>
        <v>8APASOG*ajadjc+</v>
      </c>
      <c r="I216" s="1" t="b">
        <f t="shared" ref="I216:I279" ca="1" si="762">AND(A219&lt;&gt;0,A217=A219)</f>
        <v>0</v>
      </c>
      <c r="J216" s="15">
        <f t="shared" si="706"/>
        <v>104</v>
      </c>
      <c r="K216" s="1">
        <f t="shared" ref="K216:K279" ca="1" si="763">A217</f>
        <v>106</v>
      </c>
      <c r="L216" s="5" t="str">
        <f ca="1">INDEX(INDIRECT(zoneFichierTraite),$J216+offsetInitialFichierTraite,1)</f>
        <v>'104</v>
      </c>
      <c r="M216" s="11">
        <f ca="1">INDEX(INDIRECT(zoneFichierTraite),$J216+offsetInitialFichierTraite,9)</f>
        <v>20</v>
      </c>
      <c r="N216" s="14">
        <f ca="1">INDEX(INDIRECT(zoneFichierTraite),$J216+offsetInitialFichierTraite,3)</f>
        <v>8050846090392</v>
      </c>
      <c r="O216" s="14"/>
      <c r="P216" s="56">
        <f ca="1">MATCH(N216,INDIRECT(nomFichierEAN13Valmag &amp; "!A:A"),0)</f>
        <v>723</v>
      </c>
      <c r="R216" s="50" t="str">
        <f t="shared" ref="R216:R279" ca="1" si="764">LEFT(B216,14)</f>
        <v>OBAGPF34-ECSC9</v>
      </c>
      <c r="S216" s="52">
        <f ca="1">MATCH($R216,INDIRECT(nomFichierEAN13ValmagUniq &amp; "!A:A"),0)</f>
        <v>163</v>
      </c>
      <c r="T216" s="49" t="str">
        <f ca="1">IFERROR(INDEX(INDIRECT(zoneFichierEAN13ValmagUniq),S216,2),"")</f>
        <v xml:space="preserve"> </v>
      </c>
      <c r="U216" s="52" t="e">
        <f ca="1">MATCH($R216,INDIRECT(nomFichierEAN13ValmagUniq &amp; "!A" &amp; (S216+1) &amp; ":A" &amp;  (S216+10)),0)</f>
        <v>#N/A</v>
      </c>
      <c r="V216" s="51" t="e">
        <f t="shared" ref="V216:V279" ca="1" si="765">U216+S216</f>
        <v>#N/A</v>
      </c>
      <c r="W216" s="49" t="str">
        <f ca="1">IFERROR(INDEX(INDIRECT(zoneFichierEAN13ValmagUniq),V216,2),"")</f>
        <v/>
      </c>
      <c r="X216" s="52" t="e">
        <f ca="1">MATCH($R216,INDIRECT(nomFichierEAN13ValmagUniq &amp; "!A" &amp; (V216+1) &amp; ":A" &amp;  (V216+10)),0)</f>
        <v>#N/A</v>
      </c>
      <c r="Y216" s="51" t="e">
        <f t="shared" ref="Y216:Y279" ca="1" si="766">X216+V216</f>
        <v>#N/A</v>
      </c>
      <c r="Z216" s="49" t="str">
        <f ca="1">IFERROR(INDEX(INDIRECT(zoneFichierEAN13ValmagUniq),Y216,2),"")</f>
        <v/>
      </c>
      <c r="AA216" s="53" t="str">
        <f t="shared" ref="AA216:AA279" ca="1" si="767">T216 &amp; IF(W216="","", " | " &amp; W216) &amp; IF(Z216="","", " | " &amp;Z216)</f>
        <v xml:space="preserve"> </v>
      </c>
      <c r="AC216" s="55">
        <f ca="1">MATCH(B216,INDIRECT(nomFichierFiltreCatalogue &amp; "!B:B"),0)</f>
        <v>493</v>
      </c>
      <c r="AD216" s="14"/>
    </row>
    <row r="217" spans="1:30" s="20" customFormat="1" ht="15.75" customHeight="1" x14ac:dyDescent="0.25">
      <c r="A217" s="25">
        <f ca="1">INDEX(INDIRECT(zoneFichierTraite),$J216+offsetInitialFichierTraite,2)</f>
        <v>106</v>
      </c>
      <c r="B217" s="57" t="str">
        <f ca="1">IF(ISERROR($P216),msgRefValmagAcreer,IF(INDEX(INDIRECT(zoneFichierEAN13Valmag),$P216,3) = "",msgCodeValmagVide, INDEX(INDIRECT(zoneFichierEAN13Valmag),$P216,3)))</f>
        <v xml:space="preserve"> </v>
      </c>
      <c r="C217" s="54" t="str">
        <f t="shared" ref="C217:C280" ca="1" si="768">AA216</f>
        <v xml:space="preserve"> </v>
      </c>
      <c r="D217" s="19" t="str">
        <f ca="1">IFERROR(INDEX(INDIRECT(zoneFichierEAN13Valmag),$P216,4),"")</f>
        <v xml:space="preserve"> </v>
      </c>
      <c r="E217" s="58" t="str">
        <f ca="1">IFERROR(INDEX(INDIRECT(zoneFichierFiltreCatalogue),AC216,3),"")</f>
        <v>p119-2-02</v>
      </c>
      <c r="F217" s="19"/>
      <c r="G217" s="18"/>
      <c r="H217" s="32" t="str">
        <f ca="1">IFERROR(INDEX(INDIRECT(zoneFichierFiltreCatalogue),AC216,6),"")</f>
        <v>fall 2019 presentation_/catalogo fall 19.txt</v>
      </c>
      <c r="S217" s="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</row>
    <row r="218" spans="1:30" ht="39" customHeight="1" thickBot="1" x14ac:dyDescent="0.65">
      <c r="A218" s="9" t="str">
        <f ca="1">INDEX(INDIRECT(zoneFichierTraite),$J218+offsetInitialFichierTraite,6)</f>
        <v>UNICA</v>
      </c>
      <c r="B218" s="5" t="str">
        <f ca="1">INDEX(INDIRECT(zoneFichierTraite),$J218+offsetInitialFichierTraite,4)</f>
        <v>OBAGPK06-ECS00-076</v>
      </c>
      <c r="C218" s="26" t="str">
        <f ca="1">INDEX(INDIRECT(zoneFichierTraite),$J218+offsetInitialFichierTraite,5)</f>
        <v>RABAT EN CARTABLE O POCKET EN FAUX CUIR</v>
      </c>
      <c r="D218" s="27" t="str">
        <f ca="1">INDEX(INDIRECT(zoneFichierTraite),$J218+offsetInitialFichierTraite,13)</f>
        <v>rosso</v>
      </c>
      <c r="E218" s="30">
        <f ca="1">INDEX(INDIRECT(zoneFichierTraite),$J218+offsetInitialFichierTraite,7)</f>
        <v>2</v>
      </c>
      <c r="F218" s="28">
        <f ca="1">INDEX(INDIRECT(zoneFichierTraite),$J218+offsetInitialFichierTraite,8)</f>
        <v>13.33</v>
      </c>
      <c r="G218" s="29">
        <f t="shared" ref="G218:G281" ca="1" si="769">ROUNDUP(F218*3,0)</f>
        <v>40</v>
      </c>
      <c r="H218" s="31" t="str">
        <f ca="1">IF(ISNUMBER(N218),codeEAN13(INT(N218/10)),"")</f>
        <v>8APASOG*ajcbcj+</v>
      </c>
      <c r="I218" s="1" t="b">
        <f t="shared" ref="I218:I281" ca="1" si="770">AND(A221&lt;&gt;0,A219=A221)</f>
        <v>0</v>
      </c>
      <c r="J218" s="15">
        <f t="shared" si="706"/>
        <v>105</v>
      </c>
      <c r="K218" s="1">
        <f t="shared" ref="K218:K281" ca="1" si="771">A219</f>
        <v>112</v>
      </c>
      <c r="L218" s="5" t="str">
        <f ca="1">INDEX(INDIRECT(zoneFichierTraite),$J218+offsetInitialFichierTraite,1)</f>
        <v>'105</v>
      </c>
      <c r="M218" s="11">
        <f ca="1">INDEX(INDIRECT(zoneFichierTraite),$J218+offsetInitialFichierTraite,9)</f>
        <v>26.66</v>
      </c>
      <c r="N218" s="14">
        <f ca="1">INDEX(INDIRECT(zoneFichierTraite),$J218+offsetInitialFichierTraite,3)</f>
        <v>8050846092129</v>
      </c>
      <c r="O218" s="14"/>
      <c r="P218" s="56">
        <f ca="1">MATCH(N218,INDIRECT(nomFichierEAN13Valmag &amp; "!A:A"),0)</f>
        <v>865</v>
      </c>
      <c r="R218" s="50" t="str">
        <f t="shared" ref="R218:R281" ca="1" si="772">LEFT(B218,14)</f>
        <v>OBAGPK06-ECS00</v>
      </c>
      <c r="S218" s="52">
        <f ca="1">MATCH($R218,INDIRECT(nomFichierEAN13ValmagUniq &amp; "!A:A"),0)</f>
        <v>164</v>
      </c>
      <c r="T218" s="49" t="str">
        <f ca="1">IFERROR(INDEX(INDIRECT(zoneFichierEAN13ValmagUniq),S218,2),"")</f>
        <v xml:space="preserve"> </v>
      </c>
      <c r="U218" s="52" t="e">
        <f ca="1">MATCH($R218,INDIRECT(nomFichierEAN13ValmagUniq &amp; "!A" &amp; (S218+1) &amp; ":A" &amp;  (S218+10)),0)</f>
        <v>#N/A</v>
      </c>
      <c r="V218" s="51" t="e">
        <f t="shared" ref="V218:V281" ca="1" si="773">U218+S218</f>
        <v>#N/A</v>
      </c>
      <c r="W218" s="49" t="str">
        <f ca="1">IFERROR(INDEX(INDIRECT(zoneFichierEAN13ValmagUniq),V218,2),"")</f>
        <v/>
      </c>
      <c r="X218" s="52" t="e">
        <f ca="1">MATCH($R218,INDIRECT(nomFichierEAN13ValmagUniq &amp; "!A" &amp; (V218+1) &amp; ":A" &amp;  (V218+10)),0)</f>
        <v>#N/A</v>
      </c>
      <c r="Y218" s="51" t="e">
        <f t="shared" ref="Y218:Y281" ca="1" si="774">X218+V218</f>
        <v>#N/A</v>
      </c>
      <c r="Z218" s="49" t="str">
        <f ca="1">IFERROR(INDEX(INDIRECT(zoneFichierEAN13ValmagUniq),Y218,2),"")</f>
        <v/>
      </c>
      <c r="AA218" s="53" t="str">
        <f t="shared" ref="AA218:AA281" ca="1" si="775">T218 &amp; IF(W218="","", " | " &amp; W218) &amp; IF(Z218="","", " | " &amp;Z218)</f>
        <v xml:space="preserve"> </v>
      </c>
      <c r="AC218" s="55">
        <f ca="1">MATCH(B218,INDIRECT(nomFichierFiltreCatalogue &amp; "!B:B"),0)</f>
        <v>478</v>
      </c>
      <c r="AD218" s="14"/>
    </row>
    <row r="219" spans="1:30" s="20" customFormat="1" ht="15.75" customHeight="1" x14ac:dyDescent="0.25">
      <c r="A219" s="25">
        <f ca="1">INDEX(INDIRECT(zoneFichierTraite),$J218+offsetInitialFichierTraite,2)</f>
        <v>112</v>
      </c>
      <c r="B219" s="57" t="str">
        <f ca="1">IF(ISERROR($P218),msgRefValmagAcreer,IF(INDEX(INDIRECT(zoneFichierEAN13Valmag),$P218,3) = "",msgCodeValmagVide, INDEX(INDIRECT(zoneFichierEAN13Valmag),$P218,3)))</f>
        <v xml:space="preserve"> </v>
      </c>
      <c r="C219" s="54" t="str">
        <f t="shared" ref="C219:C282" ca="1" si="776">AA218</f>
        <v xml:space="preserve"> </v>
      </c>
      <c r="D219" s="19" t="str">
        <f ca="1">IFERROR(INDEX(INDIRECT(zoneFichierEAN13Valmag),$P218,4),"")</f>
        <v xml:space="preserve"> </v>
      </c>
      <c r="E219" s="58" t="str">
        <f ca="1">IFERROR(INDEX(INDIRECT(zoneFichierFiltreCatalogue),AC218,3),"")</f>
        <v>p115-2-01</v>
      </c>
      <c r="F219" s="19"/>
      <c r="G219" s="18"/>
      <c r="H219" s="32" t="str">
        <f ca="1">IFERROR(INDEX(INDIRECT(zoneFichierFiltreCatalogue),AC218,6),"")</f>
        <v>fall 2019 presentation_/catalogo fall 19.txt</v>
      </c>
      <c r="S219" s="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</row>
    <row r="220" spans="1:30" ht="39" customHeight="1" thickBot="1" x14ac:dyDescent="0.65">
      <c r="A220" s="9" t="str">
        <f ca="1">INDEX(INDIRECT(zoneFichierTraite),$J220+offsetInitialFichierTraite,6)</f>
        <v>UNICA</v>
      </c>
      <c r="B220" s="5" t="str">
        <f ca="1">INDEX(INDIRECT(zoneFichierTraite),$J220+offsetInitialFichierTraite,4)</f>
        <v>OBAGPK06-ECS00-144</v>
      </c>
      <c r="C220" s="26" t="str">
        <f ca="1">INDEX(INDIRECT(zoneFichierTraite),$J220+offsetInitialFichierTraite,5)</f>
        <v>RABAT EN CARTABLE O POCKET EN FAUX CUIR</v>
      </c>
      <c r="D220" s="27" t="str">
        <f ca="1">INDEX(INDIRECT(zoneFichierTraite),$J220+offsetInitialFichierTraite,13)</f>
        <v>ginestra</v>
      </c>
      <c r="E220" s="30">
        <f ca="1">INDEX(INDIRECT(zoneFichierTraite),$J220+offsetInitialFichierTraite,7)</f>
        <v>2</v>
      </c>
      <c r="F220" s="28">
        <f ca="1">INDEX(INDIRECT(zoneFichierTraite),$J220+offsetInitialFichierTraite,8)</f>
        <v>13.33</v>
      </c>
      <c r="G220" s="29">
        <f t="shared" ref="G220:G283" ca="1" si="777">ROUNDUP(F220*3,0)</f>
        <v>40</v>
      </c>
      <c r="H220" s="31" t="str">
        <f ca="1">IF(ISNUMBER(N220),codeEAN13(INT(N220/10)),"")</f>
        <v>8APASOG*ajcbaf+</v>
      </c>
      <c r="I220" s="1" t="b">
        <f t="shared" ref="I220:I283" ca="1" si="778">AND(A223&lt;&gt;0,A221=A223)</f>
        <v>0</v>
      </c>
      <c r="J220" s="15">
        <f t="shared" si="706"/>
        <v>106</v>
      </c>
      <c r="K220" s="1">
        <f t="shared" ref="K220:K283" ca="1" si="779">A221</f>
        <v>143</v>
      </c>
      <c r="L220" s="5" t="str">
        <f ca="1">INDEX(INDIRECT(zoneFichierTraite),$J220+offsetInitialFichierTraite,1)</f>
        <v>'106</v>
      </c>
      <c r="M220" s="11">
        <f ca="1">INDEX(INDIRECT(zoneFichierTraite),$J220+offsetInitialFichierTraite,9)</f>
        <v>26.66</v>
      </c>
      <c r="N220" s="14">
        <f ca="1">INDEX(INDIRECT(zoneFichierTraite),$J220+offsetInitialFichierTraite,3)</f>
        <v>8050846092105</v>
      </c>
      <c r="O220" s="14"/>
      <c r="P220" s="56">
        <f ca="1">MATCH(N220,INDIRECT(nomFichierEAN13Valmag &amp; "!A:A"),0)</f>
        <v>863</v>
      </c>
      <c r="R220" s="50" t="str">
        <f t="shared" ref="R220:R283" ca="1" si="780">LEFT(B220,14)</f>
        <v>OBAGPK06-ECS00</v>
      </c>
      <c r="S220" s="52">
        <f ca="1">MATCH($R220,INDIRECT(nomFichierEAN13ValmagUniq &amp; "!A:A"),0)</f>
        <v>164</v>
      </c>
      <c r="T220" s="49" t="str">
        <f ca="1">IFERROR(INDEX(INDIRECT(zoneFichierEAN13ValmagUniq),S220,2),"")</f>
        <v xml:space="preserve"> </v>
      </c>
      <c r="U220" s="52" t="e">
        <f ca="1">MATCH($R220,INDIRECT(nomFichierEAN13ValmagUniq &amp; "!A" &amp; (S220+1) &amp; ":A" &amp;  (S220+10)),0)</f>
        <v>#N/A</v>
      </c>
      <c r="V220" s="51" t="e">
        <f t="shared" ref="V220:V283" ca="1" si="781">U220+S220</f>
        <v>#N/A</v>
      </c>
      <c r="W220" s="49" t="str">
        <f ca="1">IFERROR(INDEX(INDIRECT(zoneFichierEAN13ValmagUniq),V220,2),"")</f>
        <v/>
      </c>
      <c r="X220" s="52" t="e">
        <f ca="1">MATCH($R220,INDIRECT(nomFichierEAN13ValmagUniq &amp; "!A" &amp; (V220+1) &amp; ":A" &amp;  (V220+10)),0)</f>
        <v>#N/A</v>
      </c>
      <c r="Y220" s="51" t="e">
        <f t="shared" ref="Y220:Y283" ca="1" si="782">X220+V220</f>
        <v>#N/A</v>
      </c>
      <c r="Z220" s="49" t="str">
        <f ca="1">IFERROR(INDEX(INDIRECT(zoneFichierEAN13ValmagUniq),Y220,2),"")</f>
        <v/>
      </c>
      <c r="AA220" s="53" t="str">
        <f t="shared" ref="AA220:AA283" ca="1" si="783">T220 &amp; IF(W220="","", " | " &amp; W220) &amp; IF(Z220="","", " | " &amp;Z220)</f>
        <v xml:space="preserve"> </v>
      </c>
      <c r="AC220" s="55">
        <f ca="1">MATCH(B220,INDIRECT(nomFichierFiltreCatalogue &amp; "!B:B"),0)</f>
        <v>481</v>
      </c>
      <c r="AD220" s="14"/>
    </row>
    <row r="221" spans="1:30" s="20" customFormat="1" ht="15.75" customHeight="1" x14ac:dyDescent="0.25">
      <c r="A221" s="25">
        <f ca="1">INDEX(INDIRECT(zoneFichierTraite),$J220+offsetInitialFichierTraite,2)</f>
        <v>143</v>
      </c>
      <c r="B221" s="57" t="str">
        <f ca="1">IF(ISERROR($P220),msgRefValmagAcreer,IF(INDEX(INDIRECT(zoneFichierEAN13Valmag),$P220,3) = "",msgCodeValmagVide, INDEX(INDIRECT(zoneFichierEAN13Valmag),$P220,3)))</f>
        <v xml:space="preserve"> </v>
      </c>
      <c r="C221" s="54" t="str">
        <f t="shared" ref="C221:C284" ca="1" si="784">AA220</f>
        <v xml:space="preserve"> </v>
      </c>
      <c r="D221" s="19" t="str">
        <f ca="1">IFERROR(INDEX(INDIRECT(zoneFichierEAN13Valmag),$P220,4),"")</f>
        <v xml:space="preserve"> </v>
      </c>
      <c r="E221" s="58" t="str">
        <f ca="1">IFERROR(INDEX(INDIRECT(zoneFichierFiltreCatalogue),AC220,3),"")</f>
        <v>p115-2-04</v>
      </c>
      <c r="F221" s="19"/>
      <c r="G221" s="18"/>
      <c r="H221" s="32" t="str">
        <f ca="1">IFERROR(INDEX(INDIRECT(zoneFichierFiltreCatalogue),AC220,6),"")</f>
        <v>fall 2019 presentation_/catalogo fall 19.txt</v>
      </c>
      <c r="S221" s="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</row>
    <row r="222" spans="1:30" ht="39" customHeight="1" thickBot="1" x14ac:dyDescent="0.65">
      <c r="A222" s="9" t="str">
        <f ca="1">INDEX(INDIRECT(zoneFichierTraite),$J222+offsetInitialFichierTraite,6)</f>
        <v>UNICA</v>
      </c>
      <c r="B222" s="5" t="str">
        <f ca="1">INDEX(INDIRECT(zoneFichierTraite),$J222+offsetInitialFichierTraite,4)</f>
        <v>OBAGS001-TESBG-227</v>
      </c>
      <c r="C222" s="26" t="str">
        <f ca="1">INDEX(INDIRECT(zoneFichierTraite),$J222+offsetInitialFichierTraite,5)</f>
        <v>POCHETTE INTERIEURE FERMETURE ECLAIR O BAG MINI EN TISSU PRINCE DE GALLES+ FLEURS</v>
      </c>
      <c r="D222" s="27" t="str">
        <f ca="1">INDEX(INDIRECT(zoneFichierTraite),$J222+offsetInitialFichierTraite,13)</f>
        <v>bianco/nero</v>
      </c>
      <c r="E222" s="30">
        <f ca="1">INDEX(INDIRECT(zoneFichierTraite),$J222+offsetInitialFichierTraite,7)</f>
        <v>2</v>
      </c>
      <c r="F222" s="28">
        <f ca="1">INDEX(INDIRECT(zoneFichierTraite),$J222+offsetInitialFichierTraite,8)</f>
        <v>13.33</v>
      </c>
      <c r="G222" s="29">
        <f t="shared" ref="G222:G285" ca="1" si="785">ROUNDUP(F222*3,0)</f>
        <v>40</v>
      </c>
      <c r="H222" s="31" t="str">
        <f ca="1">IF(ISNUMBER(N222),codeEAN13(INT(N222/10)),"")</f>
        <v>8APASOG*ajacaa+</v>
      </c>
      <c r="I222" s="1" t="b">
        <f t="shared" ref="I222:I285" ca="1" si="786">AND(A225&lt;&gt;0,A223=A225)</f>
        <v>0</v>
      </c>
      <c r="J222" s="15">
        <f t="shared" si="706"/>
        <v>107</v>
      </c>
      <c r="K222" s="1">
        <f t="shared" ref="K222:K285" ca="1" si="787">A223</f>
        <v>159</v>
      </c>
      <c r="L222" s="5" t="str">
        <f ca="1">INDEX(INDIRECT(zoneFichierTraite),$J222+offsetInitialFichierTraite,1)</f>
        <v>'107</v>
      </c>
      <c r="M222" s="11">
        <f ca="1">INDEX(INDIRECT(zoneFichierTraite),$J222+offsetInitialFichierTraite,9)</f>
        <v>26.66</v>
      </c>
      <c r="N222" s="14">
        <f ca="1">INDEX(INDIRECT(zoneFichierTraite),$J222+offsetInitialFichierTraite,3)</f>
        <v>8050846090200</v>
      </c>
      <c r="O222" s="14"/>
      <c r="P222" s="56">
        <f ca="1">MATCH(N222,INDIRECT(nomFichierEAN13Valmag &amp; "!A:A"),0)</f>
        <v>704</v>
      </c>
      <c r="R222" s="50" t="str">
        <f t="shared" ref="R222:R285" ca="1" si="788">LEFT(B222,14)</f>
        <v>OBAGS001-TESBG</v>
      </c>
      <c r="S222" s="52">
        <f ca="1">MATCH($R222,INDIRECT(nomFichierEAN13ValmagUniq &amp; "!A:A"),0)</f>
        <v>177</v>
      </c>
      <c r="T222" s="49" t="str">
        <f ca="1">IFERROR(INDEX(INDIRECT(zoneFichierEAN13ValmagUniq),S222,2),"")</f>
        <v xml:space="preserve"> </v>
      </c>
      <c r="U222" s="52" t="e">
        <f ca="1">MATCH($R222,INDIRECT(nomFichierEAN13ValmagUniq &amp; "!A" &amp; (S222+1) &amp; ":A" &amp;  (S222+10)),0)</f>
        <v>#N/A</v>
      </c>
      <c r="V222" s="51" t="e">
        <f t="shared" ref="V222:V285" ca="1" si="789">U222+S222</f>
        <v>#N/A</v>
      </c>
      <c r="W222" s="49" t="str">
        <f ca="1">IFERROR(INDEX(INDIRECT(zoneFichierEAN13ValmagUniq),V222,2),"")</f>
        <v/>
      </c>
      <c r="X222" s="52" t="e">
        <f ca="1">MATCH($R222,INDIRECT(nomFichierEAN13ValmagUniq &amp; "!A" &amp; (V222+1) &amp; ":A" &amp;  (V222+10)),0)</f>
        <v>#N/A</v>
      </c>
      <c r="Y222" s="51" t="e">
        <f t="shared" ref="Y222:Y285" ca="1" si="790">X222+V222</f>
        <v>#N/A</v>
      </c>
      <c r="Z222" s="49" t="str">
        <f ca="1">IFERROR(INDEX(INDIRECT(zoneFichierEAN13ValmagUniq),Y222,2),"")</f>
        <v/>
      </c>
      <c r="AA222" s="53" t="str">
        <f t="shared" ref="AA222:AA285" ca="1" si="791">T222 &amp; IF(W222="","", " | " &amp; W222) &amp; IF(Z222="","", " | " &amp;Z222)</f>
        <v xml:space="preserve"> </v>
      </c>
      <c r="AC222" s="55">
        <f ca="1">MATCH(B222,INDIRECT(nomFichierFiltreCatalogue &amp; "!B:B"),0)</f>
        <v>372</v>
      </c>
      <c r="AD222" s="14"/>
    </row>
    <row r="223" spans="1:30" s="20" customFormat="1" ht="15.75" customHeight="1" x14ac:dyDescent="0.25">
      <c r="A223" s="25">
        <f ca="1">INDEX(INDIRECT(zoneFichierTraite),$J222+offsetInitialFichierTraite,2)</f>
        <v>159</v>
      </c>
      <c r="B223" s="57" t="str">
        <f ca="1">IF(ISERROR($P222),msgRefValmagAcreer,IF(INDEX(INDIRECT(zoneFichierEAN13Valmag),$P222,3) = "",msgCodeValmagVide, INDEX(INDIRECT(zoneFichierEAN13Valmag),$P222,3)))</f>
        <v xml:space="preserve"> </v>
      </c>
      <c r="C223" s="54" t="str">
        <f t="shared" ref="C223:C286" ca="1" si="792">AA222</f>
        <v xml:space="preserve"> </v>
      </c>
      <c r="D223" s="19" t="str">
        <f ca="1">IFERROR(INDEX(INDIRECT(zoneFichierEAN13Valmag),$P222,4),"")</f>
        <v xml:space="preserve"> </v>
      </c>
      <c r="E223" s="58" t="str">
        <f ca="1">IFERROR(INDEX(INDIRECT(zoneFichierFiltreCatalogue),AC222,3),"")</f>
        <v>p084-1-01</v>
      </c>
      <c r="F223" s="19"/>
      <c r="G223" s="18"/>
      <c r="H223" s="32" t="str">
        <f ca="1">IFERROR(INDEX(INDIRECT(zoneFichierFiltreCatalogue),AC222,6),"")</f>
        <v>fall 2019 presentation_/catalogo fall 19.txt</v>
      </c>
      <c r="S223" s="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</row>
    <row r="224" spans="1:30" ht="39" customHeight="1" thickBot="1" x14ac:dyDescent="0.65">
      <c r="A224" s="9" t="str">
        <f ca="1">INDEX(INDIRECT(zoneFichierTraite),$J224+offsetInitialFichierTraite,6)</f>
        <v>UNICA</v>
      </c>
      <c r="B224" s="5" t="str">
        <f ca="1">INDEX(INDIRECT(zoneFichierTraite),$J224+offsetInitialFichierTraite,4)</f>
        <v>OBAGS001-TESBK-055</v>
      </c>
      <c r="C224" s="26" t="str">
        <f ca="1">INDEX(INDIRECT(zoneFichierTraite),$J224+offsetInitialFichierTraite,5)</f>
        <v>POCHETTE INTERIEURE FERMETURE ECLAIR O BAG EN TISSU DOUDOUNE Ã€ CHEVRONS</v>
      </c>
      <c r="D224" s="27" t="str">
        <f ca="1">INDEX(INDIRECT(zoneFichierTraite),$J224+offsetInitialFichierTraite,13)</f>
        <v>nero</v>
      </c>
      <c r="E224" s="30">
        <f ca="1">INDEX(INDIRECT(zoneFichierTraite),$J224+offsetInitialFichierTraite,7)</f>
        <v>2</v>
      </c>
      <c r="F224" s="28">
        <f ca="1">INDEX(INDIRECT(zoneFichierTraite),$J224+offsetInitialFichierTraite,8)</f>
        <v>11.85</v>
      </c>
      <c r="G224" s="29">
        <f t="shared" ref="G224:G287" ca="1" si="793">ROUNDUP(F224*3,0)</f>
        <v>36</v>
      </c>
      <c r="H224" s="31" t="str">
        <f ca="1">IF(ISNUMBER(N224),codeEAN13(INT(N224/10)),"")</f>
        <v>8APASOG*ajaadd+</v>
      </c>
      <c r="I224" s="1" t="b">
        <f t="shared" ref="I224:I287" ca="1" si="794">AND(A227&lt;&gt;0,A225=A227)</f>
        <v>0</v>
      </c>
      <c r="J224" s="15">
        <f t="shared" si="706"/>
        <v>108</v>
      </c>
      <c r="K224" s="1">
        <f t="shared" ref="K224:K287" ca="1" si="795">A225</f>
        <v>215</v>
      </c>
      <c r="L224" s="5" t="str">
        <f ca="1">INDEX(INDIRECT(zoneFichierTraite),$J224+offsetInitialFichierTraite,1)</f>
        <v>'108</v>
      </c>
      <c r="M224" s="11">
        <f ca="1">INDEX(INDIRECT(zoneFichierTraite),$J224+offsetInitialFichierTraite,9)</f>
        <v>23.7</v>
      </c>
      <c r="N224" s="14">
        <f ca="1">INDEX(INDIRECT(zoneFichierTraite),$J224+offsetInitialFichierTraite,3)</f>
        <v>8050846090033</v>
      </c>
      <c r="O224" s="14"/>
      <c r="P224" s="56">
        <f ca="1">MATCH(N224,INDIRECT(nomFichierEAN13Valmag &amp; "!A:A"),0)</f>
        <v>688</v>
      </c>
      <c r="R224" s="50" t="str">
        <f t="shared" ref="R224:R287" ca="1" si="796">LEFT(B224,14)</f>
        <v>OBAGS001-TESBK</v>
      </c>
      <c r="S224" s="52">
        <f ca="1">MATCH($R224,INDIRECT(nomFichierEAN13ValmagUniq &amp; "!A:A"),0)</f>
        <v>178</v>
      </c>
      <c r="T224" s="49" t="str">
        <f ca="1">IFERROR(INDEX(INDIRECT(zoneFichierEAN13ValmagUniq),S224,2),"")</f>
        <v xml:space="preserve"> </v>
      </c>
      <c r="U224" s="52" t="e">
        <f ca="1">MATCH($R224,INDIRECT(nomFichierEAN13ValmagUniq &amp; "!A" &amp; (S224+1) &amp; ":A" &amp;  (S224+10)),0)</f>
        <v>#N/A</v>
      </c>
      <c r="V224" s="51" t="e">
        <f t="shared" ref="V224:V287" ca="1" si="797">U224+S224</f>
        <v>#N/A</v>
      </c>
      <c r="W224" s="49" t="str">
        <f ca="1">IFERROR(INDEX(INDIRECT(zoneFichierEAN13ValmagUniq),V224,2),"")</f>
        <v/>
      </c>
      <c r="X224" s="52" t="e">
        <f ca="1">MATCH($R224,INDIRECT(nomFichierEAN13ValmagUniq &amp; "!A" &amp; (V224+1) &amp; ":A" &amp;  (V224+10)),0)</f>
        <v>#N/A</v>
      </c>
      <c r="Y224" s="51" t="e">
        <f t="shared" ref="Y224:Y287" ca="1" si="798">X224+V224</f>
        <v>#N/A</v>
      </c>
      <c r="Z224" s="49" t="str">
        <f ca="1">IFERROR(INDEX(INDIRECT(zoneFichierEAN13ValmagUniq),Y224,2),"")</f>
        <v/>
      </c>
      <c r="AA224" s="53" t="str">
        <f t="shared" ref="AA224:AA287" ca="1" si="799">T224 &amp; IF(W224="","", " | " &amp; W224) &amp; IF(Z224="","", " | " &amp;Z224)</f>
        <v xml:space="preserve"> </v>
      </c>
      <c r="AC224" s="55">
        <f ca="1">MATCH(B224,INDIRECT(nomFichierFiltreCatalogue &amp; "!B:B"),0)</f>
        <v>373</v>
      </c>
      <c r="AD224" s="14"/>
    </row>
    <row r="225" spans="1:30" s="20" customFormat="1" ht="15.75" customHeight="1" x14ac:dyDescent="0.25">
      <c r="A225" s="25">
        <f ca="1">INDEX(INDIRECT(zoneFichierTraite),$J224+offsetInitialFichierTraite,2)</f>
        <v>215</v>
      </c>
      <c r="B225" s="57" t="str">
        <f ca="1">IF(ISERROR($P224),msgRefValmagAcreer,IF(INDEX(INDIRECT(zoneFichierEAN13Valmag),$P224,3) = "",msgCodeValmagVide, INDEX(INDIRECT(zoneFichierEAN13Valmag),$P224,3)))</f>
        <v xml:space="preserve"> </v>
      </c>
      <c r="C225" s="54" t="str">
        <f t="shared" ref="C225:C288" ca="1" si="800">AA224</f>
        <v xml:space="preserve"> </v>
      </c>
      <c r="D225" s="19" t="str">
        <f ca="1">IFERROR(INDEX(INDIRECT(zoneFichierEAN13Valmag),$P224,4),"")</f>
        <v xml:space="preserve"> </v>
      </c>
      <c r="E225" s="58" t="str">
        <f ca="1">IFERROR(INDEX(INDIRECT(zoneFichierFiltreCatalogue),AC224,3),"")</f>
        <v>p084-2-01</v>
      </c>
      <c r="F225" s="19"/>
      <c r="G225" s="18"/>
      <c r="H225" s="32" t="str">
        <f ca="1">IFERROR(INDEX(INDIRECT(zoneFichierFiltreCatalogue),AC224,6),"")</f>
        <v>fall 2019 presentation_/catalogo fall 19.txt</v>
      </c>
      <c r="S225" s="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</row>
    <row r="226" spans="1:30" ht="39" customHeight="1" thickBot="1" x14ac:dyDescent="0.65">
      <c r="A226" s="9" t="str">
        <f ca="1">INDEX(INDIRECT(zoneFichierTraite),$J226+offsetInitialFichierTraite,6)</f>
        <v>UNICA</v>
      </c>
      <c r="B226" s="5" t="str">
        <f ca="1">INDEX(INDIRECT(zoneFichierTraite),$J226+offsetInitialFichierTraite,4)</f>
        <v>OBAGS001-TESBK-137</v>
      </c>
      <c r="C226" s="26" t="str">
        <f ca="1">INDEX(INDIRECT(zoneFichierTraite),$J226+offsetInitialFichierTraite,5)</f>
        <v>POCHETTE INTERIEURE FERMETURE ECLAIR O BAG EN TISSU DOUDOUNE Ã€ CHEVRONS</v>
      </c>
      <c r="D226" s="27" t="str">
        <f ca="1">INDEX(INDIRECT(zoneFichierTraite),$J226+offsetInitialFichierTraite,13)</f>
        <v>bluette</v>
      </c>
      <c r="E226" s="30">
        <f ca="1">INDEX(INDIRECT(zoneFichierTraite),$J226+offsetInitialFichierTraite,7)</f>
        <v>2</v>
      </c>
      <c r="F226" s="28">
        <f ca="1">INDEX(INDIRECT(zoneFichierTraite),$J226+offsetInitialFichierTraite,8)</f>
        <v>11.85</v>
      </c>
      <c r="G226" s="29">
        <f t="shared" ref="G226:G289" ca="1" si="801">ROUNDUP(F226*3,0)</f>
        <v>36</v>
      </c>
      <c r="H226" s="31" t="str">
        <f ca="1">IF(ISNUMBER(N226),codeEAN13(INT(N226/10)),"")</f>
        <v>8APASOG*ajaacg+</v>
      </c>
      <c r="I226" s="1" t="b">
        <f t="shared" ref="I226:I289" ca="1" si="802">AND(A229&lt;&gt;0,A227=A229)</f>
        <v>0</v>
      </c>
      <c r="J226" s="15">
        <f t="shared" si="706"/>
        <v>109</v>
      </c>
      <c r="K226" s="1">
        <f t="shared" ref="K226:K289" ca="1" si="803">A227</f>
        <v>43</v>
      </c>
      <c r="L226" s="5" t="str">
        <f ca="1">INDEX(INDIRECT(zoneFichierTraite),$J226+offsetInitialFichierTraite,1)</f>
        <v>'109</v>
      </c>
      <c r="M226" s="11">
        <f ca="1">INDEX(INDIRECT(zoneFichierTraite),$J226+offsetInitialFichierTraite,9)</f>
        <v>23.7</v>
      </c>
      <c r="N226" s="14">
        <f ca="1">INDEX(INDIRECT(zoneFichierTraite),$J226+offsetInitialFichierTraite,3)</f>
        <v>8050846090026</v>
      </c>
      <c r="O226" s="14"/>
      <c r="P226" s="56">
        <f ca="1">MATCH(N226,INDIRECT(nomFichierEAN13Valmag &amp; "!A:A"),0)</f>
        <v>687</v>
      </c>
      <c r="R226" s="50" t="str">
        <f t="shared" ref="R226:R289" ca="1" si="804">LEFT(B226,14)</f>
        <v>OBAGS001-TESBK</v>
      </c>
      <c r="S226" s="52">
        <f ca="1">MATCH($R226,INDIRECT(nomFichierEAN13ValmagUniq &amp; "!A:A"),0)</f>
        <v>178</v>
      </c>
      <c r="T226" s="49" t="str">
        <f ca="1">IFERROR(INDEX(INDIRECT(zoneFichierEAN13ValmagUniq),S226,2),"")</f>
        <v xml:space="preserve"> </v>
      </c>
      <c r="U226" s="52" t="e">
        <f ca="1">MATCH($R226,INDIRECT(nomFichierEAN13ValmagUniq &amp; "!A" &amp; (S226+1) &amp; ":A" &amp;  (S226+10)),0)</f>
        <v>#N/A</v>
      </c>
      <c r="V226" s="51" t="e">
        <f t="shared" ref="V226:V289" ca="1" si="805">U226+S226</f>
        <v>#N/A</v>
      </c>
      <c r="W226" s="49" t="str">
        <f ca="1">IFERROR(INDEX(INDIRECT(zoneFichierEAN13ValmagUniq),V226,2),"")</f>
        <v/>
      </c>
      <c r="X226" s="52" t="e">
        <f ca="1">MATCH($R226,INDIRECT(nomFichierEAN13ValmagUniq &amp; "!A" &amp; (V226+1) &amp; ":A" &amp;  (V226+10)),0)</f>
        <v>#N/A</v>
      </c>
      <c r="Y226" s="51" t="e">
        <f t="shared" ref="Y226:Y289" ca="1" si="806">X226+V226</f>
        <v>#N/A</v>
      </c>
      <c r="Z226" s="49" t="str">
        <f ca="1">IFERROR(INDEX(INDIRECT(zoneFichierEAN13ValmagUniq),Y226,2),"")</f>
        <v/>
      </c>
      <c r="AA226" s="53" t="str">
        <f t="shared" ref="AA226:AA289" ca="1" si="807">T226 &amp; IF(W226="","", " | " &amp; W226) &amp; IF(Z226="","", " | " &amp;Z226)</f>
        <v xml:space="preserve"> </v>
      </c>
      <c r="AC226" s="55">
        <f ca="1">MATCH(B226,INDIRECT(nomFichierFiltreCatalogue &amp; "!B:B"),0)</f>
        <v>374</v>
      </c>
      <c r="AD226" s="14"/>
    </row>
    <row r="227" spans="1:30" s="20" customFormat="1" ht="15.75" customHeight="1" x14ac:dyDescent="0.25">
      <c r="A227" s="25">
        <f ca="1">INDEX(INDIRECT(zoneFichierTraite),$J226+offsetInitialFichierTraite,2)</f>
        <v>43</v>
      </c>
      <c r="B227" s="57" t="str">
        <f ca="1">IF(ISERROR($P226),msgRefValmagAcreer,IF(INDEX(INDIRECT(zoneFichierEAN13Valmag),$P226,3) = "",msgCodeValmagVide, INDEX(INDIRECT(zoneFichierEAN13Valmag),$P226,3)))</f>
        <v xml:space="preserve"> </v>
      </c>
      <c r="C227" s="54" t="str">
        <f t="shared" ref="C227:C290" ca="1" si="808">AA226</f>
        <v xml:space="preserve"> </v>
      </c>
      <c r="D227" s="19" t="str">
        <f ca="1">IFERROR(INDEX(INDIRECT(zoneFichierEAN13Valmag),$P226,4),"")</f>
        <v xml:space="preserve"> </v>
      </c>
      <c r="E227" s="58" t="str">
        <f ca="1">IFERROR(INDEX(INDIRECT(zoneFichierFiltreCatalogue),AC226,3),"")</f>
        <v>p084-2-02</v>
      </c>
      <c r="F227" s="19"/>
      <c r="G227" s="18"/>
      <c r="H227" s="32" t="str">
        <f ca="1">IFERROR(INDEX(INDIRECT(zoneFichierFiltreCatalogue),AC226,6),"")</f>
        <v>fall 2019 presentation_/catalogo fall 19.txt</v>
      </c>
      <c r="S227" s="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</row>
    <row r="228" spans="1:30" ht="39" customHeight="1" thickBot="1" x14ac:dyDescent="0.65">
      <c r="A228" s="9" t="str">
        <f ca="1">INDEX(INDIRECT(zoneFichierTraite),$J228+offsetInitialFichierTraite,6)</f>
        <v>UNICA</v>
      </c>
      <c r="B228" s="5" t="str">
        <f ca="1">INDEX(INDIRECT(zoneFichierTraite),$J228+offsetInitialFichierTraite,4)</f>
        <v>OBAGS001-TESD5-067</v>
      </c>
      <c r="C228" s="26" t="str">
        <f ca="1">INDEX(INDIRECT(zoneFichierTraite),$J228+offsetInitialFichierTraite,5)</f>
        <v>POCHETTE INTERIEURE FERMETURE ECLAIR O BAG EN MICROFIBRE COULEUR UNIE</v>
      </c>
      <c r="D228" s="27" t="str">
        <f ca="1">INDEX(INDIRECT(zoneFichierTraite),$J228+offsetInitialFichierTraite,13)</f>
        <v>phard</v>
      </c>
      <c r="E228" s="30">
        <f ca="1">INDEX(INDIRECT(zoneFichierTraite),$J228+offsetInitialFichierTraite,7)</f>
        <v>2</v>
      </c>
      <c r="F228" s="28">
        <f ca="1">INDEX(INDIRECT(zoneFichierTraite),$J228+offsetInitialFichierTraite,8)</f>
        <v>10.8</v>
      </c>
      <c r="G228" s="29">
        <f t="shared" ref="G228:G291" ca="1" si="809">ROUNDUP(F228*3,0)</f>
        <v>33</v>
      </c>
      <c r="H228" s="31" t="str">
        <f ca="1">IF(ISNUMBER(N228),codeEAN13(INT(N228/10)),"")</f>
        <v>8APASOG*ajaaac+</v>
      </c>
      <c r="I228" s="1" t="b">
        <f t="shared" ref="I228:I291" ca="1" si="810">AND(A231&lt;&gt;0,A229=A231)</f>
        <v>0</v>
      </c>
      <c r="J228" s="15">
        <f t="shared" si="706"/>
        <v>110</v>
      </c>
      <c r="K228" s="1">
        <f t="shared" ref="K228:K291" ca="1" si="811">A229</f>
        <v>88</v>
      </c>
      <c r="L228" s="5" t="str">
        <f ca="1">INDEX(INDIRECT(zoneFichierTraite),$J228+offsetInitialFichierTraite,1)</f>
        <v>'110</v>
      </c>
      <c r="M228" s="11">
        <f ca="1">INDEX(INDIRECT(zoneFichierTraite),$J228+offsetInitialFichierTraite,9)</f>
        <v>21.6</v>
      </c>
      <c r="N228" s="14">
        <f ca="1">INDEX(INDIRECT(zoneFichierTraite),$J228+offsetInitialFichierTraite,3)</f>
        <v>8050846090002</v>
      </c>
      <c r="O228" s="14"/>
      <c r="P228" s="56">
        <f ca="1">MATCH(N228,INDIRECT(nomFichierEAN13Valmag &amp; "!A:A"),0)</f>
        <v>685</v>
      </c>
      <c r="R228" s="50" t="str">
        <f t="shared" ref="R228:R291" ca="1" si="812">LEFT(B228,14)</f>
        <v>OBAGS001-TESD5</v>
      </c>
      <c r="S228" s="52">
        <f ca="1">MATCH($R228,INDIRECT(nomFichierEAN13ValmagUniq &amp; "!A:A"),0)</f>
        <v>180</v>
      </c>
      <c r="T228" s="49" t="str">
        <f ca="1">IFERROR(INDEX(INDIRECT(zoneFichierEAN13ValmagUniq),S228,2),"")</f>
        <v xml:space="preserve"> </v>
      </c>
      <c r="U228" s="52">
        <f ca="1">MATCH($R228,INDIRECT(nomFichierEAN13ValmagUniq &amp; "!A" &amp; (S228+1) &amp; ":A" &amp;  (S228+10)),0)</f>
        <v>1</v>
      </c>
      <c r="V228" s="51">
        <f t="shared" ref="V228:V291" ca="1" si="813">U228+S228</f>
        <v>181</v>
      </c>
      <c r="W228" s="49" t="str">
        <f ca="1">IFERROR(INDEX(INDIRECT(zoneFichierEAN13ValmagUniq),V228,2),"")</f>
        <v xml:space="preserve">CANVAS          </v>
      </c>
      <c r="X228" s="52" t="e">
        <f ca="1">MATCH($R228,INDIRECT(nomFichierEAN13ValmagUniq &amp; "!A" &amp; (V228+1) &amp; ":A" &amp;  (V228+10)),0)</f>
        <v>#N/A</v>
      </c>
      <c r="Y228" s="51" t="e">
        <f t="shared" ref="Y228:Y291" ca="1" si="814">X228+V228</f>
        <v>#N/A</v>
      </c>
      <c r="Z228" s="49" t="str">
        <f ca="1">IFERROR(INDEX(INDIRECT(zoneFichierEAN13ValmagUniq),Y228,2),"")</f>
        <v/>
      </c>
      <c r="AA228" s="53" t="str">
        <f t="shared" ref="AA228:AA291" ca="1" si="815">T228 &amp; IF(W228="","", " | " &amp; W228) &amp; IF(Z228="","", " | " &amp;Z228)</f>
        <v xml:space="preserve">  | CANVAS          </v>
      </c>
      <c r="AC228" s="55">
        <f ca="1">MATCH(B228,INDIRECT(nomFichierFiltreCatalogue &amp; "!B:B"),0)</f>
        <v>370</v>
      </c>
      <c r="AD228" s="14"/>
    </row>
    <row r="229" spans="1:30" s="20" customFormat="1" ht="15.75" customHeight="1" x14ac:dyDescent="0.25">
      <c r="A229" s="25">
        <f ca="1">INDEX(INDIRECT(zoneFichierTraite),$J228+offsetInitialFichierTraite,2)</f>
        <v>88</v>
      </c>
      <c r="B229" s="57" t="str">
        <f ca="1">IF(ISERROR($P228),msgRefValmagAcreer,IF(INDEX(INDIRECT(zoneFichierEAN13Valmag),$P228,3) = "",msgCodeValmagVide, INDEX(INDIRECT(zoneFichierEAN13Valmag),$P228,3)))</f>
        <v xml:space="preserve"> </v>
      </c>
      <c r="C229" s="54" t="str">
        <f t="shared" ref="C229:C292" ca="1" si="816">AA228</f>
        <v xml:space="preserve">  | CANVAS          </v>
      </c>
      <c r="D229" s="19" t="str">
        <f ca="1">IFERROR(INDEX(INDIRECT(zoneFichierEAN13Valmag),$P228,4),"")</f>
        <v xml:space="preserve"> </v>
      </c>
      <c r="E229" s="58" t="str">
        <f ca="1">IFERROR(INDEX(INDIRECT(zoneFichierFiltreCatalogue),AC228,3),"")</f>
        <v>p082-2-06</v>
      </c>
      <c r="F229" s="19"/>
      <c r="G229" s="18"/>
      <c r="H229" s="32" t="str">
        <f ca="1">IFERROR(INDEX(INDIRECT(zoneFichierFiltreCatalogue),AC228,6),"")</f>
        <v>fall 2019 presentation_/catalogo fall 19.txt</v>
      </c>
      <c r="S229" s="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</row>
    <row r="230" spans="1:30" ht="39" customHeight="1" thickBot="1" x14ac:dyDescent="0.65">
      <c r="A230" s="9" t="str">
        <f ca="1">INDEX(INDIRECT(zoneFichierTraite),$J230+offsetInitialFichierTraite,6)</f>
        <v>UNICA</v>
      </c>
      <c r="B230" s="5" t="str">
        <f ca="1">INDEX(INDIRECT(zoneFichierTraite),$J230+offsetInitialFichierTraite,4)</f>
        <v>OBAGS001-TESD5-615</v>
      </c>
      <c r="C230" s="26" t="str">
        <f ca="1">INDEX(INDIRECT(zoneFichierTraite),$J230+offsetInitialFichierTraite,5)</f>
        <v>POCHETTE INTERIEURE FERMETURE ECLAIR O BAG EN MICROFIBRE COULEUR UNIE</v>
      </c>
      <c r="D230" s="27" t="str">
        <f ca="1">INDEX(INDIRECT(zoneFichierTraite),$J230+offsetInitialFichierTraite,13)</f>
        <v>military</v>
      </c>
      <c r="E230" s="30">
        <f ca="1">INDEX(INDIRECT(zoneFichierTraite),$J230+offsetInitialFichierTraite,7)</f>
        <v>2</v>
      </c>
      <c r="F230" s="28">
        <f ca="1">INDEX(INDIRECT(zoneFichierTraite),$J230+offsetInitialFichierTraite,8)</f>
        <v>10.8</v>
      </c>
      <c r="G230" s="29">
        <f t="shared" ref="G230:G293" ca="1" si="817">ROUNDUP(F230*3,0)</f>
        <v>33</v>
      </c>
      <c r="H230" s="31" t="str">
        <f ca="1">IF(ISNUMBER(N230),codeEAN13(INT(N230/10)),"")</f>
        <v>8APASOG*aijjja+</v>
      </c>
      <c r="I230" s="1" t="b">
        <f t="shared" ref="I230:I293" ca="1" si="818">AND(A233&lt;&gt;0,A231=A233)</f>
        <v>0</v>
      </c>
      <c r="J230" s="15">
        <f t="shared" si="706"/>
        <v>111</v>
      </c>
      <c r="K230" s="1">
        <f t="shared" ref="K230:K293" ca="1" si="819">A231</f>
        <v>129</v>
      </c>
      <c r="L230" s="5" t="str">
        <f ca="1">INDEX(INDIRECT(zoneFichierTraite),$J230+offsetInitialFichierTraite,1)</f>
        <v>'111</v>
      </c>
      <c r="M230" s="11">
        <f ca="1">INDEX(INDIRECT(zoneFichierTraite),$J230+offsetInitialFichierTraite,9)</f>
        <v>21.6</v>
      </c>
      <c r="N230" s="14">
        <f ca="1">INDEX(INDIRECT(zoneFichierTraite),$J230+offsetInitialFichierTraite,3)</f>
        <v>8050846089990</v>
      </c>
      <c r="O230" s="14"/>
      <c r="P230" s="56">
        <f ca="1">MATCH(N230,INDIRECT(nomFichierEAN13Valmag &amp; "!A:A"),0)</f>
        <v>684</v>
      </c>
      <c r="R230" s="50" t="str">
        <f t="shared" ref="R230:R293" ca="1" si="820">LEFT(B230,14)</f>
        <v>OBAGS001-TESD5</v>
      </c>
      <c r="S230" s="52">
        <f ca="1">MATCH($R230,INDIRECT(nomFichierEAN13ValmagUniq &amp; "!A:A"),0)</f>
        <v>180</v>
      </c>
      <c r="T230" s="49" t="str">
        <f ca="1">IFERROR(INDEX(INDIRECT(zoneFichierEAN13ValmagUniq),S230,2),"")</f>
        <v xml:space="preserve"> </v>
      </c>
      <c r="U230" s="52">
        <f ca="1">MATCH($R230,INDIRECT(nomFichierEAN13ValmagUniq &amp; "!A" &amp; (S230+1) &amp; ":A" &amp;  (S230+10)),0)</f>
        <v>1</v>
      </c>
      <c r="V230" s="51">
        <f t="shared" ref="V230:V293" ca="1" si="821">U230+S230</f>
        <v>181</v>
      </c>
      <c r="W230" s="49" t="str">
        <f ca="1">IFERROR(INDEX(INDIRECT(zoneFichierEAN13ValmagUniq),V230,2),"")</f>
        <v xml:space="preserve">CANVAS          </v>
      </c>
      <c r="X230" s="52" t="e">
        <f ca="1">MATCH($R230,INDIRECT(nomFichierEAN13ValmagUniq &amp; "!A" &amp; (V230+1) &amp; ":A" &amp;  (V230+10)),0)</f>
        <v>#N/A</v>
      </c>
      <c r="Y230" s="51" t="e">
        <f t="shared" ref="Y230:Y293" ca="1" si="822">X230+V230</f>
        <v>#N/A</v>
      </c>
      <c r="Z230" s="49" t="str">
        <f ca="1">IFERROR(INDEX(INDIRECT(zoneFichierEAN13ValmagUniq),Y230,2),"")</f>
        <v/>
      </c>
      <c r="AA230" s="53" t="str">
        <f t="shared" ref="AA230:AA293" ca="1" si="823">T230 &amp; IF(W230="","", " | " &amp; W230) &amp; IF(Z230="","", " | " &amp;Z230)</f>
        <v xml:space="preserve">  | CANVAS          </v>
      </c>
      <c r="AC230" s="55">
        <f ca="1">MATCH(B230,INDIRECT(nomFichierFiltreCatalogue &amp; "!B:B"),0)</f>
        <v>371</v>
      </c>
      <c r="AD230" s="14"/>
    </row>
    <row r="231" spans="1:30" s="20" customFormat="1" ht="15.75" customHeight="1" x14ac:dyDescent="0.25">
      <c r="A231" s="25">
        <f ca="1">INDEX(INDIRECT(zoneFichierTraite),$J230+offsetInitialFichierTraite,2)</f>
        <v>129</v>
      </c>
      <c r="B231" s="57" t="str">
        <f ca="1">IF(ISERROR($P230),msgRefValmagAcreer,IF(INDEX(INDIRECT(zoneFichierEAN13Valmag),$P230,3) = "",msgCodeValmagVide, INDEX(INDIRECT(zoneFichierEAN13Valmag),$P230,3)))</f>
        <v xml:space="preserve"> </v>
      </c>
      <c r="C231" s="54" t="str">
        <f t="shared" ref="C231:C294" ca="1" si="824">AA230</f>
        <v xml:space="preserve">  | CANVAS          </v>
      </c>
      <c r="D231" s="19" t="str">
        <f ca="1">IFERROR(INDEX(INDIRECT(zoneFichierEAN13Valmag),$P230,4),"")</f>
        <v xml:space="preserve"> </v>
      </c>
      <c r="E231" s="58" t="str">
        <f ca="1">IFERROR(INDEX(INDIRECT(zoneFichierFiltreCatalogue),AC230,3),"")</f>
        <v>p082-2-07</v>
      </c>
      <c r="F231" s="19"/>
      <c r="G231" s="18"/>
      <c r="H231" s="32" t="str">
        <f ca="1">IFERROR(INDEX(INDIRECT(zoneFichierFiltreCatalogue),AC230,6),"")</f>
        <v>fall 2019 presentation_/catalogo fall 19.txt</v>
      </c>
      <c r="S231" s="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</row>
    <row r="232" spans="1:30" ht="39" customHeight="1" thickBot="1" x14ac:dyDescent="0.65">
      <c r="A232" s="9" t="str">
        <f ca="1">INDEX(INDIRECT(zoneFichierTraite),$J232+offsetInitialFichierTraite,6)</f>
        <v>UNICA</v>
      </c>
      <c r="B232" s="5" t="str">
        <f ca="1">INDEX(INDIRECT(zoneFichierTraite),$J232+offsetInitialFichierTraite,4)</f>
        <v>OBAGS002-TES01-008</v>
      </c>
      <c r="C232" s="26" t="str">
        <f ca="1">INDEX(INDIRECT(zoneFichierTraite),$J232+offsetInitialFichierTraite,5)</f>
        <v>POCHETTE INTERIEURE FERMETURE ECLAIR O BAG MINI EN TISSU CANVAS</v>
      </c>
      <c r="D232" s="27" t="str">
        <f ca="1">INDEX(INDIRECT(zoneFichierTraite),$J232+offsetInitialFichierTraite,13)</f>
        <v>bianco</v>
      </c>
      <c r="E232" s="30">
        <f ca="1">INDEX(INDIRECT(zoneFichierTraite),$J232+offsetInitialFichierTraite,7)</f>
        <v>3</v>
      </c>
      <c r="F232" s="28">
        <f ca="1">INDEX(INDIRECT(zoneFichierTraite),$J232+offsetInitialFichierTraite,8)</f>
        <v>7.08</v>
      </c>
      <c r="G232" s="29">
        <f t="shared" ref="G232:G295" ca="1" si="825">ROUNDUP(F232*3,0)</f>
        <v>22</v>
      </c>
      <c r="H232" s="31" t="str">
        <f ca="1">IF(ISNUMBER(N232),codeEAN13(INT(N232/10)),"")</f>
        <v>8APAOPA*cbaged+</v>
      </c>
      <c r="I232" s="1" t="b">
        <f t="shared" ref="I232:I295" ca="1" si="826">AND(A235&lt;&gt;0,A233=A235)</f>
        <v>0</v>
      </c>
      <c r="J232" s="15">
        <f t="shared" si="706"/>
        <v>112</v>
      </c>
      <c r="K232" s="1">
        <f t="shared" ref="K232:K295" ca="1" si="827">A233</f>
        <v>34</v>
      </c>
      <c r="L232" s="5" t="str">
        <f ca="1">INDEX(INDIRECT(zoneFichierTraite),$J232+offsetInitialFichierTraite,1)</f>
        <v>'112</v>
      </c>
      <c r="M232" s="11">
        <f ca="1">INDEX(INDIRECT(zoneFichierTraite),$J232+offsetInitialFichierTraite,9)</f>
        <v>21.24</v>
      </c>
      <c r="N232" s="14">
        <f ca="1">INDEX(INDIRECT(zoneFichierTraite),$J232+offsetInitialFichierTraite,3)</f>
        <v>8050450210643</v>
      </c>
      <c r="O232" s="14"/>
      <c r="P232" s="56">
        <f ca="1">MATCH(N232,INDIRECT(nomFichierEAN13Valmag &amp; "!A:A"),0)</f>
        <v>8</v>
      </c>
      <c r="R232" s="50" t="str">
        <f t="shared" ref="R232:R295" ca="1" si="828">LEFT(B232,14)</f>
        <v>OBAGS002-TES01</v>
      </c>
      <c r="S232" s="52">
        <f ca="1">MATCH($R232,INDIRECT(nomFichierEAN13ValmagUniq &amp; "!A:A"),0)</f>
        <v>182</v>
      </c>
      <c r="T232" s="49" t="str">
        <f ca="1">IFERROR(INDEX(INDIRECT(zoneFichierEAN13ValmagUniq),S232,2),"")</f>
        <v xml:space="preserve"> </v>
      </c>
      <c r="U232" s="52">
        <f ca="1">MATCH($R232,INDIRECT(nomFichierEAN13ValmagUniq &amp; "!A" &amp; (S232+1) &amp; ":A" &amp;  (S232+10)),0)</f>
        <v>1</v>
      </c>
      <c r="V232" s="51">
        <f t="shared" ref="V232:V295" ca="1" si="829">U232+S232</f>
        <v>183</v>
      </c>
      <c r="W232" s="49" t="str">
        <f ca="1">IFERROR(INDEX(INDIRECT(zoneFichierEAN13ValmagUniq),V232,2),"")</f>
        <v xml:space="preserve">MINICANVAS      </v>
      </c>
      <c r="X232" s="52" t="e">
        <f ca="1">MATCH($R232,INDIRECT(nomFichierEAN13ValmagUniq &amp; "!A" &amp; (V232+1) &amp; ":A" &amp;  (V232+10)),0)</f>
        <v>#N/A</v>
      </c>
      <c r="Y232" s="51" t="e">
        <f t="shared" ref="Y232:Y295" ca="1" si="830">X232+V232</f>
        <v>#N/A</v>
      </c>
      <c r="Z232" s="49" t="str">
        <f ca="1">IFERROR(INDEX(INDIRECT(zoneFichierEAN13ValmagUniq),Y232,2),"")</f>
        <v/>
      </c>
      <c r="AA232" s="53" t="str">
        <f t="shared" ref="AA232:AA295" ca="1" si="831">T232 &amp; IF(W232="","", " | " &amp; W232) &amp; IF(Z232="","", " | " &amp;Z232)</f>
        <v xml:space="preserve">  | MINICANVAS      </v>
      </c>
      <c r="AC232" s="55">
        <f ca="1">MATCH(B232,INDIRECT(nomFichierFiltreCatalogue &amp; "!B:B"),0)</f>
        <v>388</v>
      </c>
      <c r="AD232" s="14"/>
    </row>
    <row r="233" spans="1:30" s="20" customFormat="1" ht="15.75" customHeight="1" x14ac:dyDescent="0.25">
      <c r="A233" s="25">
        <f ca="1">INDEX(INDIRECT(zoneFichierTraite),$J232+offsetInitialFichierTraite,2)</f>
        <v>34</v>
      </c>
      <c r="B233" s="57" t="str">
        <f ca="1">IF(ISERROR($P232),msgRefValmagAcreer,IF(INDEX(INDIRECT(zoneFichierEAN13Valmag),$P232,3) = "",msgCodeValmagVide, INDEX(INDIRECT(zoneFichierEAN13Valmag),$P232,3)))</f>
        <v xml:space="preserve">MINICANVAS      </v>
      </c>
      <c r="C233" s="54" t="str">
        <f t="shared" ref="C233:C296" ca="1" si="832">AA232</f>
        <v xml:space="preserve">  | MINICANVAS      </v>
      </c>
      <c r="D233" s="19" t="str">
        <f ca="1">IFERROR(INDEX(INDIRECT(zoneFichierEAN13Valmag),$P232,4),"")</f>
        <v>WHITE</v>
      </c>
      <c r="E233" s="58" t="str">
        <f ca="1">IFERROR(INDEX(INDIRECT(zoneFichierFiltreCatalogue),AC232,3),"")</f>
        <v>p089-1-02</v>
      </c>
      <c r="F233" s="19"/>
      <c r="G233" s="18"/>
      <c r="H233" s="32" t="str">
        <f ca="1">IFERROR(INDEX(INDIRECT(zoneFichierFiltreCatalogue),AC232,6),"")</f>
        <v>fall 2019 presentation_/catalogo fall 19.txt</v>
      </c>
      <c r="S233" s="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</row>
    <row r="234" spans="1:30" ht="39" customHeight="1" thickBot="1" x14ac:dyDescent="0.65">
      <c r="A234" s="9" t="str">
        <f ca="1">INDEX(INDIRECT(zoneFichierTraite),$J234+offsetInitialFichierTraite,6)</f>
        <v>UNICA</v>
      </c>
      <c r="B234" s="5" t="str">
        <f ca="1">INDEX(INDIRECT(zoneFichierTraite),$J234+offsetInitialFichierTraite,4)</f>
        <v>OBAGS002-TES01-009</v>
      </c>
      <c r="C234" s="26" t="str">
        <f ca="1">INDEX(INDIRECT(zoneFichierTraite),$J234+offsetInitialFichierTraite,5)</f>
        <v>POCHETTE INTERIEURE FERMETURE ECLAIR O BAG MINI EN TISSU CANVAS</v>
      </c>
      <c r="D234" s="27" t="str">
        <f ca="1">INDEX(INDIRECT(zoneFichierTraite),$J234+offsetInitialFichierTraite,13)</f>
        <v>blu</v>
      </c>
      <c r="E234" s="30">
        <f ca="1">INDEX(INDIRECT(zoneFichierTraite),$J234+offsetInitialFichierTraite,7)</f>
        <v>3</v>
      </c>
      <c r="F234" s="28">
        <f ca="1">INDEX(INDIRECT(zoneFichierTraite),$J234+offsetInitialFichierTraite,8)</f>
        <v>7.08</v>
      </c>
      <c r="G234" s="29">
        <f t="shared" ref="G234:G297" ca="1" si="833">ROUNDUP(F234*3,0)</f>
        <v>22</v>
      </c>
      <c r="H234" s="31" t="str">
        <f ca="1">IF(ISNUMBER(N234),codeEAN13(INT(N234/10)),"")</f>
        <v>8APITSD*fjifae+</v>
      </c>
      <c r="I234" s="1" t="b">
        <f t="shared" ref="I234:I297" ca="1" si="834">AND(A237&lt;&gt;0,A235=A237)</f>
        <v>0</v>
      </c>
      <c r="J234" s="15">
        <f t="shared" si="706"/>
        <v>113</v>
      </c>
      <c r="K234" s="1">
        <f t="shared" ref="K234:K297" ca="1" si="835">A235</f>
        <v>160</v>
      </c>
      <c r="L234" s="5" t="str">
        <f ca="1">INDEX(INDIRECT(zoneFichierTraite),$J234+offsetInitialFichierTraite,1)</f>
        <v>'113</v>
      </c>
      <c r="M234" s="11">
        <f ca="1">INDEX(INDIRECT(zoneFichierTraite),$J234+offsetInitialFichierTraite,9)</f>
        <v>21.24</v>
      </c>
      <c r="N234" s="14">
        <f ca="1">INDEX(INDIRECT(zoneFichierTraite),$J234+offsetInitialFichierTraite,3)</f>
        <v>8058983598504</v>
      </c>
      <c r="O234" s="14"/>
      <c r="P234" s="56">
        <f ca="1">MATCH(N234,INDIRECT(nomFichierEAN13Valmag &amp; "!A:A"),0)</f>
        <v>1143</v>
      </c>
      <c r="R234" s="50" t="str">
        <f t="shared" ref="R234:R297" ca="1" si="836">LEFT(B234,14)</f>
        <v>OBAGS002-TES01</v>
      </c>
      <c r="S234" s="52">
        <f ca="1">MATCH($R234,INDIRECT(nomFichierEAN13ValmagUniq &amp; "!A:A"),0)</f>
        <v>182</v>
      </c>
      <c r="T234" s="49" t="str">
        <f ca="1">IFERROR(INDEX(INDIRECT(zoneFichierEAN13ValmagUniq),S234,2),"")</f>
        <v xml:space="preserve"> </v>
      </c>
      <c r="U234" s="52">
        <f ca="1">MATCH($R234,INDIRECT(nomFichierEAN13ValmagUniq &amp; "!A" &amp; (S234+1) &amp; ":A" &amp;  (S234+10)),0)</f>
        <v>1</v>
      </c>
      <c r="V234" s="51">
        <f t="shared" ref="V234:V297" ca="1" si="837">U234+S234</f>
        <v>183</v>
      </c>
      <c r="W234" s="49" t="str">
        <f ca="1">IFERROR(INDEX(INDIRECT(zoneFichierEAN13ValmagUniq),V234,2),"")</f>
        <v xml:space="preserve">MINICANVAS      </v>
      </c>
      <c r="X234" s="52" t="e">
        <f ca="1">MATCH($R234,INDIRECT(nomFichierEAN13ValmagUniq &amp; "!A" &amp; (V234+1) &amp; ":A" &amp;  (V234+10)),0)</f>
        <v>#N/A</v>
      </c>
      <c r="Y234" s="51" t="e">
        <f t="shared" ref="Y234:Y297" ca="1" si="838">X234+V234</f>
        <v>#N/A</v>
      </c>
      <c r="Z234" s="49" t="str">
        <f ca="1">IFERROR(INDEX(INDIRECT(zoneFichierEAN13ValmagUniq),Y234,2),"")</f>
        <v/>
      </c>
      <c r="AA234" s="53" t="str">
        <f t="shared" ref="AA234:AA297" ca="1" si="839">T234 &amp; IF(W234="","", " | " &amp; W234) &amp; IF(Z234="","", " | " &amp;Z234)</f>
        <v xml:space="preserve">  | MINICANVAS      </v>
      </c>
      <c r="AC234" s="55">
        <f ca="1">MATCH(B234,INDIRECT(nomFichierFiltreCatalogue &amp; "!B:B"),0)</f>
        <v>390</v>
      </c>
      <c r="AD234" s="14"/>
    </row>
    <row r="235" spans="1:30" s="20" customFormat="1" ht="15.75" customHeight="1" x14ac:dyDescent="0.25">
      <c r="A235" s="25">
        <f ca="1">INDEX(INDIRECT(zoneFichierTraite),$J234+offsetInitialFichierTraite,2)</f>
        <v>160</v>
      </c>
      <c r="B235" s="57" t="str">
        <f ca="1">IF(ISERROR($P234),msgRefValmagAcreer,IF(INDEX(INDIRECT(zoneFichierEAN13Valmag),$P234,3) = "",msgCodeValmagVide, INDEX(INDIRECT(zoneFichierEAN13Valmag),$P234,3)))</f>
        <v xml:space="preserve">MINICANVAS      </v>
      </c>
      <c r="C235" s="54" t="str">
        <f t="shared" ref="C235:C298" ca="1" si="840">AA234</f>
        <v xml:space="preserve">  | MINICANVAS      </v>
      </c>
      <c r="D235" s="19" t="str">
        <f ca="1">IFERROR(INDEX(INDIRECT(zoneFichierEAN13Valmag),$P234,4),"")</f>
        <v xml:space="preserve">BLUE </v>
      </c>
      <c r="E235" s="58" t="str">
        <f ca="1">IFERROR(INDEX(INDIRECT(zoneFichierFiltreCatalogue),AC234,3),"")</f>
        <v>p089-1-04</v>
      </c>
      <c r="F235" s="19"/>
      <c r="G235" s="18"/>
      <c r="H235" s="32" t="str">
        <f ca="1">IFERROR(INDEX(INDIRECT(zoneFichierFiltreCatalogue),AC234,6),"")</f>
        <v>fall 2019 presentation_/catalogo fall 19.txt</v>
      </c>
      <c r="S235" s="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</row>
    <row r="236" spans="1:30" ht="39" customHeight="1" thickBot="1" x14ac:dyDescent="0.65">
      <c r="A236" s="9" t="str">
        <f ca="1">INDEX(INDIRECT(zoneFichierTraite),$J236+offsetInitialFichierTraite,6)</f>
        <v>UNICA</v>
      </c>
      <c r="B236" s="5" t="str">
        <f ca="1">INDEX(INDIRECT(zoneFichierTraite),$J236+offsetInitialFichierTraite,4)</f>
        <v>OBAGS002-TES01-054</v>
      </c>
      <c r="C236" s="26" t="str">
        <f ca="1">INDEX(INDIRECT(zoneFichierTraite),$J236+offsetInitialFichierTraite,5)</f>
        <v>POCHETTE INTERIEURE FERMETURE ECLAIR O BAG MINI EN TISSU CANVAS</v>
      </c>
      <c r="D236" s="27" t="str">
        <f ca="1">INDEX(INDIRECT(zoneFichierTraite),$J236+offsetInitialFichierTraite,13)</f>
        <v>naturale</v>
      </c>
      <c r="E236" s="30">
        <f ca="1">INDEX(INDIRECT(zoneFichierTraite),$J236+offsetInitialFichierTraite,7)</f>
        <v>4</v>
      </c>
      <c r="F236" s="28">
        <f ca="1">INDEX(INDIRECT(zoneFichierTraite),$J236+offsetInitialFichierTraite,8)</f>
        <v>7.08</v>
      </c>
      <c r="G236" s="29">
        <f t="shared" ref="G236:G299" ca="1" si="841">ROUNDUP(F236*3,0)</f>
        <v>22</v>
      </c>
      <c r="H236" s="31" t="str">
        <f ca="1">IF(ISNUMBER(N236),codeEAN13(INT(N236/10)),"")</f>
        <v>8APAOPA*cbagdg+</v>
      </c>
      <c r="I236" s="1" t="b">
        <f t="shared" ref="I236:I299" ca="1" si="842">AND(A239&lt;&gt;0,A237=A239)</f>
        <v>0</v>
      </c>
      <c r="J236" s="15">
        <f t="shared" si="706"/>
        <v>114</v>
      </c>
      <c r="K236" s="1">
        <f t="shared" ref="K236:K299" ca="1" si="843">A237</f>
        <v>70</v>
      </c>
      <c r="L236" s="5" t="str">
        <f ca="1">INDEX(INDIRECT(zoneFichierTraite),$J236+offsetInitialFichierTraite,1)</f>
        <v>'114</v>
      </c>
      <c r="M236" s="11">
        <f ca="1">INDEX(INDIRECT(zoneFichierTraite),$J236+offsetInitialFichierTraite,9)</f>
        <v>28.32</v>
      </c>
      <c r="N236" s="14">
        <f ca="1">INDEX(INDIRECT(zoneFichierTraite),$J236+offsetInitialFichierTraite,3)</f>
        <v>8050450210636</v>
      </c>
      <c r="O236" s="14"/>
      <c r="P236" s="56">
        <f ca="1">MATCH(N236,INDIRECT(nomFichierEAN13Valmag &amp; "!A:A"),0)</f>
        <v>7</v>
      </c>
      <c r="R236" s="50" t="str">
        <f t="shared" ref="R236:R299" ca="1" si="844">LEFT(B236,14)</f>
        <v>OBAGS002-TES01</v>
      </c>
      <c r="S236" s="52">
        <f ca="1">MATCH($R236,INDIRECT(nomFichierEAN13ValmagUniq &amp; "!A:A"),0)</f>
        <v>182</v>
      </c>
      <c r="T236" s="49" t="str">
        <f ca="1">IFERROR(INDEX(INDIRECT(zoneFichierEAN13ValmagUniq),S236,2),"")</f>
        <v xml:space="preserve"> </v>
      </c>
      <c r="U236" s="52">
        <f ca="1">MATCH($R236,INDIRECT(nomFichierEAN13ValmagUniq &amp; "!A" &amp; (S236+1) &amp; ":A" &amp;  (S236+10)),0)</f>
        <v>1</v>
      </c>
      <c r="V236" s="51">
        <f t="shared" ref="V236:V299" ca="1" si="845">U236+S236</f>
        <v>183</v>
      </c>
      <c r="W236" s="49" t="str">
        <f ca="1">IFERROR(INDEX(INDIRECT(zoneFichierEAN13ValmagUniq),V236,2),"")</f>
        <v xml:space="preserve">MINICANVAS      </v>
      </c>
      <c r="X236" s="52" t="e">
        <f ca="1">MATCH($R236,INDIRECT(nomFichierEAN13ValmagUniq &amp; "!A" &amp; (V236+1) &amp; ":A" &amp;  (V236+10)),0)</f>
        <v>#N/A</v>
      </c>
      <c r="Y236" s="51" t="e">
        <f t="shared" ref="Y236:Y299" ca="1" si="846">X236+V236</f>
        <v>#N/A</v>
      </c>
      <c r="Z236" s="49" t="str">
        <f ca="1">IFERROR(INDEX(INDIRECT(zoneFichierEAN13ValmagUniq),Y236,2),"")</f>
        <v/>
      </c>
      <c r="AA236" s="53" t="str">
        <f t="shared" ref="AA236:AA299" ca="1" si="847">T236 &amp; IF(W236="","", " | " &amp; W236) &amp; IF(Z236="","", " | " &amp;Z236)</f>
        <v xml:space="preserve">  | MINICANVAS      </v>
      </c>
      <c r="AC236" s="55">
        <f ca="1">MATCH(B236,INDIRECT(nomFichierFiltreCatalogue &amp; "!B:B"),0)</f>
        <v>391</v>
      </c>
      <c r="AD236" s="14"/>
    </row>
    <row r="237" spans="1:30" s="20" customFormat="1" ht="15.75" customHeight="1" x14ac:dyDescent="0.25">
      <c r="A237" s="25">
        <f ca="1">INDEX(INDIRECT(zoneFichierTraite),$J236+offsetInitialFichierTraite,2)</f>
        <v>70</v>
      </c>
      <c r="B237" s="57" t="str">
        <f ca="1">IF(ISERROR($P236),msgRefValmagAcreer,IF(INDEX(INDIRECT(zoneFichierEAN13Valmag),$P236,3) = "",msgCodeValmagVide, INDEX(INDIRECT(zoneFichierEAN13Valmag),$P236,3)))</f>
        <v xml:space="preserve">MINICANVAS      </v>
      </c>
      <c r="C237" s="54" t="str">
        <f t="shared" ref="C237:C300" ca="1" si="848">AA236</f>
        <v xml:space="preserve">  | MINICANVAS      </v>
      </c>
      <c r="D237" s="19" t="str">
        <f ca="1">IFERROR(INDEX(INDIRECT(zoneFichierEAN13Valmag),$P236,4),"")</f>
        <v>NATUR</v>
      </c>
      <c r="E237" s="58" t="str">
        <f ca="1">IFERROR(INDEX(INDIRECT(zoneFichierFiltreCatalogue),AC236,3),"")</f>
        <v>p089-1-05</v>
      </c>
      <c r="F237" s="19"/>
      <c r="G237" s="18"/>
      <c r="H237" s="32" t="str">
        <f ca="1">IFERROR(INDEX(INDIRECT(zoneFichierFiltreCatalogue),AC236,6),"")</f>
        <v>fall 2019 presentation_/catalogo fall 19.txt</v>
      </c>
      <c r="S237" s="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</row>
    <row r="238" spans="1:30" ht="39" customHeight="1" thickBot="1" x14ac:dyDescent="0.65">
      <c r="A238" s="9" t="str">
        <f ca="1">INDEX(INDIRECT(zoneFichierTraite),$J238+offsetInitialFichierTraite,6)</f>
        <v>UNICA</v>
      </c>
      <c r="B238" s="5" t="str">
        <f ca="1">INDEX(INDIRECT(zoneFichierTraite),$J238+offsetInitialFichierTraite,4)</f>
        <v>OBAGS002-TES01-055</v>
      </c>
      <c r="C238" s="26" t="str">
        <f ca="1">INDEX(INDIRECT(zoneFichierTraite),$J238+offsetInitialFichierTraite,5)</f>
        <v>POCHETTE INTERIEURE FERMETURE ECLAIR O BAG MINI EN TISSU CANVAS</v>
      </c>
      <c r="D238" s="27" t="str">
        <f ca="1">INDEX(INDIRECT(zoneFichierTraite),$J238+offsetInitialFichierTraite,13)</f>
        <v>nero</v>
      </c>
      <c r="E238" s="30">
        <f ca="1">INDEX(INDIRECT(zoneFichierTraite),$J238+offsetInitialFichierTraite,7)</f>
        <v>4</v>
      </c>
      <c r="F238" s="28">
        <f ca="1">INDEX(INDIRECT(zoneFichierTraite),$J238+offsetInitialFichierTraite,8)</f>
        <v>7.08</v>
      </c>
      <c r="G238" s="29">
        <f t="shared" ref="G238:G301" ca="1" si="849">ROUNDUP(F238*3,0)</f>
        <v>22</v>
      </c>
      <c r="H238" s="31" t="str">
        <f ca="1">IF(ISNUMBER(N238),codeEAN13(INT(N238/10)),"")</f>
        <v>8APAOPA*cbagcj+</v>
      </c>
      <c r="I238" s="1" t="b">
        <f t="shared" ref="I238:I301" ca="1" si="850">AND(A241&lt;&gt;0,A239=A241)</f>
        <v>0</v>
      </c>
      <c r="J238" s="15">
        <f t="shared" si="706"/>
        <v>115</v>
      </c>
      <c r="K238" s="1">
        <f t="shared" ref="K238:K301" ca="1" si="851">A239</f>
        <v>101</v>
      </c>
      <c r="L238" s="5" t="str">
        <f ca="1">INDEX(INDIRECT(zoneFichierTraite),$J238+offsetInitialFichierTraite,1)</f>
        <v>'115</v>
      </c>
      <c r="M238" s="11">
        <f ca="1">INDEX(INDIRECT(zoneFichierTraite),$J238+offsetInitialFichierTraite,9)</f>
        <v>28.32</v>
      </c>
      <c r="N238" s="14">
        <f ca="1">INDEX(INDIRECT(zoneFichierTraite),$J238+offsetInitialFichierTraite,3)</f>
        <v>8050450210629</v>
      </c>
      <c r="O238" s="14"/>
      <c r="P238" s="56">
        <f ca="1">MATCH(N238,INDIRECT(nomFichierEAN13Valmag &amp; "!A:A"),0)</f>
        <v>6</v>
      </c>
      <c r="R238" s="50" t="str">
        <f t="shared" ref="R238:R301" ca="1" si="852">LEFT(B238,14)</f>
        <v>OBAGS002-TES01</v>
      </c>
      <c r="S238" s="52">
        <f ca="1">MATCH($R238,INDIRECT(nomFichierEAN13ValmagUniq &amp; "!A:A"),0)</f>
        <v>182</v>
      </c>
      <c r="T238" s="49" t="str">
        <f ca="1">IFERROR(INDEX(INDIRECT(zoneFichierEAN13ValmagUniq),S238,2),"")</f>
        <v xml:space="preserve"> </v>
      </c>
      <c r="U238" s="52">
        <f ca="1">MATCH($R238,INDIRECT(nomFichierEAN13ValmagUniq &amp; "!A" &amp; (S238+1) &amp; ":A" &amp;  (S238+10)),0)</f>
        <v>1</v>
      </c>
      <c r="V238" s="51">
        <f t="shared" ref="V238:V301" ca="1" si="853">U238+S238</f>
        <v>183</v>
      </c>
      <c r="W238" s="49" t="str">
        <f ca="1">IFERROR(INDEX(INDIRECT(zoneFichierEAN13ValmagUniq),V238,2),"")</f>
        <v xml:space="preserve">MINICANVAS      </v>
      </c>
      <c r="X238" s="52" t="e">
        <f ca="1">MATCH($R238,INDIRECT(nomFichierEAN13ValmagUniq &amp; "!A" &amp; (V238+1) &amp; ":A" &amp;  (V238+10)),0)</f>
        <v>#N/A</v>
      </c>
      <c r="Y238" s="51" t="e">
        <f t="shared" ref="Y238:Y301" ca="1" si="854">X238+V238</f>
        <v>#N/A</v>
      </c>
      <c r="Z238" s="49" t="str">
        <f ca="1">IFERROR(INDEX(INDIRECT(zoneFichierEAN13ValmagUniq),Y238,2),"")</f>
        <v/>
      </c>
      <c r="AA238" s="53" t="str">
        <f t="shared" ref="AA238:AA301" ca="1" si="855">T238 &amp; IF(W238="","", " | " &amp; W238) &amp; IF(Z238="","", " | " &amp;Z238)</f>
        <v xml:space="preserve">  | MINICANVAS      </v>
      </c>
      <c r="AC238" s="55">
        <f ca="1">MATCH(B238,INDIRECT(nomFichierFiltreCatalogue &amp; "!B:B"),0)</f>
        <v>389</v>
      </c>
      <c r="AD238" s="14"/>
    </row>
    <row r="239" spans="1:30" s="20" customFormat="1" ht="15.75" customHeight="1" x14ac:dyDescent="0.25">
      <c r="A239" s="25">
        <f ca="1">INDEX(INDIRECT(zoneFichierTraite),$J238+offsetInitialFichierTraite,2)</f>
        <v>101</v>
      </c>
      <c r="B239" s="57" t="str">
        <f ca="1">IF(ISERROR($P238),msgRefValmagAcreer,IF(INDEX(INDIRECT(zoneFichierEAN13Valmag),$P238,3) = "",msgCodeValmagVide, INDEX(INDIRECT(zoneFichierEAN13Valmag),$P238,3)))</f>
        <v xml:space="preserve">MINICANVAS      </v>
      </c>
      <c r="C239" s="54" t="str">
        <f t="shared" ref="C239:C302" ca="1" si="856">AA238</f>
        <v xml:space="preserve">  | MINICANVAS      </v>
      </c>
      <c r="D239" s="19" t="str">
        <f ca="1">IFERROR(INDEX(INDIRECT(zoneFichierEAN13Valmag),$P238,4),"")</f>
        <v>BLACK</v>
      </c>
      <c r="E239" s="58" t="str">
        <f ca="1">IFERROR(INDEX(INDIRECT(zoneFichierFiltreCatalogue),AC238,3),"")</f>
        <v>p089-1-03</v>
      </c>
      <c r="F239" s="19"/>
      <c r="G239" s="18"/>
      <c r="H239" s="32" t="str">
        <f ca="1">IFERROR(INDEX(INDIRECT(zoneFichierFiltreCatalogue),AC238,6),"")</f>
        <v>fall 2019 presentation_/catalogo fall 19.txt</v>
      </c>
      <c r="S239" s="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</row>
    <row r="240" spans="1:30" ht="39" customHeight="1" thickBot="1" x14ac:dyDescent="0.65">
      <c r="A240" s="9" t="str">
        <f ca="1">INDEX(INDIRECT(zoneFichierTraite),$J240+offsetInitialFichierTraite,6)</f>
        <v>UNICA</v>
      </c>
      <c r="B240" s="5" t="str">
        <f ca="1">INDEX(INDIRECT(zoneFichierTraite),$J240+offsetInitialFichierTraite,4)</f>
        <v>OBAGS002-TESBG-227</v>
      </c>
      <c r="C240" s="26" t="str">
        <f ca="1">INDEX(INDIRECT(zoneFichierTraite),$J240+offsetInitialFichierTraite,5)</f>
        <v>POCHETTE INTERIEURE FERMETURE ECLAIR O BAG MINI EN TISSU PRINCE DE GALLES+ FLEURS</v>
      </c>
      <c r="D240" s="27" t="str">
        <f ca="1">INDEX(INDIRECT(zoneFichierTraite),$J240+offsetInitialFichierTraite,13)</f>
        <v>bianco/nero</v>
      </c>
      <c r="E240" s="30">
        <f ca="1">INDEX(INDIRECT(zoneFichierTraite),$J240+offsetInitialFichierTraite,7)</f>
        <v>2</v>
      </c>
      <c r="F240" s="28">
        <f ca="1">INDEX(INDIRECT(zoneFichierTraite),$J240+offsetInitialFichierTraite,8)</f>
        <v>13.33</v>
      </c>
      <c r="G240" s="29">
        <f t="shared" ref="G240:G303" ca="1" si="857">ROUNDUP(F240*3,0)</f>
        <v>40</v>
      </c>
      <c r="H240" s="31" t="str">
        <f ca="1">IF(ISNUMBER(N240),codeEAN13(INT(N240/10)),"")</f>
        <v>8APASOG*ajajhc+</v>
      </c>
      <c r="I240" s="1" t="b">
        <f t="shared" ref="I240:I303" ca="1" si="858">AND(A243&lt;&gt;0,A241=A243)</f>
        <v>0</v>
      </c>
      <c r="J240" s="15">
        <f t="shared" si="706"/>
        <v>116</v>
      </c>
      <c r="K240" s="1">
        <f t="shared" ref="K240:K303" ca="1" si="859">A241</f>
        <v>155</v>
      </c>
      <c r="L240" s="5" t="str">
        <f ca="1">INDEX(INDIRECT(zoneFichierTraite),$J240+offsetInitialFichierTraite,1)</f>
        <v>'116</v>
      </c>
      <c r="M240" s="11">
        <f ca="1">INDEX(INDIRECT(zoneFichierTraite),$J240+offsetInitialFichierTraite,9)</f>
        <v>26.66</v>
      </c>
      <c r="N240" s="14">
        <f ca="1">INDEX(INDIRECT(zoneFichierTraite),$J240+offsetInitialFichierTraite,3)</f>
        <v>8050846090972</v>
      </c>
      <c r="O240" s="14"/>
      <c r="P240" s="56">
        <f ca="1">MATCH(N240,INDIRECT(nomFichierEAN13Valmag &amp; "!A:A"),0)</f>
        <v>776</v>
      </c>
      <c r="R240" s="50" t="str">
        <f t="shared" ref="R240:R303" ca="1" si="860">LEFT(B240,14)</f>
        <v>OBAGS002-TESBG</v>
      </c>
      <c r="S240" s="52">
        <f ca="1">MATCH($R240,INDIRECT(nomFichierEAN13ValmagUniq &amp; "!A:A"),0)</f>
        <v>184</v>
      </c>
      <c r="T240" s="49" t="str">
        <f ca="1">IFERROR(INDEX(INDIRECT(zoneFichierEAN13ValmagUniq),S240,2),"")</f>
        <v xml:space="preserve"> </v>
      </c>
      <c r="U240" s="52" t="e">
        <f ca="1">MATCH($R240,INDIRECT(nomFichierEAN13ValmagUniq &amp; "!A" &amp; (S240+1) &amp; ":A" &amp;  (S240+10)),0)</f>
        <v>#N/A</v>
      </c>
      <c r="V240" s="51" t="e">
        <f t="shared" ref="V240:V303" ca="1" si="861">U240+S240</f>
        <v>#N/A</v>
      </c>
      <c r="W240" s="49" t="str">
        <f ca="1">IFERROR(INDEX(INDIRECT(zoneFichierEAN13ValmagUniq),V240,2),"")</f>
        <v/>
      </c>
      <c r="X240" s="52" t="e">
        <f ca="1">MATCH($R240,INDIRECT(nomFichierEAN13ValmagUniq &amp; "!A" &amp; (V240+1) &amp; ":A" &amp;  (V240+10)),0)</f>
        <v>#N/A</v>
      </c>
      <c r="Y240" s="51" t="e">
        <f t="shared" ref="Y240:Y303" ca="1" si="862">X240+V240</f>
        <v>#N/A</v>
      </c>
      <c r="Z240" s="49" t="str">
        <f ca="1">IFERROR(INDEX(INDIRECT(zoneFichierEAN13ValmagUniq),Y240,2),"")</f>
        <v/>
      </c>
      <c r="AA240" s="53" t="str">
        <f t="shared" ref="AA240:AA303" ca="1" si="863">T240 &amp; IF(W240="","", " | " &amp; W240) &amp; IF(Z240="","", " | " &amp;Z240)</f>
        <v xml:space="preserve"> </v>
      </c>
      <c r="AC240" s="55">
        <f ca="1">MATCH(B240,INDIRECT(nomFichierFiltreCatalogue &amp; "!B:B"),0)</f>
        <v>399</v>
      </c>
      <c r="AD240" s="14"/>
    </row>
    <row r="241" spans="1:30" s="20" customFormat="1" ht="15.75" customHeight="1" x14ac:dyDescent="0.25">
      <c r="A241" s="25">
        <f ca="1">INDEX(INDIRECT(zoneFichierTraite),$J240+offsetInitialFichierTraite,2)</f>
        <v>155</v>
      </c>
      <c r="B241" s="57" t="str">
        <f ca="1">IF(ISERROR($P240),msgRefValmagAcreer,IF(INDEX(INDIRECT(zoneFichierEAN13Valmag),$P240,3) = "",msgCodeValmagVide, INDEX(INDIRECT(zoneFichierEAN13Valmag),$P240,3)))</f>
        <v xml:space="preserve"> </v>
      </c>
      <c r="C241" s="54" t="str">
        <f t="shared" ref="C241:C304" ca="1" si="864">AA240</f>
        <v xml:space="preserve"> </v>
      </c>
      <c r="D241" s="19" t="str">
        <f ca="1">IFERROR(INDEX(INDIRECT(zoneFichierEAN13Valmag),$P240,4),"")</f>
        <v xml:space="preserve"> </v>
      </c>
      <c r="E241" s="58" t="str">
        <f ca="1">IFERROR(INDEX(INDIRECT(zoneFichierFiltreCatalogue),AC240,3),"")</f>
        <v>p091-1-01</v>
      </c>
      <c r="F241" s="19"/>
      <c r="G241" s="18"/>
      <c r="H241" s="32" t="str">
        <f ca="1">IFERROR(INDEX(INDIRECT(zoneFichierFiltreCatalogue),AC240,6),"")</f>
        <v>fall 2019 presentation_/catalogo fall 19.txt</v>
      </c>
      <c r="S241" s="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</row>
    <row r="242" spans="1:30" ht="39" customHeight="1" thickBot="1" x14ac:dyDescent="0.65">
      <c r="A242" s="9" t="str">
        <f ca="1">INDEX(INDIRECT(zoneFichierTraite),$J242+offsetInitialFichierTraite,6)</f>
        <v>UNICA</v>
      </c>
      <c r="B242" s="5" t="str">
        <f ca="1">INDEX(INDIRECT(zoneFichierTraite),$J242+offsetInitialFichierTraite,4)</f>
        <v>OBAGS002-TESBK-055</v>
      </c>
      <c r="C242" s="26" t="str">
        <f ca="1">INDEX(INDIRECT(zoneFichierTraite),$J242+offsetInitialFichierTraite,5)</f>
        <v>POCHETTE INTERIEURE FERMETURE ECLAIR O BAG MINI EN TISSU DOUDOUNE Ã€ CHEVRONS</v>
      </c>
      <c r="D242" s="27" t="str">
        <f ca="1">INDEX(INDIRECT(zoneFichierTraite),$J242+offsetInitialFichierTraite,13)</f>
        <v>nero</v>
      </c>
      <c r="E242" s="30">
        <f ca="1">INDEX(INDIRECT(zoneFichierTraite),$J242+offsetInitialFichierTraite,7)</f>
        <v>2</v>
      </c>
      <c r="F242" s="28">
        <f ca="1">INDEX(INDIRECT(zoneFichierTraite),$J242+offsetInitialFichierTraite,8)</f>
        <v>11.85</v>
      </c>
      <c r="G242" s="29">
        <f t="shared" ref="G242:G305" ca="1" si="865">ROUNDUP(F242*3,0)</f>
        <v>36</v>
      </c>
      <c r="H242" s="31" t="str">
        <f ca="1">IF(ISNUMBER(N242),codeEAN13(INT(N242/10)),"")</f>
        <v>8APASOG*ajaidf+</v>
      </c>
      <c r="I242" s="1" t="b">
        <f t="shared" ref="I242:I305" ca="1" si="866">AND(A245&lt;&gt;0,A243=A245)</f>
        <v>0</v>
      </c>
      <c r="J242" s="15">
        <f t="shared" si="706"/>
        <v>117</v>
      </c>
      <c r="K242" s="1">
        <f t="shared" ref="K242:K305" ca="1" si="867">A243</f>
        <v>198</v>
      </c>
      <c r="L242" s="5" t="str">
        <f ca="1">INDEX(INDIRECT(zoneFichierTraite),$J242+offsetInitialFichierTraite,1)</f>
        <v>'117</v>
      </c>
      <c r="M242" s="11">
        <f ca="1">INDEX(INDIRECT(zoneFichierTraite),$J242+offsetInitialFichierTraite,9)</f>
        <v>23.7</v>
      </c>
      <c r="N242" s="14">
        <f ca="1">INDEX(INDIRECT(zoneFichierTraite),$J242+offsetInitialFichierTraite,3)</f>
        <v>8050846090835</v>
      </c>
      <c r="O242" s="14"/>
      <c r="P242" s="56">
        <f ca="1">MATCH(N242,INDIRECT(nomFichierEAN13Valmag &amp; "!A:A"),0)</f>
        <v>763</v>
      </c>
      <c r="R242" s="50" t="str">
        <f t="shared" ref="R242:R305" ca="1" si="868">LEFT(B242,14)</f>
        <v>OBAGS002-TESBK</v>
      </c>
      <c r="S242" s="52">
        <f ca="1">MATCH($R242,INDIRECT(nomFichierEAN13ValmagUniq &amp; "!A:A"),0)</f>
        <v>185</v>
      </c>
      <c r="T242" s="49" t="str">
        <f ca="1">IFERROR(INDEX(INDIRECT(zoneFichierEAN13ValmagUniq),S242,2),"")</f>
        <v xml:space="preserve"> </v>
      </c>
      <c r="U242" s="52" t="e">
        <f ca="1">MATCH($R242,INDIRECT(nomFichierEAN13ValmagUniq &amp; "!A" &amp; (S242+1) &amp; ":A" &amp;  (S242+10)),0)</f>
        <v>#N/A</v>
      </c>
      <c r="V242" s="51" t="e">
        <f t="shared" ref="V242:V305" ca="1" si="869">U242+S242</f>
        <v>#N/A</v>
      </c>
      <c r="W242" s="49" t="str">
        <f ca="1">IFERROR(INDEX(INDIRECT(zoneFichierEAN13ValmagUniq),V242,2),"")</f>
        <v/>
      </c>
      <c r="X242" s="52" t="e">
        <f ca="1">MATCH($R242,INDIRECT(nomFichierEAN13ValmagUniq &amp; "!A" &amp; (V242+1) &amp; ":A" &amp;  (V242+10)),0)</f>
        <v>#N/A</v>
      </c>
      <c r="Y242" s="51" t="e">
        <f t="shared" ref="Y242:Y305" ca="1" si="870">X242+V242</f>
        <v>#N/A</v>
      </c>
      <c r="Z242" s="49" t="str">
        <f ca="1">IFERROR(INDEX(INDIRECT(zoneFichierEAN13ValmagUniq),Y242,2),"")</f>
        <v/>
      </c>
      <c r="AA242" s="53" t="str">
        <f t="shared" ref="AA242:AA305" ca="1" si="871">T242 &amp; IF(W242="","", " | " &amp; W242) &amp; IF(Z242="","", " | " &amp;Z242)</f>
        <v xml:space="preserve"> </v>
      </c>
      <c r="AC242" s="55">
        <f ca="1">MATCH(B242,INDIRECT(nomFichierFiltreCatalogue &amp; "!B:B"),0)</f>
        <v>400</v>
      </c>
      <c r="AD242" s="14"/>
    </row>
    <row r="243" spans="1:30" s="20" customFormat="1" ht="15.75" customHeight="1" x14ac:dyDescent="0.25">
      <c r="A243" s="25">
        <f ca="1">INDEX(INDIRECT(zoneFichierTraite),$J242+offsetInitialFichierTraite,2)</f>
        <v>198</v>
      </c>
      <c r="B243" s="57" t="str">
        <f ca="1">IF(ISERROR($P242),msgRefValmagAcreer,IF(INDEX(INDIRECT(zoneFichierEAN13Valmag),$P242,3) = "",msgCodeValmagVide, INDEX(INDIRECT(zoneFichierEAN13Valmag),$P242,3)))</f>
        <v xml:space="preserve"> </v>
      </c>
      <c r="C243" s="54" t="str">
        <f t="shared" ref="C243:C306" ca="1" si="872">AA242</f>
        <v xml:space="preserve"> </v>
      </c>
      <c r="D243" s="19" t="str">
        <f ca="1">IFERROR(INDEX(INDIRECT(zoneFichierEAN13Valmag),$P242,4),"")</f>
        <v xml:space="preserve"> </v>
      </c>
      <c r="E243" s="58" t="str">
        <f ca="1">IFERROR(INDEX(INDIRECT(zoneFichierFiltreCatalogue),AC242,3),"")</f>
        <v>p091-2-01</v>
      </c>
      <c r="F243" s="19"/>
      <c r="G243" s="18"/>
      <c r="H243" s="32" t="str">
        <f ca="1">IFERROR(INDEX(INDIRECT(zoneFichierFiltreCatalogue),AC242,6),"")</f>
        <v>fall 2019 presentation_/catalogo fall 19.txt</v>
      </c>
      <c r="S243" s="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</row>
    <row r="244" spans="1:30" ht="39" customHeight="1" thickBot="1" x14ac:dyDescent="0.65">
      <c r="A244" s="9" t="str">
        <f ca="1">INDEX(INDIRECT(zoneFichierTraite),$J244+offsetInitialFichierTraite,6)</f>
        <v>UNICA</v>
      </c>
      <c r="B244" s="5" t="str">
        <f ca="1">INDEX(INDIRECT(zoneFichierTraite),$J244+offsetInitialFichierTraite,4)</f>
        <v>OBAGS002-TESBK-137</v>
      </c>
      <c r="C244" s="26" t="str">
        <f ca="1">INDEX(INDIRECT(zoneFichierTraite),$J244+offsetInitialFichierTraite,5)</f>
        <v>POCHETTE INTERIEURE FERMETURE ECLAIR O BAG MINI EN TISSU DOUDOUNE Ã€ CHEVRONS</v>
      </c>
      <c r="D244" s="27" t="str">
        <f ca="1">INDEX(INDIRECT(zoneFichierTraite),$J244+offsetInitialFichierTraite,13)</f>
        <v>bluette</v>
      </c>
      <c r="E244" s="30">
        <f ca="1">INDEX(INDIRECT(zoneFichierTraite),$J244+offsetInitialFichierTraite,7)</f>
        <v>2</v>
      </c>
      <c r="F244" s="28">
        <f ca="1">INDEX(INDIRECT(zoneFichierTraite),$J244+offsetInitialFichierTraite,8)</f>
        <v>11.85</v>
      </c>
      <c r="G244" s="29">
        <f t="shared" ref="G244:G307" ca="1" si="873">ROUNDUP(F244*3,0)</f>
        <v>36</v>
      </c>
      <c r="H244" s="31" t="str">
        <f ca="1">IF(ISNUMBER(N244),codeEAN13(INT(N244/10)),"")</f>
        <v>8APASOG*ajaici+</v>
      </c>
      <c r="I244" s="1" t="b">
        <f t="shared" ref="I244:I307" ca="1" si="874">AND(A247&lt;&gt;0,A245=A247)</f>
        <v>0</v>
      </c>
      <c r="J244" s="15">
        <f t="shared" si="706"/>
        <v>118</v>
      </c>
      <c r="K244" s="1">
        <f t="shared" ref="K244:K307" ca="1" si="875">A245</f>
        <v>79</v>
      </c>
      <c r="L244" s="5" t="str">
        <f ca="1">INDEX(INDIRECT(zoneFichierTraite),$J244+offsetInitialFichierTraite,1)</f>
        <v>'118</v>
      </c>
      <c r="M244" s="11">
        <f ca="1">INDEX(INDIRECT(zoneFichierTraite),$J244+offsetInitialFichierTraite,9)</f>
        <v>23.7</v>
      </c>
      <c r="N244" s="14">
        <f ca="1">INDEX(INDIRECT(zoneFichierTraite),$J244+offsetInitialFichierTraite,3)</f>
        <v>8050846090828</v>
      </c>
      <c r="O244" s="14"/>
      <c r="P244" s="56">
        <f ca="1">MATCH(N244,INDIRECT(nomFichierEAN13Valmag &amp; "!A:A"),0)</f>
        <v>762</v>
      </c>
      <c r="R244" s="50" t="str">
        <f t="shared" ref="R244:R307" ca="1" si="876">LEFT(B244,14)</f>
        <v>OBAGS002-TESBK</v>
      </c>
      <c r="S244" s="52">
        <f ca="1">MATCH($R244,INDIRECT(nomFichierEAN13ValmagUniq &amp; "!A:A"),0)</f>
        <v>185</v>
      </c>
      <c r="T244" s="49" t="str">
        <f ca="1">IFERROR(INDEX(INDIRECT(zoneFichierEAN13ValmagUniq),S244,2),"")</f>
        <v xml:space="preserve"> </v>
      </c>
      <c r="U244" s="52" t="e">
        <f ca="1">MATCH($R244,INDIRECT(nomFichierEAN13ValmagUniq &amp; "!A" &amp; (S244+1) &amp; ":A" &amp;  (S244+10)),0)</f>
        <v>#N/A</v>
      </c>
      <c r="V244" s="51" t="e">
        <f t="shared" ref="V244:V307" ca="1" si="877">U244+S244</f>
        <v>#N/A</v>
      </c>
      <c r="W244" s="49" t="str">
        <f ca="1">IFERROR(INDEX(INDIRECT(zoneFichierEAN13ValmagUniq),V244,2),"")</f>
        <v/>
      </c>
      <c r="X244" s="52" t="e">
        <f ca="1">MATCH($R244,INDIRECT(nomFichierEAN13ValmagUniq &amp; "!A" &amp; (V244+1) &amp; ":A" &amp;  (V244+10)),0)</f>
        <v>#N/A</v>
      </c>
      <c r="Y244" s="51" t="e">
        <f t="shared" ref="Y244:Y307" ca="1" si="878">X244+V244</f>
        <v>#N/A</v>
      </c>
      <c r="Z244" s="49" t="str">
        <f ca="1">IFERROR(INDEX(INDIRECT(zoneFichierEAN13ValmagUniq),Y244,2),"")</f>
        <v/>
      </c>
      <c r="AA244" s="53" t="str">
        <f t="shared" ref="AA244:AA307" ca="1" si="879">T244 &amp; IF(W244="","", " | " &amp; W244) &amp; IF(Z244="","", " | " &amp;Z244)</f>
        <v xml:space="preserve"> </v>
      </c>
      <c r="AC244" s="55">
        <f ca="1">MATCH(B244,INDIRECT(nomFichierFiltreCatalogue &amp; "!B:B"),0)</f>
        <v>401</v>
      </c>
      <c r="AD244" s="14"/>
    </row>
    <row r="245" spans="1:30" s="20" customFormat="1" ht="15.75" customHeight="1" x14ac:dyDescent="0.25">
      <c r="A245" s="25">
        <f ca="1">INDEX(INDIRECT(zoneFichierTraite),$J244+offsetInitialFichierTraite,2)</f>
        <v>79</v>
      </c>
      <c r="B245" s="57" t="str">
        <f ca="1">IF(ISERROR($P244),msgRefValmagAcreer,IF(INDEX(INDIRECT(zoneFichierEAN13Valmag),$P244,3) = "",msgCodeValmagVide, INDEX(INDIRECT(zoneFichierEAN13Valmag),$P244,3)))</f>
        <v xml:space="preserve"> </v>
      </c>
      <c r="C245" s="54" t="str">
        <f t="shared" ref="C245:C308" ca="1" si="880">AA244</f>
        <v xml:space="preserve"> </v>
      </c>
      <c r="D245" s="19" t="str">
        <f ca="1">IFERROR(INDEX(INDIRECT(zoneFichierEAN13Valmag),$P244,4),"")</f>
        <v xml:space="preserve"> </v>
      </c>
      <c r="E245" s="58" t="str">
        <f ca="1">IFERROR(INDEX(INDIRECT(zoneFichierFiltreCatalogue),AC244,3),"")</f>
        <v>p091-2-02</v>
      </c>
      <c r="F245" s="19"/>
      <c r="G245" s="18"/>
      <c r="H245" s="32" t="str">
        <f ca="1">IFERROR(INDEX(INDIRECT(zoneFichierFiltreCatalogue),AC244,6),"")</f>
        <v>fall 2019 presentation_/catalogo fall 19.txt</v>
      </c>
      <c r="S245" s="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</row>
    <row r="246" spans="1:30" ht="39" customHeight="1" thickBot="1" x14ac:dyDescent="0.65">
      <c r="A246" s="9" t="str">
        <f ca="1">INDEX(INDIRECT(zoneFichierTraite),$J246+offsetInitialFichierTraite,6)</f>
        <v>UNICA</v>
      </c>
      <c r="B246" s="5" t="str">
        <f ca="1">INDEX(INDIRECT(zoneFichierTraite),$J246+offsetInitialFichierTraite,4)</f>
        <v>OBAGS002-TESD5-067</v>
      </c>
      <c r="C246" s="26" t="str">
        <f ca="1">INDEX(INDIRECT(zoneFichierTraite),$J246+offsetInitialFichierTraite,5)</f>
        <v>POCHETTE INTERIEURE FERMETURE ECLAIR O BAG MINI EN MICROFIBRE COULEUR UNIE</v>
      </c>
      <c r="D246" s="27" t="str">
        <f ca="1">INDEX(INDIRECT(zoneFichierTraite),$J246+offsetInitialFichierTraite,13)</f>
        <v>phard</v>
      </c>
      <c r="E246" s="30">
        <f ca="1">INDEX(INDIRECT(zoneFichierTraite),$J246+offsetInitialFichierTraite,7)</f>
        <v>2</v>
      </c>
      <c r="F246" s="28">
        <f ca="1">INDEX(INDIRECT(zoneFichierTraite),$J246+offsetInitialFichierTraite,8)</f>
        <v>10.8</v>
      </c>
      <c r="G246" s="29">
        <f t="shared" ref="G246:G309" ca="1" si="881">ROUNDUP(F246*3,0)</f>
        <v>33</v>
      </c>
      <c r="H246" s="31" t="str">
        <f ca="1">IF(ISNUMBER(N246),codeEAN13(INT(N246/10)),"")</f>
        <v>8APASOG*ajaiae+</v>
      </c>
      <c r="I246" s="1" t="b">
        <f t="shared" ref="I246:I309" ca="1" si="882">AND(A249&lt;&gt;0,A247=A249)</f>
        <v>0</v>
      </c>
      <c r="J246" s="15">
        <f t="shared" si="706"/>
        <v>119</v>
      </c>
      <c r="K246" s="1">
        <f t="shared" ref="K246:K309" ca="1" si="883">A247</f>
        <v>8</v>
      </c>
      <c r="L246" s="5" t="str">
        <f ca="1">INDEX(INDIRECT(zoneFichierTraite),$J246+offsetInitialFichierTraite,1)</f>
        <v>'119</v>
      </c>
      <c r="M246" s="11">
        <f ca="1">INDEX(INDIRECT(zoneFichierTraite),$J246+offsetInitialFichierTraite,9)</f>
        <v>21.6</v>
      </c>
      <c r="N246" s="14">
        <f ca="1">INDEX(INDIRECT(zoneFichierTraite),$J246+offsetInitialFichierTraite,3)</f>
        <v>8050846090804</v>
      </c>
      <c r="O246" s="14"/>
      <c r="P246" s="56">
        <f ca="1">MATCH(N246,INDIRECT(nomFichierEAN13Valmag &amp; "!A:A"),0)</f>
        <v>760</v>
      </c>
      <c r="R246" s="50" t="str">
        <f t="shared" ref="R246:R309" ca="1" si="884">LEFT(B246,14)</f>
        <v>OBAGS002-TESD5</v>
      </c>
      <c r="S246" s="52">
        <f ca="1">MATCH($R246,INDIRECT(nomFichierEAN13ValmagUniq &amp; "!A:A"),0)</f>
        <v>187</v>
      </c>
      <c r="T246" s="49" t="str">
        <f ca="1">IFERROR(INDEX(INDIRECT(zoneFichierEAN13ValmagUniq),S246,2),"")</f>
        <v xml:space="preserve"> </v>
      </c>
      <c r="U246" s="52">
        <f ca="1">MATCH($R246,INDIRECT(nomFichierEAN13ValmagUniq &amp; "!A" &amp; (S246+1) &amp; ":A" &amp;  (S246+10)),0)</f>
        <v>1</v>
      </c>
      <c r="V246" s="51">
        <f t="shared" ref="V246:V309" ca="1" si="885">U246+S246</f>
        <v>188</v>
      </c>
      <c r="W246" s="49" t="str">
        <f ca="1">IFERROR(INDEX(INDIRECT(zoneFichierEAN13ValmagUniq),V246,2),"")</f>
        <v xml:space="preserve">MINICANVAS      </v>
      </c>
      <c r="X246" s="52" t="e">
        <f ca="1">MATCH($R246,INDIRECT(nomFichierEAN13ValmagUniq &amp; "!A" &amp; (V246+1) &amp; ":A" &amp;  (V246+10)),0)</f>
        <v>#N/A</v>
      </c>
      <c r="Y246" s="51" t="e">
        <f t="shared" ref="Y246:Y309" ca="1" si="886">X246+V246</f>
        <v>#N/A</v>
      </c>
      <c r="Z246" s="49" t="str">
        <f ca="1">IFERROR(INDEX(INDIRECT(zoneFichierEAN13ValmagUniq),Y246,2),"")</f>
        <v/>
      </c>
      <c r="AA246" s="53" t="str">
        <f t="shared" ref="AA246:AA309" ca="1" si="887">T246 &amp; IF(W246="","", " | " &amp; W246) &amp; IF(Z246="","", " | " &amp;Z246)</f>
        <v xml:space="preserve">  | MINICANVAS      </v>
      </c>
      <c r="AC246" s="55">
        <f ca="1">MATCH(B246,INDIRECT(nomFichierFiltreCatalogue &amp; "!B:B"),0)</f>
        <v>396</v>
      </c>
      <c r="AD246" s="14"/>
    </row>
    <row r="247" spans="1:30" s="20" customFormat="1" ht="15.75" customHeight="1" x14ac:dyDescent="0.25">
      <c r="A247" s="25">
        <f ca="1">INDEX(INDIRECT(zoneFichierTraite),$J246+offsetInitialFichierTraite,2)</f>
        <v>8</v>
      </c>
      <c r="B247" s="57" t="str">
        <f ca="1">IF(ISERROR($P246),msgRefValmagAcreer,IF(INDEX(INDIRECT(zoneFichierEAN13Valmag),$P246,3) = "",msgCodeValmagVide, INDEX(INDIRECT(zoneFichierEAN13Valmag),$P246,3)))</f>
        <v xml:space="preserve"> </v>
      </c>
      <c r="C247" s="54" t="str">
        <f t="shared" ref="C247:C310" ca="1" si="888">AA246</f>
        <v xml:space="preserve">  | MINICANVAS      </v>
      </c>
      <c r="D247" s="19" t="str">
        <f ca="1">IFERROR(INDEX(INDIRECT(zoneFichierEAN13Valmag),$P246,4),"")</f>
        <v xml:space="preserve"> </v>
      </c>
      <c r="E247" s="58" t="str">
        <f ca="1">IFERROR(INDEX(INDIRECT(zoneFichierFiltreCatalogue),AC246,3),"")</f>
        <v>p089-2-05</v>
      </c>
      <c r="F247" s="19"/>
      <c r="G247" s="18"/>
      <c r="H247" s="32" t="str">
        <f ca="1">IFERROR(INDEX(INDIRECT(zoneFichierFiltreCatalogue),AC246,6),"")</f>
        <v>fall 2019 presentation_/catalogo fall 19.txt</v>
      </c>
      <c r="S247" s="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</row>
    <row r="248" spans="1:30" ht="39" customHeight="1" thickBot="1" x14ac:dyDescent="0.65">
      <c r="A248" s="9" t="str">
        <f ca="1">INDEX(INDIRECT(zoneFichierTraite),$J248+offsetInitialFichierTraite,6)</f>
        <v>UNICA</v>
      </c>
      <c r="B248" s="5" t="str">
        <f ca="1">INDEX(INDIRECT(zoneFichierTraite),$J248+offsetInitialFichierTraite,4)</f>
        <v>OBAGS002-TESD5-615</v>
      </c>
      <c r="C248" s="26" t="str">
        <f ca="1">INDEX(INDIRECT(zoneFichierTraite),$J248+offsetInitialFichierTraite,5)</f>
        <v>POCHETTE INTERIEURE FERMETURE ECLAIR O BAG MINI EN MICROFIBRE COULEUR UNIE</v>
      </c>
      <c r="D248" s="27" t="str">
        <f ca="1">INDEX(INDIRECT(zoneFichierTraite),$J248+offsetInitialFichierTraite,13)</f>
        <v>military</v>
      </c>
      <c r="E248" s="30">
        <f ca="1">INDEX(INDIRECT(zoneFichierTraite),$J248+offsetInitialFichierTraite,7)</f>
        <v>2</v>
      </c>
      <c r="F248" s="28">
        <f ca="1">INDEX(INDIRECT(zoneFichierTraite),$J248+offsetInitialFichierTraite,8)</f>
        <v>10.8</v>
      </c>
      <c r="G248" s="29">
        <f t="shared" ref="G248:G311" ca="1" si="889">ROUNDUP(F248*3,0)</f>
        <v>33</v>
      </c>
      <c r="H248" s="31" t="str">
        <f ca="1">IF(ISNUMBER(N248),codeEAN13(INT(N248/10)),"")</f>
        <v>8APASOG*ajahji+</v>
      </c>
      <c r="I248" s="1" t="b">
        <f t="shared" ref="I248:I311" ca="1" si="890">AND(A251&lt;&gt;0,A249=A251)</f>
        <v>0</v>
      </c>
      <c r="J248" s="15">
        <f t="shared" si="706"/>
        <v>120</v>
      </c>
      <c r="K248" s="1">
        <f t="shared" ref="K248:K311" ca="1" si="891">A249</f>
        <v>144</v>
      </c>
      <c r="L248" s="5" t="str">
        <f ca="1">INDEX(INDIRECT(zoneFichierTraite),$J248+offsetInitialFichierTraite,1)</f>
        <v>'120</v>
      </c>
      <c r="M248" s="11">
        <f ca="1">INDEX(INDIRECT(zoneFichierTraite),$J248+offsetInitialFichierTraite,9)</f>
        <v>21.6</v>
      </c>
      <c r="N248" s="14">
        <f ca="1">INDEX(INDIRECT(zoneFichierTraite),$J248+offsetInitialFichierTraite,3)</f>
        <v>8050846090798</v>
      </c>
      <c r="O248" s="14"/>
      <c r="P248" s="56">
        <f ca="1">MATCH(N248,INDIRECT(nomFichierEAN13Valmag &amp; "!A:A"),0)</f>
        <v>759</v>
      </c>
      <c r="R248" s="50" t="str">
        <f t="shared" ref="R248:R311" ca="1" si="892">LEFT(B248,14)</f>
        <v>OBAGS002-TESD5</v>
      </c>
      <c r="S248" s="52">
        <f ca="1">MATCH($R248,INDIRECT(nomFichierEAN13ValmagUniq &amp; "!A:A"),0)</f>
        <v>187</v>
      </c>
      <c r="T248" s="49" t="str">
        <f ca="1">IFERROR(INDEX(INDIRECT(zoneFichierEAN13ValmagUniq),S248,2),"")</f>
        <v xml:space="preserve"> </v>
      </c>
      <c r="U248" s="52">
        <f ca="1">MATCH($R248,INDIRECT(nomFichierEAN13ValmagUniq &amp; "!A" &amp; (S248+1) &amp; ":A" &amp;  (S248+10)),0)</f>
        <v>1</v>
      </c>
      <c r="V248" s="51">
        <f t="shared" ref="V248:V311" ca="1" si="893">U248+S248</f>
        <v>188</v>
      </c>
      <c r="W248" s="49" t="str">
        <f ca="1">IFERROR(INDEX(INDIRECT(zoneFichierEAN13ValmagUniq),V248,2),"")</f>
        <v xml:space="preserve">MINICANVAS      </v>
      </c>
      <c r="X248" s="52" t="e">
        <f ca="1">MATCH($R248,INDIRECT(nomFichierEAN13ValmagUniq &amp; "!A" &amp; (V248+1) &amp; ":A" &amp;  (V248+10)),0)</f>
        <v>#N/A</v>
      </c>
      <c r="Y248" s="51" t="e">
        <f t="shared" ref="Y248:Y311" ca="1" si="894">X248+V248</f>
        <v>#N/A</v>
      </c>
      <c r="Z248" s="49" t="str">
        <f ca="1">IFERROR(INDEX(INDIRECT(zoneFichierEAN13ValmagUniq),Y248,2),"")</f>
        <v/>
      </c>
      <c r="AA248" s="53" t="str">
        <f t="shared" ref="AA248:AA311" ca="1" si="895">T248 &amp; IF(W248="","", " | " &amp; W248) &amp; IF(Z248="","", " | " &amp;Z248)</f>
        <v xml:space="preserve">  | MINICANVAS      </v>
      </c>
      <c r="AC248" s="55">
        <f ca="1">MATCH(B248,INDIRECT(nomFichierFiltreCatalogue &amp; "!B:B"),0)</f>
        <v>397</v>
      </c>
      <c r="AD248" s="14"/>
    </row>
    <row r="249" spans="1:30" s="20" customFormat="1" ht="15.75" customHeight="1" x14ac:dyDescent="0.25">
      <c r="A249" s="25">
        <f ca="1">INDEX(INDIRECT(zoneFichierTraite),$J248+offsetInitialFichierTraite,2)</f>
        <v>144</v>
      </c>
      <c r="B249" s="57" t="str">
        <f ca="1">IF(ISERROR($P248),msgRefValmagAcreer,IF(INDEX(INDIRECT(zoneFichierEAN13Valmag),$P248,3) = "",msgCodeValmagVide, INDEX(INDIRECT(zoneFichierEAN13Valmag),$P248,3)))</f>
        <v xml:space="preserve"> </v>
      </c>
      <c r="C249" s="54" t="str">
        <f t="shared" ref="C249:C312" ca="1" si="896">AA248</f>
        <v xml:space="preserve">  | MINICANVAS      </v>
      </c>
      <c r="D249" s="19" t="str">
        <f ca="1">IFERROR(INDEX(INDIRECT(zoneFichierEAN13Valmag),$P248,4),"")</f>
        <v xml:space="preserve"> </v>
      </c>
      <c r="E249" s="58" t="str">
        <f ca="1">IFERROR(INDEX(INDIRECT(zoneFichierFiltreCatalogue),AC248,3),"")</f>
        <v>p089-2-06</v>
      </c>
      <c r="F249" s="19"/>
      <c r="G249" s="18"/>
      <c r="H249" s="32" t="str">
        <f ca="1">IFERROR(INDEX(INDIRECT(zoneFichierFiltreCatalogue),AC248,6),"")</f>
        <v>fall 2019 presentation_/catalogo fall 19.txt</v>
      </c>
      <c r="S249" s="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</row>
    <row r="250" spans="1:30" ht="39" customHeight="1" thickBot="1" x14ac:dyDescent="0.65">
      <c r="A250" s="9" t="str">
        <f ca="1">INDEX(INDIRECT(zoneFichierTraite),$J250+offsetInitialFichierTraite,6)</f>
        <v>UNICA</v>
      </c>
      <c r="B250" s="5" t="str">
        <f ca="1">INDEX(INDIRECT(zoneFichierTraite),$J250+offsetInitialFichierTraite,4)</f>
        <v>OBAGS033-TESBG-227</v>
      </c>
      <c r="C250" s="26" t="str">
        <f ca="1">INDEX(INDIRECT(zoneFichierTraite),$J250+offsetInitialFichierTraite,5)</f>
        <v>POCHETTE INTERIEURE FERMETURE ECLAIR O BAG URBAN EN TISSU PRINCE DE GALLES+ FLEURS</v>
      </c>
      <c r="D250" s="27" t="str">
        <f ca="1">INDEX(INDIRECT(zoneFichierTraite),$J250+offsetInitialFichierTraite,13)</f>
        <v>CodeBarre</v>
      </c>
      <c r="E250" s="30">
        <f ca="1">INDEX(INDIRECT(zoneFichierTraite),$J250+offsetInitialFichierTraite,7)</f>
        <v>2</v>
      </c>
      <c r="F250" s="28">
        <f ca="1">INDEX(INDIRECT(zoneFichierTraite),$J250+offsetInitialFichierTraite,8)</f>
        <v>14.81</v>
      </c>
      <c r="G250" s="29">
        <f t="shared" ref="G250:G313" ca="1" si="897">ROUNDUP(F250*3,0)</f>
        <v>45</v>
      </c>
      <c r="H250" s="31" t="str">
        <f ca="1">IF(ISNUMBER(N250),codeEAN13(INT(N250/10)),"")</f>
        <v/>
      </c>
      <c r="I250" s="1" t="b">
        <f t="shared" ref="I250:I313" ca="1" si="898">AND(A253&lt;&gt;0,A251=A253)</f>
        <v>0</v>
      </c>
      <c r="J250" s="15">
        <f t="shared" si="706"/>
        <v>121</v>
      </c>
      <c r="K250" s="1">
        <f t="shared" ref="K250:K313" ca="1" si="899">A251</f>
        <v>4</v>
      </c>
      <c r="L250" s="5" t="str">
        <f ca="1">INDEX(INDIRECT(zoneFichierTraite),$J250+offsetInitialFichierTraite,1)</f>
        <v>'121</v>
      </c>
      <c r="M250" s="11">
        <f ca="1">INDEX(INDIRECT(zoneFichierTraite),$J250+offsetInitialFichierTraite,9)</f>
        <v>29.62</v>
      </c>
      <c r="N250" s="14" t="str">
        <f ca="1">INDEX(INDIRECT(zoneFichierTraite),$J250+offsetInitialFichierTraite,3)</f>
        <v>CodeBarre</v>
      </c>
      <c r="O250" s="14"/>
      <c r="P250" s="56" t="e">
        <f ca="1">MATCH(N250,INDIRECT(nomFichierEAN13Valmag &amp; "!A:A"),0)</f>
        <v>#N/A</v>
      </c>
      <c r="R250" s="50" t="str">
        <f t="shared" ref="R250:R313" ca="1" si="900">LEFT(B250,14)</f>
        <v>OBAGS033-TESBG</v>
      </c>
      <c r="S250" s="52" t="e">
        <f ca="1">MATCH($R250,INDIRECT(nomFichierEAN13ValmagUniq &amp; "!A:A"),0)</f>
        <v>#N/A</v>
      </c>
      <c r="T250" s="49" t="str">
        <f ca="1">IFERROR(INDEX(INDIRECT(zoneFichierEAN13ValmagUniq),S250,2),"")</f>
        <v/>
      </c>
      <c r="U250" s="52" t="e">
        <f ca="1">MATCH($R250,INDIRECT(nomFichierEAN13ValmagUniq &amp; "!A" &amp; (S250+1) &amp; ":A" &amp;  (S250+10)),0)</f>
        <v>#N/A</v>
      </c>
      <c r="V250" s="51" t="e">
        <f t="shared" ref="V250:V313" ca="1" si="901">U250+S250</f>
        <v>#N/A</v>
      </c>
      <c r="W250" s="49" t="str">
        <f ca="1">IFERROR(INDEX(INDIRECT(zoneFichierEAN13ValmagUniq),V250,2),"")</f>
        <v/>
      </c>
      <c r="X250" s="52" t="e">
        <f ca="1">MATCH($R250,INDIRECT(nomFichierEAN13ValmagUniq &amp; "!A" &amp; (V250+1) &amp; ":A" &amp;  (V250+10)),0)</f>
        <v>#N/A</v>
      </c>
      <c r="Y250" s="51" t="e">
        <f t="shared" ref="Y250:Y313" ca="1" si="902">X250+V250</f>
        <v>#N/A</v>
      </c>
      <c r="Z250" s="49" t="str">
        <f ca="1">IFERROR(INDEX(INDIRECT(zoneFichierEAN13ValmagUniq),Y250,2),"")</f>
        <v/>
      </c>
      <c r="AA250" s="53" t="str">
        <f t="shared" ref="AA250:AA313" ca="1" si="903">T250 &amp; IF(W250="","", " | " &amp; W250) &amp; IF(Z250="","", " | " &amp;Z250)</f>
        <v/>
      </c>
      <c r="AC250" s="55" t="e">
        <f ca="1">MATCH(B250,INDIRECT(nomFichierFiltreCatalogue &amp; "!B:B"),0)</f>
        <v>#N/A</v>
      </c>
      <c r="AD250" s="14"/>
    </row>
    <row r="251" spans="1:30" s="20" customFormat="1" ht="15.75" customHeight="1" x14ac:dyDescent="0.25">
      <c r="A251" s="25">
        <f ca="1">INDEX(INDIRECT(zoneFichierTraite),$J250+offsetInitialFichierTraite,2)</f>
        <v>4</v>
      </c>
      <c r="B251" s="57" t="str">
        <f ca="1">IF(ISERROR($P250),msgRefValmagAcreer,IF(INDEX(INDIRECT(zoneFichierEAN13Valmag),$P250,3) = "",msgCodeValmagVide, INDEX(INDIRECT(zoneFichierEAN13Valmag),$P250,3)))</f>
        <v>&gt; Référence à créer</v>
      </c>
      <c r="C251" s="54" t="str">
        <f t="shared" ref="C251:C314" ca="1" si="904">AA250</f>
        <v/>
      </c>
      <c r="D251" s="19" t="str">
        <f ca="1">IFERROR(INDEX(INDIRECT(zoneFichierEAN13Valmag),$P250,4),"")</f>
        <v/>
      </c>
      <c r="E251" s="58" t="str">
        <f ca="1">IFERROR(INDEX(INDIRECT(zoneFichierFiltreCatalogue),AC250,3),"")</f>
        <v/>
      </c>
      <c r="F251" s="19"/>
      <c r="G251" s="18"/>
      <c r="H251" s="32" t="str">
        <f ca="1">IFERROR(INDEX(INDIRECT(zoneFichierFiltreCatalogue),AC250,6),"")</f>
        <v/>
      </c>
      <c r="S251" s="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</row>
    <row r="252" spans="1:30" ht="39" customHeight="1" thickBot="1" x14ac:dyDescent="0.65">
      <c r="A252" s="9" t="str">
        <f ca="1">INDEX(INDIRECT(zoneFichierTraite),$J252+offsetInitialFichierTraite,6)</f>
        <v>UNICA</v>
      </c>
      <c r="B252" s="5" t="str">
        <f ca="1">INDEX(INDIRECT(zoneFichierTraite),$J252+offsetInitialFichierTraite,4)</f>
        <v>OBAGS033-TESBI-227</v>
      </c>
      <c r="C252" s="26" t="str">
        <f ca="1">INDEX(INDIRECT(zoneFichierTraite),$J252+offsetInitialFichierTraite,5)</f>
        <v>POCHETTE INTERIEURE FERMETURE ECLAIR O BAG URBAN EN TISSU MARBLE</v>
      </c>
      <c r="D252" s="27" t="str">
        <f ca="1">INDEX(INDIRECT(zoneFichierTraite),$J252+offsetInitialFichierTraite,13)</f>
        <v>bianco/nero</v>
      </c>
      <c r="E252" s="30">
        <f ca="1">INDEX(INDIRECT(zoneFichierTraite),$J252+offsetInitialFichierTraite,7)</f>
        <v>2</v>
      </c>
      <c r="F252" s="28">
        <f ca="1">INDEX(INDIRECT(zoneFichierTraite),$J252+offsetInitialFichierTraite,8)</f>
        <v>13.33</v>
      </c>
      <c r="G252" s="29">
        <f t="shared" ref="G252:G315" ca="1" si="905">ROUNDUP(F252*3,0)</f>
        <v>40</v>
      </c>
      <c r="H252" s="31" t="str">
        <f ca="1">IF(ISNUMBER(N252),codeEAN13(INT(N252/10)),"")</f>
        <v>8APASOG*ajbjdb+</v>
      </c>
      <c r="I252" s="1" t="b">
        <f t="shared" ref="I252:I315" ca="1" si="906">AND(A255&lt;&gt;0,A253=A255)</f>
        <v>0</v>
      </c>
      <c r="J252" s="15">
        <f t="shared" si="706"/>
        <v>122</v>
      </c>
      <c r="K252" s="1">
        <f t="shared" ref="K252:K315" ca="1" si="907">A253</f>
        <v>170</v>
      </c>
      <c r="L252" s="5" t="str">
        <f ca="1">INDEX(INDIRECT(zoneFichierTraite),$J252+offsetInitialFichierTraite,1)</f>
        <v>'122</v>
      </c>
      <c r="M252" s="11">
        <f ca="1">INDEX(INDIRECT(zoneFichierTraite),$J252+offsetInitialFichierTraite,9)</f>
        <v>26.66</v>
      </c>
      <c r="N252" s="14">
        <f ca="1">INDEX(INDIRECT(zoneFichierTraite),$J252+offsetInitialFichierTraite,3)</f>
        <v>8050846091931</v>
      </c>
      <c r="O252" s="14"/>
      <c r="P252" s="56">
        <f ca="1">MATCH(N252,INDIRECT(nomFichierEAN13Valmag &amp; "!A:A"),0)</f>
        <v>847</v>
      </c>
      <c r="R252" s="50" t="str">
        <f t="shared" ref="R252:R315" ca="1" si="908">LEFT(B252,14)</f>
        <v>OBAGS033-TESBI</v>
      </c>
      <c r="S252" s="52">
        <f ca="1">MATCH($R252,INDIRECT(nomFichierEAN13ValmagUniq &amp; "!A:A"),0)</f>
        <v>194</v>
      </c>
      <c r="T252" s="49" t="str">
        <f ca="1">IFERROR(INDEX(INDIRECT(zoneFichierEAN13ValmagUniq),S252,2),"")</f>
        <v xml:space="preserve"> </v>
      </c>
      <c r="U252" s="52" t="e">
        <f ca="1">MATCH($R252,INDIRECT(nomFichierEAN13ValmagUniq &amp; "!A" &amp; (S252+1) &amp; ":A" &amp;  (S252+10)),0)</f>
        <v>#N/A</v>
      </c>
      <c r="V252" s="51" t="e">
        <f t="shared" ref="V252:V315" ca="1" si="909">U252+S252</f>
        <v>#N/A</v>
      </c>
      <c r="W252" s="49" t="str">
        <f ca="1">IFERROR(INDEX(INDIRECT(zoneFichierEAN13ValmagUniq),V252,2),"")</f>
        <v/>
      </c>
      <c r="X252" s="52" t="e">
        <f ca="1">MATCH($R252,INDIRECT(nomFichierEAN13ValmagUniq &amp; "!A" &amp; (V252+1) &amp; ":A" &amp;  (V252+10)),0)</f>
        <v>#N/A</v>
      </c>
      <c r="Y252" s="51" t="e">
        <f t="shared" ref="Y252:Y315" ca="1" si="910">X252+V252</f>
        <v>#N/A</v>
      </c>
      <c r="Z252" s="49" t="str">
        <f ca="1">IFERROR(INDEX(INDIRECT(zoneFichierEAN13ValmagUniq),Y252,2),"")</f>
        <v/>
      </c>
      <c r="AA252" s="53" t="str">
        <f t="shared" ref="AA252:AA315" ca="1" si="911">T252 &amp; IF(W252="","", " | " &amp; W252) &amp; IF(Z252="","", " | " &amp;Z252)</f>
        <v xml:space="preserve"> </v>
      </c>
      <c r="AC252" s="55">
        <f ca="1">MATCH(B252,INDIRECT(nomFichierFiltreCatalogue &amp; "!B:B"),0)</f>
        <v>420</v>
      </c>
      <c r="AD252" s="14"/>
    </row>
    <row r="253" spans="1:30" s="20" customFormat="1" ht="15.75" customHeight="1" x14ac:dyDescent="0.25">
      <c r="A253" s="25">
        <f ca="1">INDEX(INDIRECT(zoneFichierTraite),$J252+offsetInitialFichierTraite,2)</f>
        <v>170</v>
      </c>
      <c r="B253" s="57" t="str">
        <f ca="1">IF(ISERROR($P252),msgRefValmagAcreer,IF(INDEX(INDIRECT(zoneFichierEAN13Valmag),$P252,3) = "",msgCodeValmagVide, INDEX(INDIRECT(zoneFichierEAN13Valmag),$P252,3)))</f>
        <v xml:space="preserve"> </v>
      </c>
      <c r="C253" s="54" t="str">
        <f t="shared" ref="C253:C316" ca="1" si="912">AA252</f>
        <v xml:space="preserve"> </v>
      </c>
      <c r="D253" s="19" t="str">
        <f ca="1">IFERROR(INDEX(INDIRECT(zoneFichierEAN13Valmag),$P252,4),"")</f>
        <v xml:space="preserve"> </v>
      </c>
      <c r="E253" s="58" t="str">
        <f ca="1">IFERROR(INDEX(INDIRECT(zoneFichierFiltreCatalogue),AC252,3),"")</f>
        <v>p096-1-01</v>
      </c>
      <c r="F253" s="19"/>
      <c r="G253" s="18"/>
      <c r="H253" s="32" t="str">
        <f ca="1">IFERROR(INDEX(INDIRECT(zoneFichierFiltreCatalogue),AC252,6),"")</f>
        <v>fall 2019 presentation_/catalogo fall 19.txt</v>
      </c>
      <c r="S253" s="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</row>
    <row r="254" spans="1:30" ht="39" customHeight="1" thickBot="1" x14ac:dyDescent="0.65">
      <c r="A254" s="9" t="str">
        <f ca="1">INDEX(INDIRECT(zoneFichierTraite),$J254+offsetInitialFichierTraite,6)</f>
        <v>UNICA</v>
      </c>
      <c r="B254" s="5" t="str">
        <f ca="1">INDEX(INDIRECT(zoneFichierTraite),$J254+offsetInitialFichierTraite,4)</f>
        <v>OBAGS033-TESBK-055</v>
      </c>
      <c r="C254" s="26" t="str">
        <f ca="1">INDEX(INDIRECT(zoneFichierTraite),$J254+offsetInitialFichierTraite,5)</f>
        <v>POCHETTE INTERIEURE FERMETURE ECLAIR O BAG URBAN EN TISSU DOUDOUNE Ã€ CHEVRONS</v>
      </c>
      <c r="D254" s="27" t="str">
        <f ca="1">INDEX(INDIRECT(zoneFichierTraite),$J254+offsetInitialFichierTraite,13)</f>
        <v>nero</v>
      </c>
      <c r="E254" s="30">
        <f ca="1">INDEX(INDIRECT(zoneFichierTraite),$J254+offsetInitialFichierTraite,7)</f>
        <v>2</v>
      </c>
      <c r="F254" s="28">
        <f ca="1">INDEX(INDIRECT(zoneFichierTraite),$J254+offsetInitialFichierTraite,8)</f>
        <v>12.59</v>
      </c>
      <c r="G254" s="29">
        <f t="shared" ref="G254:G317" ca="1" si="913">ROUNDUP(F254*3,0)</f>
        <v>38</v>
      </c>
      <c r="H254" s="31" t="str">
        <f ca="1">IF(ISNUMBER(N254),codeEAN13(INT(N254/10)),"")</f>
        <v>8APASOG*ajbiab+</v>
      </c>
      <c r="I254" s="1" t="b">
        <f t="shared" ref="I254:I317" ca="1" si="914">AND(A257&lt;&gt;0,A255=A257)</f>
        <v>0</v>
      </c>
      <c r="J254" s="15">
        <f t="shared" si="706"/>
        <v>123</v>
      </c>
      <c r="K254" s="1">
        <f t="shared" ref="K254:K317" ca="1" si="915">A255</f>
        <v>52</v>
      </c>
      <c r="L254" s="5" t="str">
        <f ca="1">INDEX(INDIRECT(zoneFichierTraite),$J254+offsetInitialFichierTraite,1)</f>
        <v>'123</v>
      </c>
      <c r="M254" s="11">
        <f ca="1">INDEX(INDIRECT(zoneFichierTraite),$J254+offsetInitialFichierTraite,9)</f>
        <v>25.18</v>
      </c>
      <c r="N254" s="14">
        <f ca="1">INDEX(INDIRECT(zoneFichierTraite),$J254+offsetInitialFichierTraite,3)</f>
        <v>8050846091801</v>
      </c>
      <c r="O254" s="14"/>
      <c r="P254" s="56">
        <f ca="1">MATCH(N254,INDIRECT(nomFichierEAN13Valmag &amp; "!A:A"),0)</f>
        <v>835</v>
      </c>
      <c r="R254" s="50" t="str">
        <f t="shared" ref="R254:R317" ca="1" si="916">LEFT(B254,14)</f>
        <v>OBAGS033-TESBK</v>
      </c>
      <c r="S254" s="52">
        <f ca="1">MATCH($R254,INDIRECT(nomFichierEAN13ValmagUniq &amp; "!A:A"),0)</f>
        <v>195</v>
      </c>
      <c r="T254" s="49" t="str">
        <f ca="1">IFERROR(INDEX(INDIRECT(zoneFichierEAN13ValmagUniq),S254,2),"")</f>
        <v xml:space="preserve"> </v>
      </c>
      <c r="U254" s="52" t="e">
        <f ca="1">MATCH($R254,INDIRECT(nomFichierEAN13ValmagUniq &amp; "!A" &amp; (S254+1) &amp; ":A" &amp;  (S254+10)),0)</f>
        <v>#N/A</v>
      </c>
      <c r="V254" s="51" t="e">
        <f t="shared" ref="V254:V317" ca="1" si="917">U254+S254</f>
        <v>#N/A</v>
      </c>
      <c r="W254" s="49" t="str">
        <f ca="1">IFERROR(INDEX(INDIRECT(zoneFichierEAN13ValmagUniq),V254,2),"")</f>
        <v/>
      </c>
      <c r="X254" s="52" t="e">
        <f ca="1">MATCH($R254,INDIRECT(nomFichierEAN13ValmagUniq &amp; "!A" &amp; (V254+1) &amp; ":A" &amp;  (V254+10)),0)</f>
        <v>#N/A</v>
      </c>
      <c r="Y254" s="51" t="e">
        <f t="shared" ref="Y254:Y317" ca="1" si="918">X254+V254</f>
        <v>#N/A</v>
      </c>
      <c r="Z254" s="49" t="str">
        <f ca="1">IFERROR(INDEX(INDIRECT(zoneFichierEAN13ValmagUniq),Y254,2),"")</f>
        <v/>
      </c>
      <c r="AA254" s="53" t="str">
        <f t="shared" ref="AA254:AA317" ca="1" si="919">T254 &amp; IF(W254="","", " | " &amp; W254) &amp; IF(Z254="","", " | " &amp;Z254)</f>
        <v xml:space="preserve"> </v>
      </c>
      <c r="AC254" s="55">
        <f ca="1">MATCH(B254,INDIRECT(nomFichierFiltreCatalogue &amp; "!B:B"),0)</f>
        <v>421</v>
      </c>
      <c r="AD254" s="14"/>
    </row>
    <row r="255" spans="1:30" s="20" customFormat="1" ht="15.75" customHeight="1" x14ac:dyDescent="0.25">
      <c r="A255" s="25">
        <f ca="1">INDEX(INDIRECT(zoneFichierTraite),$J254+offsetInitialFichierTraite,2)</f>
        <v>52</v>
      </c>
      <c r="B255" s="57" t="str">
        <f ca="1">IF(ISERROR($P254),msgRefValmagAcreer,IF(INDEX(INDIRECT(zoneFichierEAN13Valmag),$P254,3) = "",msgCodeValmagVide, INDEX(INDIRECT(zoneFichierEAN13Valmag),$P254,3)))</f>
        <v xml:space="preserve"> </v>
      </c>
      <c r="C255" s="54" t="str">
        <f t="shared" ref="C255:C318" ca="1" si="920">AA254</f>
        <v xml:space="preserve"> </v>
      </c>
      <c r="D255" s="19" t="str">
        <f ca="1">IFERROR(INDEX(INDIRECT(zoneFichierEAN13Valmag),$P254,4),"")</f>
        <v xml:space="preserve"> </v>
      </c>
      <c r="E255" s="58" t="str">
        <f ca="1">IFERROR(INDEX(INDIRECT(zoneFichierFiltreCatalogue),AC254,3),"")</f>
        <v>p096-2-01</v>
      </c>
      <c r="F255" s="19"/>
      <c r="G255" s="18"/>
      <c r="H255" s="32" t="str">
        <f ca="1">IFERROR(INDEX(INDIRECT(zoneFichierFiltreCatalogue),AC254,6),"")</f>
        <v>fall 2019 presentation_/catalogo fall 19.txt</v>
      </c>
      <c r="S255" s="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</row>
    <row r="256" spans="1:30" ht="39" customHeight="1" thickBot="1" x14ac:dyDescent="0.65">
      <c r="A256" s="9" t="str">
        <f ca="1">INDEX(INDIRECT(zoneFichierTraite),$J256+offsetInitialFichierTraite,6)</f>
        <v>UNICA</v>
      </c>
      <c r="B256" s="5" t="str">
        <f ca="1">INDEX(INDIRECT(zoneFichierTraite),$J256+offsetInitialFichierTraite,4)</f>
        <v>OBAGS033-TESBK-137</v>
      </c>
      <c r="C256" s="26" t="str">
        <f ca="1">INDEX(INDIRECT(zoneFichierTraite),$J256+offsetInitialFichierTraite,5)</f>
        <v>POCHETTE INTERIEURE FERMETURE ECLAIR O BAG URBAN EN TISSU DOUDOUNE Ã€ CHEVRONS</v>
      </c>
      <c r="D256" s="27" t="str">
        <f ca="1">INDEX(INDIRECT(zoneFichierTraite),$J256+offsetInitialFichierTraite,13)</f>
        <v>bluette</v>
      </c>
      <c r="E256" s="30">
        <f ca="1">INDEX(INDIRECT(zoneFichierTraite),$J256+offsetInitialFichierTraite,7)</f>
        <v>2</v>
      </c>
      <c r="F256" s="28">
        <f ca="1">INDEX(INDIRECT(zoneFichierTraite),$J256+offsetInitialFichierTraite,8)</f>
        <v>12.59</v>
      </c>
      <c r="G256" s="29">
        <f t="shared" ref="G256:G319" ca="1" si="921">ROUNDUP(F256*3,0)</f>
        <v>38</v>
      </c>
      <c r="H256" s="31" t="str">
        <f ca="1">IF(ISNUMBER(N256),codeEAN13(INT(N256/10)),"")</f>
        <v>8APASOG*ajbhjf+</v>
      </c>
      <c r="I256" s="1" t="b">
        <f t="shared" ref="I256:I319" ca="1" si="922">AND(A259&lt;&gt;0,A257=A259)</f>
        <v>0</v>
      </c>
      <c r="J256" s="15">
        <f t="shared" si="706"/>
        <v>124</v>
      </c>
      <c r="K256" s="1">
        <f t="shared" ref="K256:K319" ca="1" si="923">A257</f>
        <v>171</v>
      </c>
      <c r="L256" s="5" t="str">
        <f ca="1">INDEX(INDIRECT(zoneFichierTraite),$J256+offsetInitialFichierTraite,1)</f>
        <v>'124</v>
      </c>
      <c r="M256" s="11">
        <f ca="1">INDEX(INDIRECT(zoneFichierTraite),$J256+offsetInitialFichierTraite,9)</f>
        <v>25.18</v>
      </c>
      <c r="N256" s="14">
        <f ca="1">INDEX(INDIRECT(zoneFichierTraite),$J256+offsetInitialFichierTraite,3)</f>
        <v>8050846091795</v>
      </c>
      <c r="O256" s="14"/>
      <c r="P256" s="56">
        <f ca="1">MATCH(N256,INDIRECT(nomFichierEAN13Valmag &amp; "!A:A"),0)</f>
        <v>834</v>
      </c>
      <c r="R256" s="50" t="str">
        <f t="shared" ref="R256:R319" ca="1" si="924">LEFT(B256,14)</f>
        <v>OBAGS033-TESBK</v>
      </c>
      <c r="S256" s="52">
        <f ca="1">MATCH($R256,INDIRECT(nomFichierEAN13ValmagUniq &amp; "!A:A"),0)</f>
        <v>195</v>
      </c>
      <c r="T256" s="49" t="str">
        <f ca="1">IFERROR(INDEX(INDIRECT(zoneFichierEAN13ValmagUniq),S256,2),"")</f>
        <v xml:space="preserve"> </v>
      </c>
      <c r="U256" s="52" t="e">
        <f ca="1">MATCH($R256,INDIRECT(nomFichierEAN13ValmagUniq &amp; "!A" &amp; (S256+1) &amp; ":A" &amp;  (S256+10)),0)</f>
        <v>#N/A</v>
      </c>
      <c r="V256" s="51" t="e">
        <f t="shared" ref="V256:V319" ca="1" si="925">U256+S256</f>
        <v>#N/A</v>
      </c>
      <c r="W256" s="49" t="str">
        <f ca="1">IFERROR(INDEX(INDIRECT(zoneFichierEAN13ValmagUniq),V256,2),"")</f>
        <v/>
      </c>
      <c r="X256" s="52" t="e">
        <f ca="1">MATCH($R256,INDIRECT(nomFichierEAN13ValmagUniq &amp; "!A" &amp; (V256+1) &amp; ":A" &amp;  (V256+10)),0)</f>
        <v>#N/A</v>
      </c>
      <c r="Y256" s="51" t="e">
        <f t="shared" ref="Y256:Y319" ca="1" si="926">X256+V256</f>
        <v>#N/A</v>
      </c>
      <c r="Z256" s="49" t="str">
        <f ca="1">IFERROR(INDEX(INDIRECT(zoneFichierEAN13ValmagUniq),Y256,2),"")</f>
        <v/>
      </c>
      <c r="AA256" s="53" t="str">
        <f t="shared" ref="AA256:AA319" ca="1" si="927">T256 &amp; IF(W256="","", " | " &amp; W256) &amp; IF(Z256="","", " | " &amp;Z256)</f>
        <v xml:space="preserve"> </v>
      </c>
      <c r="AC256" s="55">
        <f ca="1">MATCH(B256,INDIRECT(nomFichierFiltreCatalogue &amp; "!B:B"),0)</f>
        <v>422</v>
      </c>
      <c r="AD256" s="14"/>
    </row>
    <row r="257" spans="1:30" s="20" customFormat="1" ht="15.75" customHeight="1" x14ac:dyDescent="0.25">
      <c r="A257" s="25">
        <f ca="1">INDEX(INDIRECT(zoneFichierTraite),$J256+offsetInitialFichierTraite,2)</f>
        <v>171</v>
      </c>
      <c r="B257" s="57" t="str">
        <f ca="1">IF(ISERROR($P256),msgRefValmagAcreer,IF(INDEX(INDIRECT(zoneFichierEAN13Valmag),$P256,3) = "",msgCodeValmagVide, INDEX(INDIRECT(zoneFichierEAN13Valmag),$P256,3)))</f>
        <v xml:space="preserve"> </v>
      </c>
      <c r="C257" s="54" t="str">
        <f t="shared" ref="C257:C320" ca="1" si="928">AA256</f>
        <v xml:space="preserve"> </v>
      </c>
      <c r="D257" s="19" t="str">
        <f ca="1">IFERROR(INDEX(INDIRECT(zoneFichierEAN13Valmag),$P256,4),"")</f>
        <v xml:space="preserve"> </v>
      </c>
      <c r="E257" s="58" t="str">
        <f ca="1">IFERROR(INDEX(INDIRECT(zoneFichierFiltreCatalogue),AC256,3),"")</f>
        <v>p096-2-02</v>
      </c>
      <c r="F257" s="19"/>
      <c r="G257" s="18"/>
      <c r="H257" s="32" t="str">
        <f ca="1">IFERROR(INDEX(INDIRECT(zoneFichierFiltreCatalogue),AC256,6),"")</f>
        <v>fall 2019 presentation_/catalogo fall 19.txt</v>
      </c>
      <c r="S257" s="1"/>
      <c r="T257" s="21"/>
      <c r="U257" s="21"/>
      <c r="V257" s="21"/>
      <c r="W257" s="21"/>
      <c r="X257" s="21"/>
      <c r="Y257" s="21"/>
      <c r="Z257" s="21"/>
      <c r="AA257" s="21"/>
      <c r="AB257" s="21"/>
      <c r="AC257" s="21"/>
    </row>
    <row r="258" spans="1:30" ht="39" customHeight="1" thickBot="1" x14ac:dyDescent="0.65">
      <c r="A258" s="9" t="str">
        <f ca="1">INDEX(INDIRECT(zoneFichierTraite),$J258+offsetInitialFichierTraite,6)</f>
        <v>UNICA</v>
      </c>
      <c r="B258" s="5" t="str">
        <f ca="1">INDEX(INDIRECT(zoneFichierTraite),$J258+offsetInitialFichierTraite,4)</f>
        <v>OBAGS033-TESBN-615</v>
      </c>
      <c r="C258" s="26" t="str">
        <f ca="1">INDEX(INDIRECT(zoneFichierTraite),$J258+offsetInitialFichierTraite,5)</f>
        <v>POCHETTE INTERIEURE FERMETURE ECLAIR O BAG URBAN EN TISSU IMPRIME CHECK</v>
      </c>
      <c r="D258" s="27" t="str">
        <f ca="1">INDEX(INDIRECT(zoneFichierTraite),$J258+offsetInitialFichierTraite,13)</f>
        <v>military</v>
      </c>
      <c r="E258" s="30">
        <f ca="1">INDEX(INDIRECT(zoneFichierTraite),$J258+offsetInitialFichierTraite,7)</f>
        <v>2</v>
      </c>
      <c r="F258" s="28">
        <f ca="1">INDEX(INDIRECT(zoneFichierTraite),$J258+offsetInitialFichierTraite,8)</f>
        <v>14.81</v>
      </c>
      <c r="G258" s="29">
        <f t="shared" ref="G258:G321" ca="1" si="929">ROUNDUP(F258*3,0)</f>
        <v>45</v>
      </c>
      <c r="H258" s="31" t="str">
        <f ca="1">IF(ISNUMBER(N258),codeEAN13(INT(N258/10)),"")</f>
        <v>8APASOG*ajbjei+</v>
      </c>
      <c r="I258" s="1" t="b">
        <f t="shared" ref="I258:I321" ca="1" si="930">AND(A261&lt;&gt;0,A259=A261)</f>
        <v>0</v>
      </c>
      <c r="J258" s="15">
        <f t="shared" si="706"/>
        <v>125</v>
      </c>
      <c r="K258" s="1">
        <f t="shared" ref="K258:K321" ca="1" si="931">A259</f>
        <v>27</v>
      </c>
      <c r="L258" s="5" t="str">
        <f ca="1">INDEX(INDIRECT(zoneFichierTraite),$J258+offsetInitialFichierTraite,1)</f>
        <v>'125</v>
      </c>
      <c r="M258" s="11">
        <f ca="1">INDEX(INDIRECT(zoneFichierTraite),$J258+offsetInitialFichierTraite,9)</f>
        <v>29.62</v>
      </c>
      <c r="N258" s="14">
        <f ca="1">INDEX(INDIRECT(zoneFichierTraite),$J258+offsetInitialFichierTraite,3)</f>
        <v>8050846091948</v>
      </c>
      <c r="O258" s="14"/>
      <c r="P258" s="56">
        <f ca="1">MATCH(N258,INDIRECT(nomFichierEAN13Valmag &amp; "!A:A"),0)</f>
        <v>848</v>
      </c>
      <c r="R258" s="50" t="str">
        <f t="shared" ref="R258:R321" ca="1" si="932">LEFT(B258,14)</f>
        <v>OBAGS033-TESBN</v>
      </c>
      <c r="S258" s="52">
        <f ca="1">MATCH($R258,INDIRECT(nomFichierEAN13ValmagUniq &amp; "!A:A"),0)</f>
        <v>196</v>
      </c>
      <c r="T258" s="49" t="str">
        <f ca="1">IFERROR(INDEX(INDIRECT(zoneFichierEAN13ValmagUniq),S258,2),"")</f>
        <v xml:space="preserve"> </v>
      </c>
      <c r="U258" s="52" t="e">
        <f ca="1">MATCH($R258,INDIRECT(nomFichierEAN13ValmagUniq &amp; "!A" &amp; (S258+1) &amp; ":A" &amp;  (S258+10)),0)</f>
        <v>#N/A</v>
      </c>
      <c r="V258" s="51" t="e">
        <f t="shared" ref="V258:V321" ca="1" si="933">U258+S258</f>
        <v>#N/A</v>
      </c>
      <c r="W258" s="49" t="str">
        <f ca="1">IFERROR(INDEX(INDIRECT(zoneFichierEAN13ValmagUniq),V258,2),"")</f>
        <v/>
      </c>
      <c r="X258" s="52" t="e">
        <f ca="1">MATCH($R258,INDIRECT(nomFichierEAN13ValmagUniq &amp; "!A" &amp; (V258+1) &amp; ":A" &amp;  (V258+10)),0)</f>
        <v>#N/A</v>
      </c>
      <c r="Y258" s="51" t="e">
        <f t="shared" ref="Y258:Y321" ca="1" si="934">X258+V258</f>
        <v>#N/A</v>
      </c>
      <c r="Z258" s="49" t="str">
        <f ca="1">IFERROR(INDEX(INDIRECT(zoneFichierEAN13ValmagUniq),Y258,2),"")</f>
        <v/>
      </c>
      <c r="AA258" s="53" t="str">
        <f t="shared" ref="AA258:AA321" ca="1" si="935">T258 &amp; IF(W258="","", " | " &amp; W258) &amp; IF(Z258="","", " | " &amp;Z258)</f>
        <v xml:space="preserve"> </v>
      </c>
      <c r="AC258" s="55">
        <f ca="1">MATCH(B258,INDIRECT(nomFichierFiltreCatalogue &amp; "!B:B"),0)</f>
        <v>423</v>
      </c>
      <c r="AD258" s="14"/>
    </row>
    <row r="259" spans="1:30" s="20" customFormat="1" ht="15.75" customHeight="1" x14ac:dyDescent="0.25">
      <c r="A259" s="25">
        <f ca="1">INDEX(INDIRECT(zoneFichierTraite),$J258+offsetInitialFichierTraite,2)</f>
        <v>27</v>
      </c>
      <c r="B259" s="57" t="str">
        <f ca="1">IF(ISERROR($P258),msgRefValmagAcreer,IF(INDEX(INDIRECT(zoneFichierEAN13Valmag),$P258,3) = "",msgCodeValmagVide, INDEX(INDIRECT(zoneFichierEAN13Valmag),$P258,3)))</f>
        <v xml:space="preserve"> </v>
      </c>
      <c r="C259" s="54" t="str">
        <f t="shared" ref="C259:C322" ca="1" si="936">AA258</f>
        <v xml:space="preserve"> </v>
      </c>
      <c r="D259" s="19" t="str">
        <f ca="1">IFERROR(INDEX(INDIRECT(zoneFichierEAN13Valmag),$P258,4),"")</f>
        <v xml:space="preserve"> </v>
      </c>
      <c r="E259" s="58" t="str">
        <f ca="1">IFERROR(INDEX(INDIRECT(zoneFichierFiltreCatalogue),AC258,3),"")</f>
        <v>p097-1-01</v>
      </c>
      <c r="F259" s="19"/>
      <c r="G259" s="18"/>
      <c r="H259" s="32" t="str">
        <f ca="1">IFERROR(INDEX(INDIRECT(zoneFichierFiltreCatalogue),AC258,6),"")</f>
        <v>fall 2019 presentation_/catalogo fall 19.txt</v>
      </c>
      <c r="S259" s="1"/>
      <c r="T259" s="21"/>
      <c r="U259" s="21"/>
      <c r="V259" s="21"/>
      <c r="W259" s="21"/>
      <c r="X259" s="21"/>
      <c r="Y259" s="21"/>
      <c r="Z259" s="21"/>
      <c r="AA259" s="21"/>
      <c r="AB259" s="21"/>
      <c r="AC259" s="21"/>
    </row>
    <row r="260" spans="1:30" ht="39" customHeight="1" thickBot="1" x14ac:dyDescent="0.65">
      <c r="A260" s="9" t="str">
        <f ca="1">INDEX(INDIRECT(zoneFichierTraite),$J260+offsetInitialFichierTraite,6)</f>
        <v>UNICA</v>
      </c>
      <c r="B260" s="5" t="str">
        <f ca="1">INDEX(INDIRECT(zoneFichierTraite),$J260+offsetInitialFichierTraite,4)</f>
        <v>OBAGS033-TESD5-055</v>
      </c>
      <c r="C260" s="26" t="str">
        <f ca="1">INDEX(INDIRECT(zoneFichierTraite),$J260+offsetInitialFichierTraite,5)</f>
        <v>POCHETTE INTERIEURE FERMETURE ECLAIR O BAG URBAN EN MICROFIBRE COULEUR UNIE</v>
      </c>
      <c r="D260" s="27" t="str">
        <f ca="1">INDEX(INDIRECT(zoneFichierTraite),$J260+offsetInitialFichierTraite,13)</f>
        <v>nero</v>
      </c>
      <c r="E260" s="30">
        <f ca="1">INDEX(INDIRECT(zoneFichierTraite),$J260+offsetInitialFichierTraite,7)</f>
        <v>3</v>
      </c>
      <c r="F260" s="28">
        <f ca="1">INDEX(INDIRECT(zoneFichierTraite),$J260+offsetInitialFichierTraite,8)</f>
        <v>11.85</v>
      </c>
      <c r="G260" s="29">
        <f t="shared" ref="G260:G323" ca="1" si="937">ROUNDUP(F260*3,0)</f>
        <v>36</v>
      </c>
      <c r="H260" s="31" t="str">
        <f ca="1">IF(ISNUMBER(N260),codeEAN13(INT(N260/10)),"")</f>
        <v>8APASOG*aejjej+</v>
      </c>
      <c r="I260" s="1" t="b">
        <f t="shared" ref="I260:I323" ca="1" si="938">AND(A263&lt;&gt;0,A261=A263)</f>
        <v>0</v>
      </c>
      <c r="J260" s="15">
        <f t="shared" si="706"/>
        <v>126</v>
      </c>
      <c r="K260" s="1">
        <f t="shared" ref="K260:K323" ca="1" si="939">A261</f>
        <v>44</v>
      </c>
      <c r="L260" s="5" t="str">
        <f ca="1">INDEX(INDIRECT(zoneFichierTraite),$J260+offsetInitialFichierTraite,1)</f>
        <v>'126</v>
      </c>
      <c r="M260" s="11">
        <f ca="1">INDEX(INDIRECT(zoneFichierTraite),$J260+offsetInitialFichierTraite,9)</f>
        <v>35.549999999999997</v>
      </c>
      <c r="N260" s="14">
        <f ca="1">INDEX(INDIRECT(zoneFichierTraite),$J260+offsetInitialFichierTraite,3)</f>
        <v>8050846049949</v>
      </c>
      <c r="O260" s="14"/>
      <c r="P260" s="56">
        <f ca="1">MATCH(N260,INDIRECT(nomFichierEAN13Valmag &amp; "!A:A"),0)</f>
        <v>312</v>
      </c>
      <c r="R260" s="50" t="str">
        <f t="shared" ref="R260:R323" ca="1" si="940">LEFT(B260,14)</f>
        <v>OBAGS033-TESD5</v>
      </c>
      <c r="S260" s="52">
        <f ca="1">MATCH($R260,INDIRECT(nomFichierEAN13ValmagUniq &amp; "!A:A"),0)</f>
        <v>197</v>
      </c>
      <c r="T260" s="49" t="str">
        <f ca="1">IFERROR(INDEX(INDIRECT(zoneFichierEAN13ValmagUniq),S260,2),"")</f>
        <v xml:space="preserve"> </v>
      </c>
      <c r="U260" s="52">
        <f ca="1">MATCH($R260,INDIRECT(nomFichierEAN13ValmagUniq &amp; "!A" &amp; (S260+1) &amp; ":A" &amp;  (S260+10)),0)</f>
        <v>1</v>
      </c>
      <c r="V260" s="51">
        <f t="shared" ref="V260:V323" ca="1" si="941">U260+S260</f>
        <v>198</v>
      </c>
      <c r="W260" s="49" t="str">
        <f ca="1">IFERROR(INDEX(INDIRECT(zoneFichierEAN13ValmagUniq),V260,2),"")</f>
        <v xml:space="preserve">CANURBAN        </v>
      </c>
      <c r="X260" s="52" t="e">
        <f ca="1">MATCH($R260,INDIRECT(nomFichierEAN13ValmagUniq &amp; "!A" &amp; (V260+1) &amp; ":A" &amp;  (V260+10)),0)</f>
        <v>#N/A</v>
      </c>
      <c r="Y260" s="51" t="e">
        <f t="shared" ref="Y260:Y323" ca="1" si="942">X260+V260</f>
        <v>#N/A</v>
      </c>
      <c r="Z260" s="49" t="str">
        <f ca="1">IFERROR(INDEX(INDIRECT(zoneFichierEAN13ValmagUniq),Y260,2),"")</f>
        <v/>
      </c>
      <c r="AA260" s="53" t="str">
        <f t="shared" ref="AA260:AA323" ca="1" si="943">T260 &amp; IF(W260="","", " | " &amp; W260) &amp; IF(Z260="","", " | " &amp;Z260)</f>
        <v xml:space="preserve">  | CANURBAN        </v>
      </c>
      <c r="AC260" s="55">
        <f ca="1">MATCH(B260,INDIRECT(nomFichierFiltreCatalogue &amp; "!B:B"),0)</f>
        <v>416</v>
      </c>
      <c r="AD260" s="14"/>
    </row>
    <row r="261" spans="1:30" s="20" customFormat="1" ht="15.75" customHeight="1" x14ac:dyDescent="0.25">
      <c r="A261" s="25">
        <f ca="1">INDEX(INDIRECT(zoneFichierTraite),$J260+offsetInitialFichierTraite,2)</f>
        <v>44</v>
      </c>
      <c r="B261" s="57" t="str">
        <f ca="1">IF(ISERROR($P260),msgRefValmagAcreer,IF(INDEX(INDIRECT(zoneFichierEAN13Valmag),$P260,3) = "",msgCodeValmagVide, INDEX(INDIRECT(zoneFichierEAN13Valmag),$P260,3)))</f>
        <v xml:space="preserve"> </v>
      </c>
      <c r="C261" s="54" t="str">
        <f t="shared" ref="C261:C324" ca="1" si="944">AA260</f>
        <v xml:space="preserve">  | CANURBAN        </v>
      </c>
      <c r="D261" s="19" t="str">
        <f ca="1">IFERROR(INDEX(INDIRECT(zoneFichierEAN13Valmag),$P260,4),"")</f>
        <v xml:space="preserve"> </v>
      </c>
      <c r="E261" s="58" t="str">
        <f ca="1">IFERROR(INDEX(INDIRECT(zoneFichierFiltreCatalogue),AC260,3),"")</f>
        <v>p095-2-03</v>
      </c>
      <c r="F261" s="19"/>
      <c r="G261" s="18"/>
      <c r="H261" s="32" t="str">
        <f ca="1">IFERROR(INDEX(INDIRECT(zoneFichierFiltreCatalogue),AC260,6),"")</f>
        <v>fall 2019 presentation_/catalogo fall 19.txt</v>
      </c>
      <c r="S261" s="1"/>
      <c r="T261" s="21"/>
      <c r="U261" s="21"/>
      <c r="V261" s="21"/>
      <c r="W261" s="21"/>
      <c r="X261" s="21"/>
      <c r="Y261" s="21"/>
      <c r="Z261" s="21"/>
      <c r="AA261" s="21"/>
      <c r="AB261" s="21"/>
      <c r="AC261" s="21"/>
    </row>
    <row r="262" spans="1:30" ht="39" customHeight="1" thickBot="1" x14ac:dyDescent="0.65">
      <c r="A262" s="9" t="str">
        <f ca="1">INDEX(INDIRECT(zoneFichierTraite),$J262+offsetInitialFichierTraite,6)</f>
        <v>UNICA</v>
      </c>
      <c r="B262" s="5" t="str">
        <f ca="1">INDEX(INDIRECT(zoneFichierTraite),$J262+offsetInitialFichierTraite,4)</f>
        <v>OBAGS033-TESD5-078</v>
      </c>
      <c r="C262" s="26" t="str">
        <f ca="1">INDEX(INDIRECT(zoneFichierTraite),$J262+offsetInitialFichierTraite,5)</f>
        <v>POCHETTE INTERIEURE FERMETURE ECLAIR O BAG URBAN EN MICROFIBRE COULEUR UNIE</v>
      </c>
      <c r="D262" s="27" t="str">
        <f ca="1">INDEX(INDIRECT(zoneFichierTraite),$J262+offsetInitialFichierTraite,13)</f>
        <v>sabbia</v>
      </c>
      <c r="E262" s="30">
        <f ca="1">INDEX(INDIRECT(zoneFichierTraite),$J262+offsetInitialFichierTraite,7)</f>
        <v>1</v>
      </c>
      <c r="F262" s="28">
        <f ca="1">INDEX(INDIRECT(zoneFichierTraite),$J262+offsetInitialFichierTraite,8)</f>
        <v>11.85</v>
      </c>
      <c r="G262" s="29">
        <f t="shared" ref="G262:G325" ca="1" si="945">ROUNDUP(F262*3,0)</f>
        <v>36</v>
      </c>
      <c r="H262" s="31" t="str">
        <f ca="1">IF(ISNUMBER(N262),codeEAN13(INT(N262/10)),"")</f>
        <v>8APASOG*ajbiih+</v>
      </c>
      <c r="I262" s="1" t="b">
        <f t="shared" ref="I262:I325" ca="1" si="946">AND(A265&lt;&gt;0,A263=A265)</f>
        <v>0</v>
      </c>
      <c r="J262" s="15">
        <f t="shared" si="706"/>
        <v>127</v>
      </c>
      <c r="K262" s="1">
        <f t="shared" ref="K262:K325" ca="1" si="947">A263</f>
        <v>113</v>
      </c>
      <c r="L262" s="5" t="str">
        <f ca="1">INDEX(INDIRECT(zoneFichierTraite),$J262+offsetInitialFichierTraite,1)</f>
        <v>'127</v>
      </c>
      <c r="M262" s="11">
        <f ca="1">INDEX(INDIRECT(zoneFichierTraite),$J262+offsetInitialFichierTraite,9)</f>
        <v>11.85</v>
      </c>
      <c r="N262" s="14">
        <f ca="1">INDEX(INDIRECT(zoneFichierTraite),$J262+offsetInitialFichierTraite,3)</f>
        <v>8050846091887</v>
      </c>
      <c r="O262" s="14"/>
      <c r="P262" s="56">
        <f ca="1">MATCH(N262,INDIRECT(nomFichierEAN13Valmag &amp; "!A:A"),0)</f>
        <v>843</v>
      </c>
      <c r="R262" s="50" t="str">
        <f t="shared" ref="R262:R325" ca="1" si="948">LEFT(B262,14)</f>
        <v>OBAGS033-TESD5</v>
      </c>
      <c r="S262" s="52">
        <f ca="1">MATCH($R262,INDIRECT(nomFichierEAN13ValmagUniq &amp; "!A:A"),0)</f>
        <v>197</v>
      </c>
      <c r="T262" s="49" t="str">
        <f ca="1">IFERROR(INDEX(INDIRECT(zoneFichierEAN13ValmagUniq),S262,2),"")</f>
        <v xml:space="preserve"> </v>
      </c>
      <c r="U262" s="52">
        <f ca="1">MATCH($R262,INDIRECT(nomFichierEAN13ValmagUniq &amp; "!A" &amp; (S262+1) &amp; ":A" &amp;  (S262+10)),0)</f>
        <v>1</v>
      </c>
      <c r="V262" s="51">
        <f t="shared" ref="V262:V325" ca="1" si="949">U262+S262</f>
        <v>198</v>
      </c>
      <c r="W262" s="49" t="str">
        <f ca="1">IFERROR(INDEX(INDIRECT(zoneFichierEAN13ValmagUniq),V262,2),"")</f>
        <v xml:space="preserve">CANURBAN        </v>
      </c>
      <c r="X262" s="52" t="e">
        <f ca="1">MATCH($R262,INDIRECT(nomFichierEAN13ValmagUniq &amp; "!A" &amp; (V262+1) &amp; ":A" &amp;  (V262+10)),0)</f>
        <v>#N/A</v>
      </c>
      <c r="Y262" s="51" t="e">
        <f t="shared" ref="Y262:Y325" ca="1" si="950">X262+V262</f>
        <v>#N/A</v>
      </c>
      <c r="Z262" s="49" t="str">
        <f ca="1">IFERROR(INDEX(INDIRECT(zoneFichierEAN13ValmagUniq),Y262,2),"")</f>
        <v/>
      </c>
      <c r="AA262" s="53" t="str">
        <f t="shared" ref="AA262:AA325" ca="1" si="951">T262 &amp; IF(W262="","", " | " &amp; W262) &amp; IF(Z262="","", " | " &amp;Z262)</f>
        <v xml:space="preserve">  | CANURBAN        </v>
      </c>
      <c r="AC262" s="55">
        <f ca="1">MATCH(B262,INDIRECT(nomFichierFiltreCatalogue &amp; "!B:B"),0)</f>
        <v>415</v>
      </c>
      <c r="AD262" s="14"/>
    </row>
    <row r="263" spans="1:30" s="20" customFormat="1" ht="15.75" customHeight="1" x14ac:dyDescent="0.25">
      <c r="A263" s="25">
        <f ca="1">INDEX(INDIRECT(zoneFichierTraite),$J262+offsetInitialFichierTraite,2)</f>
        <v>113</v>
      </c>
      <c r="B263" s="57" t="str">
        <f ca="1">IF(ISERROR($P262),msgRefValmagAcreer,IF(INDEX(INDIRECT(zoneFichierEAN13Valmag),$P262,3) = "",msgCodeValmagVide, INDEX(INDIRECT(zoneFichierEAN13Valmag),$P262,3)))</f>
        <v xml:space="preserve"> </v>
      </c>
      <c r="C263" s="54" t="str">
        <f t="shared" ref="C263:C326" ca="1" si="952">AA262</f>
        <v xml:space="preserve">  | CANURBAN        </v>
      </c>
      <c r="D263" s="19" t="str">
        <f ca="1">IFERROR(INDEX(INDIRECT(zoneFichierEAN13Valmag),$P262,4),"")</f>
        <v xml:space="preserve"> </v>
      </c>
      <c r="E263" s="58" t="str">
        <f ca="1">IFERROR(INDEX(INDIRECT(zoneFichierFiltreCatalogue),AC262,3),"")</f>
        <v>p095-2-02</v>
      </c>
      <c r="F263" s="19"/>
      <c r="G263" s="18"/>
      <c r="H263" s="32" t="str">
        <f ca="1">IFERROR(INDEX(INDIRECT(zoneFichierFiltreCatalogue),AC262,6),"")</f>
        <v>fall 2019 presentation_/catalogo fall 19.txt</v>
      </c>
      <c r="S263" s="1"/>
      <c r="T263" s="21"/>
      <c r="U263" s="21"/>
      <c r="V263" s="21"/>
      <c r="W263" s="21"/>
      <c r="X263" s="21"/>
      <c r="Y263" s="21"/>
      <c r="Z263" s="21"/>
      <c r="AA263" s="21"/>
      <c r="AB263" s="21"/>
      <c r="AC263" s="21"/>
    </row>
    <row r="264" spans="1:30" ht="39" customHeight="1" thickBot="1" x14ac:dyDescent="0.65">
      <c r="A264" s="9" t="str">
        <f ca="1">INDEX(INDIRECT(zoneFichierTraite),$J264+offsetInitialFichierTraite,6)</f>
        <v>UNICA</v>
      </c>
      <c r="B264" s="5" t="str">
        <f ca="1">INDEX(INDIRECT(zoneFichierTraite),$J264+offsetInitialFichierTraite,4)</f>
        <v>OBAGS033-TESD5-615</v>
      </c>
      <c r="C264" s="26" t="str">
        <f ca="1">INDEX(INDIRECT(zoneFichierTraite),$J264+offsetInitialFichierTraite,5)</f>
        <v>POCHETTE INTERIEURE FERMETURE ECLAIR O BAG URBAN EN MICROFIBRE COULEUR UNIE</v>
      </c>
      <c r="D264" s="27" t="str">
        <f ca="1">INDEX(INDIRECT(zoneFichierTraite),$J264+offsetInitialFichierTraite,13)</f>
        <v>military</v>
      </c>
      <c r="E264" s="30">
        <f ca="1">INDEX(INDIRECT(zoneFichierTraite),$J264+offsetInitialFichierTraite,7)</f>
        <v>3</v>
      </c>
      <c r="F264" s="28">
        <f ca="1">INDEX(INDIRECT(zoneFichierTraite),$J264+offsetInitialFichierTraite,8)</f>
        <v>11.85</v>
      </c>
      <c r="G264" s="29">
        <f t="shared" ref="G264:G327" ca="1" si="953">ROUNDUP(F264*3,0)</f>
        <v>36</v>
      </c>
      <c r="H264" s="31" t="str">
        <f ca="1">IF(ISNUMBER(N264),codeEAN13(INT(N264/10)),"")</f>
        <v>8APASOG*ajbigd+</v>
      </c>
      <c r="I264" s="1" t="b">
        <f t="shared" ref="I264:I327" ca="1" si="954">AND(A267&lt;&gt;0,A265=A267)</f>
        <v>0</v>
      </c>
      <c r="J264" s="15">
        <f t="shared" si="706"/>
        <v>128</v>
      </c>
      <c r="K264" s="1">
        <f t="shared" ref="K264:K327" ca="1" si="955">A265</f>
        <v>185</v>
      </c>
      <c r="L264" s="5" t="str">
        <f ca="1">INDEX(INDIRECT(zoneFichierTraite),$J264+offsetInitialFichierTraite,1)</f>
        <v>'128</v>
      </c>
      <c r="M264" s="11">
        <f ca="1">INDEX(INDIRECT(zoneFichierTraite),$J264+offsetInitialFichierTraite,9)</f>
        <v>35.549999999999997</v>
      </c>
      <c r="N264" s="14">
        <f ca="1">INDEX(INDIRECT(zoneFichierTraite),$J264+offsetInitialFichierTraite,3)</f>
        <v>8050846091863</v>
      </c>
      <c r="O264" s="14"/>
      <c r="P264" s="56">
        <f ca="1">MATCH(N264,INDIRECT(nomFichierEAN13Valmag &amp; "!A:A"),0)</f>
        <v>841</v>
      </c>
      <c r="R264" s="50" t="str">
        <f t="shared" ref="R264:R327" ca="1" si="956">LEFT(B264,14)</f>
        <v>OBAGS033-TESD5</v>
      </c>
      <c r="S264" s="52">
        <f ca="1">MATCH($R264,INDIRECT(nomFichierEAN13ValmagUniq &amp; "!A:A"),0)</f>
        <v>197</v>
      </c>
      <c r="T264" s="49" t="str">
        <f ca="1">IFERROR(INDEX(INDIRECT(zoneFichierEAN13ValmagUniq),S264,2),"")</f>
        <v xml:space="preserve"> </v>
      </c>
      <c r="U264" s="52">
        <f ca="1">MATCH($R264,INDIRECT(nomFichierEAN13ValmagUniq &amp; "!A" &amp; (S264+1) &amp; ":A" &amp;  (S264+10)),0)</f>
        <v>1</v>
      </c>
      <c r="V264" s="51">
        <f t="shared" ref="V264:V327" ca="1" si="957">U264+S264</f>
        <v>198</v>
      </c>
      <c r="W264" s="49" t="str">
        <f ca="1">IFERROR(INDEX(INDIRECT(zoneFichierEAN13ValmagUniq),V264,2),"")</f>
        <v xml:space="preserve">CANURBAN        </v>
      </c>
      <c r="X264" s="52" t="e">
        <f ca="1">MATCH($R264,INDIRECT(nomFichierEAN13ValmagUniq &amp; "!A" &amp; (V264+1) &amp; ":A" &amp;  (V264+10)),0)</f>
        <v>#N/A</v>
      </c>
      <c r="Y264" s="51" t="e">
        <f t="shared" ref="Y264:Y327" ca="1" si="958">X264+V264</f>
        <v>#N/A</v>
      </c>
      <c r="Z264" s="49" t="str">
        <f ca="1">IFERROR(INDEX(INDIRECT(zoneFichierEAN13ValmagUniq),Y264,2),"")</f>
        <v/>
      </c>
      <c r="AA264" s="53" t="str">
        <f t="shared" ref="AA264:AA327" ca="1" si="959">T264 &amp; IF(W264="","", " | " &amp; W264) &amp; IF(Z264="","", " | " &amp;Z264)</f>
        <v xml:space="preserve">  | CANURBAN        </v>
      </c>
      <c r="AC264" s="55">
        <f ca="1">MATCH(B264,INDIRECT(nomFichierFiltreCatalogue &amp; "!B:B"),0)</f>
        <v>419</v>
      </c>
      <c r="AD264" s="14"/>
    </row>
    <row r="265" spans="1:30" s="20" customFormat="1" ht="15.75" customHeight="1" x14ac:dyDescent="0.25">
      <c r="A265" s="25">
        <f ca="1">INDEX(INDIRECT(zoneFichierTraite),$J264+offsetInitialFichierTraite,2)</f>
        <v>185</v>
      </c>
      <c r="B265" s="57" t="str">
        <f ca="1">IF(ISERROR($P264),msgRefValmagAcreer,IF(INDEX(INDIRECT(zoneFichierEAN13Valmag),$P264,3) = "",msgCodeValmagVide, INDEX(INDIRECT(zoneFichierEAN13Valmag),$P264,3)))</f>
        <v xml:space="preserve"> </v>
      </c>
      <c r="C265" s="54" t="str">
        <f t="shared" ref="C265:C328" ca="1" si="960">AA264</f>
        <v xml:space="preserve">  | CANURBAN        </v>
      </c>
      <c r="D265" s="19" t="str">
        <f ca="1">IFERROR(INDEX(INDIRECT(zoneFichierEAN13Valmag),$P264,4),"")</f>
        <v xml:space="preserve"> </v>
      </c>
      <c r="E265" s="58" t="str">
        <f ca="1">IFERROR(INDEX(INDIRECT(zoneFichierFiltreCatalogue),AC264,3),"")</f>
        <v>p095-2-06</v>
      </c>
      <c r="F265" s="19"/>
      <c r="G265" s="18"/>
      <c r="H265" s="32" t="str">
        <f ca="1">IFERROR(INDEX(INDIRECT(zoneFichierFiltreCatalogue),AC264,6),"")</f>
        <v>fall 2019 presentation_/catalogo fall 19.txt</v>
      </c>
      <c r="S265" s="1"/>
      <c r="T265" s="21"/>
      <c r="U265" s="21"/>
      <c r="V265" s="21"/>
      <c r="W265" s="21"/>
      <c r="X265" s="21"/>
      <c r="Y265" s="21"/>
      <c r="Z265" s="21"/>
      <c r="AA265" s="21"/>
      <c r="AB265" s="21"/>
      <c r="AC265" s="21"/>
    </row>
    <row r="266" spans="1:30" ht="39" customHeight="1" thickBot="1" x14ac:dyDescent="0.65">
      <c r="A266" s="9" t="str">
        <f ca="1">INDEX(INDIRECT(zoneFichierTraite),$J266+offsetInitialFichierTraite,6)</f>
        <v>UNICA</v>
      </c>
      <c r="B266" s="5" t="str">
        <f ca="1">INDEX(INDIRECT(zoneFichierTraite),$J266+offsetInitialFichierTraite,4)</f>
        <v>OBAGS034-TESD5-009</v>
      </c>
      <c r="C266" s="26" t="str">
        <f ca="1">INDEX(INDIRECT(zoneFichierTraite),$J266+offsetInitialFichierTraite,5)</f>
        <v>POCHETTE INTERIEURE FERMETURE ECLAIR O BAG GLAM EN MICROFIBRE COULEUR UNIE</v>
      </c>
      <c r="D266" s="27" t="str">
        <f ca="1">INDEX(INDIRECT(zoneFichierTraite),$J266+offsetInitialFichierTraite,13)</f>
        <v>blu</v>
      </c>
      <c r="E266" s="30">
        <f ca="1">INDEX(INDIRECT(zoneFichierTraite),$J266+offsetInitialFichierTraite,7)</f>
        <v>2</v>
      </c>
      <c r="F266" s="28">
        <f ca="1">INDEX(INDIRECT(zoneFichierTraite),$J266+offsetInitialFichierTraite,8)</f>
        <v>10.74</v>
      </c>
      <c r="G266" s="29">
        <f t="shared" ref="G266:G329" ca="1" si="961">ROUNDUP(F266*3,0)</f>
        <v>33</v>
      </c>
      <c r="H266" s="31" t="str">
        <f ca="1">IF(ISNUMBER(N266),codeEAN13(INT(N266/10)),"")</f>
        <v>8APASOG*aedgfh+</v>
      </c>
      <c r="I266" s="1" t="b">
        <f t="shared" ref="I266:I329" ca="1" si="962">AND(A269&lt;&gt;0,A267=A269)</f>
        <v>0</v>
      </c>
      <c r="J266" s="15">
        <f t="shared" ref="J266:J328" si="963">J264+1</f>
        <v>129</v>
      </c>
      <c r="K266" s="1">
        <f t="shared" ref="K266:K329" ca="1" si="964">A267</f>
        <v>216</v>
      </c>
      <c r="L266" s="5" t="str">
        <f ca="1">INDEX(INDIRECT(zoneFichierTraite),$J266+offsetInitialFichierTraite,1)</f>
        <v>'129</v>
      </c>
      <c r="M266" s="11">
        <f ca="1">INDEX(INDIRECT(zoneFichierTraite),$J266+offsetInitialFichierTraite,9)</f>
        <v>21.48</v>
      </c>
      <c r="N266" s="14">
        <f ca="1">INDEX(INDIRECT(zoneFichierTraite),$J266+offsetInitialFichierTraite,3)</f>
        <v>8050846043657</v>
      </c>
      <c r="O266" s="14"/>
      <c r="P266" s="56">
        <f ca="1">MATCH(N266,INDIRECT(nomFichierEAN13Valmag &amp; "!A:A"),0)</f>
        <v>288</v>
      </c>
      <c r="R266" s="50" t="str">
        <f t="shared" ref="R266:R329" ca="1" si="965">LEFT(B266,14)</f>
        <v>OBAGS034-TESD5</v>
      </c>
      <c r="S266" s="52">
        <f ca="1">MATCH($R266,INDIRECT(nomFichierEAN13ValmagUniq &amp; "!A:A"),0)</f>
        <v>201</v>
      </c>
      <c r="T266" s="49" t="str">
        <f ca="1">IFERROR(INDEX(INDIRECT(zoneFichierEAN13ValmagUniq),S266,2),"")</f>
        <v xml:space="preserve"> </v>
      </c>
      <c r="U266" s="52">
        <f ca="1">MATCH($R266,INDIRECT(nomFichierEAN13ValmagUniq &amp; "!A" &amp; (S266+1) &amp; ":A" &amp;  (S266+10)),0)</f>
        <v>1</v>
      </c>
      <c r="V266" s="51">
        <f t="shared" ref="V266:V329" ca="1" si="966">U266+S266</f>
        <v>202</v>
      </c>
      <c r="W266" s="49" t="str">
        <f ca="1">IFERROR(INDEX(INDIRECT(zoneFichierEAN13ValmagUniq),V266,2),"")</f>
        <v xml:space="preserve">CANOGLAM        </v>
      </c>
      <c r="X266" s="52" t="e">
        <f ca="1">MATCH($R266,INDIRECT(nomFichierEAN13ValmagUniq &amp; "!A" &amp; (V266+1) &amp; ":A" &amp;  (V266+10)),0)</f>
        <v>#N/A</v>
      </c>
      <c r="Y266" s="51" t="e">
        <f t="shared" ref="Y266:Y329" ca="1" si="967">X266+V266</f>
        <v>#N/A</v>
      </c>
      <c r="Z266" s="49" t="str">
        <f ca="1">IFERROR(INDEX(INDIRECT(zoneFichierEAN13ValmagUniq),Y266,2),"")</f>
        <v/>
      </c>
      <c r="AA266" s="53" t="str">
        <f t="shared" ref="AA266:AA329" ca="1" si="968">T266 &amp; IF(W266="","", " | " &amp; W266) &amp; IF(Z266="","", " | " &amp;Z266)</f>
        <v xml:space="preserve">  | CANOGLAM        </v>
      </c>
      <c r="AC266" s="55">
        <f ca="1">MATCH(B266,INDIRECT(nomFichierFiltreCatalogue &amp; "!B:B"),0)</f>
        <v>435</v>
      </c>
      <c r="AD266" s="14"/>
    </row>
    <row r="267" spans="1:30" s="20" customFormat="1" ht="15.75" customHeight="1" x14ac:dyDescent="0.25">
      <c r="A267" s="25">
        <f ca="1">INDEX(INDIRECT(zoneFichierTraite),$J266+offsetInitialFichierTraite,2)</f>
        <v>216</v>
      </c>
      <c r="B267" s="57" t="str">
        <f ca="1">IF(ISERROR($P266),msgRefValmagAcreer,IF(INDEX(INDIRECT(zoneFichierEAN13Valmag),$P266,3) = "",msgCodeValmagVide, INDEX(INDIRECT(zoneFichierEAN13Valmag),$P266,3)))</f>
        <v xml:space="preserve"> </v>
      </c>
      <c r="C267" s="54" t="str">
        <f t="shared" ref="C267:C330" ca="1" si="969">AA266</f>
        <v xml:space="preserve">  | CANOGLAM        </v>
      </c>
      <c r="D267" s="19" t="str">
        <f ca="1">IFERROR(INDEX(INDIRECT(zoneFichierEAN13Valmag),$P266,4),"")</f>
        <v xml:space="preserve"> </v>
      </c>
      <c r="E267" s="58" t="str">
        <f ca="1">IFERROR(INDEX(INDIRECT(zoneFichierFiltreCatalogue),AC266,3),"")</f>
        <v>p101-2-01</v>
      </c>
      <c r="F267" s="19"/>
      <c r="G267" s="18"/>
      <c r="H267" s="32" t="str">
        <f ca="1">IFERROR(INDEX(INDIRECT(zoneFichierFiltreCatalogue),AC266,6),"")</f>
        <v>fall 2019 presentation_/catalogo fall 19.txt</v>
      </c>
      <c r="S267" s="1"/>
      <c r="T267" s="21"/>
      <c r="U267" s="21"/>
      <c r="V267" s="21"/>
      <c r="W267" s="21"/>
      <c r="X267" s="21"/>
      <c r="Y267" s="21"/>
      <c r="Z267" s="21"/>
      <c r="AA267" s="21"/>
      <c r="AB267" s="21"/>
      <c r="AC267" s="21"/>
    </row>
    <row r="268" spans="1:30" ht="39" customHeight="1" thickBot="1" x14ac:dyDescent="0.65">
      <c r="A268" s="9" t="str">
        <f ca="1">INDEX(INDIRECT(zoneFichierTraite),$J268+offsetInitialFichierTraite,6)</f>
        <v>UNICA</v>
      </c>
      <c r="B268" s="5" t="str">
        <f ca="1">INDEX(INDIRECT(zoneFichierTraite),$J268+offsetInitialFichierTraite,4)</f>
        <v>OBAGS034-TESD5-055</v>
      </c>
      <c r="C268" s="26" t="str">
        <f ca="1">INDEX(INDIRECT(zoneFichierTraite),$J268+offsetInitialFichierTraite,5)</f>
        <v>POCHETTE INTERIEURE FERMETURE ECLAIR O BAG GLAM EN MICROFIBRE COULEUR UNIE</v>
      </c>
      <c r="D268" s="27" t="str">
        <f ca="1">INDEX(INDIRECT(zoneFichierTraite),$J268+offsetInitialFichierTraite,13)</f>
        <v>nero</v>
      </c>
      <c r="E268" s="30">
        <f ca="1">INDEX(INDIRECT(zoneFichierTraite),$J268+offsetInitialFichierTraite,7)</f>
        <v>2</v>
      </c>
      <c r="F268" s="28">
        <f ca="1">INDEX(INDIRECT(zoneFichierTraite),$J268+offsetInitialFichierTraite,8)</f>
        <v>10.74</v>
      </c>
      <c r="G268" s="29">
        <f t="shared" ref="G268:G331" ca="1" si="970">ROUNDUP(F268*3,0)</f>
        <v>33</v>
      </c>
      <c r="H268" s="31" t="str">
        <f ca="1">IF(ISNUMBER(N268),codeEAN13(INT(N268/10)),"")</f>
        <v>8APASOG*aedjbg+</v>
      </c>
      <c r="I268" s="1" t="b">
        <f t="shared" ref="I268:I331" ca="1" si="971">AND(A271&lt;&gt;0,A269=A271)</f>
        <v>0</v>
      </c>
      <c r="J268" s="15">
        <f t="shared" si="963"/>
        <v>130</v>
      </c>
      <c r="K268" s="1">
        <f t="shared" ref="K268:K331" ca="1" si="972">A269</f>
        <v>19</v>
      </c>
      <c r="L268" s="5" t="str">
        <f ca="1">INDEX(INDIRECT(zoneFichierTraite),$J268+offsetInitialFichierTraite,1)</f>
        <v>'130</v>
      </c>
      <c r="M268" s="11">
        <f ca="1">INDEX(INDIRECT(zoneFichierTraite),$J268+offsetInitialFichierTraite,9)</f>
        <v>21.48</v>
      </c>
      <c r="N268" s="14">
        <f ca="1">INDEX(INDIRECT(zoneFichierTraite),$J268+offsetInitialFichierTraite,3)</f>
        <v>8050846043916</v>
      </c>
      <c r="O268" s="14"/>
      <c r="P268" s="56">
        <f ca="1">MATCH(N268,INDIRECT(nomFichierEAN13Valmag &amp; "!A:A"),0)</f>
        <v>291</v>
      </c>
      <c r="R268" s="50" t="str">
        <f t="shared" ref="R268:R331" ca="1" si="973">LEFT(B268,14)</f>
        <v>OBAGS034-TESD5</v>
      </c>
      <c r="S268" s="52">
        <f ca="1">MATCH($R268,INDIRECT(nomFichierEAN13ValmagUniq &amp; "!A:A"),0)</f>
        <v>201</v>
      </c>
      <c r="T268" s="49" t="str">
        <f ca="1">IFERROR(INDEX(INDIRECT(zoneFichierEAN13ValmagUniq),S268,2),"")</f>
        <v xml:space="preserve"> </v>
      </c>
      <c r="U268" s="52">
        <f ca="1">MATCH($R268,INDIRECT(nomFichierEAN13ValmagUniq &amp; "!A" &amp; (S268+1) &amp; ":A" &amp;  (S268+10)),0)</f>
        <v>1</v>
      </c>
      <c r="V268" s="51">
        <f t="shared" ref="V268:V331" ca="1" si="974">U268+S268</f>
        <v>202</v>
      </c>
      <c r="W268" s="49" t="str">
        <f ca="1">IFERROR(INDEX(INDIRECT(zoneFichierEAN13ValmagUniq),V268,2),"")</f>
        <v xml:space="preserve">CANOGLAM        </v>
      </c>
      <c r="X268" s="52" t="e">
        <f ca="1">MATCH($R268,INDIRECT(nomFichierEAN13ValmagUniq &amp; "!A" &amp; (V268+1) &amp; ":A" &amp;  (V268+10)),0)</f>
        <v>#N/A</v>
      </c>
      <c r="Y268" s="51" t="e">
        <f t="shared" ref="Y268:Y331" ca="1" si="975">X268+V268</f>
        <v>#N/A</v>
      </c>
      <c r="Z268" s="49" t="str">
        <f ca="1">IFERROR(INDEX(INDIRECT(zoneFichierEAN13ValmagUniq),Y268,2),"")</f>
        <v/>
      </c>
      <c r="AA268" s="53" t="str">
        <f t="shared" ref="AA268:AA331" ca="1" si="976">T268 &amp; IF(W268="","", " | " &amp; W268) &amp; IF(Z268="","", " | " &amp;Z268)</f>
        <v xml:space="preserve">  | CANOGLAM        </v>
      </c>
      <c r="AC268" s="55">
        <f ca="1">MATCH(B268,INDIRECT(nomFichierFiltreCatalogue &amp; "!B:B"),0)</f>
        <v>438</v>
      </c>
      <c r="AD268" s="14"/>
    </row>
    <row r="269" spans="1:30" s="20" customFormat="1" ht="15.75" customHeight="1" x14ac:dyDescent="0.25">
      <c r="A269" s="25">
        <f ca="1">INDEX(INDIRECT(zoneFichierTraite),$J268+offsetInitialFichierTraite,2)</f>
        <v>19</v>
      </c>
      <c r="B269" s="57" t="str">
        <f ca="1">IF(ISERROR($P268),msgRefValmagAcreer,IF(INDEX(INDIRECT(zoneFichierEAN13Valmag),$P268,3) = "",msgCodeValmagVide, INDEX(INDIRECT(zoneFichierEAN13Valmag),$P268,3)))</f>
        <v xml:space="preserve">CANOGLAM        </v>
      </c>
      <c r="C269" s="54" t="str">
        <f t="shared" ref="C269:C332" ca="1" si="977">AA268</f>
        <v xml:space="preserve">  | CANOGLAM        </v>
      </c>
      <c r="D269" s="19" t="str">
        <f ca="1">IFERROR(INDEX(INDIRECT(zoneFichierEAN13Valmag),$P268,4),"")</f>
        <v>MIBLA</v>
      </c>
      <c r="E269" s="58" t="str">
        <f ca="1">IFERROR(INDEX(INDIRECT(zoneFichierFiltreCatalogue),AC268,3),"")</f>
        <v>p101-2-04</v>
      </c>
      <c r="F269" s="19"/>
      <c r="G269" s="18"/>
      <c r="H269" s="32" t="str">
        <f ca="1">IFERROR(INDEX(INDIRECT(zoneFichierFiltreCatalogue),AC268,6),"")</f>
        <v>fall 2019 presentation_/catalogo fall 19.txt</v>
      </c>
      <c r="S269" s="1"/>
      <c r="T269" s="21"/>
      <c r="U269" s="21"/>
      <c r="V269" s="21"/>
      <c r="W269" s="21"/>
      <c r="X269" s="21"/>
      <c r="Y269" s="21"/>
      <c r="Z269" s="21"/>
      <c r="AA269" s="21"/>
      <c r="AB269" s="21"/>
      <c r="AC269" s="21"/>
    </row>
    <row r="270" spans="1:30" ht="39" customHeight="1" thickBot="1" x14ac:dyDescent="0.65">
      <c r="A270" s="9" t="str">
        <f ca="1">INDEX(INDIRECT(zoneFichierTraite),$J270+offsetInitialFichierTraite,6)</f>
        <v>UNICA</v>
      </c>
      <c r="B270" s="5" t="str">
        <f ca="1">INDEX(INDIRECT(zoneFichierTraite),$J270+offsetInitialFichierTraite,4)</f>
        <v>OBAGS034-TESD5-078</v>
      </c>
      <c r="C270" s="26" t="str">
        <f ca="1">INDEX(INDIRECT(zoneFichierTraite),$J270+offsetInitialFichierTraite,5)</f>
        <v>POCHETTE INTERIEURE FERMETURE ECLAIR O BAG GLAM EN MICROFIBRE COULEUR UNIE</v>
      </c>
      <c r="D270" s="27" t="str">
        <f ca="1">INDEX(INDIRECT(zoneFichierTraite),$J270+offsetInitialFichierTraite,13)</f>
        <v>sabbia</v>
      </c>
      <c r="E270" s="30">
        <f ca="1">INDEX(INDIRECT(zoneFichierTraite),$J270+offsetInitialFichierTraite,7)</f>
        <v>2</v>
      </c>
      <c r="F270" s="28">
        <f ca="1">INDEX(INDIRECT(zoneFichierTraite),$J270+offsetInitialFichierTraite,8)</f>
        <v>10.74</v>
      </c>
      <c r="G270" s="29">
        <f t="shared" ref="G270:G333" ca="1" si="978">ROUNDUP(F270*3,0)</f>
        <v>33</v>
      </c>
      <c r="H270" s="31" t="str">
        <f ca="1">IF(ISNUMBER(N270),codeEAN13(INT(N270/10)),"")</f>
        <v>8APASOG*ajafhg+</v>
      </c>
      <c r="I270" s="1" t="b">
        <f t="shared" ref="I270:I333" ca="1" si="979">AND(A273&lt;&gt;0,A271=A273)</f>
        <v>0</v>
      </c>
      <c r="J270" s="15">
        <f t="shared" si="963"/>
        <v>131</v>
      </c>
      <c r="K270" s="1">
        <f t="shared" ref="K270:K333" ca="1" si="980">A271</f>
        <v>174</v>
      </c>
      <c r="L270" s="5" t="str">
        <f ca="1">INDEX(INDIRECT(zoneFichierTraite),$J270+offsetInitialFichierTraite,1)</f>
        <v>'131</v>
      </c>
      <c r="M270" s="11">
        <f ca="1">INDEX(INDIRECT(zoneFichierTraite),$J270+offsetInitialFichierTraite,9)</f>
        <v>21.48</v>
      </c>
      <c r="N270" s="14">
        <f ca="1">INDEX(INDIRECT(zoneFichierTraite),$J270+offsetInitialFichierTraite,3)</f>
        <v>8050846090576</v>
      </c>
      <c r="O270" s="14"/>
      <c r="P270" s="56">
        <f ca="1">MATCH(N270,INDIRECT(nomFichierEAN13Valmag &amp; "!A:A"),0)</f>
        <v>741</v>
      </c>
      <c r="R270" s="50" t="str">
        <f t="shared" ref="R270:R333" ca="1" si="981">LEFT(B270,14)</f>
        <v>OBAGS034-TESD5</v>
      </c>
      <c r="S270" s="52">
        <f ca="1">MATCH($R270,INDIRECT(nomFichierEAN13ValmagUniq &amp; "!A:A"),0)</f>
        <v>201</v>
      </c>
      <c r="T270" s="49" t="str">
        <f ca="1">IFERROR(INDEX(INDIRECT(zoneFichierEAN13ValmagUniq),S270,2),"")</f>
        <v xml:space="preserve"> </v>
      </c>
      <c r="U270" s="52">
        <f ca="1">MATCH($R270,INDIRECT(nomFichierEAN13ValmagUniq &amp; "!A" &amp; (S270+1) &amp; ":A" &amp;  (S270+10)),0)</f>
        <v>1</v>
      </c>
      <c r="V270" s="51">
        <f t="shared" ref="V270:V333" ca="1" si="982">U270+S270</f>
        <v>202</v>
      </c>
      <c r="W270" s="49" t="str">
        <f ca="1">IFERROR(INDEX(INDIRECT(zoneFichierEAN13ValmagUniq),V270,2),"")</f>
        <v xml:space="preserve">CANOGLAM        </v>
      </c>
      <c r="X270" s="52" t="e">
        <f ca="1">MATCH($R270,INDIRECT(nomFichierEAN13ValmagUniq &amp; "!A" &amp; (V270+1) &amp; ":A" &amp;  (V270+10)),0)</f>
        <v>#N/A</v>
      </c>
      <c r="Y270" s="51" t="e">
        <f t="shared" ref="Y270:Y333" ca="1" si="983">X270+V270</f>
        <v>#N/A</v>
      </c>
      <c r="Z270" s="49" t="str">
        <f ca="1">IFERROR(INDEX(INDIRECT(zoneFichierEAN13ValmagUniq),Y270,2),"")</f>
        <v/>
      </c>
      <c r="AA270" s="53" t="str">
        <f t="shared" ref="AA270:AA333" ca="1" si="984">T270 &amp; IF(W270="","", " | " &amp; W270) &amp; IF(Z270="","", " | " &amp;Z270)</f>
        <v xml:space="preserve">  | CANOGLAM        </v>
      </c>
      <c r="AC270" s="55">
        <f ca="1">MATCH(B270,INDIRECT(nomFichierFiltreCatalogue &amp; "!B:B"),0)</f>
        <v>436</v>
      </c>
      <c r="AD270" s="14"/>
    </row>
    <row r="271" spans="1:30" s="20" customFormat="1" ht="15.75" customHeight="1" x14ac:dyDescent="0.25">
      <c r="A271" s="25">
        <f ca="1">INDEX(INDIRECT(zoneFichierTraite),$J270+offsetInitialFichierTraite,2)</f>
        <v>174</v>
      </c>
      <c r="B271" s="57" t="str">
        <f ca="1">IF(ISERROR($P270),msgRefValmagAcreer,IF(INDEX(INDIRECT(zoneFichierEAN13Valmag),$P270,3) = "",msgCodeValmagVide, INDEX(INDIRECT(zoneFichierEAN13Valmag),$P270,3)))</f>
        <v xml:space="preserve"> </v>
      </c>
      <c r="C271" s="54" t="str">
        <f t="shared" ref="C271:C334" ca="1" si="985">AA270</f>
        <v xml:space="preserve">  | CANOGLAM        </v>
      </c>
      <c r="D271" s="19" t="str">
        <f ca="1">IFERROR(INDEX(INDIRECT(zoneFichierEAN13Valmag),$P270,4),"")</f>
        <v xml:space="preserve"> </v>
      </c>
      <c r="E271" s="58" t="str">
        <f ca="1">IFERROR(INDEX(INDIRECT(zoneFichierFiltreCatalogue),AC270,3),"")</f>
        <v>p101-2-02</v>
      </c>
      <c r="F271" s="19"/>
      <c r="G271" s="18"/>
      <c r="H271" s="32" t="str">
        <f ca="1">IFERROR(INDEX(INDIRECT(zoneFichierFiltreCatalogue),AC270,6),"")</f>
        <v>fall 2019 presentation_/catalogo fall 19.txt</v>
      </c>
      <c r="S271" s="1"/>
      <c r="T271" s="21"/>
      <c r="U271" s="21"/>
      <c r="V271" s="21"/>
      <c r="W271" s="21"/>
      <c r="X271" s="21"/>
      <c r="Y271" s="21"/>
      <c r="Z271" s="21"/>
      <c r="AA271" s="21"/>
      <c r="AB271" s="21"/>
      <c r="AC271" s="21"/>
    </row>
    <row r="272" spans="1:30" ht="39" customHeight="1" thickBot="1" x14ac:dyDescent="0.65">
      <c r="A272" s="9" t="str">
        <f ca="1">INDEX(INDIRECT(zoneFichierTraite),$J272+offsetInitialFichierTraite,6)</f>
        <v>UNICA</v>
      </c>
      <c r="B272" s="5" t="str">
        <f ca="1">INDEX(INDIRECT(zoneFichierTraite),$J272+offsetInitialFichierTraite,4)</f>
        <v>OBAGS034-TESD5-371</v>
      </c>
      <c r="C272" s="26" t="str">
        <f ca="1">INDEX(INDIRECT(zoneFichierTraite),$J272+offsetInitialFichierTraite,5)</f>
        <v>POCHETTE INTERIEURE FERMETURE ECLAIR O BAG GLAM EN MICROFIBRE COULEUR UNIE</v>
      </c>
      <c r="D272" s="27" t="str">
        <f ca="1">INDEX(INDIRECT(zoneFichierTraite),$J272+offsetInitialFichierTraite,13)</f>
        <v>latte</v>
      </c>
      <c r="E272" s="30">
        <f ca="1">INDEX(INDIRECT(zoneFichierTraite),$J272+offsetInitialFichierTraite,7)</f>
        <v>2</v>
      </c>
      <c r="F272" s="28">
        <f ca="1">INDEX(INDIRECT(zoneFichierTraite),$J272+offsetInitialFichierTraite,8)</f>
        <v>10.74</v>
      </c>
      <c r="G272" s="29">
        <f t="shared" ref="G272:G335" ca="1" si="986">ROUNDUP(F272*3,0)</f>
        <v>33</v>
      </c>
      <c r="H272" s="31" t="str">
        <f ca="1">IF(ISNUMBER(N272),codeEAN13(INT(N272/10)),"")</f>
        <v>8APASOG*aifacc+</v>
      </c>
      <c r="I272" s="1" t="b">
        <f t="shared" ref="I272:I335" ca="1" si="987">AND(A275&lt;&gt;0,A273=A275)</f>
        <v>0</v>
      </c>
      <c r="J272" s="15">
        <f t="shared" si="963"/>
        <v>132</v>
      </c>
      <c r="K272" s="1">
        <f t="shared" ref="K272:K335" ca="1" si="988">A273</f>
        <v>124</v>
      </c>
      <c r="L272" s="5" t="str">
        <f ca="1">INDEX(INDIRECT(zoneFichierTraite),$J272+offsetInitialFichierTraite,1)</f>
        <v>'132</v>
      </c>
      <c r="M272" s="11">
        <f ca="1">INDEX(INDIRECT(zoneFichierTraite),$J272+offsetInitialFichierTraite,9)</f>
        <v>21.48</v>
      </c>
      <c r="N272" s="14">
        <f ca="1">INDEX(INDIRECT(zoneFichierTraite),$J272+offsetInitialFichierTraite,3)</f>
        <v>8050846085022</v>
      </c>
      <c r="O272" s="14"/>
      <c r="P272" s="56">
        <f ca="1">MATCH(N272,INDIRECT(nomFichierEAN13Valmag &amp; "!A:A"),0)</f>
        <v>638</v>
      </c>
      <c r="R272" s="50" t="str">
        <f t="shared" ref="R272:R335" ca="1" si="989">LEFT(B272,14)</f>
        <v>OBAGS034-TESD5</v>
      </c>
      <c r="S272" s="52">
        <f ca="1">MATCH($R272,INDIRECT(nomFichierEAN13ValmagUniq &amp; "!A:A"),0)</f>
        <v>201</v>
      </c>
      <c r="T272" s="49" t="str">
        <f ca="1">IFERROR(INDEX(INDIRECT(zoneFichierEAN13ValmagUniq),S272,2),"")</f>
        <v xml:space="preserve"> </v>
      </c>
      <c r="U272" s="52">
        <f ca="1">MATCH($R272,INDIRECT(nomFichierEAN13ValmagUniq &amp; "!A" &amp; (S272+1) &amp; ":A" &amp;  (S272+10)),0)</f>
        <v>1</v>
      </c>
      <c r="V272" s="51">
        <f t="shared" ref="V272:V335" ca="1" si="990">U272+S272</f>
        <v>202</v>
      </c>
      <c r="W272" s="49" t="str">
        <f ca="1">IFERROR(INDEX(INDIRECT(zoneFichierEAN13ValmagUniq),V272,2),"")</f>
        <v xml:space="preserve">CANOGLAM        </v>
      </c>
      <c r="X272" s="52" t="e">
        <f ca="1">MATCH($R272,INDIRECT(nomFichierEAN13ValmagUniq &amp; "!A" &amp; (V272+1) &amp; ":A" &amp;  (V272+10)),0)</f>
        <v>#N/A</v>
      </c>
      <c r="Y272" s="51" t="e">
        <f t="shared" ref="Y272:Y335" ca="1" si="991">X272+V272</f>
        <v>#N/A</v>
      </c>
      <c r="Z272" s="49" t="str">
        <f ca="1">IFERROR(INDEX(INDIRECT(zoneFichierEAN13ValmagUniq),Y272,2),"")</f>
        <v/>
      </c>
      <c r="AA272" s="53" t="str">
        <f t="shared" ref="AA272:AA335" ca="1" si="992">T272 &amp; IF(W272="","", " | " &amp; W272) &amp; IF(Z272="","", " | " &amp;Z272)</f>
        <v xml:space="preserve">  | CANOGLAM        </v>
      </c>
      <c r="AC272" s="55">
        <f ca="1">MATCH(B272,INDIRECT(nomFichierFiltreCatalogue &amp; "!B:B"),0)</f>
        <v>439</v>
      </c>
      <c r="AD272" s="14"/>
    </row>
    <row r="273" spans="1:30" s="20" customFormat="1" ht="15.75" customHeight="1" x14ac:dyDescent="0.25">
      <c r="A273" s="25">
        <f ca="1">INDEX(INDIRECT(zoneFichierTraite),$J272+offsetInitialFichierTraite,2)</f>
        <v>124</v>
      </c>
      <c r="B273" s="57" t="str">
        <f ca="1">IF(ISERROR($P272),msgRefValmagAcreer,IF(INDEX(INDIRECT(zoneFichierEAN13Valmag),$P272,3) = "",msgCodeValmagVide, INDEX(INDIRECT(zoneFichierEAN13Valmag),$P272,3)))</f>
        <v xml:space="preserve">CANOGLAM        </v>
      </c>
      <c r="C273" s="54" t="str">
        <f t="shared" ref="C273:C336" ca="1" si="993">AA272</f>
        <v xml:space="preserve">  | CANOGLAM        </v>
      </c>
      <c r="D273" s="19" t="str">
        <f ca="1">IFERROR(INDEX(INDIRECT(zoneFichierEAN13Valmag),$P272,4),"")</f>
        <v>MICLA</v>
      </c>
      <c r="E273" s="58" t="str">
        <f ca="1">IFERROR(INDEX(INDIRECT(zoneFichierFiltreCatalogue),AC272,3),"")</f>
        <v>p101-2-05</v>
      </c>
      <c r="F273" s="19"/>
      <c r="G273" s="18"/>
      <c r="H273" s="32" t="str">
        <f ca="1">IFERROR(INDEX(INDIRECT(zoneFichierFiltreCatalogue),AC272,6),"")</f>
        <v>fall 2019 presentation_/catalogo fall 19.txt</v>
      </c>
      <c r="S273" s="1"/>
      <c r="T273" s="21"/>
      <c r="U273" s="21"/>
      <c r="V273" s="21"/>
      <c r="W273" s="21"/>
      <c r="X273" s="21"/>
      <c r="Y273" s="21"/>
      <c r="Z273" s="21"/>
      <c r="AA273" s="21"/>
      <c r="AB273" s="21"/>
      <c r="AC273" s="21"/>
    </row>
    <row r="274" spans="1:30" ht="39" customHeight="1" thickBot="1" x14ac:dyDescent="0.65">
      <c r="A274" s="9" t="str">
        <f ca="1">INDEX(INDIRECT(zoneFichierTraite),$J274+offsetInitialFichierTraite,6)</f>
        <v>UNICA</v>
      </c>
      <c r="B274" s="5" t="str">
        <f ca="1">INDEX(INDIRECT(zoneFichierTraite),$J274+offsetInitialFichierTraite,4)</f>
        <v>OBAGS034-TESD5-615</v>
      </c>
      <c r="C274" s="26" t="str">
        <f ca="1">INDEX(INDIRECT(zoneFichierTraite),$J274+offsetInitialFichierTraite,5)</f>
        <v>POCHETTE INTERIEURE FERMETURE ECLAIR O BAG GLAM EN MICROFIBRE COULEUR UNIE</v>
      </c>
      <c r="D274" s="27" t="str">
        <f ca="1">INDEX(INDIRECT(zoneFichierTraite),$J274+offsetInitialFichierTraite,13)</f>
        <v>military</v>
      </c>
      <c r="E274" s="30">
        <f ca="1">INDEX(INDIRECT(zoneFichierTraite),$J274+offsetInitialFichierTraite,7)</f>
        <v>2</v>
      </c>
      <c r="F274" s="28">
        <f ca="1">INDEX(INDIRECT(zoneFichierTraite),$J274+offsetInitialFichierTraite,8)</f>
        <v>10.74</v>
      </c>
      <c r="G274" s="29">
        <f t="shared" ref="G274:G337" ca="1" si="994">ROUNDUP(F274*3,0)</f>
        <v>33</v>
      </c>
      <c r="H274" s="31" t="str">
        <f ca="1">IF(ISNUMBER(N274),codeEAN13(INT(N274/10)),"")</f>
        <v>8APASOG*ajaffc+</v>
      </c>
      <c r="I274" s="1" t="b">
        <f t="shared" ref="I274:I337" ca="1" si="995">AND(A277&lt;&gt;0,A275=A277)</f>
        <v>0</v>
      </c>
      <c r="J274" s="15">
        <f t="shared" si="963"/>
        <v>133</v>
      </c>
      <c r="K274" s="1">
        <f t="shared" ref="K274:K337" ca="1" si="996">A275</f>
        <v>20</v>
      </c>
      <c r="L274" s="5" t="str">
        <f ca="1">INDEX(INDIRECT(zoneFichierTraite),$J274+offsetInitialFichierTraite,1)</f>
        <v>'133</v>
      </c>
      <c r="M274" s="11">
        <f ca="1">INDEX(INDIRECT(zoneFichierTraite),$J274+offsetInitialFichierTraite,9)</f>
        <v>21.48</v>
      </c>
      <c r="N274" s="14">
        <f ca="1">INDEX(INDIRECT(zoneFichierTraite),$J274+offsetInitialFichierTraite,3)</f>
        <v>8050846090552</v>
      </c>
      <c r="O274" s="14"/>
      <c r="P274" s="56">
        <f ca="1">MATCH(N274,INDIRECT(nomFichierEAN13Valmag &amp; "!A:A"),0)</f>
        <v>739</v>
      </c>
      <c r="R274" s="50" t="str">
        <f t="shared" ref="R274:R337" ca="1" si="997">LEFT(B274,14)</f>
        <v>OBAGS034-TESD5</v>
      </c>
      <c r="S274" s="52">
        <f ca="1">MATCH($R274,INDIRECT(nomFichierEAN13ValmagUniq &amp; "!A:A"),0)</f>
        <v>201</v>
      </c>
      <c r="T274" s="49" t="str">
        <f ca="1">IFERROR(INDEX(INDIRECT(zoneFichierEAN13ValmagUniq),S274,2),"")</f>
        <v xml:space="preserve"> </v>
      </c>
      <c r="U274" s="52">
        <f ca="1">MATCH($R274,INDIRECT(nomFichierEAN13ValmagUniq &amp; "!A" &amp; (S274+1) &amp; ":A" &amp;  (S274+10)),0)</f>
        <v>1</v>
      </c>
      <c r="V274" s="51">
        <f t="shared" ref="V274:V337" ca="1" si="998">U274+S274</f>
        <v>202</v>
      </c>
      <c r="W274" s="49" t="str">
        <f ca="1">IFERROR(INDEX(INDIRECT(zoneFichierEAN13ValmagUniq),V274,2),"")</f>
        <v xml:space="preserve">CANOGLAM        </v>
      </c>
      <c r="X274" s="52" t="e">
        <f ca="1">MATCH($R274,INDIRECT(nomFichierEAN13ValmagUniq &amp; "!A" &amp; (V274+1) &amp; ":A" &amp;  (V274+10)),0)</f>
        <v>#N/A</v>
      </c>
      <c r="Y274" s="51" t="e">
        <f t="shared" ref="Y274:Y337" ca="1" si="999">X274+V274</f>
        <v>#N/A</v>
      </c>
      <c r="Z274" s="49" t="str">
        <f ca="1">IFERROR(INDEX(INDIRECT(zoneFichierEAN13ValmagUniq),Y274,2),"")</f>
        <v/>
      </c>
      <c r="AA274" s="53" t="str">
        <f t="shared" ref="AA274:AA337" ca="1" si="1000">T274 &amp; IF(W274="","", " | " &amp; W274) &amp; IF(Z274="","", " | " &amp;Z274)</f>
        <v xml:space="preserve">  | CANOGLAM        </v>
      </c>
      <c r="AC274" s="55">
        <f ca="1">MATCH(B274,INDIRECT(nomFichierFiltreCatalogue &amp; "!B:B"),0)</f>
        <v>437</v>
      </c>
      <c r="AD274" s="14"/>
    </row>
    <row r="275" spans="1:30" s="20" customFormat="1" ht="15.75" customHeight="1" x14ac:dyDescent="0.25">
      <c r="A275" s="25">
        <f ca="1">INDEX(INDIRECT(zoneFichierTraite),$J274+offsetInitialFichierTraite,2)</f>
        <v>20</v>
      </c>
      <c r="B275" s="57" t="str">
        <f ca="1">IF(ISERROR($P274),msgRefValmagAcreer,IF(INDEX(INDIRECT(zoneFichierEAN13Valmag),$P274,3) = "",msgCodeValmagVide, INDEX(INDIRECT(zoneFichierEAN13Valmag),$P274,3)))</f>
        <v xml:space="preserve"> </v>
      </c>
      <c r="C275" s="54" t="str">
        <f t="shared" ref="C275:C338" ca="1" si="1001">AA274</f>
        <v xml:space="preserve">  | CANOGLAM        </v>
      </c>
      <c r="D275" s="19" t="str">
        <f ca="1">IFERROR(INDEX(INDIRECT(zoneFichierEAN13Valmag),$P274,4),"")</f>
        <v xml:space="preserve"> </v>
      </c>
      <c r="E275" s="58" t="str">
        <f ca="1">IFERROR(INDEX(INDIRECT(zoneFichierFiltreCatalogue),AC274,3),"")</f>
        <v>p101-2-03</v>
      </c>
      <c r="F275" s="19"/>
      <c r="G275" s="18"/>
      <c r="H275" s="32" t="str">
        <f ca="1">IFERROR(INDEX(INDIRECT(zoneFichierFiltreCatalogue),AC274,6),"")</f>
        <v>fall 2019 presentation_/catalogo fall 19.txt</v>
      </c>
      <c r="S275" s="1"/>
      <c r="T275" s="21"/>
      <c r="U275" s="21"/>
      <c r="V275" s="21"/>
      <c r="W275" s="21"/>
      <c r="X275" s="21"/>
      <c r="Y275" s="21"/>
      <c r="Z275" s="21"/>
      <c r="AA275" s="21"/>
      <c r="AB275" s="21"/>
      <c r="AC275" s="21"/>
    </row>
    <row r="276" spans="1:30" ht="39" customHeight="1" thickBot="1" x14ac:dyDescent="0.65">
      <c r="A276" s="9" t="str">
        <f ca="1">INDEX(INDIRECT(zoneFichierTraite),$J276+offsetInitialFichierTraite,6)</f>
        <v>UNICA</v>
      </c>
      <c r="B276" s="5" t="str">
        <f ca="1">INDEX(INDIRECT(zoneFichierTraite),$J276+offsetInitialFichierTraite,4)</f>
        <v>OBAGS533-TESBF-076</v>
      </c>
      <c r="C276" s="26" t="str">
        <f ca="1">INDEX(INDIRECT(zoneFichierTraite),$J276+offsetInitialFichierTraite,5)</f>
        <v>POCHETTE INTERIEURE OVER O BAG URBAN EN TISSU CORDURA CONTRASTE</v>
      </c>
      <c r="D276" s="27" t="str">
        <f ca="1">INDEX(INDIRECT(zoneFichierTraite),$J276+offsetInitialFichierTraite,13)</f>
        <v>rosso</v>
      </c>
      <c r="E276" s="30">
        <f ca="1">INDEX(INDIRECT(zoneFichierTraite),$J276+offsetInitialFichierTraite,7)</f>
        <v>1</v>
      </c>
      <c r="F276" s="28">
        <f ca="1">INDEX(INDIRECT(zoneFichierTraite),$J276+offsetInitialFichierTraite,8)</f>
        <v>14.81</v>
      </c>
      <c r="G276" s="29">
        <f t="shared" ref="G276:G339" ca="1" si="1002">ROUNDUP(F276*3,0)</f>
        <v>45</v>
      </c>
      <c r="H276" s="31" t="str">
        <f ca="1">IF(ISNUMBER(N276),codeEAN13(INT(N276/10)),"")</f>
        <v>8APASOG*ajbjaa+</v>
      </c>
      <c r="I276" s="1" t="b">
        <f t="shared" ref="I276:I339" ca="1" si="1003">AND(A279&lt;&gt;0,A277=A279)</f>
        <v>0</v>
      </c>
      <c r="J276" s="15">
        <f t="shared" si="963"/>
        <v>134</v>
      </c>
      <c r="K276" s="1">
        <f t="shared" ref="K276:K339" ca="1" si="1004">A277</f>
        <v>95</v>
      </c>
      <c r="L276" s="5" t="str">
        <f ca="1">INDEX(INDIRECT(zoneFichierTraite),$J276+offsetInitialFichierTraite,1)</f>
        <v>'134</v>
      </c>
      <c r="M276" s="11">
        <f ca="1">INDEX(INDIRECT(zoneFichierTraite),$J276+offsetInitialFichierTraite,9)</f>
        <v>14.81</v>
      </c>
      <c r="N276" s="14">
        <f ca="1">INDEX(INDIRECT(zoneFichierTraite),$J276+offsetInitialFichierTraite,3)</f>
        <v>8050846091900</v>
      </c>
      <c r="O276" s="14"/>
      <c r="P276" s="56">
        <f ca="1">MATCH(N276,INDIRECT(nomFichierEAN13Valmag &amp; "!A:A"),0)</f>
        <v>845</v>
      </c>
      <c r="R276" s="50" t="str">
        <f t="shared" ref="R276:R339" ca="1" si="1005">LEFT(B276,14)</f>
        <v>OBAGS533-TESBF</v>
      </c>
      <c r="S276" s="52">
        <f ca="1">MATCH($R276,INDIRECT(nomFichierEAN13ValmagUniq &amp; "!A:A"),0)</f>
        <v>210</v>
      </c>
      <c r="T276" s="49" t="str">
        <f ca="1">IFERROR(INDEX(INDIRECT(zoneFichierEAN13ValmagUniq),S276,2),"")</f>
        <v xml:space="preserve"> </v>
      </c>
      <c r="U276" s="52" t="e">
        <f ca="1">MATCH($R276,INDIRECT(nomFichierEAN13ValmagUniq &amp; "!A" &amp; (S276+1) &amp; ":A" &amp;  (S276+10)),0)</f>
        <v>#N/A</v>
      </c>
      <c r="V276" s="51" t="e">
        <f t="shared" ref="V276:V339" ca="1" si="1006">U276+S276</f>
        <v>#N/A</v>
      </c>
      <c r="W276" s="49" t="str">
        <f ca="1">IFERROR(INDEX(INDIRECT(zoneFichierEAN13ValmagUniq),V276,2),"")</f>
        <v/>
      </c>
      <c r="X276" s="52" t="e">
        <f ca="1">MATCH($R276,INDIRECT(nomFichierEAN13ValmagUniq &amp; "!A" &amp; (V276+1) &amp; ":A" &amp;  (V276+10)),0)</f>
        <v>#N/A</v>
      </c>
      <c r="Y276" s="51" t="e">
        <f t="shared" ref="Y276:Y339" ca="1" si="1007">X276+V276</f>
        <v>#N/A</v>
      </c>
      <c r="Z276" s="49" t="str">
        <f ca="1">IFERROR(INDEX(INDIRECT(zoneFichierEAN13ValmagUniq),Y276,2),"")</f>
        <v/>
      </c>
      <c r="AA276" s="53" t="str">
        <f t="shared" ref="AA276:AA339" ca="1" si="1008">T276 &amp; IF(W276="","", " | " &amp; W276) &amp; IF(Z276="","", " | " &amp;Z276)</f>
        <v xml:space="preserve"> </v>
      </c>
      <c r="AC276" s="55">
        <f ca="1">MATCH(B276,INDIRECT(nomFichierFiltreCatalogue &amp; "!B:B"),0)</f>
        <v>424</v>
      </c>
      <c r="AD276" s="14"/>
    </row>
    <row r="277" spans="1:30" s="20" customFormat="1" ht="15.75" customHeight="1" x14ac:dyDescent="0.25">
      <c r="A277" s="25">
        <f ca="1">INDEX(INDIRECT(zoneFichierTraite),$J276+offsetInitialFichierTraite,2)</f>
        <v>95</v>
      </c>
      <c r="B277" s="57" t="str">
        <f ca="1">IF(ISERROR($P276),msgRefValmagAcreer,IF(INDEX(INDIRECT(zoneFichierEAN13Valmag),$P276,3) = "",msgCodeValmagVide, INDEX(INDIRECT(zoneFichierEAN13Valmag),$P276,3)))</f>
        <v xml:space="preserve"> </v>
      </c>
      <c r="C277" s="54" t="str">
        <f t="shared" ref="C277:C340" ca="1" si="1009">AA276</f>
        <v xml:space="preserve"> </v>
      </c>
      <c r="D277" s="19" t="str">
        <f ca="1">IFERROR(INDEX(INDIRECT(zoneFichierEAN13Valmag),$P276,4),"")</f>
        <v xml:space="preserve"> </v>
      </c>
      <c r="E277" s="58" t="str">
        <f ca="1">IFERROR(INDEX(INDIRECT(zoneFichierFiltreCatalogue),AC276,3),"")</f>
        <v>p097-2-01</v>
      </c>
      <c r="F277" s="19"/>
      <c r="G277" s="18"/>
      <c r="H277" s="32" t="str">
        <f ca="1">IFERROR(INDEX(INDIRECT(zoneFichierFiltreCatalogue),AC276,6),"")</f>
        <v>fall 2019 presentation_/catalogo fall 19.txt</v>
      </c>
      <c r="S277" s="1"/>
      <c r="T277" s="21"/>
      <c r="U277" s="21"/>
      <c r="V277" s="21"/>
      <c r="W277" s="21"/>
      <c r="X277" s="21"/>
      <c r="Y277" s="21"/>
      <c r="Z277" s="21"/>
      <c r="AA277" s="21"/>
      <c r="AB277" s="21"/>
      <c r="AC277" s="21"/>
    </row>
    <row r="278" spans="1:30" ht="39" customHeight="1" thickBot="1" x14ac:dyDescent="0.65">
      <c r="A278" s="9" t="str">
        <f ca="1">INDEX(INDIRECT(zoneFichierTraite),$J278+offsetInitialFichierTraite,6)</f>
        <v>UNICA</v>
      </c>
      <c r="B278" s="5" t="str">
        <f ca="1">INDEX(INDIRECT(zoneFichierTraite),$J278+offsetInitialFichierTraite,4)</f>
        <v>OBAGS533-TESBF-137</v>
      </c>
      <c r="C278" s="26" t="str">
        <f ca="1">INDEX(INDIRECT(zoneFichierTraite),$J278+offsetInitialFichierTraite,5)</f>
        <v>POCHETTE INTERIEURE OVER O BAG URBAN EN TISSU CORDURA CONTRASTE</v>
      </c>
      <c r="D278" s="27" t="str">
        <f ca="1">INDEX(INDIRECT(zoneFichierTraite),$J278+offsetInitialFichierTraite,13)</f>
        <v>bluette</v>
      </c>
      <c r="E278" s="30">
        <f ca="1">INDEX(INDIRECT(zoneFichierTraite),$J278+offsetInitialFichierTraite,7)</f>
        <v>1</v>
      </c>
      <c r="F278" s="28">
        <f ca="1">INDEX(INDIRECT(zoneFichierTraite),$J278+offsetInitialFichierTraite,8)</f>
        <v>14.81</v>
      </c>
      <c r="G278" s="29">
        <f t="shared" ref="G278:G341" ca="1" si="1010">ROUNDUP(F278*3,0)</f>
        <v>45</v>
      </c>
      <c r="H278" s="31" t="str">
        <f ca="1">IF(ISNUMBER(N278),codeEAN13(INT(N278/10)),"")</f>
        <v>8APASOG*ajbjbh+</v>
      </c>
      <c r="I278" s="1" t="b">
        <f t="shared" ref="I278:I341" ca="1" si="1011">AND(A281&lt;&gt;0,A279=A281)</f>
        <v>0</v>
      </c>
      <c r="J278" s="15">
        <f t="shared" si="963"/>
        <v>135</v>
      </c>
      <c r="K278" s="1">
        <f t="shared" ref="K278:K341" ca="1" si="1012">A279</f>
        <v>161</v>
      </c>
      <c r="L278" s="5" t="str">
        <f ca="1">INDEX(INDIRECT(zoneFichierTraite),$J278+offsetInitialFichierTraite,1)</f>
        <v>'135</v>
      </c>
      <c r="M278" s="11">
        <f ca="1">INDEX(INDIRECT(zoneFichierTraite),$J278+offsetInitialFichierTraite,9)</f>
        <v>14.81</v>
      </c>
      <c r="N278" s="14">
        <f ca="1">INDEX(INDIRECT(zoneFichierTraite),$J278+offsetInitialFichierTraite,3)</f>
        <v>8050846091917</v>
      </c>
      <c r="O278" s="14"/>
      <c r="P278" s="56">
        <f ca="1">MATCH(N278,INDIRECT(nomFichierEAN13Valmag &amp; "!A:A"),0)</f>
        <v>846</v>
      </c>
      <c r="R278" s="50" t="str">
        <f t="shared" ref="R278:R341" ca="1" si="1013">LEFT(B278,14)</f>
        <v>OBAGS533-TESBF</v>
      </c>
      <c r="S278" s="52">
        <f ca="1">MATCH($R278,INDIRECT(nomFichierEAN13ValmagUniq &amp; "!A:A"),0)</f>
        <v>210</v>
      </c>
      <c r="T278" s="49" t="str">
        <f ca="1">IFERROR(INDEX(INDIRECT(zoneFichierEAN13ValmagUniq),S278,2),"")</f>
        <v xml:space="preserve"> </v>
      </c>
      <c r="U278" s="52" t="e">
        <f ca="1">MATCH($R278,INDIRECT(nomFichierEAN13ValmagUniq &amp; "!A" &amp; (S278+1) &amp; ":A" &amp;  (S278+10)),0)</f>
        <v>#N/A</v>
      </c>
      <c r="V278" s="51" t="e">
        <f t="shared" ref="V278:V341" ca="1" si="1014">U278+S278</f>
        <v>#N/A</v>
      </c>
      <c r="W278" s="49" t="str">
        <f ca="1">IFERROR(INDEX(INDIRECT(zoneFichierEAN13ValmagUniq),V278,2),"")</f>
        <v/>
      </c>
      <c r="X278" s="52" t="e">
        <f ca="1">MATCH($R278,INDIRECT(nomFichierEAN13ValmagUniq &amp; "!A" &amp; (V278+1) &amp; ":A" &amp;  (V278+10)),0)</f>
        <v>#N/A</v>
      </c>
      <c r="Y278" s="51" t="e">
        <f t="shared" ref="Y278:Y341" ca="1" si="1015">X278+V278</f>
        <v>#N/A</v>
      </c>
      <c r="Z278" s="49" t="str">
        <f ca="1">IFERROR(INDEX(INDIRECT(zoneFichierEAN13ValmagUniq),Y278,2),"")</f>
        <v/>
      </c>
      <c r="AA278" s="53" t="str">
        <f t="shared" ref="AA278:AA341" ca="1" si="1016">T278 &amp; IF(W278="","", " | " &amp; W278) &amp; IF(Z278="","", " | " &amp;Z278)</f>
        <v xml:space="preserve"> </v>
      </c>
      <c r="AC278" s="55">
        <f ca="1">MATCH(B278,INDIRECT(nomFichierFiltreCatalogue &amp; "!B:B"),0)</f>
        <v>425</v>
      </c>
      <c r="AD278" s="14"/>
    </row>
    <row r="279" spans="1:30" s="20" customFormat="1" ht="15.75" customHeight="1" x14ac:dyDescent="0.25">
      <c r="A279" s="25">
        <f ca="1">INDEX(INDIRECT(zoneFichierTraite),$J278+offsetInitialFichierTraite,2)</f>
        <v>161</v>
      </c>
      <c r="B279" s="57" t="str">
        <f ca="1">IF(ISERROR($P278),msgRefValmagAcreer,IF(INDEX(INDIRECT(zoneFichierEAN13Valmag),$P278,3) = "",msgCodeValmagVide, INDEX(INDIRECT(zoneFichierEAN13Valmag),$P278,3)))</f>
        <v xml:space="preserve"> </v>
      </c>
      <c r="C279" s="54" t="str">
        <f t="shared" ref="C279:C342" ca="1" si="1017">AA278</f>
        <v xml:space="preserve"> </v>
      </c>
      <c r="D279" s="19" t="str">
        <f ca="1">IFERROR(INDEX(INDIRECT(zoneFichierEAN13Valmag),$P278,4),"")</f>
        <v xml:space="preserve"> </v>
      </c>
      <c r="E279" s="58" t="str">
        <f ca="1">IFERROR(INDEX(INDIRECT(zoneFichierFiltreCatalogue),AC278,3),"")</f>
        <v>p097-2-02</v>
      </c>
      <c r="F279" s="19"/>
      <c r="G279" s="18"/>
      <c r="H279" s="32" t="str">
        <f ca="1">IFERROR(INDEX(INDIRECT(zoneFichierFiltreCatalogue),AC278,6),"")</f>
        <v>fall 2019 presentation_/catalogo fall 19.txt</v>
      </c>
      <c r="S279" s="1"/>
      <c r="T279" s="21"/>
      <c r="U279" s="21"/>
      <c r="V279" s="21"/>
      <c r="W279" s="21"/>
      <c r="X279" s="21"/>
      <c r="Y279" s="21"/>
      <c r="Z279" s="21"/>
      <c r="AA279" s="21"/>
      <c r="AB279" s="21"/>
      <c r="AC279" s="21"/>
    </row>
    <row r="280" spans="1:30" ht="39" customHeight="1" thickBot="1" x14ac:dyDescent="0.65">
      <c r="A280" s="9" t="str">
        <f ca="1">INDEX(INDIRECT(zoneFichierTraite),$J280+offsetInitialFichierTraite,6)</f>
        <v>UNICA</v>
      </c>
      <c r="B280" s="5" t="str">
        <f ca="1">INDEX(INDIRECT(zoneFichierTraite),$J280+offsetInitialFichierTraite,4)</f>
        <v>OBAGS601-TESBB-615</v>
      </c>
      <c r="C280" s="26" t="str">
        <f ca="1">INDEX(INDIRECT(zoneFichierTraite),$J280+offsetInitialFichierTraite,5)</f>
        <v>POCHETTE INTERIEURE SWITCH O BAG EN TISSU IMPRIME DIANTHUS</v>
      </c>
      <c r="D280" s="27" t="str">
        <f ca="1">INDEX(INDIRECT(zoneFichierTraite),$J280+offsetInitialFichierTraite,13)</f>
        <v>military</v>
      </c>
      <c r="E280" s="30">
        <f ca="1">INDEX(INDIRECT(zoneFichierTraite),$J280+offsetInitialFichierTraite,7)</f>
        <v>2</v>
      </c>
      <c r="F280" s="28">
        <f ca="1">INDEX(INDIRECT(zoneFichierTraite),$J280+offsetInitialFichierTraite,8)</f>
        <v>13.33</v>
      </c>
      <c r="G280" s="29">
        <f t="shared" ref="G280:G343" ca="1" si="1018">ROUNDUP(F280*3,0)</f>
        <v>40</v>
      </c>
      <c r="H280" s="31" t="str">
        <f ca="1">IF(ISNUMBER(N280),codeEAN13(INT(N280/10)),"")</f>
        <v>8APASOG*aijjid+</v>
      </c>
      <c r="I280" s="1" t="b">
        <f t="shared" ref="I280:I343" ca="1" si="1019">AND(A283&lt;&gt;0,A281=A283)</f>
        <v>0</v>
      </c>
      <c r="J280" s="15">
        <f t="shared" si="963"/>
        <v>136</v>
      </c>
      <c r="K280" s="1">
        <f t="shared" ref="K280:K343" ca="1" si="1020">A281</f>
        <v>138</v>
      </c>
      <c r="L280" s="5" t="str">
        <f ca="1">INDEX(INDIRECT(zoneFichierTraite),$J280+offsetInitialFichierTraite,1)</f>
        <v>'136</v>
      </c>
      <c r="M280" s="11">
        <f ca="1">INDEX(INDIRECT(zoneFichierTraite),$J280+offsetInitialFichierTraite,9)</f>
        <v>26.66</v>
      </c>
      <c r="N280" s="14">
        <f ca="1">INDEX(INDIRECT(zoneFichierTraite),$J280+offsetInitialFichierTraite,3)</f>
        <v>8050846089983</v>
      </c>
      <c r="O280" s="14"/>
      <c r="P280" s="56">
        <f ca="1">MATCH(N280,INDIRECT(nomFichierEAN13Valmag &amp; "!A:A"),0)</f>
        <v>683</v>
      </c>
      <c r="R280" s="50" t="str">
        <f t="shared" ref="R280:R343" ca="1" si="1021">LEFT(B280,14)</f>
        <v>OBAGS601-TESBB</v>
      </c>
      <c r="S280" s="52">
        <f ca="1">MATCH($R280,INDIRECT(nomFichierEAN13ValmagUniq &amp; "!A:A"),0)</f>
        <v>212</v>
      </c>
      <c r="T280" s="49" t="str">
        <f ca="1">IFERROR(INDEX(INDIRECT(zoneFichierEAN13ValmagUniq),S280,2),"")</f>
        <v xml:space="preserve"> </v>
      </c>
      <c r="U280" s="52" t="e">
        <f ca="1">MATCH($R280,INDIRECT(nomFichierEAN13ValmagUniq &amp; "!A" &amp; (S280+1) &amp; ":A" &amp;  (S280+10)),0)</f>
        <v>#N/A</v>
      </c>
      <c r="V280" s="51" t="e">
        <f t="shared" ref="V280:V343" ca="1" si="1022">U280+S280</f>
        <v>#N/A</v>
      </c>
      <c r="W280" s="49" t="str">
        <f ca="1">IFERROR(INDEX(INDIRECT(zoneFichierEAN13ValmagUniq),V280,2),"")</f>
        <v/>
      </c>
      <c r="X280" s="52" t="e">
        <f ca="1">MATCH($R280,INDIRECT(nomFichierEAN13ValmagUniq &amp; "!A" &amp; (V280+1) &amp; ":A" &amp;  (V280+10)),0)</f>
        <v>#N/A</v>
      </c>
      <c r="Y280" s="51" t="e">
        <f t="shared" ref="Y280:Y343" ca="1" si="1023">X280+V280</f>
        <v>#N/A</v>
      </c>
      <c r="Z280" s="49" t="str">
        <f ca="1">IFERROR(INDEX(INDIRECT(zoneFichierEAN13ValmagUniq),Y280,2),"")</f>
        <v/>
      </c>
      <c r="AA280" s="53" t="str">
        <f t="shared" ref="AA280:AA343" ca="1" si="1024">T280 &amp; IF(W280="","", " | " &amp; W280) &amp; IF(Z280="","", " | " &amp;Z280)</f>
        <v xml:space="preserve"> </v>
      </c>
      <c r="AC280" s="55">
        <f ca="1">MATCH(B280,INDIRECT(nomFichierFiltreCatalogue &amp; "!B:B"),0)</f>
        <v>385</v>
      </c>
      <c r="AD280" s="14"/>
    </row>
    <row r="281" spans="1:30" s="20" customFormat="1" ht="15.75" customHeight="1" x14ac:dyDescent="0.25">
      <c r="A281" s="25">
        <f ca="1">INDEX(INDIRECT(zoneFichierTraite),$J280+offsetInitialFichierTraite,2)</f>
        <v>138</v>
      </c>
      <c r="B281" s="57" t="str">
        <f ca="1">IF(ISERROR($P280),msgRefValmagAcreer,IF(INDEX(INDIRECT(zoneFichierEAN13Valmag),$P280,3) = "",msgCodeValmagVide, INDEX(INDIRECT(zoneFichierEAN13Valmag),$P280,3)))</f>
        <v xml:space="preserve"> </v>
      </c>
      <c r="C281" s="54" t="str">
        <f t="shared" ref="C281:C344" ca="1" si="1025">AA280</f>
        <v xml:space="preserve"> </v>
      </c>
      <c r="D281" s="19" t="str">
        <f ca="1">IFERROR(INDEX(INDIRECT(zoneFichierEAN13Valmag),$P280,4),"")</f>
        <v xml:space="preserve"> </v>
      </c>
      <c r="E281" s="58" t="str">
        <f ca="1">IFERROR(INDEX(INDIRECT(zoneFichierFiltreCatalogue),AC280,3),"")</f>
        <v>p088-1-01</v>
      </c>
      <c r="F281" s="19"/>
      <c r="G281" s="18"/>
      <c r="H281" s="32" t="str">
        <f ca="1">IFERROR(INDEX(INDIRECT(zoneFichierFiltreCatalogue),AC280,6),"")</f>
        <v>fall 2019 presentation_/catalogo fall 19.txt</v>
      </c>
      <c r="S281" s="1"/>
      <c r="T281" s="21"/>
      <c r="U281" s="21"/>
      <c r="V281" s="21"/>
      <c r="W281" s="21"/>
      <c r="X281" s="21"/>
      <c r="Y281" s="21"/>
      <c r="Z281" s="21"/>
      <c r="AA281" s="21"/>
      <c r="AB281" s="21"/>
      <c r="AC281" s="21"/>
    </row>
    <row r="282" spans="1:30" ht="39" customHeight="1" thickBot="1" x14ac:dyDescent="0.65">
      <c r="A282" s="9" t="str">
        <f ca="1">INDEX(INDIRECT(zoneFichierTraite),$J282+offsetInitialFichierTraite,6)</f>
        <v>UNICA</v>
      </c>
      <c r="B282" s="5" t="str">
        <f ca="1">INDEX(INDIRECT(zoneFichierTraite),$J282+offsetInitialFichierTraite,4)</f>
        <v>OBAGS601-TESBD-227</v>
      </c>
      <c r="C282" s="26" t="str">
        <f ca="1">INDEX(INDIRECT(zoneFichierTraite),$J282+offsetInitialFichierTraite,5)</f>
        <v>POCHETTE INTERIEURE SWITCH O BAG EN TISSU CHECK EFFET LAINE</v>
      </c>
      <c r="D282" s="27" t="str">
        <f ca="1">INDEX(INDIRECT(zoneFichierTraite),$J282+offsetInitialFichierTraite,13)</f>
        <v>bianco/nero</v>
      </c>
      <c r="E282" s="30">
        <f ca="1">INDEX(INDIRECT(zoneFichierTraite),$J282+offsetInitialFichierTraite,7)</f>
        <v>2</v>
      </c>
      <c r="F282" s="28">
        <f ca="1">INDEX(INDIRECT(zoneFichierTraite),$J282+offsetInitialFichierTraite,8)</f>
        <v>11.85</v>
      </c>
      <c r="G282" s="29">
        <f t="shared" ref="G282:G345" ca="1" si="1026">ROUNDUP(F282*3,0)</f>
        <v>36</v>
      </c>
      <c r="H282" s="31" t="str">
        <f ca="1">IF(ISNUMBER(N282),codeEAN13(INT(N282/10)),"")</f>
        <v>8APASOG*ajaahb+</v>
      </c>
      <c r="I282" s="1" t="b">
        <f t="shared" ref="I282:I345" ca="1" si="1027">AND(A285&lt;&gt;0,A283=A285)</f>
        <v>0</v>
      </c>
      <c r="J282" s="15">
        <f t="shared" si="963"/>
        <v>137</v>
      </c>
      <c r="K282" s="1">
        <f t="shared" ref="K282:K345" ca="1" si="1028">A283</f>
        <v>146</v>
      </c>
      <c r="L282" s="5" t="str">
        <f ca="1">INDEX(INDIRECT(zoneFichierTraite),$J282+offsetInitialFichierTraite,1)</f>
        <v>'137</v>
      </c>
      <c r="M282" s="11">
        <f ca="1">INDEX(INDIRECT(zoneFichierTraite),$J282+offsetInitialFichierTraite,9)</f>
        <v>23.7</v>
      </c>
      <c r="N282" s="14">
        <f ca="1">INDEX(INDIRECT(zoneFichierTraite),$J282+offsetInitialFichierTraite,3)</f>
        <v>8050846090071</v>
      </c>
      <c r="O282" s="14"/>
      <c r="P282" s="56">
        <f ca="1">MATCH(N282,INDIRECT(nomFichierEAN13Valmag &amp; "!A:A"),0)</f>
        <v>692</v>
      </c>
      <c r="R282" s="50" t="str">
        <f t="shared" ref="R282:R345" ca="1" si="1029">LEFT(B282,14)</f>
        <v>OBAGS601-TESBD</v>
      </c>
      <c r="S282" s="52">
        <f ca="1">MATCH($R282,INDIRECT(nomFichierEAN13ValmagUniq &amp; "!A:A"),0)</f>
        <v>213</v>
      </c>
      <c r="T282" s="49" t="str">
        <f ca="1">IFERROR(INDEX(INDIRECT(zoneFichierEAN13ValmagUniq),S282,2),"")</f>
        <v xml:space="preserve"> </v>
      </c>
      <c r="U282" s="52" t="e">
        <f ca="1">MATCH($R282,INDIRECT(nomFichierEAN13ValmagUniq &amp; "!A" &amp; (S282+1) &amp; ":A" &amp;  (S282+10)),0)</f>
        <v>#N/A</v>
      </c>
      <c r="V282" s="51" t="e">
        <f t="shared" ref="V282:V345" ca="1" si="1030">U282+S282</f>
        <v>#N/A</v>
      </c>
      <c r="W282" s="49" t="str">
        <f ca="1">IFERROR(INDEX(INDIRECT(zoneFichierEAN13ValmagUniq),V282,2),"")</f>
        <v/>
      </c>
      <c r="X282" s="52" t="e">
        <f ca="1">MATCH($R282,INDIRECT(nomFichierEAN13ValmagUniq &amp; "!A" &amp; (V282+1) &amp; ":A" &amp;  (V282+10)),0)</f>
        <v>#N/A</v>
      </c>
      <c r="Y282" s="51" t="e">
        <f t="shared" ref="Y282:Y345" ca="1" si="1031">X282+V282</f>
        <v>#N/A</v>
      </c>
      <c r="Z282" s="49" t="str">
        <f ca="1">IFERROR(INDEX(INDIRECT(zoneFichierEAN13ValmagUniq),Y282,2),"")</f>
        <v/>
      </c>
      <c r="AA282" s="53" t="str">
        <f t="shared" ref="AA282:AA345" ca="1" si="1032">T282 &amp; IF(W282="","", " | " &amp; W282) &amp; IF(Z282="","", " | " &amp;Z282)</f>
        <v xml:space="preserve"> </v>
      </c>
      <c r="AC282" s="55">
        <f ca="1">MATCH(B282,INDIRECT(nomFichierFiltreCatalogue &amp; "!B:B"),0)</f>
        <v>386</v>
      </c>
      <c r="AD282" s="14"/>
    </row>
    <row r="283" spans="1:30" s="20" customFormat="1" ht="15.75" customHeight="1" x14ac:dyDescent="0.25">
      <c r="A283" s="25">
        <f ca="1">INDEX(INDIRECT(zoneFichierTraite),$J282+offsetInitialFichierTraite,2)</f>
        <v>146</v>
      </c>
      <c r="B283" s="57" t="str">
        <f ca="1">IF(ISERROR($P282),msgRefValmagAcreer,IF(INDEX(INDIRECT(zoneFichierEAN13Valmag),$P282,3) = "",msgCodeValmagVide, INDEX(INDIRECT(zoneFichierEAN13Valmag),$P282,3)))</f>
        <v xml:space="preserve"> </v>
      </c>
      <c r="C283" s="54" t="str">
        <f t="shared" ref="C283:C346" ca="1" si="1033">AA282</f>
        <v xml:space="preserve"> </v>
      </c>
      <c r="D283" s="19" t="str">
        <f ca="1">IFERROR(INDEX(INDIRECT(zoneFichierEAN13Valmag),$P282,4),"")</f>
        <v xml:space="preserve"> </v>
      </c>
      <c r="E283" s="58" t="str">
        <f ca="1">IFERROR(INDEX(INDIRECT(zoneFichierFiltreCatalogue),AC282,3),"")</f>
        <v>p088-2-01</v>
      </c>
      <c r="F283" s="19"/>
      <c r="G283" s="18"/>
      <c r="H283" s="32" t="str">
        <f ca="1">IFERROR(INDEX(INDIRECT(zoneFichierFiltreCatalogue),AC282,6),"")</f>
        <v>fall 2019 presentation_/catalogo fall 19.txt</v>
      </c>
      <c r="S283" s="1"/>
      <c r="T283" s="21"/>
      <c r="U283" s="21"/>
      <c r="V283" s="21"/>
      <c r="W283" s="21"/>
      <c r="X283" s="21"/>
      <c r="Y283" s="21"/>
      <c r="Z283" s="21"/>
      <c r="AA283" s="21"/>
      <c r="AB283" s="21"/>
      <c r="AC283" s="21"/>
    </row>
    <row r="284" spans="1:30" ht="39" customHeight="1" thickBot="1" x14ac:dyDescent="0.65">
      <c r="A284" s="9" t="str">
        <f ca="1">INDEX(INDIRECT(zoneFichierTraite),$J284+offsetInitialFichierTraite,6)</f>
        <v>UNICA</v>
      </c>
      <c r="B284" s="5" t="str">
        <f ca="1">INDEX(INDIRECT(zoneFichierTraite),$J284+offsetInitialFichierTraite,4)</f>
        <v>OBAGS601-TESBF-076</v>
      </c>
      <c r="C284" s="26" t="str">
        <f ca="1">INDEX(INDIRECT(zoneFichierTraite),$J284+offsetInitialFichierTraite,5)</f>
        <v>POCHETTE INTERIEURE SWITCH O BAG EN TISSU CORDURA CONTRASTE</v>
      </c>
      <c r="D284" s="27" t="str">
        <f ca="1">INDEX(INDIRECT(zoneFichierTraite),$J284+offsetInitialFichierTraite,13)</f>
        <v>rosso</v>
      </c>
      <c r="E284" s="30">
        <f ca="1">INDEX(INDIRECT(zoneFichierTraite),$J284+offsetInitialFichierTraite,7)</f>
        <v>2</v>
      </c>
      <c r="F284" s="28">
        <f ca="1">INDEX(INDIRECT(zoneFichierTraite),$J284+offsetInitialFichierTraite,8)</f>
        <v>11.85</v>
      </c>
      <c r="G284" s="29">
        <f t="shared" ref="G284:G347" ca="1" si="1034">ROUNDUP(F284*3,0)</f>
        <v>36</v>
      </c>
      <c r="H284" s="31" t="str">
        <f ca="1">IF(ISNUMBER(N284),codeEAN13(INT(N284/10)),"")</f>
        <v>8APASOG*ajabih+</v>
      </c>
      <c r="I284" s="1" t="b">
        <f t="shared" ref="I284:I347" ca="1" si="1035">AND(A287&lt;&gt;0,A285=A287)</f>
        <v>0</v>
      </c>
      <c r="J284" s="15">
        <f t="shared" si="963"/>
        <v>138</v>
      </c>
      <c r="K284" s="1">
        <f t="shared" ref="K284:K347" ca="1" si="1036">A285</f>
        <v>195</v>
      </c>
      <c r="L284" s="5" t="str">
        <f ca="1">INDEX(INDIRECT(zoneFichierTraite),$J284+offsetInitialFichierTraite,1)</f>
        <v>'138</v>
      </c>
      <c r="M284" s="11">
        <f ca="1">INDEX(INDIRECT(zoneFichierTraite),$J284+offsetInitialFichierTraite,9)</f>
        <v>23.7</v>
      </c>
      <c r="N284" s="14">
        <f ca="1">INDEX(INDIRECT(zoneFichierTraite),$J284+offsetInitialFichierTraite,3)</f>
        <v>8050846090187</v>
      </c>
      <c r="O284" s="14"/>
      <c r="P284" s="56">
        <f ca="1">MATCH(N284,INDIRECT(nomFichierEAN13Valmag &amp; "!A:A"),0)</f>
        <v>703</v>
      </c>
      <c r="R284" s="50" t="str">
        <f t="shared" ref="R284:R347" ca="1" si="1037">LEFT(B284,14)</f>
        <v>OBAGS601-TESBF</v>
      </c>
      <c r="S284" s="52">
        <f ca="1">MATCH($R284,INDIRECT(nomFichierEAN13ValmagUniq &amp; "!A:A"),0)</f>
        <v>214</v>
      </c>
      <c r="T284" s="49" t="str">
        <f ca="1">IFERROR(INDEX(INDIRECT(zoneFichierEAN13ValmagUniq),S284,2),"")</f>
        <v xml:space="preserve"> </v>
      </c>
      <c r="U284" s="52" t="e">
        <f ca="1">MATCH($R284,INDIRECT(nomFichierEAN13ValmagUniq &amp; "!A" &amp; (S284+1) &amp; ":A" &amp;  (S284+10)),0)</f>
        <v>#N/A</v>
      </c>
      <c r="V284" s="51" t="e">
        <f t="shared" ref="V284:V347" ca="1" si="1038">U284+S284</f>
        <v>#N/A</v>
      </c>
      <c r="W284" s="49" t="str">
        <f ca="1">IFERROR(INDEX(INDIRECT(zoneFichierEAN13ValmagUniq),V284,2),"")</f>
        <v/>
      </c>
      <c r="X284" s="52" t="e">
        <f ca="1">MATCH($R284,INDIRECT(nomFichierEAN13ValmagUniq &amp; "!A" &amp; (V284+1) &amp; ":A" &amp;  (V284+10)),0)</f>
        <v>#N/A</v>
      </c>
      <c r="Y284" s="51" t="e">
        <f t="shared" ref="Y284:Y347" ca="1" si="1039">X284+V284</f>
        <v>#N/A</v>
      </c>
      <c r="Z284" s="49" t="str">
        <f ca="1">IFERROR(INDEX(INDIRECT(zoneFichierEAN13ValmagUniq),Y284,2),"")</f>
        <v/>
      </c>
      <c r="AA284" s="53" t="str">
        <f t="shared" ref="AA284:AA347" ca="1" si="1040">T284 &amp; IF(W284="","", " | " &amp; W284) &amp; IF(Z284="","", " | " &amp;Z284)</f>
        <v xml:space="preserve"> </v>
      </c>
      <c r="AC284" s="55">
        <f ca="1">MATCH(B284,INDIRECT(nomFichierFiltreCatalogue &amp; "!B:B"),0)</f>
        <v>379</v>
      </c>
      <c r="AD284" s="14"/>
    </row>
    <row r="285" spans="1:30" s="20" customFormat="1" ht="15.75" customHeight="1" x14ac:dyDescent="0.25">
      <c r="A285" s="25">
        <f ca="1">INDEX(INDIRECT(zoneFichierTraite),$J284+offsetInitialFichierTraite,2)</f>
        <v>195</v>
      </c>
      <c r="B285" s="57" t="str">
        <f ca="1">IF(ISERROR($P284),msgRefValmagAcreer,IF(INDEX(INDIRECT(zoneFichierEAN13Valmag),$P284,3) = "",msgCodeValmagVide, INDEX(INDIRECT(zoneFichierEAN13Valmag),$P284,3)))</f>
        <v xml:space="preserve"> </v>
      </c>
      <c r="C285" s="54" t="str">
        <f t="shared" ref="C285:C348" ca="1" si="1041">AA284</f>
        <v xml:space="preserve"> </v>
      </c>
      <c r="D285" s="19" t="str">
        <f ca="1">IFERROR(INDEX(INDIRECT(zoneFichierEAN13Valmag),$P284,4),"")</f>
        <v xml:space="preserve"> </v>
      </c>
      <c r="E285" s="58" t="str">
        <f ca="1">IFERROR(INDEX(INDIRECT(zoneFichierFiltreCatalogue),AC284,3),"")</f>
        <v>p086-1-01</v>
      </c>
      <c r="F285" s="19"/>
      <c r="G285" s="18"/>
      <c r="H285" s="32" t="str">
        <f ca="1">IFERROR(INDEX(INDIRECT(zoneFichierFiltreCatalogue),AC284,6),"")</f>
        <v>fall 2019 presentation_/catalogo fall 19.txt</v>
      </c>
      <c r="S285" s="1"/>
      <c r="T285" s="21"/>
      <c r="U285" s="21"/>
      <c r="V285" s="21"/>
      <c r="W285" s="21"/>
      <c r="X285" s="21"/>
      <c r="Y285" s="21"/>
      <c r="Z285" s="21"/>
      <c r="AA285" s="21"/>
      <c r="AB285" s="21"/>
      <c r="AC285" s="21"/>
    </row>
    <row r="286" spans="1:30" ht="39" customHeight="1" thickBot="1" x14ac:dyDescent="0.65">
      <c r="A286" s="9" t="str">
        <f ca="1">INDEX(INDIRECT(zoneFichierTraite),$J286+offsetInitialFichierTraite,6)</f>
        <v>UNICA</v>
      </c>
      <c r="B286" s="5" t="str">
        <f ca="1">INDEX(INDIRECT(zoneFichierTraite),$J286+offsetInitialFichierTraite,4)</f>
        <v>OBAGS601-TESBF-137</v>
      </c>
      <c r="C286" s="26" t="str">
        <f ca="1">INDEX(INDIRECT(zoneFichierTraite),$J286+offsetInitialFichierTraite,5)</f>
        <v>POCHETTE INTERIEURE SWITCH O BAG EN TISSU CORDURA CONTRASTE</v>
      </c>
      <c r="D286" s="27" t="str">
        <f ca="1">INDEX(INDIRECT(zoneFichierTraite),$J286+offsetInitialFichierTraite,13)</f>
        <v>bluette</v>
      </c>
      <c r="E286" s="30">
        <f ca="1">INDEX(INDIRECT(zoneFichierTraite),$J286+offsetInitialFichierTraite,7)</f>
        <v>2</v>
      </c>
      <c r="F286" s="28">
        <f ca="1">INDEX(INDIRECT(zoneFichierTraite),$J286+offsetInitialFichierTraite,8)</f>
        <v>11.85</v>
      </c>
      <c r="G286" s="29">
        <f t="shared" ref="G286:G349" ca="1" si="1042">ROUNDUP(F286*3,0)</f>
        <v>36</v>
      </c>
      <c r="H286" s="31" t="str">
        <f ca="1">IF(ISNUMBER(N286),codeEAN13(INT(N286/10)),"")</f>
        <v>8APASOG*ajabha+</v>
      </c>
      <c r="I286" s="1" t="b">
        <f t="shared" ref="I286:I349" ca="1" si="1043">AND(A289&lt;&gt;0,A287=A289)</f>
        <v>0</v>
      </c>
      <c r="J286" s="15">
        <f t="shared" si="963"/>
        <v>139</v>
      </c>
      <c r="K286" s="1">
        <f t="shared" ref="K286:K349" ca="1" si="1044">A287</f>
        <v>38</v>
      </c>
      <c r="L286" s="5" t="str">
        <f ca="1">INDEX(INDIRECT(zoneFichierTraite),$J286+offsetInitialFichierTraite,1)</f>
        <v>'139</v>
      </c>
      <c r="M286" s="11">
        <f ca="1">INDEX(INDIRECT(zoneFichierTraite),$J286+offsetInitialFichierTraite,9)</f>
        <v>23.7</v>
      </c>
      <c r="N286" s="14">
        <f ca="1">INDEX(INDIRECT(zoneFichierTraite),$J286+offsetInitialFichierTraite,3)</f>
        <v>8050846090170</v>
      </c>
      <c r="O286" s="14"/>
      <c r="P286" s="56">
        <f ca="1">MATCH(N286,INDIRECT(nomFichierEAN13Valmag &amp; "!A:A"),0)</f>
        <v>702</v>
      </c>
      <c r="R286" s="50" t="str">
        <f t="shared" ref="R286:R349" ca="1" si="1045">LEFT(B286,14)</f>
        <v>OBAGS601-TESBF</v>
      </c>
      <c r="S286" s="52">
        <f ca="1">MATCH($R286,INDIRECT(nomFichierEAN13ValmagUniq &amp; "!A:A"),0)</f>
        <v>214</v>
      </c>
      <c r="T286" s="49" t="str">
        <f ca="1">IFERROR(INDEX(INDIRECT(zoneFichierEAN13ValmagUniq),S286,2),"")</f>
        <v xml:space="preserve"> </v>
      </c>
      <c r="U286" s="52" t="e">
        <f ca="1">MATCH($R286,INDIRECT(nomFichierEAN13ValmagUniq &amp; "!A" &amp; (S286+1) &amp; ":A" &amp;  (S286+10)),0)</f>
        <v>#N/A</v>
      </c>
      <c r="V286" s="51" t="e">
        <f t="shared" ref="V286:V349" ca="1" si="1046">U286+S286</f>
        <v>#N/A</v>
      </c>
      <c r="W286" s="49" t="str">
        <f ca="1">IFERROR(INDEX(INDIRECT(zoneFichierEAN13ValmagUniq),V286,2),"")</f>
        <v/>
      </c>
      <c r="X286" s="52" t="e">
        <f ca="1">MATCH($R286,INDIRECT(nomFichierEAN13ValmagUniq &amp; "!A" &amp; (V286+1) &amp; ":A" &amp;  (V286+10)),0)</f>
        <v>#N/A</v>
      </c>
      <c r="Y286" s="51" t="e">
        <f t="shared" ref="Y286:Y349" ca="1" si="1047">X286+V286</f>
        <v>#N/A</v>
      </c>
      <c r="Z286" s="49" t="str">
        <f ca="1">IFERROR(INDEX(INDIRECT(zoneFichierEAN13ValmagUniq),Y286,2),"")</f>
        <v/>
      </c>
      <c r="AA286" s="53" t="str">
        <f t="shared" ref="AA286:AA349" ca="1" si="1048">T286 &amp; IF(W286="","", " | " &amp; W286) &amp; IF(Z286="","", " | " &amp;Z286)</f>
        <v xml:space="preserve"> </v>
      </c>
      <c r="AC286" s="55">
        <f ca="1">MATCH(B286,INDIRECT(nomFichierFiltreCatalogue &amp; "!B:B"),0)</f>
        <v>380</v>
      </c>
      <c r="AD286" s="14"/>
    </row>
    <row r="287" spans="1:30" s="20" customFormat="1" ht="15.75" customHeight="1" x14ac:dyDescent="0.25">
      <c r="A287" s="25">
        <f ca="1">INDEX(INDIRECT(zoneFichierTraite),$J286+offsetInitialFichierTraite,2)</f>
        <v>38</v>
      </c>
      <c r="B287" s="57" t="str">
        <f ca="1">IF(ISERROR($P286),msgRefValmagAcreer,IF(INDEX(INDIRECT(zoneFichierEAN13Valmag),$P286,3) = "",msgCodeValmagVide, INDEX(INDIRECT(zoneFichierEAN13Valmag),$P286,3)))</f>
        <v xml:space="preserve"> </v>
      </c>
      <c r="C287" s="54" t="str">
        <f t="shared" ref="C287:C350" ca="1" si="1049">AA286</f>
        <v xml:space="preserve"> </v>
      </c>
      <c r="D287" s="19" t="str">
        <f ca="1">IFERROR(INDEX(INDIRECT(zoneFichierEAN13Valmag),$P286,4),"")</f>
        <v xml:space="preserve"> </v>
      </c>
      <c r="E287" s="58" t="str">
        <f ca="1">IFERROR(INDEX(INDIRECT(zoneFichierFiltreCatalogue),AC286,3),"")</f>
        <v>p086-1-02</v>
      </c>
      <c r="F287" s="19"/>
      <c r="G287" s="18"/>
      <c r="H287" s="32" t="str">
        <f ca="1">IFERROR(INDEX(INDIRECT(zoneFichierFiltreCatalogue),AC286,6),"")</f>
        <v>fall 2019 presentation_/catalogo fall 19.txt</v>
      </c>
      <c r="S287" s="1"/>
      <c r="T287" s="21"/>
      <c r="U287" s="21"/>
      <c r="V287" s="21"/>
      <c r="W287" s="21"/>
      <c r="X287" s="21"/>
      <c r="Y287" s="21"/>
      <c r="Z287" s="21"/>
      <c r="AA287" s="21"/>
      <c r="AB287" s="21"/>
      <c r="AC287" s="21"/>
    </row>
    <row r="288" spans="1:30" ht="39" customHeight="1" thickBot="1" x14ac:dyDescent="0.65">
      <c r="A288" s="9" t="str">
        <f ca="1">INDEX(INDIRECT(zoneFichierTraite),$J288+offsetInitialFichierTraite,6)</f>
        <v>UNICA</v>
      </c>
      <c r="B288" s="5" t="str">
        <f ca="1">INDEX(INDIRECT(zoneFichierTraite),$J288+offsetInitialFichierTraite,4)</f>
        <v>OBAGS601-TESBF-144</v>
      </c>
      <c r="C288" s="26" t="str">
        <f ca="1">INDEX(INDIRECT(zoneFichierTraite),$J288+offsetInitialFichierTraite,5)</f>
        <v>POCHETTE INTERIEURE SWITCH O BAG EN TISSU CORDURA CONTRASTE</v>
      </c>
      <c r="D288" s="27" t="str">
        <f ca="1">INDEX(INDIRECT(zoneFichierTraite),$J288+offsetInitialFichierTraite,13)</f>
        <v>ginestra</v>
      </c>
      <c r="E288" s="30">
        <f ca="1">INDEX(INDIRECT(zoneFichierTraite),$J288+offsetInitialFichierTraite,7)</f>
        <v>2</v>
      </c>
      <c r="F288" s="28">
        <f ca="1">INDEX(INDIRECT(zoneFichierTraite),$J288+offsetInitialFichierTraite,8)</f>
        <v>11.85</v>
      </c>
      <c r="G288" s="29">
        <f t="shared" ref="G288:G351" ca="1" si="1050">ROUNDUP(F288*3,0)</f>
        <v>36</v>
      </c>
      <c r="H288" s="31" t="str">
        <f ca="1">IF(ISNUMBER(N288),codeEAN13(INT(N288/10)),"")</f>
        <v>8APASOG*ajabdc+</v>
      </c>
      <c r="I288" s="1" t="b">
        <f t="shared" ref="I288:I351" ca="1" si="1051">AND(A291&lt;&gt;0,A289=A291)</f>
        <v>0</v>
      </c>
      <c r="J288" s="15">
        <f t="shared" si="963"/>
        <v>140</v>
      </c>
      <c r="K288" s="1">
        <f t="shared" ref="K288:K351" ca="1" si="1052">A289</f>
        <v>217</v>
      </c>
      <c r="L288" s="5" t="str">
        <f ca="1">INDEX(INDIRECT(zoneFichierTraite),$J288+offsetInitialFichierTraite,1)</f>
        <v>'140</v>
      </c>
      <c r="M288" s="11">
        <f ca="1">INDEX(INDIRECT(zoneFichierTraite),$J288+offsetInitialFichierTraite,9)</f>
        <v>23.7</v>
      </c>
      <c r="N288" s="14">
        <f ca="1">INDEX(INDIRECT(zoneFichierTraite),$J288+offsetInitialFichierTraite,3)</f>
        <v>8050846090132</v>
      </c>
      <c r="O288" s="14"/>
      <c r="P288" s="56">
        <f ca="1">MATCH(N288,INDIRECT(nomFichierEAN13Valmag &amp; "!A:A"),0)</f>
        <v>698</v>
      </c>
      <c r="R288" s="50" t="str">
        <f t="shared" ref="R288:R351" ca="1" si="1053">LEFT(B288,14)</f>
        <v>OBAGS601-TESBF</v>
      </c>
      <c r="S288" s="52">
        <f ca="1">MATCH($R288,INDIRECT(nomFichierEAN13ValmagUniq &amp; "!A:A"),0)</f>
        <v>214</v>
      </c>
      <c r="T288" s="49" t="str">
        <f ca="1">IFERROR(INDEX(INDIRECT(zoneFichierEAN13ValmagUniq),S288,2),"")</f>
        <v xml:space="preserve"> </v>
      </c>
      <c r="U288" s="52" t="e">
        <f ca="1">MATCH($R288,INDIRECT(nomFichierEAN13ValmagUniq &amp; "!A" &amp; (S288+1) &amp; ":A" &amp;  (S288+10)),0)</f>
        <v>#N/A</v>
      </c>
      <c r="V288" s="51" t="e">
        <f t="shared" ref="V288:V351" ca="1" si="1054">U288+S288</f>
        <v>#N/A</v>
      </c>
      <c r="W288" s="49" t="str">
        <f ca="1">IFERROR(INDEX(INDIRECT(zoneFichierEAN13ValmagUniq),V288,2),"")</f>
        <v/>
      </c>
      <c r="X288" s="52" t="e">
        <f ca="1">MATCH($R288,INDIRECT(nomFichierEAN13ValmagUniq &amp; "!A" &amp; (V288+1) &amp; ":A" &amp;  (V288+10)),0)</f>
        <v>#N/A</v>
      </c>
      <c r="Y288" s="51" t="e">
        <f t="shared" ref="Y288:Y351" ca="1" si="1055">X288+V288</f>
        <v>#N/A</v>
      </c>
      <c r="Z288" s="49" t="str">
        <f ca="1">IFERROR(INDEX(INDIRECT(zoneFichierEAN13ValmagUniq),Y288,2),"")</f>
        <v/>
      </c>
      <c r="AA288" s="53" t="str">
        <f t="shared" ref="AA288:AA351" ca="1" si="1056">T288 &amp; IF(W288="","", " | " &amp; W288) &amp; IF(Z288="","", " | " &amp;Z288)</f>
        <v xml:space="preserve"> </v>
      </c>
      <c r="AC288" s="55">
        <f ca="1">MATCH(B288,INDIRECT(nomFichierFiltreCatalogue &amp; "!B:B"),0)</f>
        <v>381</v>
      </c>
      <c r="AD288" s="14"/>
    </row>
    <row r="289" spans="1:30" s="20" customFormat="1" ht="15.75" customHeight="1" x14ac:dyDescent="0.25">
      <c r="A289" s="25">
        <f ca="1">INDEX(INDIRECT(zoneFichierTraite),$J288+offsetInitialFichierTraite,2)</f>
        <v>217</v>
      </c>
      <c r="B289" s="57" t="str">
        <f ca="1">IF(ISERROR($P288),msgRefValmagAcreer,IF(INDEX(INDIRECT(zoneFichierEAN13Valmag),$P288,3) = "",msgCodeValmagVide, INDEX(INDIRECT(zoneFichierEAN13Valmag),$P288,3)))</f>
        <v xml:space="preserve"> </v>
      </c>
      <c r="C289" s="54" t="str">
        <f t="shared" ref="C289:C352" ca="1" si="1057">AA288</f>
        <v xml:space="preserve"> </v>
      </c>
      <c r="D289" s="19" t="str">
        <f ca="1">IFERROR(INDEX(INDIRECT(zoneFichierEAN13Valmag),$P288,4),"")</f>
        <v xml:space="preserve"> </v>
      </c>
      <c r="E289" s="58" t="str">
        <f ca="1">IFERROR(INDEX(INDIRECT(zoneFichierFiltreCatalogue),AC288,3),"")</f>
        <v>p086-1-03</v>
      </c>
      <c r="F289" s="19"/>
      <c r="G289" s="18"/>
      <c r="H289" s="32" t="str">
        <f ca="1">IFERROR(INDEX(INDIRECT(zoneFichierFiltreCatalogue),AC288,6),"")</f>
        <v>fall 2019 presentation_/catalogo fall 19.txt</v>
      </c>
      <c r="S289" s="1"/>
      <c r="T289" s="21"/>
      <c r="U289" s="21"/>
      <c r="V289" s="21"/>
      <c r="W289" s="21"/>
      <c r="X289" s="21"/>
      <c r="Y289" s="21"/>
      <c r="Z289" s="21"/>
      <c r="AA289" s="21"/>
      <c r="AB289" s="21"/>
      <c r="AC289" s="21"/>
    </row>
    <row r="290" spans="1:30" ht="39" customHeight="1" thickBot="1" x14ac:dyDescent="0.65">
      <c r="A290" s="9" t="str">
        <f ca="1">INDEX(INDIRECT(zoneFichierTraite),$J290+offsetInitialFichierTraite,6)</f>
        <v>UNICA</v>
      </c>
      <c r="B290" s="5" t="str">
        <f ca="1">INDEX(INDIRECT(zoneFichierTraite),$J290+offsetInitialFichierTraite,4)</f>
        <v>OBAGS601-TESBH-017</v>
      </c>
      <c r="C290" s="26" t="str">
        <f ca="1">INDEX(INDIRECT(zoneFichierTraite),$J290+offsetInitialFichierTraite,5)</f>
        <v>POCHETTE INTERIEURE SWITCH O BAG EN TISSU JACQUARD MICRO FANTAISIE</v>
      </c>
      <c r="D290" s="27" t="str">
        <f ca="1">INDEX(INDIRECT(zoneFichierTraite),$J290+offsetInitialFichierTraite,13)</f>
        <v>blu navy</v>
      </c>
      <c r="E290" s="30">
        <f ca="1">INDEX(INDIRECT(zoneFichierTraite),$J290+offsetInitialFichierTraite,7)</f>
        <v>2</v>
      </c>
      <c r="F290" s="28">
        <f ca="1">INDEX(INDIRECT(zoneFichierTraite),$J290+offsetInitialFichierTraite,8)</f>
        <v>13.33</v>
      </c>
      <c r="G290" s="29">
        <f t="shared" ref="G290:G353" ca="1" si="1058">ROUNDUP(F290*3,0)</f>
        <v>40</v>
      </c>
      <c r="H290" s="31" t="str">
        <f ca="1">IF(ISNUMBER(N290),codeEAN13(INT(N290/10)),"")</f>
        <v>8APASOG*aijjhg+</v>
      </c>
      <c r="I290" s="1" t="b">
        <f t="shared" ref="I290:I353" ca="1" si="1059">AND(A293&lt;&gt;0,A291=A293)</f>
        <v>0</v>
      </c>
      <c r="J290" s="15">
        <f t="shared" si="963"/>
        <v>141</v>
      </c>
      <c r="K290" s="1">
        <f t="shared" ref="K290:K353" ca="1" si="1060">A291</f>
        <v>176</v>
      </c>
      <c r="L290" s="5" t="str">
        <f ca="1">INDEX(INDIRECT(zoneFichierTraite),$J290+offsetInitialFichierTraite,1)</f>
        <v>'141</v>
      </c>
      <c r="M290" s="11">
        <f ca="1">INDEX(INDIRECT(zoneFichierTraite),$J290+offsetInitialFichierTraite,9)</f>
        <v>26.66</v>
      </c>
      <c r="N290" s="14">
        <f ca="1">INDEX(INDIRECT(zoneFichierTraite),$J290+offsetInitialFichierTraite,3)</f>
        <v>8050846089976</v>
      </c>
      <c r="O290" s="14"/>
      <c r="P290" s="56">
        <f ca="1">MATCH(N290,INDIRECT(nomFichierEAN13Valmag &amp; "!A:A"),0)</f>
        <v>682</v>
      </c>
      <c r="R290" s="50" t="str">
        <f t="shared" ref="R290:R321" ca="1" si="1061">LEFT(B290,14)</f>
        <v>OBAGS601-TESBH</v>
      </c>
      <c r="S290" s="52">
        <f ca="1">MATCH($R290,INDIRECT(nomFichierEAN13ValmagUniq &amp; "!A:A"),0)</f>
        <v>215</v>
      </c>
      <c r="T290" s="49" t="str">
        <f ca="1">IFERROR(INDEX(INDIRECT(zoneFichierEAN13ValmagUniq),S290,2),"")</f>
        <v xml:space="preserve"> </v>
      </c>
      <c r="U290" s="52" t="e">
        <f ca="1">MATCH($R290,INDIRECT(nomFichierEAN13ValmagUniq &amp; "!A" &amp; (S290+1) &amp; ":A" &amp;  (S290+10)),0)</f>
        <v>#N/A</v>
      </c>
      <c r="V290" s="51" t="e">
        <f t="shared" ref="V290:V353" ca="1" si="1062">U290+S290</f>
        <v>#N/A</v>
      </c>
      <c r="W290" s="49" t="str">
        <f ca="1">IFERROR(INDEX(INDIRECT(zoneFichierEAN13ValmagUniq),V290,2),"")</f>
        <v/>
      </c>
      <c r="X290" s="52" t="e">
        <f ca="1">MATCH($R290,INDIRECT(nomFichierEAN13ValmagUniq &amp; "!A" &amp; (V290+1) &amp; ":A" &amp;  (V290+10)),0)</f>
        <v>#N/A</v>
      </c>
      <c r="Y290" s="51" t="e">
        <f t="shared" ref="Y290:Y353" ca="1" si="1063">X290+V290</f>
        <v>#N/A</v>
      </c>
      <c r="Z290" s="49" t="str">
        <f ca="1">IFERROR(INDEX(INDIRECT(zoneFichierEAN13ValmagUniq),Y290,2),"")</f>
        <v/>
      </c>
      <c r="AA290" s="53" t="str">
        <f t="shared" ref="AA290:AA353" ca="1" si="1064">T290 &amp; IF(W290="","", " | " &amp; W290) &amp; IF(Z290="","", " | " &amp;Z290)</f>
        <v xml:space="preserve"> </v>
      </c>
      <c r="AC290" s="55">
        <f ca="1">MATCH(B290,INDIRECT(nomFichierFiltreCatalogue &amp; "!B:B"),0)</f>
        <v>382</v>
      </c>
      <c r="AD290" s="14"/>
    </row>
    <row r="291" spans="1:30" s="20" customFormat="1" ht="15.75" customHeight="1" x14ac:dyDescent="0.25">
      <c r="A291" s="25">
        <f ca="1">INDEX(INDIRECT(zoneFichierTraite),$J290+offsetInitialFichierTraite,2)</f>
        <v>176</v>
      </c>
      <c r="B291" s="57" t="str">
        <f ca="1">IF(ISERROR($P290),msgRefValmagAcreer,IF(INDEX(INDIRECT(zoneFichierEAN13Valmag),$P290,3) = "",msgCodeValmagVide, INDEX(INDIRECT(zoneFichierEAN13Valmag),$P290,3)))</f>
        <v xml:space="preserve"> </v>
      </c>
      <c r="C291" s="54" t="str">
        <f t="shared" ref="C291:C354" ca="1" si="1065">AA290</f>
        <v xml:space="preserve"> </v>
      </c>
      <c r="D291" s="19" t="str">
        <f ca="1">IFERROR(INDEX(INDIRECT(zoneFichierEAN13Valmag),$P290,4),"")</f>
        <v xml:space="preserve"> </v>
      </c>
      <c r="E291" s="58" t="str">
        <f ca="1">IFERROR(INDEX(INDIRECT(zoneFichierFiltreCatalogue),AC290,3),"")</f>
        <v>p086-2-01</v>
      </c>
      <c r="F291" s="19"/>
      <c r="G291" s="18"/>
      <c r="H291" s="32" t="str">
        <f ca="1">IFERROR(INDEX(INDIRECT(zoneFichierFiltreCatalogue),AC290,6),"")</f>
        <v>fall 2019 presentation_/catalogo fall 19.txt</v>
      </c>
      <c r="S291" s="1"/>
      <c r="T291" s="21"/>
      <c r="U291" s="21"/>
      <c r="V291" s="21"/>
      <c r="W291" s="21"/>
      <c r="X291" s="21"/>
      <c r="Y291" s="21"/>
      <c r="Z291" s="21"/>
      <c r="AA291" s="21"/>
      <c r="AB291" s="21"/>
      <c r="AC291" s="21"/>
    </row>
    <row r="292" spans="1:30" ht="39" customHeight="1" thickBot="1" x14ac:dyDescent="0.65">
      <c r="A292" s="9" t="str">
        <f ca="1">INDEX(INDIRECT(zoneFichierTraite),$J292+offsetInitialFichierTraite,6)</f>
        <v>UNICA</v>
      </c>
      <c r="B292" s="5" t="str">
        <f ca="1">INDEX(INDIRECT(zoneFichierTraite),$J292+offsetInitialFichierTraite,4)</f>
        <v>OBAGS601-TESBM-227</v>
      </c>
      <c r="C292" s="26" t="str">
        <f ca="1">INDEX(INDIRECT(zoneFichierTraite),$J292+offsetInitialFichierTraite,5)</f>
        <v>POCHETTE INTERIEURE SWITCH O BAG EN TISSU IMPRIME GEOMETRIC LILY</v>
      </c>
      <c r="D292" s="27" t="str">
        <f ca="1">INDEX(INDIRECT(zoneFichierTraite),$J292+offsetInitialFichierTraite,13)</f>
        <v>bianco/nero</v>
      </c>
      <c r="E292" s="30">
        <f ca="1">INDEX(INDIRECT(zoneFichierTraite),$J292+offsetInitialFichierTraite,7)</f>
        <v>2</v>
      </c>
      <c r="F292" s="28">
        <f ca="1">INDEX(INDIRECT(zoneFichierTraite),$J292+offsetInitialFichierTraite,8)</f>
        <v>11.85</v>
      </c>
      <c r="G292" s="29">
        <f t="shared" ref="G292:G355" ca="1" si="1066">ROUNDUP(F292*3,0)</f>
        <v>36</v>
      </c>
      <c r="H292" s="31" t="str">
        <f ca="1">IF(ISNUMBER(N292),codeEAN13(INT(N292/10)),"")</f>
        <v>8APASOG*ajacei+</v>
      </c>
      <c r="I292" s="1" t="b">
        <f t="shared" ref="I292:I355" ca="1" si="1067">AND(A295&lt;&gt;0,A293=A295)</f>
        <v>0</v>
      </c>
      <c r="J292" s="15">
        <f t="shared" si="963"/>
        <v>142</v>
      </c>
      <c r="K292" s="1">
        <f t="shared" ref="K292:K355" ca="1" si="1068">A293</f>
        <v>156</v>
      </c>
      <c r="L292" s="5" t="str">
        <f ca="1">INDEX(INDIRECT(zoneFichierTraite),$J292+offsetInitialFichierTraite,1)</f>
        <v>'142</v>
      </c>
      <c r="M292" s="11">
        <f ca="1">INDEX(INDIRECT(zoneFichierTraite),$J292+offsetInitialFichierTraite,9)</f>
        <v>23.7</v>
      </c>
      <c r="N292" s="14">
        <f ca="1">INDEX(INDIRECT(zoneFichierTraite),$J292+offsetInitialFichierTraite,3)</f>
        <v>8050846090248</v>
      </c>
      <c r="O292" s="14"/>
      <c r="P292" s="56">
        <f ca="1">MATCH(N292,INDIRECT(nomFichierEAN13Valmag &amp; "!A:A"),0)</f>
        <v>708</v>
      </c>
      <c r="R292" s="50" t="str">
        <f t="shared" ref="R292:R323" ca="1" si="1069">LEFT(B292,14)</f>
        <v>OBAGS601-TESBM</v>
      </c>
      <c r="S292" s="52">
        <f ca="1">MATCH($R292,INDIRECT(nomFichierEAN13ValmagUniq &amp; "!A:A"),0)</f>
        <v>217</v>
      </c>
      <c r="T292" s="49" t="str">
        <f ca="1">IFERROR(INDEX(INDIRECT(zoneFichierEAN13ValmagUniq),S292,2),"")</f>
        <v xml:space="preserve"> </v>
      </c>
      <c r="U292" s="52" t="e">
        <f ca="1">MATCH($R292,INDIRECT(nomFichierEAN13ValmagUniq &amp; "!A" &amp; (S292+1) &amp; ":A" &amp;  (S292+10)),0)</f>
        <v>#N/A</v>
      </c>
      <c r="V292" s="51" t="e">
        <f t="shared" ref="V292:V355" ca="1" si="1070">U292+S292</f>
        <v>#N/A</v>
      </c>
      <c r="W292" s="49" t="str">
        <f ca="1">IFERROR(INDEX(INDIRECT(zoneFichierEAN13ValmagUniq),V292,2),"")</f>
        <v/>
      </c>
      <c r="X292" s="52" t="e">
        <f ca="1">MATCH($R292,INDIRECT(nomFichierEAN13ValmagUniq &amp; "!A" &amp; (V292+1) &amp; ":A" &amp;  (V292+10)),0)</f>
        <v>#N/A</v>
      </c>
      <c r="Y292" s="51" t="e">
        <f t="shared" ref="Y292:Y355" ca="1" si="1071">X292+V292</f>
        <v>#N/A</v>
      </c>
      <c r="Z292" s="49" t="str">
        <f ca="1">IFERROR(INDEX(INDIRECT(zoneFichierEAN13ValmagUniq),Y292,2),"")</f>
        <v/>
      </c>
      <c r="AA292" s="53" t="str">
        <f t="shared" ref="AA292:AA355" ca="1" si="1072">T292 &amp; IF(W292="","", " | " &amp; W292) &amp; IF(Z292="","", " | " &amp;Z292)</f>
        <v xml:space="preserve"> </v>
      </c>
      <c r="AC292" s="55">
        <f ca="1">MATCH(B292,INDIRECT(nomFichierFiltreCatalogue &amp; "!B:B"),0)</f>
        <v>384</v>
      </c>
      <c r="AD292" s="14"/>
    </row>
    <row r="293" spans="1:30" s="20" customFormat="1" ht="15.75" customHeight="1" x14ac:dyDescent="0.25">
      <c r="A293" s="25">
        <f ca="1">INDEX(INDIRECT(zoneFichierTraite),$J292+offsetInitialFichierTraite,2)</f>
        <v>156</v>
      </c>
      <c r="B293" s="57" t="str">
        <f ca="1">IF(ISERROR($P292),msgRefValmagAcreer,IF(INDEX(INDIRECT(zoneFichierEAN13Valmag),$P292,3) = "",msgCodeValmagVide, INDEX(INDIRECT(zoneFichierEAN13Valmag),$P292,3)))</f>
        <v xml:space="preserve"> </v>
      </c>
      <c r="C293" s="54" t="str">
        <f t="shared" ref="C293:C356" ca="1" si="1073">AA292</f>
        <v xml:space="preserve"> </v>
      </c>
      <c r="D293" s="19" t="str">
        <f ca="1">IFERROR(INDEX(INDIRECT(zoneFichierEAN13Valmag),$P292,4),"")</f>
        <v xml:space="preserve"> </v>
      </c>
      <c r="E293" s="58" t="str">
        <f ca="1">IFERROR(INDEX(INDIRECT(zoneFichierFiltreCatalogue),AC292,3),"")</f>
        <v>p087-2-01</v>
      </c>
      <c r="F293" s="19"/>
      <c r="G293" s="18"/>
      <c r="H293" s="32" t="str">
        <f ca="1">IFERROR(INDEX(INDIRECT(zoneFichierFiltreCatalogue),AC292,6),"")</f>
        <v>fall 2019 presentation_/catalogo fall 19.txt</v>
      </c>
      <c r="S293" s="1"/>
      <c r="T293" s="21"/>
      <c r="U293" s="21"/>
      <c r="V293" s="21"/>
      <c r="W293" s="21"/>
      <c r="X293" s="21"/>
      <c r="Y293" s="21"/>
      <c r="Z293" s="21"/>
      <c r="AA293" s="21"/>
      <c r="AB293" s="21"/>
      <c r="AC293" s="21"/>
    </row>
    <row r="294" spans="1:30" ht="39" customHeight="1" thickBot="1" x14ac:dyDescent="0.65">
      <c r="A294" s="9" t="str">
        <f ca="1">INDEX(INDIRECT(zoneFichierTraite),$J294+offsetInitialFichierTraite,6)</f>
        <v>UNICA</v>
      </c>
      <c r="B294" s="5" t="str">
        <f ca="1">INDEX(INDIRECT(zoneFichierTraite),$J294+offsetInitialFichierTraite,4)</f>
        <v>OBAGS602-TESBB-615</v>
      </c>
      <c r="C294" s="26" t="str">
        <f ca="1">INDEX(INDIRECT(zoneFichierTraite),$J294+offsetInitialFichierTraite,5)</f>
        <v>POCHETTE INTERIEURE SWITCH O BAG MINI EN TISSU IMPRIME DIANTHUS</v>
      </c>
      <c r="D294" s="27" t="str">
        <f ca="1">INDEX(INDIRECT(zoneFichierTraite),$J294+offsetInitialFichierTraite,13)</f>
        <v>military</v>
      </c>
      <c r="E294" s="30">
        <f ca="1">INDEX(INDIRECT(zoneFichierTraite),$J294+offsetInitialFichierTraite,7)</f>
        <v>2</v>
      </c>
      <c r="F294" s="28">
        <f ca="1">INDEX(INDIRECT(zoneFichierTraite),$J294+offsetInitialFichierTraite,8)</f>
        <v>13.33</v>
      </c>
      <c r="G294" s="29">
        <f t="shared" ref="G294:G357" ca="1" si="1074">ROUNDUP(F294*3,0)</f>
        <v>40</v>
      </c>
      <c r="H294" s="31" t="str">
        <f ca="1">IF(ISNUMBER(N294),codeEAN13(INT(N294/10)),"")</f>
        <v>8APASOG*ajahib+</v>
      </c>
      <c r="I294" s="1" t="b">
        <f t="shared" ref="I294:I357" ca="1" si="1075">AND(A297&lt;&gt;0,A295=A297)</f>
        <v>0</v>
      </c>
      <c r="J294" s="15">
        <f t="shared" si="963"/>
        <v>143</v>
      </c>
      <c r="K294" s="1">
        <f t="shared" ref="K294:K357" ca="1" si="1076">A295</f>
        <v>180</v>
      </c>
      <c r="L294" s="5" t="str">
        <f ca="1">INDEX(INDIRECT(zoneFichierTraite),$J294+offsetInitialFichierTraite,1)</f>
        <v>'143</v>
      </c>
      <c r="M294" s="11">
        <f ca="1">INDEX(INDIRECT(zoneFichierTraite),$J294+offsetInitialFichierTraite,9)</f>
        <v>26.66</v>
      </c>
      <c r="N294" s="14">
        <f ca="1">INDEX(INDIRECT(zoneFichierTraite),$J294+offsetInitialFichierTraite,3)</f>
        <v>8050846090781</v>
      </c>
      <c r="O294" s="14"/>
      <c r="P294" s="56">
        <f ca="1">MATCH(N294,INDIRECT(nomFichierEAN13Valmag &amp; "!A:A"),0)</f>
        <v>758</v>
      </c>
      <c r="R294" s="50" t="str">
        <f t="shared" ref="R294:R325" ca="1" si="1077">LEFT(B294,14)</f>
        <v>OBAGS602-TESBB</v>
      </c>
      <c r="S294" s="52">
        <f ca="1">MATCH($R294,INDIRECT(nomFichierEAN13ValmagUniq &amp; "!A:A"),0)</f>
        <v>222</v>
      </c>
      <c r="T294" s="49" t="str">
        <f ca="1">IFERROR(INDEX(INDIRECT(zoneFichierEAN13ValmagUniq),S294,2),"")</f>
        <v xml:space="preserve"> </v>
      </c>
      <c r="U294" s="52" t="e">
        <f ca="1">MATCH($R294,INDIRECT(nomFichierEAN13ValmagUniq &amp; "!A" &amp; (S294+1) &amp; ":A" &amp;  (S294+10)),0)</f>
        <v>#N/A</v>
      </c>
      <c r="V294" s="51" t="e">
        <f t="shared" ref="V294:V357" ca="1" si="1078">U294+S294</f>
        <v>#N/A</v>
      </c>
      <c r="W294" s="49" t="str">
        <f ca="1">IFERROR(INDEX(INDIRECT(zoneFichierEAN13ValmagUniq),V294,2),"")</f>
        <v/>
      </c>
      <c r="X294" s="52" t="e">
        <f ca="1">MATCH($R294,INDIRECT(nomFichierEAN13ValmagUniq &amp; "!A" &amp; (V294+1) &amp; ":A" &amp;  (V294+10)),0)</f>
        <v>#N/A</v>
      </c>
      <c r="Y294" s="51" t="e">
        <f t="shared" ref="Y294:Y357" ca="1" si="1079">X294+V294</f>
        <v>#N/A</v>
      </c>
      <c r="Z294" s="49" t="str">
        <f ca="1">IFERROR(INDEX(INDIRECT(zoneFichierEAN13ValmagUniq),Y294,2),"")</f>
        <v/>
      </c>
      <c r="AA294" s="53" t="str">
        <f t="shared" ref="AA294:AA357" ca="1" si="1080">T294 &amp; IF(W294="","", " | " &amp; W294) &amp; IF(Z294="","", " | " &amp;Z294)</f>
        <v xml:space="preserve"> </v>
      </c>
      <c r="AC294" s="55">
        <f ca="1">MATCH(B294,INDIRECT(nomFichierFiltreCatalogue &amp; "!B:B"),0)</f>
        <v>402</v>
      </c>
      <c r="AD294" s="14"/>
    </row>
    <row r="295" spans="1:30" s="20" customFormat="1" ht="15.75" customHeight="1" x14ac:dyDescent="0.25">
      <c r="A295" s="25">
        <f ca="1">INDEX(INDIRECT(zoneFichierTraite),$J294+offsetInitialFichierTraite,2)</f>
        <v>180</v>
      </c>
      <c r="B295" s="57" t="str">
        <f ca="1">IF(ISERROR($P294),msgRefValmagAcreer,IF(INDEX(INDIRECT(zoneFichierEAN13Valmag),$P294,3) = "",msgCodeValmagVide, INDEX(INDIRECT(zoneFichierEAN13Valmag),$P294,3)))</f>
        <v xml:space="preserve"> </v>
      </c>
      <c r="C295" s="54" t="str">
        <f t="shared" ref="C295:C358" ca="1" si="1081">AA294</f>
        <v xml:space="preserve"> </v>
      </c>
      <c r="D295" s="19" t="str">
        <f ca="1">IFERROR(INDEX(INDIRECT(zoneFichierEAN13Valmag),$P294,4),"")</f>
        <v xml:space="preserve"> </v>
      </c>
      <c r="E295" s="58" t="str">
        <f ca="1">IFERROR(INDEX(INDIRECT(zoneFichierFiltreCatalogue),AC294,3),"")</f>
        <v>p092-1-01</v>
      </c>
      <c r="F295" s="19"/>
      <c r="G295" s="18"/>
      <c r="H295" s="32" t="str">
        <f ca="1">IFERROR(INDEX(INDIRECT(zoneFichierFiltreCatalogue),AC294,6),"")</f>
        <v>fall 2019 presentation_/catalogo fall 19.txt</v>
      </c>
      <c r="S295" s="1"/>
      <c r="T295" s="21"/>
      <c r="U295" s="21"/>
      <c r="V295" s="21"/>
      <c r="W295" s="21"/>
      <c r="X295" s="21"/>
      <c r="Y295" s="21"/>
      <c r="Z295" s="21"/>
      <c r="AA295" s="21"/>
      <c r="AB295" s="21"/>
      <c r="AC295" s="21"/>
    </row>
    <row r="296" spans="1:30" ht="39" customHeight="1" thickBot="1" x14ac:dyDescent="0.65">
      <c r="A296" s="9" t="str">
        <f ca="1">INDEX(INDIRECT(zoneFichierTraite),$J296+offsetInitialFichierTraite,6)</f>
        <v>UNICA</v>
      </c>
      <c r="B296" s="5" t="str">
        <f ca="1">INDEX(INDIRECT(zoneFichierTraite),$J296+offsetInitialFichierTraite,4)</f>
        <v>OBAGS602-TESBD-227</v>
      </c>
      <c r="C296" s="26" t="str">
        <f ca="1">INDEX(INDIRECT(zoneFichierTraite),$J296+offsetInitialFichierTraite,5)</f>
        <v>POCHETTE INTERIEURE SWITCH O BAG MINI EN TISSU CHECK EFFET LAINE</v>
      </c>
      <c r="D296" s="27" t="str">
        <f ca="1">INDEX(INDIRECT(zoneFichierTraite),$J296+offsetInitialFichierTraite,13)</f>
        <v>bianco/nero</v>
      </c>
      <c r="E296" s="30">
        <f ca="1">INDEX(INDIRECT(zoneFichierTraite),$J296+offsetInitialFichierTraite,7)</f>
        <v>2</v>
      </c>
      <c r="F296" s="28">
        <f ca="1">INDEX(INDIRECT(zoneFichierTraite),$J296+offsetInitialFichierTraite,8)</f>
        <v>11.85</v>
      </c>
      <c r="G296" s="29">
        <f t="shared" ref="G296:G359" ca="1" si="1082">ROUNDUP(F296*3,0)</f>
        <v>36</v>
      </c>
      <c r="H296" s="31" t="str">
        <f ca="1">IF(ISNUMBER(N296),codeEAN13(INT(N296/10)),"")</f>
        <v>8APASOG*ajaiec+</v>
      </c>
      <c r="I296" s="1" t="b">
        <f t="shared" ref="I296:I359" ca="1" si="1083">AND(A299&lt;&gt;0,A297=A299)</f>
        <v>0</v>
      </c>
      <c r="J296" s="15">
        <f t="shared" si="963"/>
        <v>144</v>
      </c>
      <c r="K296" s="1">
        <f t="shared" ref="K296:K359" ca="1" si="1084">A297</f>
        <v>107</v>
      </c>
      <c r="L296" s="5" t="str">
        <f ca="1">INDEX(INDIRECT(zoneFichierTraite),$J296+offsetInitialFichierTraite,1)</f>
        <v>'144</v>
      </c>
      <c r="M296" s="11">
        <f ca="1">INDEX(INDIRECT(zoneFichierTraite),$J296+offsetInitialFichierTraite,9)</f>
        <v>23.7</v>
      </c>
      <c r="N296" s="14">
        <f ca="1">INDEX(INDIRECT(zoneFichierTraite),$J296+offsetInitialFichierTraite,3)</f>
        <v>8050846090842</v>
      </c>
      <c r="O296" s="14"/>
      <c r="P296" s="56">
        <f ca="1">MATCH(N296,INDIRECT(nomFichierEAN13Valmag &amp; "!A:A"),0)</f>
        <v>764</v>
      </c>
      <c r="R296" s="50" t="str">
        <f t="shared" ref="R296:R327" ca="1" si="1085">LEFT(B296,14)</f>
        <v>OBAGS602-TESBD</v>
      </c>
      <c r="S296" s="52">
        <f ca="1">MATCH($R296,INDIRECT(nomFichierEAN13ValmagUniq &amp; "!A:A"),0)</f>
        <v>223</v>
      </c>
      <c r="T296" s="49" t="str">
        <f ca="1">IFERROR(INDEX(INDIRECT(zoneFichierEAN13ValmagUniq),S296,2),"")</f>
        <v xml:space="preserve"> </v>
      </c>
      <c r="U296" s="52" t="e">
        <f ca="1">MATCH($R296,INDIRECT(nomFichierEAN13ValmagUniq &amp; "!A" &amp; (S296+1) &amp; ":A" &amp;  (S296+10)),0)</f>
        <v>#N/A</v>
      </c>
      <c r="V296" s="51" t="e">
        <f t="shared" ref="V296:V359" ca="1" si="1086">U296+S296</f>
        <v>#N/A</v>
      </c>
      <c r="W296" s="49" t="str">
        <f ca="1">IFERROR(INDEX(INDIRECT(zoneFichierEAN13ValmagUniq),V296,2),"")</f>
        <v/>
      </c>
      <c r="X296" s="52" t="e">
        <f ca="1">MATCH($R296,INDIRECT(nomFichierEAN13ValmagUniq &amp; "!A" &amp; (V296+1) &amp; ":A" &amp;  (V296+10)),0)</f>
        <v>#N/A</v>
      </c>
      <c r="Y296" s="51" t="e">
        <f t="shared" ref="Y296:Y359" ca="1" si="1087">X296+V296</f>
        <v>#N/A</v>
      </c>
      <c r="Z296" s="49" t="str">
        <f ca="1">IFERROR(INDEX(INDIRECT(zoneFichierEAN13ValmagUniq),Y296,2),"")</f>
        <v/>
      </c>
      <c r="AA296" s="53" t="str">
        <f t="shared" ref="AA296:AA359" ca="1" si="1088">T296 &amp; IF(W296="","", " | " &amp; W296) &amp; IF(Z296="","", " | " &amp;Z296)</f>
        <v xml:space="preserve"> </v>
      </c>
      <c r="AC296" s="55">
        <f ca="1">MATCH(B296,INDIRECT(nomFichierFiltreCatalogue &amp; "!B:B"),0)</f>
        <v>403</v>
      </c>
      <c r="AD296" s="14"/>
    </row>
    <row r="297" spans="1:30" s="20" customFormat="1" ht="15.75" customHeight="1" x14ac:dyDescent="0.25">
      <c r="A297" s="25">
        <f ca="1">INDEX(INDIRECT(zoneFichierTraite),$J296+offsetInitialFichierTraite,2)</f>
        <v>107</v>
      </c>
      <c r="B297" s="57" t="str">
        <f ca="1">IF(ISERROR($P296),msgRefValmagAcreer,IF(INDEX(INDIRECT(zoneFichierEAN13Valmag),$P296,3) = "",msgCodeValmagVide, INDEX(INDIRECT(zoneFichierEAN13Valmag),$P296,3)))</f>
        <v xml:space="preserve"> </v>
      </c>
      <c r="C297" s="54" t="str">
        <f t="shared" ref="C297:C360" ca="1" si="1089">AA296</f>
        <v xml:space="preserve"> </v>
      </c>
      <c r="D297" s="19" t="str">
        <f ca="1">IFERROR(INDEX(INDIRECT(zoneFichierEAN13Valmag),$P296,4),"")</f>
        <v xml:space="preserve"> </v>
      </c>
      <c r="E297" s="58" t="str">
        <f ca="1">IFERROR(INDEX(INDIRECT(zoneFichierFiltreCatalogue),AC296,3),"")</f>
        <v>p092-2-01</v>
      </c>
      <c r="F297" s="19"/>
      <c r="G297" s="18"/>
      <c r="H297" s="32" t="str">
        <f ca="1">IFERROR(INDEX(INDIRECT(zoneFichierFiltreCatalogue),AC296,6),"")</f>
        <v>fall 2019 presentation_/catalogo fall 19.txt</v>
      </c>
      <c r="S297" s="1"/>
      <c r="T297" s="21"/>
      <c r="U297" s="21"/>
      <c r="V297" s="21"/>
      <c r="W297" s="21"/>
      <c r="X297" s="21"/>
      <c r="Y297" s="21"/>
      <c r="Z297" s="21"/>
      <c r="AA297" s="21"/>
      <c r="AB297" s="21"/>
      <c r="AC297" s="21"/>
    </row>
    <row r="298" spans="1:30" ht="39" customHeight="1" thickBot="1" x14ac:dyDescent="0.65">
      <c r="A298" s="9" t="str">
        <f ca="1">INDEX(INDIRECT(zoneFichierTraite),$J298+offsetInitialFichierTraite,6)</f>
        <v>UNICA</v>
      </c>
      <c r="B298" s="5" t="str">
        <f ca="1">INDEX(INDIRECT(zoneFichierTraite),$J298+offsetInitialFichierTraite,4)</f>
        <v>OBAGS602-TESBF-076</v>
      </c>
      <c r="C298" s="26" t="str">
        <f ca="1">INDEX(INDIRECT(zoneFichierTraite),$J298+offsetInitialFichierTraite,5)</f>
        <v>POCHETTE INTERIEURE SWITCH O BAG MINI EN TISSU CORDURA CONTRASTE</v>
      </c>
      <c r="D298" s="27" t="str">
        <f ca="1">INDEX(INDIRECT(zoneFichierTraite),$J298+offsetInitialFichierTraite,13)</f>
        <v>rosso</v>
      </c>
      <c r="E298" s="30">
        <f ca="1">INDEX(INDIRECT(zoneFichierTraite),$J298+offsetInitialFichierTraite,7)</f>
        <v>2</v>
      </c>
      <c r="F298" s="28">
        <f ca="1">INDEX(INDIRECT(zoneFichierTraite),$J298+offsetInitialFichierTraite,8)</f>
        <v>11.85</v>
      </c>
      <c r="G298" s="29">
        <f t="shared" ref="G298:G361" ca="1" si="1090">ROUNDUP(F298*3,0)</f>
        <v>36</v>
      </c>
      <c r="H298" s="31" t="str">
        <f ca="1">IF(ISNUMBER(N298),codeEAN13(INT(N298/10)),"")</f>
        <v>8APASOG*ajajfi+</v>
      </c>
      <c r="I298" s="1" t="b">
        <f t="shared" ref="I298:I361" ca="1" si="1091">AND(A301&lt;&gt;0,A299=A301)</f>
        <v>0</v>
      </c>
      <c r="J298" s="15">
        <f t="shared" si="963"/>
        <v>145</v>
      </c>
      <c r="K298" s="1">
        <f t="shared" ref="K298:K361" ca="1" si="1092">A299</f>
        <v>152</v>
      </c>
      <c r="L298" s="5" t="str">
        <f ca="1">INDEX(INDIRECT(zoneFichierTraite),$J298+offsetInitialFichierTraite,1)</f>
        <v>'145</v>
      </c>
      <c r="M298" s="11">
        <f ca="1">INDEX(INDIRECT(zoneFichierTraite),$J298+offsetInitialFichierTraite,9)</f>
        <v>23.7</v>
      </c>
      <c r="N298" s="14">
        <f ca="1">INDEX(INDIRECT(zoneFichierTraite),$J298+offsetInitialFichierTraite,3)</f>
        <v>8050846090958</v>
      </c>
      <c r="O298" s="14"/>
      <c r="P298" s="56">
        <f ca="1">MATCH(N298,INDIRECT(nomFichierEAN13Valmag &amp; "!A:A"),0)</f>
        <v>775</v>
      </c>
      <c r="R298" s="50" t="str">
        <f t="shared" ref="R298:R329" ca="1" si="1093">LEFT(B298,14)</f>
        <v>OBAGS602-TESBF</v>
      </c>
      <c r="S298" s="52">
        <f ca="1">MATCH($R298,INDIRECT(nomFichierEAN13ValmagUniq &amp; "!A:A"),0)</f>
        <v>224</v>
      </c>
      <c r="T298" s="49" t="str">
        <f ca="1">IFERROR(INDEX(INDIRECT(zoneFichierEAN13ValmagUniq),S298,2),"")</f>
        <v xml:space="preserve"> </v>
      </c>
      <c r="U298" s="52" t="e">
        <f ca="1">MATCH($R298,INDIRECT(nomFichierEAN13ValmagUniq &amp; "!A" &amp; (S298+1) &amp; ":A" &amp;  (S298+10)),0)</f>
        <v>#N/A</v>
      </c>
      <c r="V298" s="51" t="e">
        <f t="shared" ref="V298:V361" ca="1" si="1094">U298+S298</f>
        <v>#N/A</v>
      </c>
      <c r="W298" s="49" t="str">
        <f ca="1">IFERROR(INDEX(INDIRECT(zoneFichierEAN13ValmagUniq),V298,2),"")</f>
        <v/>
      </c>
      <c r="X298" s="52" t="e">
        <f ca="1">MATCH($R298,INDIRECT(nomFichierEAN13ValmagUniq &amp; "!A" &amp; (V298+1) &amp; ":A" &amp;  (V298+10)),0)</f>
        <v>#N/A</v>
      </c>
      <c r="Y298" s="51" t="e">
        <f t="shared" ref="Y298:Y361" ca="1" si="1095">X298+V298</f>
        <v>#N/A</v>
      </c>
      <c r="Z298" s="49" t="str">
        <f ca="1">IFERROR(INDEX(INDIRECT(zoneFichierEAN13ValmagUniq),Y298,2),"")</f>
        <v/>
      </c>
      <c r="AA298" s="53" t="str">
        <f t="shared" ref="AA298:AA361" ca="1" si="1096">T298 &amp; IF(W298="","", " | " &amp; W298) &amp; IF(Z298="","", " | " &amp;Z298)</f>
        <v xml:space="preserve"> </v>
      </c>
      <c r="AC298" s="55">
        <f ca="1">MATCH(B298,INDIRECT(nomFichierFiltreCatalogue &amp; "!B:B"),0)</f>
        <v>404</v>
      </c>
      <c r="AD298" s="14"/>
    </row>
    <row r="299" spans="1:30" s="20" customFormat="1" ht="15.75" customHeight="1" x14ac:dyDescent="0.25">
      <c r="A299" s="25">
        <f ca="1">INDEX(INDIRECT(zoneFichierTraite),$J298+offsetInitialFichierTraite,2)</f>
        <v>152</v>
      </c>
      <c r="B299" s="57" t="str">
        <f ca="1">IF(ISERROR($P298),msgRefValmagAcreer,IF(INDEX(INDIRECT(zoneFichierEAN13Valmag),$P298,3) = "",msgCodeValmagVide, INDEX(INDIRECT(zoneFichierEAN13Valmag),$P298,3)))</f>
        <v xml:space="preserve"> </v>
      </c>
      <c r="C299" s="54" t="str">
        <f t="shared" ref="C299:C362" ca="1" si="1097">AA298</f>
        <v xml:space="preserve"> </v>
      </c>
      <c r="D299" s="19" t="str">
        <f ca="1">IFERROR(INDEX(INDIRECT(zoneFichierEAN13Valmag),$P298,4),"")</f>
        <v xml:space="preserve"> </v>
      </c>
      <c r="E299" s="58" t="str">
        <f ca="1">IFERROR(INDEX(INDIRECT(zoneFichierFiltreCatalogue),AC298,3),"")</f>
        <v>p093-1-01</v>
      </c>
      <c r="F299" s="19"/>
      <c r="G299" s="18"/>
      <c r="H299" s="32" t="str">
        <f ca="1">IFERROR(INDEX(INDIRECT(zoneFichierFiltreCatalogue),AC298,6),"")</f>
        <v>fall 2019 presentation_/catalogo fall 19.txt</v>
      </c>
      <c r="S299" s="1"/>
      <c r="T299" s="21"/>
      <c r="U299" s="21"/>
      <c r="V299" s="21"/>
      <c r="W299" s="21"/>
      <c r="X299" s="21"/>
      <c r="Y299" s="21"/>
      <c r="Z299" s="21"/>
      <c r="AA299" s="21"/>
      <c r="AB299" s="21"/>
      <c r="AC299" s="21"/>
    </row>
    <row r="300" spans="1:30" ht="39" customHeight="1" thickBot="1" x14ac:dyDescent="0.65">
      <c r="A300" s="9" t="str">
        <f ca="1">INDEX(INDIRECT(zoneFichierTraite),$J300+offsetInitialFichierTraite,6)</f>
        <v>UNICA</v>
      </c>
      <c r="B300" s="5" t="str">
        <f ca="1">INDEX(INDIRECT(zoneFichierTraite),$J300+offsetInitialFichierTraite,4)</f>
        <v>OBAGS602-TESBF-137</v>
      </c>
      <c r="C300" s="26" t="str">
        <f ca="1">INDEX(INDIRECT(zoneFichierTraite),$J300+offsetInitialFichierTraite,5)</f>
        <v>POCHETTE INTERIEURE SWITCH O BAG MINI EN TISSU CORDURA CONTRASTE</v>
      </c>
      <c r="D300" s="27" t="str">
        <f ca="1">INDEX(INDIRECT(zoneFichierTraite),$J300+offsetInitialFichierTraite,13)</f>
        <v>bluette</v>
      </c>
      <c r="E300" s="30">
        <f ca="1">INDEX(INDIRECT(zoneFichierTraite),$J300+offsetInitialFichierTraite,7)</f>
        <v>2</v>
      </c>
      <c r="F300" s="28">
        <f ca="1">INDEX(INDIRECT(zoneFichierTraite),$J300+offsetInitialFichierTraite,8)</f>
        <v>11.85</v>
      </c>
      <c r="G300" s="29">
        <f t="shared" ref="G300:G363" ca="1" si="1098">ROUNDUP(F300*3,0)</f>
        <v>36</v>
      </c>
      <c r="H300" s="31" t="str">
        <f ca="1">IF(ISNUMBER(N300),codeEAN13(INT(N300/10)),"")</f>
        <v>8APASOG*ajajeb+</v>
      </c>
      <c r="I300" s="1" t="b">
        <f t="shared" ref="I300:I363" ca="1" si="1099">AND(A303&lt;&gt;0,A301=A303)</f>
        <v>0</v>
      </c>
      <c r="J300" s="15">
        <f t="shared" si="963"/>
        <v>146</v>
      </c>
      <c r="K300" s="1">
        <f t="shared" ref="K300:K363" ca="1" si="1100">A301</f>
        <v>35</v>
      </c>
      <c r="L300" s="5" t="str">
        <f ca="1">INDEX(INDIRECT(zoneFichierTraite),$J300+offsetInitialFichierTraite,1)</f>
        <v>'146</v>
      </c>
      <c r="M300" s="11">
        <f ca="1">INDEX(INDIRECT(zoneFichierTraite),$J300+offsetInitialFichierTraite,9)</f>
        <v>23.7</v>
      </c>
      <c r="N300" s="14">
        <f ca="1">INDEX(INDIRECT(zoneFichierTraite),$J300+offsetInitialFichierTraite,3)</f>
        <v>8050846090941</v>
      </c>
      <c r="O300" s="14"/>
      <c r="P300" s="56">
        <f ca="1">MATCH(N300,INDIRECT(nomFichierEAN13Valmag &amp; "!A:A"),0)</f>
        <v>774</v>
      </c>
      <c r="R300" s="50" t="str">
        <f t="shared" ref="R300:R331" ca="1" si="1101">LEFT(B300,14)</f>
        <v>OBAGS602-TESBF</v>
      </c>
      <c r="S300" s="52">
        <f ca="1">MATCH($R300,INDIRECT(nomFichierEAN13ValmagUniq &amp; "!A:A"),0)</f>
        <v>224</v>
      </c>
      <c r="T300" s="49" t="str">
        <f ca="1">IFERROR(INDEX(INDIRECT(zoneFichierEAN13ValmagUniq),S300,2),"")</f>
        <v xml:space="preserve"> </v>
      </c>
      <c r="U300" s="52" t="e">
        <f ca="1">MATCH($R300,INDIRECT(nomFichierEAN13ValmagUniq &amp; "!A" &amp; (S300+1) &amp; ":A" &amp;  (S300+10)),0)</f>
        <v>#N/A</v>
      </c>
      <c r="V300" s="51" t="e">
        <f t="shared" ref="V300:V363" ca="1" si="1102">U300+S300</f>
        <v>#N/A</v>
      </c>
      <c r="W300" s="49" t="str">
        <f ca="1">IFERROR(INDEX(INDIRECT(zoneFichierEAN13ValmagUniq),V300,2),"")</f>
        <v/>
      </c>
      <c r="X300" s="52" t="e">
        <f ca="1">MATCH($R300,INDIRECT(nomFichierEAN13ValmagUniq &amp; "!A" &amp; (V300+1) &amp; ":A" &amp;  (V300+10)),0)</f>
        <v>#N/A</v>
      </c>
      <c r="Y300" s="51" t="e">
        <f t="shared" ref="Y300:Y363" ca="1" si="1103">X300+V300</f>
        <v>#N/A</v>
      </c>
      <c r="Z300" s="49" t="str">
        <f ca="1">IFERROR(INDEX(INDIRECT(zoneFichierEAN13ValmagUniq),Y300,2),"")</f>
        <v/>
      </c>
      <c r="AA300" s="53" t="str">
        <f t="shared" ref="AA300:AA363" ca="1" si="1104">T300 &amp; IF(W300="","", " | " &amp; W300) &amp; IF(Z300="","", " | " &amp;Z300)</f>
        <v xml:space="preserve"> </v>
      </c>
      <c r="AC300" s="55">
        <f ca="1">MATCH(B300,INDIRECT(nomFichierFiltreCatalogue &amp; "!B:B"),0)</f>
        <v>405</v>
      </c>
      <c r="AD300" s="14"/>
    </row>
    <row r="301" spans="1:30" s="20" customFormat="1" ht="15.75" customHeight="1" x14ac:dyDescent="0.25">
      <c r="A301" s="25">
        <f ca="1">INDEX(INDIRECT(zoneFichierTraite),$J300+offsetInitialFichierTraite,2)</f>
        <v>35</v>
      </c>
      <c r="B301" s="57" t="str">
        <f ca="1">IF(ISERROR($P300),msgRefValmagAcreer,IF(INDEX(INDIRECT(zoneFichierEAN13Valmag),$P300,3) = "",msgCodeValmagVide, INDEX(INDIRECT(zoneFichierEAN13Valmag),$P300,3)))</f>
        <v xml:space="preserve"> </v>
      </c>
      <c r="C301" s="54" t="str">
        <f t="shared" ref="C301:C364" ca="1" si="1105">AA300</f>
        <v xml:space="preserve"> </v>
      </c>
      <c r="D301" s="19" t="str">
        <f ca="1">IFERROR(INDEX(INDIRECT(zoneFichierEAN13Valmag),$P300,4),"")</f>
        <v xml:space="preserve"> </v>
      </c>
      <c r="E301" s="58" t="str">
        <f ca="1">IFERROR(INDEX(INDIRECT(zoneFichierFiltreCatalogue),AC300,3),"")</f>
        <v>p093-1-02</v>
      </c>
      <c r="F301" s="19"/>
      <c r="G301" s="18"/>
      <c r="H301" s="32" t="str">
        <f ca="1">IFERROR(INDEX(INDIRECT(zoneFichierFiltreCatalogue),AC300,6),"")</f>
        <v>fall 2019 presentation_/catalogo fall 19.txt</v>
      </c>
      <c r="S301" s="1"/>
      <c r="T301" s="21"/>
      <c r="U301" s="21"/>
      <c r="V301" s="21"/>
      <c r="W301" s="21"/>
      <c r="X301" s="21"/>
      <c r="Y301" s="21"/>
      <c r="Z301" s="21"/>
      <c r="AA301" s="21"/>
      <c r="AB301" s="21"/>
      <c r="AC301" s="21"/>
    </row>
    <row r="302" spans="1:30" ht="39" customHeight="1" thickBot="1" x14ac:dyDescent="0.65">
      <c r="A302" s="9" t="str">
        <f ca="1">INDEX(INDIRECT(zoneFichierTraite),$J302+offsetInitialFichierTraite,6)</f>
        <v>UNICA</v>
      </c>
      <c r="B302" s="5" t="str">
        <f ca="1">INDEX(INDIRECT(zoneFichierTraite),$J302+offsetInitialFichierTraite,4)</f>
        <v>OBAGS602-TESBF-144</v>
      </c>
      <c r="C302" s="26" t="str">
        <f ca="1">INDEX(INDIRECT(zoneFichierTraite),$J302+offsetInitialFichierTraite,5)</f>
        <v>POCHETTE INTERIEURE SWITCH O BAG MINI EN TISSU CORDURA CONTRASTE</v>
      </c>
      <c r="D302" s="27" t="str">
        <f ca="1">INDEX(INDIRECT(zoneFichierTraite),$J302+offsetInitialFichierTraite,13)</f>
        <v>ginestra</v>
      </c>
      <c r="E302" s="30">
        <f ca="1">INDEX(INDIRECT(zoneFichierTraite),$J302+offsetInitialFichierTraite,7)</f>
        <v>2</v>
      </c>
      <c r="F302" s="28">
        <f ca="1">INDEX(INDIRECT(zoneFichierTraite),$J302+offsetInitialFichierTraite,8)</f>
        <v>11.85</v>
      </c>
      <c r="G302" s="29">
        <f t="shared" ref="G302:G365" ca="1" si="1106">ROUNDUP(F302*3,0)</f>
        <v>36</v>
      </c>
      <c r="H302" s="31" t="str">
        <f ca="1">IF(ISNUMBER(N302),codeEAN13(INT(N302/10)),"")</f>
        <v>8APASOG*ajajad+</v>
      </c>
      <c r="I302" s="1" t="b">
        <f t="shared" ref="I302:I365" ca="1" si="1107">AND(A305&lt;&gt;0,A303=A305)</f>
        <v>0</v>
      </c>
      <c r="J302" s="15">
        <f t="shared" si="963"/>
        <v>147</v>
      </c>
      <c r="K302" s="1">
        <f t="shared" ref="K302:K365" ca="1" si="1108">A303</f>
        <v>130</v>
      </c>
      <c r="L302" s="5" t="str">
        <f ca="1">INDEX(INDIRECT(zoneFichierTraite),$J302+offsetInitialFichierTraite,1)</f>
        <v>'147</v>
      </c>
      <c r="M302" s="11">
        <f ca="1">INDEX(INDIRECT(zoneFichierTraite),$J302+offsetInitialFichierTraite,9)</f>
        <v>23.7</v>
      </c>
      <c r="N302" s="14">
        <f ca="1">INDEX(INDIRECT(zoneFichierTraite),$J302+offsetInitialFichierTraite,3)</f>
        <v>8050846090903</v>
      </c>
      <c r="O302" s="14"/>
      <c r="P302" s="56">
        <f ca="1">MATCH(N302,INDIRECT(nomFichierEAN13Valmag &amp; "!A:A"),0)</f>
        <v>770</v>
      </c>
      <c r="R302" s="50" t="str">
        <f t="shared" ref="R302:R333" ca="1" si="1109">LEFT(B302,14)</f>
        <v>OBAGS602-TESBF</v>
      </c>
      <c r="S302" s="52">
        <f ca="1">MATCH($R302,INDIRECT(nomFichierEAN13ValmagUniq &amp; "!A:A"),0)</f>
        <v>224</v>
      </c>
      <c r="T302" s="49" t="str">
        <f ca="1">IFERROR(INDEX(INDIRECT(zoneFichierEAN13ValmagUniq),S302,2),"")</f>
        <v xml:space="preserve"> </v>
      </c>
      <c r="U302" s="52" t="e">
        <f ca="1">MATCH($R302,INDIRECT(nomFichierEAN13ValmagUniq &amp; "!A" &amp; (S302+1) &amp; ":A" &amp;  (S302+10)),0)</f>
        <v>#N/A</v>
      </c>
      <c r="V302" s="51" t="e">
        <f t="shared" ref="V302:V365" ca="1" si="1110">U302+S302</f>
        <v>#N/A</v>
      </c>
      <c r="W302" s="49" t="str">
        <f ca="1">IFERROR(INDEX(INDIRECT(zoneFichierEAN13ValmagUniq),V302,2),"")</f>
        <v/>
      </c>
      <c r="X302" s="52" t="e">
        <f ca="1">MATCH($R302,INDIRECT(nomFichierEAN13ValmagUniq &amp; "!A" &amp; (V302+1) &amp; ":A" &amp;  (V302+10)),0)</f>
        <v>#N/A</v>
      </c>
      <c r="Y302" s="51" t="e">
        <f t="shared" ref="Y302:Y365" ca="1" si="1111">X302+V302</f>
        <v>#N/A</v>
      </c>
      <c r="Z302" s="49" t="str">
        <f ca="1">IFERROR(INDEX(INDIRECT(zoneFichierEAN13ValmagUniq),Y302,2),"")</f>
        <v/>
      </c>
      <c r="AA302" s="53" t="str">
        <f t="shared" ref="AA302:AA365" ca="1" si="1112">T302 &amp; IF(W302="","", " | " &amp; W302) &amp; IF(Z302="","", " | " &amp;Z302)</f>
        <v xml:space="preserve"> </v>
      </c>
      <c r="AC302" s="55">
        <f ca="1">MATCH(B302,INDIRECT(nomFichierFiltreCatalogue &amp; "!B:B"),0)</f>
        <v>406</v>
      </c>
      <c r="AD302" s="14"/>
    </row>
    <row r="303" spans="1:30" s="20" customFormat="1" ht="15.75" customHeight="1" x14ac:dyDescent="0.25">
      <c r="A303" s="25">
        <f ca="1">INDEX(INDIRECT(zoneFichierTraite),$J302+offsetInitialFichierTraite,2)</f>
        <v>130</v>
      </c>
      <c r="B303" s="57" t="str">
        <f ca="1">IF(ISERROR($P302),msgRefValmagAcreer,IF(INDEX(INDIRECT(zoneFichierEAN13Valmag),$P302,3) = "",msgCodeValmagVide, INDEX(INDIRECT(zoneFichierEAN13Valmag),$P302,3)))</f>
        <v xml:space="preserve"> </v>
      </c>
      <c r="C303" s="54" t="str">
        <f t="shared" ref="C303:C366" ca="1" si="1113">AA302</f>
        <v xml:space="preserve"> </v>
      </c>
      <c r="D303" s="19" t="str">
        <f ca="1">IFERROR(INDEX(INDIRECT(zoneFichierEAN13Valmag),$P302,4),"")</f>
        <v xml:space="preserve"> </v>
      </c>
      <c r="E303" s="58" t="str">
        <f ca="1">IFERROR(INDEX(INDIRECT(zoneFichierFiltreCatalogue),AC302,3),"")</f>
        <v>p093-1-03</v>
      </c>
      <c r="F303" s="19"/>
      <c r="G303" s="18"/>
      <c r="H303" s="32" t="str">
        <f ca="1">IFERROR(INDEX(INDIRECT(zoneFichierFiltreCatalogue),AC302,6),"")</f>
        <v>fall 2019 presentation_/catalogo fall 19.txt</v>
      </c>
      <c r="S303" s="1"/>
      <c r="T303" s="21"/>
      <c r="U303" s="21"/>
      <c r="V303" s="21"/>
      <c r="W303" s="21"/>
      <c r="X303" s="21"/>
      <c r="Y303" s="21"/>
      <c r="Z303" s="21"/>
      <c r="AA303" s="21"/>
      <c r="AB303" s="21"/>
      <c r="AC303" s="21"/>
    </row>
    <row r="304" spans="1:30" ht="39" customHeight="1" thickBot="1" x14ac:dyDescent="0.65">
      <c r="A304" s="9" t="str">
        <f ca="1">INDEX(INDIRECT(zoneFichierTraite),$J304+offsetInitialFichierTraite,6)</f>
        <v>UNICA</v>
      </c>
      <c r="B304" s="5" t="str">
        <f ca="1">INDEX(INDIRECT(zoneFichierTraite),$J304+offsetInitialFichierTraite,4)</f>
        <v>OBAGS602-TESBH-017</v>
      </c>
      <c r="C304" s="26" t="str">
        <f ca="1">INDEX(INDIRECT(zoneFichierTraite),$J304+offsetInitialFichierTraite,5)</f>
        <v>POCHETTE INTERIEURE SWITCH O BAG MINI EN TISSU JACQUARD MICRO FANTAISIE</v>
      </c>
      <c r="D304" s="27" t="str">
        <f ca="1">INDEX(INDIRECT(zoneFichierTraite),$J304+offsetInitialFichierTraite,13)</f>
        <v>blu navy</v>
      </c>
      <c r="E304" s="30">
        <f ca="1">INDEX(INDIRECT(zoneFichierTraite),$J304+offsetInitialFichierTraite,7)</f>
        <v>2</v>
      </c>
      <c r="F304" s="28">
        <f ca="1">INDEX(INDIRECT(zoneFichierTraite),$J304+offsetInitialFichierTraite,8)</f>
        <v>13.33</v>
      </c>
      <c r="G304" s="29">
        <f t="shared" ref="G304:G367" ca="1" si="1114">ROUNDUP(F304*3,0)</f>
        <v>40</v>
      </c>
      <c r="H304" s="31" t="str">
        <f ca="1">IF(ISNUMBER(N304),codeEAN13(INT(N304/10)),"")</f>
        <v>8APASOG*ajahhe+</v>
      </c>
      <c r="I304" s="1" t="b">
        <f t="shared" ref="I304:I367" ca="1" si="1115">AND(A307&lt;&gt;0,A305=A307)</f>
        <v>0</v>
      </c>
      <c r="J304" s="15">
        <f t="shared" si="963"/>
        <v>148</v>
      </c>
      <c r="K304" s="1">
        <f t="shared" ref="K304:K367" ca="1" si="1116">A305</f>
        <v>5</v>
      </c>
      <c r="L304" s="5" t="str">
        <f ca="1">INDEX(INDIRECT(zoneFichierTraite),$J304+offsetInitialFichierTraite,1)</f>
        <v>'148</v>
      </c>
      <c r="M304" s="11">
        <f ca="1">INDEX(INDIRECT(zoneFichierTraite),$J304+offsetInitialFichierTraite,9)</f>
        <v>26.66</v>
      </c>
      <c r="N304" s="14">
        <f ca="1">INDEX(INDIRECT(zoneFichierTraite),$J304+offsetInitialFichierTraite,3)</f>
        <v>8050846090774</v>
      </c>
      <c r="O304" s="14"/>
      <c r="P304" s="56">
        <f ca="1">MATCH(N304,INDIRECT(nomFichierEAN13Valmag &amp; "!A:A"),0)</f>
        <v>757</v>
      </c>
      <c r="R304" s="50" t="str">
        <f t="shared" ref="R304:R335" ca="1" si="1117">LEFT(B304,14)</f>
        <v>OBAGS602-TESBH</v>
      </c>
      <c r="S304" s="52">
        <f ca="1">MATCH($R304,INDIRECT(nomFichierEAN13ValmagUniq &amp; "!A:A"),0)</f>
        <v>225</v>
      </c>
      <c r="T304" s="49" t="str">
        <f ca="1">IFERROR(INDEX(INDIRECT(zoneFichierEAN13ValmagUniq),S304,2),"")</f>
        <v xml:space="preserve"> </v>
      </c>
      <c r="U304" s="52" t="e">
        <f ca="1">MATCH($R304,INDIRECT(nomFichierEAN13ValmagUniq &amp; "!A" &amp; (S304+1) &amp; ":A" &amp;  (S304+10)),0)</f>
        <v>#N/A</v>
      </c>
      <c r="V304" s="51" t="e">
        <f t="shared" ref="V304:V367" ca="1" si="1118">U304+S304</f>
        <v>#N/A</v>
      </c>
      <c r="W304" s="49" t="str">
        <f ca="1">IFERROR(INDEX(INDIRECT(zoneFichierEAN13ValmagUniq),V304,2),"")</f>
        <v/>
      </c>
      <c r="X304" s="52" t="e">
        <f ca="1">MATCH($R304,INDIRECT(nomFichierEAN13ValmagUniq &amp; "!A" &amp; (V304+1) &amp; ":A" &amp;  (V304+10)),0)</f>
        <v>#N/A</v>
      </c>
      <c r="Y304" s="51" t="e">
        <f t="shared" ref="Y304:Y367" ca="1" si="1119">X304+V304</f>
        <v>#N/A</v>
      </c>
      <c r="Z304" s="49" t="str">
        <f ca="1">IFERROR(INDEX(INDIRECT(zoneFichierEAN13ValmagUniq),Y304,2),"")</f>
        <v/>
      </c>
      <c r="AA304" s="53" t="str">
        <f t="shared" ref="AA304:AA367" ca="1" si="1120">T304 &amp; IF(W304="","", " | " &amp; W304) &amp; IF(Z304="","", " | " &amp;Z304)</f>
        <v xml:space="preserve"> </v>
      </c>
      <c r="AC304" s="55">
        <f ca="1">MATCH(B304,INDIRECT(nomFichierFiltreCatalogue &amp; "!B:B"),0)</f>
        <v>407</v>
      </c>
      <c r="AD304" s="14"/>
    </row>
    <row r="305" spans="1:30" s="20" customFormat="1" ht="15.75" customHeight="1" x14ac:dyDescent="0.25">
      <c r="A305" s="25">
        <f ca="1">INDEX(INDIRECT(zoneFichierTraite),$J304+offsetInitialFichierTraite,2)</f>
        <v>5</v>
      </c>
      <c r="B305" s="57" t="str">
        <f ca="1">IF(ISERROR($P304),msgRefValmagAcreer,IF(INDEX(INDIRECT(zoneFichierEAN13Valmag),$P304,3) = "",msgCodeValmagVide, INDEX(INDIRECT(zoneFichierEAN13Valmag),$P304,3)))</f>
        <v xml:space="preserve"> </v>
      </c>
      <c r="C305" s="54" t="str">
        <f t="shared" ref="C305:C368" ca="1" si="1121">AA304</f>
        <v xml:space="preserve"> </v>
      </c>
      <c r="D305" s="19" t="str">
        <f ca="1">IFERROR(INDEX(INDIRECT(zoneFichierEAN13Valmag),$P304,4),"")</f>
        <v xml:space="preserve"> </v>
      </c>
      <c r="E305" s="58" t="str">
        <f ca="1">IFERROR(INDEX(INDIRECT(zoneFichierFiltreCatalogue),AC304,3),"")</f>
        <v>p093-2-01</v>
      </c>
      <c r="F305" s="19"/>
      <c r="G305" s="18"/>
      <c r="H305" s="32" t="str">
        <f ca="1">IFERROR(INDEX(INDIRECT(zoneFichierFiltreCatalogue),AC304,6),"")</f>
        <v>fall 2019 presentation_/catalogo fall 19.txt</v>
      </c>
      <c r="S305" s="1"/>
      <c r="T305" s="21"/>
      <c r="U305" s="21"/>
      <c r="V305" s="21"/>
      <c r="W305" s="21"/>
      <c r="X305" s="21"/>
      <c r="Y305" s="21"/>
      <c r="Z305" s="21"/>
      <c r="AA305" s="21"/>
      <c r="AB305" s="21"/>
      <c r="AC305" s="21"/>
    </row>
    <row r="306" spans="1:30" ht="39" customHeight="1" thickBot="1" x14ac:dyDescent="0.65">
      <c r="A306" s="9" t="str">
        <f ca="1">INDEX(INDIRECT(zoneFichierTraite),$J306+offsetInitialFichierTraite,6)</f>
        <v>UNICA</v>
      </c>
      <c r="B306" s="5" t="str">
        <f ca="1">INDEX(INDIRECT(zoneFichierTraite),$J306+offsetInitialFichierTraite,4)</f>
        <v>OBAGS602-TESBM-227</v>
      </c>
      <c r="C306" s="26" t="str">
        <f ca="1">INDEX(INDIRECT(zoneFichierTraite),$J306+offsetInitialFichierTraite,5)</f>
        <v>POCHETTE INTERIEURE SWITCH O BAG MINI EN TISSU IMPRIME GEOMETRIC LILY</v>
      </c>
      <c r="D306" s="27" t="str">
        <f ca="1">INDEX(INDIRECT(zoneFichierTraite),$J306+offsetInitialFichierTraite,13)</f>
        <v>bianco/nero</v>
      </c>
      <c r="E306" s="30">
        <f ca="1">INDEX(INDIRECT(zoneFichierTraite),$J306+offsetInitialFichierTraite,7)</f>
        <v>2</v>
      </c>
      <c r="F306" s="28">
        <f ca="1">INDEX(INDIRECT(zoneFichierTraite),$J306+offsetInitialFichierTraite,8)</f>
        <v>11.85</v>
      </c>
      <c r="G306" s="29">
        <f t="shared" ref="G306:G369" ca="1" si="1122">ROUNDUP(F306*3,0)</f>
        <v>36</v>
      </c>
      <c r="H306" s="31" t="str">
        <f ca="1">IF(ISNUMBER(N306),codeEAN13(INT(N306/10)),"")</f>
        <v>8APASOG*ajbbcc+</v>
      </c>
      <c r="I306" s="1" t="b">
        <f t="shared" ref="I306:I369" ca="1" si="1123">AND(A309&lt;&gt;0,A307=A309)</f>
        <v>0</v>
      </c>
      <c r="J306" s="15">
        <f t="shared" si="963"/>
        <v>149</v>
      </c>
      <c r="K306" s="1">
        <f t="shared" ref="K306:K369" ca="1" si="1124">A307</f>
        <v>206</v>
      </c>
      <c r="L306" s="5" t="str">
        <f ca="1">INDEX(INDIRECT(zoneFichierTraite),$J306+offsetInitialFichierTraite,1)</f>
        <v>'149</v>
      </c>
      <c r="M306" s="11">
        <f ca="1">INDEX(INDIRECT(zoneFichierTraite),$J306+offsetInitialFichierTraite,9)</f>
        <v>23.7</v>
      </c>
      <c r="N306" s="14">
        <f ca="1">INDEX(INDIRECT(zoneFichierTraite),$J306+offsetInitialFichierTraite,3)</f>
        <v>8050846091122</v>
      </c>
      <c r="O306" s="14"/>
      <c r="P306" s="56">
        <f ca="1">MATCH(N306,INDIRECT(nomFichierEAN13Valmag &amp; "!A:A"),0)</f>
        <v>790</v>
      </c>
      <c r="R306" s="50" t="str">
        <f t="shared" ref="R306:R337" ca="1" si="1125">LEFT(B306,14)</f>
        <v>OBAGS602-TESBM</v>
      </c>
      <c r="S306" s="52">
        <f ca="1">MATCH($R306,INDIRECT(nomFichierEAN13ValmagUniq &amp; "!A:A"),0)</f>
        <v>227</v>
      </c>
      <c r="T306" s="49" t="str">
        <f ca="1">IFERROR(INDEX(INDIRECT(zoneFichierEAN13ValmagUniq),S306,2),"")</f>
        <v xml:space="preserve"> </v>
      </c>
      <c r="U306" s="52" t="e">
        <f ca="1">MATCH($R306,INDIRECT(nomFichierEAN13ValmagUniq &amp; "!A" &amp; (S306+1) &amp; ":A" &amp;  (S306+10)),0)</f>
        <v>#N/A</v>
      </c>
      <c r="V306" s="51" t="e">
        <f t="shared" ref="V306:V369" ca="1" si="1126">U306+S306</f>
        <v>#N/A</v>
      </c>
      <c r="W306" s="49" t="str">
        <f ca="1">IFERROR(INDEX(INDIRECT(zoneFichierEAN13ValmagUniq),V306,2),"")</f>
        <v/>
      </c>
      <c r="X306" s="52" t="e">
        <f ca="1">MATCH($R306,INDIRECT(nomFichierEAN13ValmagUniq &amp; "!A" &amp; (V306+1) &amp; ":A" &amp;  (V306+10)),0)</f>
        <v>#N/A</v>
      </c>
      <c r="Y306" s="51" t="e">
        <f t="shared" ref="Y306:Y369" ca="1" si="1127">X306+V306</f>
        <v>#N/A</v>
      </c>
      <c r="Z306" s="49" t="str">
        <f ca="1">IFERROR(INDEX(INDIRECT(zoneFichierEAN13ValmagUniq),Y306,2),"")</f>
        <v/>
      </c>
      <c r="AA306" s="53" t="str">
        <f t="shared" ref="AA306:AA369" ca="1" si="1128">T306 &amp; IF(W306="","", " | " &amp; W306) &amp; IF(Z306="","", " | " &amp;Z306)</f>
        <v xml:space="preserve"> </v>
      </c>
      <c r="AC306" s="55">
        <f ca="1">MATCH(B306,INDIRECT(nomFichierFiltreCatalogue &amp; "!B:B"),0)</f>
        <v>409</v>
      </c>
      <c r="AD306" s="14"/>
    </row>
    <row r="307" spans="1:30" s="20" customFormat="1" ht="15.75" customHeight="1" x14ac:dyDescent="0.25">
      <c r="A307" s="25">
        <f ca="1">INDEX(INDIRECT(zoneFichierTraite),$J306+offsetInitialFichierTraite,2)</f>
        <v>206</v>
      </c>
      <c r="B307" s="57" t="str">
        <f ca="1">IF(ISERROR($P306),msgRefValmagAcreer,IF(INDEX(INDIRECT(zoneFichierEAN13Valmag),$P306,3) = "",msgCodeValmagVide, INDEX(INDIRECT(zoneFichierEAN13Valmag),$P306,3)))</f>
        <v xml:space="preserve"> </v>
      </c>
      <c r="C307" s="54" t="str">
        <f t="shared" ref="C307:C370" ca="1" si="1129">AA306</f>
        <v xml:space="preserve"> </v>
      </c>
      <c r="D307" s="19" t="str">
        <f ca="1">IFERROR(INDEX(INDIRECT(zoneFichierEAN13Valmag),$P306,4),"")</f>
        <v xml:space="preserve"> </v>
      </c>
      <c r="E307" s="58" t="str">
        <f ca="1">IFERROR(INDEX(INDIRECT(zoneFichierFiltreCatalogue),AC306,3),"")</f>
        <v>p094-2-01</v>
      </c>
      <c r="F307" s="19"/>
      <c r="G307" s="18"/>
      <c r="H307" s="32" t="str">
        <f ca="1">IFERROR(INDEX(INDIRECT(zoneFichierFiltreCatalogue),AC306,6),"")</f>
        <v>fall 2019 presentation_/catalogo fall 19.txt</v>
      </c>
      <c r="S307" s="1"/>
      <c r="T307" s="21"/>
      <c r="U307" s="21"/>
      <c r="V307" s="21"/>
      <c r="W307" s="21"/>
      <c r="X307" s="21"/>
      <c r="Y307" s="21"/>
      <c r="Z307" s="21"/>
      <c r="AA307" s="21"/>
      <c r="AB307" s="21"/>
      <c r="AC307" s="21"/>
    </row>
    <row r="308" spans="1:30" ht="39" customHeight="1" thickBot="1" x14ac:dyDescent="0.65">
      <c r="A308" s="9" t="str">
        <f ca="1">INDEX(INDIRECT(zoneFichierTraite),$J308+offsetInitialFichierTraite,6)</f>
        <v>UNICA</v>
      </c>
      <c r="B308" s="5" t="str">
        <f ca="1">INDEX(INDIRECT(zoneFichierTraite),$J308+offsetInitialFichierTraite,4)</f>
        <v>OBAGT001-FAS09-067</v>
      </c>
      <c r="C308" s="26" t="str">
        <f ca="1">INDEX(INDIRECT(zoneFichierTraite),$J308+offsetInitialFichierTraite,5)</f>
        <v>REVERS O BAG EN FAUSSE FOURRURE LAPIN REX</v>
      </c>
      <c r="D308" s="27" t="str">
        <f ca="1">INDEX(INDIRECT(zoneFichierTraite),$J308+offsetInitialFichierTraite,13)</f>
        <v>phard</v>
      </c>
      <c r="E308" s="30">
        <f ca="1">INDEX(INDIRECT(zoneFichierTraite),$J308+offsetInitialFichierTraite,7)</f>
        <v>2</v>
      </c>
      <c r="F308" s="28">
        <f ca="1">INDEX(INDIRECT(zoneFichierTraite),$J308+offsetInitialFichierTraite,8)</f>
        <v>18.48</v>
      </c>
      <c r="G308" s="29">
        <f t="shared" ref="G308:G371" ca="1" si="1130">ROUNDUP(F308*3,0)</f>
        <v>56</v>
      </c>
      <c r="H308" s="31" t="str">
        <f ca="1">IF(ISNUMBER(N308),codeEAN13(INT(N308/10)),"")</f>
        <v>8APAPNI*fjadga+</v>
      </c>
      <c r="I308" s="1" t="b">
        <f t="shared" ref="I308:I371" ca="1" si="1131">AND(A311&lt;&gt;0,A309=A311)</f>
        <v>0</v>
      </c>
      <c r="J308" s="15">
        <f t="shared" si="963"/>
        <v>150</v>
      </c>
      <c r="K308" s="1">
        <f t="shared" ref="K308:K371" ca="1" si="1132">A309</f>
        <v>199</v>
      </c>
      <c r="L308" s="5" t="str">
        <f ca="1">INDEX(INDIRECT(zoneFichierTraite),$J308+offsetInitialFichierTraite,1)</f>
        <v>'150</v>
      </c>
      <c r="M308" s="11">
        <f ca="1">INDEX(INDIRECT(zoneFichierTraite),$J308+offsetInitialFichierTraite,9)</f>
        <v>36.96</v>
      </c>
      <c r="N308" s="14">
        <f ca="1">INDEX(INDIRECT(zoneFichierTraite),$J308+offsetInitialFichierTraite,3)</f>
        <v>8050538590360</v>
      </c>
      <c r="O308" s="14"/>
      <c r="P308" s="56">
        <f ca="1">MATCH(N308,INDIRECT(nomFichierEAN13Valmag &amp; "!A:A"),0)</f>
        <v>46</v>
      </c>
      <c r="R308" s="50" t="str">
        <f t="shared" ref="R308:R339" ca="1" si="1133">LEFT(B308,14)</f>
        <v>OBAGT001-FAS09</v>
      </c>
      <c r="S308" s="52">
        <f ca="1">MATCH($R308,INDIRECT(nomFichierEAN13ValmagUniq &amp; "!A:A"),0)</f>
        <v>265</v>
      </c>
      <c r="T308" s="49" t="str">
        <f ca="1">IFERROR(INDEX(INDIRECT(zoneFichierEAN13ValmagUniq),S308,2),"")</f>
        <v xml:space="preserve"> </v>
      </c>
      <c r="U308" s="52">
        <f ca="1">MATCH($R308,INDIRECT(nomFichierEAN13ValmagUniq &amp; "!A" &amp; (S308+1) &amp; ":A" &amp;  (S308+10)),0)</f>
        <v>1</v>
      </c>
      <c r="V308" s="51">
        <f t="shared" ref="V308:V371" ca="1" si="1134">U308+S308</f>
        <v>266</v>
      </c>
      <c r="W308" s="49" t="str">
        <f ca="1">IFERROR(INDEX(INDIRECT(zoneFichierEAN13ValmagUniq),V308,2),"")</f>
        <v xml:space="preserve">ECOFOURRURE     </v>
      </c>
      <c r="X308" s="52">
        <f ca="1">MATCH($R308,INDIRECT(nomFichierEAN13ValmagUniq &amp; "!A" &amp; (V308+1) &amp; ":A" &amp;  (V308+10)),0)</f>
        <v>1</v>
      </c>
      <c r="Y308" s="51">
        <f t="shared" ref="Y308:Y371" ca="1" si="1135">X308+V308</f>
        <v>267</v>
      </c>
      <c r="Z308" s="49" t="str">
        <f ca="1">IFERROR(INDEX(INDIRECT(zoneFichierEAN13ValmagUniq),Y308,2),"")</f>
        <v>ECOFOURRURESOBAG</v>
      </c>
      <c r="AA308" s="53" t="str">
        <f t="shared" ref="AA308:AA371" ca="1" si="1136">T308 &amp; IF(W308="","", " | " &amp; W308) &amp; IF(Z308="","", " | " &amp;Z308)</f>
        <v xml:space="preserve">  | ECOFOURRURE      | ECOFOURRURESOBAG</v>
      </c>
      <c r="AC308" s="55">
        <f ca="1">MATCH(B308,INDIRECT(nomFichierFiltreCatalogue &amp; "!B:B"),0)</f>
        <v>264</v>
      </c>
      <c r="AD308" s="14"/>
    </row>
    <row r="309" spans="1:30" s="20" customFormat="1" ht="15.75" customHeight="1" x14ac:dyDescent="0.25">
      <c r="A309" s="25">
        <f ca="1">INDEX(INDIRECT(zoneFichierTraite),$J308+offsetInitialFichierTraite,2)</f>
        <v>199</v>
      </c>
      <c r="B309" s="57" t="str">
        <f ca="1">IF(ISERROR($P308),msgRefValmagAcreer,IF(INDEX(INDIRECT(zoneFichierEAN13Valmag),$P308,3) = "",msgCodeValmagVide, INDEX(INDIRECT(zoneFichierEAN13Valmag),$P308,3)))</f>
        <v xml:space="preserve">ECOFOURRURE     </v>
      </c>
      <c r="C309" s="54" t="str">
        <f t="shared" ref="C309:C372" ca="1" si="1137">AA308</f>
        <v xml:space="preserve">  | ECOFOURRURE      | ECOFOURRURESOBAG</v>
      </c>
      <c r="D309" s="19" t="str">
        <f ca="1">IFERROR(INDEX(INDIRECT(zoneFichierEAN13Valmag),$P308,4),"")</f>
        <v>LAPHA</v>
      </c>
      <c r="E309" s="58" t="str">
        <f ca="1">IFERROR(INDEX(INDIRECT(zoneFichierFiltreCatalogue),AC308,3),"")</f>
        <v>p053-1-04</v>
      </c>
      <c r="F309" s="19"/>
      <c r="G309" s="18"/>
      <c r="H309" s="32" t="str">
        <f ca="1">IFERROR(INDEX(INDIRECT(zoneFichierFiltreCatalogue),AC308,6),"")</f>
        <v>fall 2019 presentation_/catalogo fall 19.txt</v>
      </c>
      <c r="S309" s="1"/>
      <c r="T309" s="21"/>
      <c r="U309" s="21"/>
      <c r="V309" s="21"/>
      <c r="W309" s="21"/>
      <c r="X309" s="21"/>
      <c r="Y309" s="21"/>
      <c r="Z309" s="21"/>
      <c r="AA309" s="21"/>
      <c r="AB309" s="21"/>
      <c r="AC309" s="21"/>
    </row>
    <row r="310" spans="1:30" ht="39" customHeight="1" thickBot="1" x14ac:dyDescent="0.65">
      <c r="A310" s="9" t="str">
        <f ca="1">INDEX(INDIRECT(zoneFichierTraite),$J310+offsetInitialFichierTraite,6)</f>
        <v>UNICA</v>
      </c>
      <c r="B310" s="5" t="str">
        <f ca="1">INDEX(INDIRECT(zoneFichierTraite),$J310+offsetInitialFichierTraite,4)</f>
        <v>OBAGT001-FAS09-615</v>
      </c>
      <c r="C310" s="26" t="str">
        <f ca="1">INDEX(INDIRECT(zoneFichierTraite),$J310+offsetInitialFichierTraite,5)</f>
        <v>REVERS O BAG EN FAUSSE FOURRURE LAPIN REX</v>
      </c>
      <c r="D310" s="27" t="str">
        <f ca="1">INDEX(INDIRECT(zoneFichierTraite),$J310+offsetInitialFichierTraite,13)</f>
        <v>military</v>
      </c>
      <c r="E310" s="30">
        <f ca="1">INDEX(INDIRECT(zoneFichierTraite),$J310+offsetInitialFichierTraite,7)</f>
        <v>2</v>
      </c>
      <c r="F310" s="28">
        <f ca="1">INDEX(INDIRECT(zoneFichierTraite),$J310+offsetInitialFichierTraite,8)</f>
        <v>18.48</v>
      </c>
      <c r="G310" s="29">
        <f t="shared" ref="G310:G373" ca="1" si="1138">ROUNDUP(F310*3,0)</f>
        <v>56</v>
      </c>
      <c r="H310" s="31" t="str">
        <f ca="1">IF(ISNUMBER(N310),codeEAN13(INT(N310/10)),"")</f>
        <v>8APASOG*aijjfc+</v>
      </c>
      <c r="I310" s="1" t="b">
        <f t="shared" ref="I310:I373" ca="1" si="1139">AND(A313&lt;&gt;0,A311=A313)</f>
        <v>0</v>
      </c>
      <c r="J310" s="15">
        <f t="shared" si="963"/>
        <v>151</v>
      </c>
      <c r="K310" s="1">
        <f t="shared" ref="K310:K373" ca="1" si="1140">A311</f>
        <v>31</v>
      </c>
      <c r="L310" s="5" t="str">
        <f ca="1">INDEX(INDIRECT(zoneFichierTraite),$J310+offsetInitialFichierTraite,1)</f>
        <v>'151</v>
      </c>
      <c r="M310" s="11">
        <f ca="1">INDEX(INDIRECT(zoneFichierTraite),$J310+offsetInitialFichierTraite,9)</f>
        <v>36.96</v>
      </c>
      <c r="N310" s="14">
        <f ca="1">INDEX(INDIRECT(zoneFichierTraite),$J310+offsetInitialFichierTraite,3)</f>
        <v>8050846089952</v>
      </c>
      <c r="O310" s="14"/>
      <c r="P310" s="56">
        <f ca="1">MATCH(N310,INDIRECT(nomFichierEAN13Valmag &amp; "!A:A"),0)</f>
        <v>680</v>
      </c>
      <c r="R310" s="50" t="str">
        <f t="shared" ref="R310:R341" ca="1" si="1141">LEFT(B310,14)</f>
        <v>OBAGT001-FAS09</v>
      </c>
      <c r="S310" s="52">
        <f ca="1">MATCH($R310,INDIRECT(nomFichierEAN13ValmagUniq &amp; "!A:A"),0)</f>
        <v>265</v>
      </c>
      <c r="T310" s="49" t="str">
        <f ca="1">IFERROR(INDEX(INDIRECT(zoneFichierEAN13ValmagUniq),S310,2),"")</f>
        <v xml:space="preserve"> </v>
      </c>
      <c r="U310" s="52">
        <f ca="1">MATCH($R310,INDIRECT(nomFichierEAN13ValmagUniq &amp; "!A" &amp; (S310+1) &amp; ":A" &amp;  (S310+10)),0)</f>
        <v>1</v>
      </c>
      <c r="V310" s="51">
        <f t="shared" ref="V310:V373" ca="1" si="1142">U310+S310</f>
        <v>266</v>
      </c>
      <c r="W310" s="49" t="str">
        <f ca="1">IFERROR(INDEX(INDIRECT(zoneFichierEAN13ValmagUniq),V310,2),"")</f>
        <v xml:space="preserve">ECOFOURRURE     </v>
      </c>
      <c r="X310" s="52">
        <f ca="1">MATCH($R310,INDIRECT(nomFichierEAN13ValmagUniq &amp; "!A" &amp; (V310+1) &amp; ":A" &amp;  (V310+10)),0)</f>
        <v>1</v>
      </c>
      <c r="Y310" s="51">
        <f t="shared" ref="Y310:Y373" ca="1" si="1143">X310+V310</f>
        <v>267</v>
      </c>
      <c r="Z310" s="49" t="str">
        <f ca="1">IFERROR(INDEX(INDIRECT(zoneFichierEAN13ValmagUniq),Y310,2),"")</f>
        <v>ECOFOURRURESOBAG</v>
      </c>
      <c r="AA310" s="53" t="str">
        <f t="shared" ref="AA310:AA373" ca="1" si="1144">T310 &amp; IF(W310="","", " | " &amp; W310) &amp; IF(Z310="","", " | " &amp;Z310)</f>
        <v xml:space="preserve">  | ECOFOURRURE      | ECOFOURRURESOBAG</v>
      </c>
      <c r="AC310" s="55">
        <f ca="1">MATCH(B310,INDIRECT(nomFichierFiltreCatalogue &amp; "!B:B"),0)</f>
        <v>268</v>
      </c>
      <c r="AD310" s="14"/>
    </row>
    <row r="311" spans="1:30" s="20" customFormat="1" ht="15.75" customHeight="1" x14ac:dyDescent="0.25">
      <c r="A311" s="25">
        <f ca="1">INDEX(INDIRECT(zoneFichierTraite),$J310+offsetInitialFichierTraite,2)</f>
        <v>31</v>
      </c>
      <c r="B311" s="57" t="str">
        <f ca="1">IF(ISERROR($P310),msgRefValmagAcreer,IF(INDEX(INDIRECT(zoneFichierEAN13Valmag),$P310,3) = "",msgCodeValmagVide, INDEX(INDIRECT(zoneFichierEAN13Valmag),$P310,3)))</f>
        <v xml:space="preserve"> </v>
      </c>
      <c r="C311" s="54" t="str">
        <f t="shared" ref="C311:C374" ca="1" si="1145">AA310</f>
        <v xml:space="preserve">  | ECOFOURRURE      | ECOFOURRURESOBAG</v>
      </c>
      <c r="D311" s="19" t="str">
        <f ca="1">IFERROR(INDEX(INDIRECT(zoneFichierEAN13Valmag),$P310,4),"")</f>
        <v xml:space="preserve"> </v>
      </c>
      <c r="E311" s="58" t="str">
        <f ca="1">IFERROR(INDEX(INDIRECT(zoneFichierFiltreCatalogue),AC310,3),"")</f>
        <v>p053-1-08</v>
      </c>
      <c r="F311" s="19"/>
      <c r="G311" s="18"/>
      <c r="H311" s="32" t="str">
        <f ca="1">IFERROR(INDEX(INDIRECT(zoneFichierFiltreCatalogue),AC310,6),"")</f>
        <v>fall 2019 presentation_/catalogo fall 19.txt</v>
      </c>
      <c r="S311" s="1"/>
      <c r="T311" s="21"/>
      <c r="U311" s="21"/>
      <c r="V311" s="21"/>
      <c r="W311" s="21"/>
      <c r="X311" s="21"/>
      <c r="Y311" s="21"/>
      <c r="Z311" s="21"/>
      <c r="AA311" s="21"/>
      <c r="AB311" s="21"/>
      <c r="AC311" s="21"/>
    </row>
    <row r="312" spans="1:30" ht="39" customHeight="1" thickBot="1" x14ac:dyDescent="0.65">
      <c r="A312" s="9" t="str">
        <f ca="1">INDEX(INDIRECT(zoneFichierTraite),$J312+offsetInitialFichierTraite,6)</f>
        <v>UNICA</v>
      </c>
      <c r="B312" s="5" t="str">
        <f ca="1">INDEX(INDIRECT(zoneFichierTraite),$J312+offsetInitialFichierTraite,4)</f>
        <v>OBAGT001-FAS58-078</v>
      </c>
      <c r="C312" s="26" t="str">
        <f ca="1">INDEX(INDIRECT(zoneFichierTraite),$J312+offsetInitialFichierTraite,5)</f>
        <v>REVERS O BAG EN FAUSSE FOURRURE CASTOR</v>
      </c>
      <c r="D312" s="27" t="str">
        <f ca="1">INDEX(INDIRECT(zoneFichierTraite),$J312+offsetInitialFichierTraite,13)</f>
        <v>sabbia</v>
      </c>
      <c r="E312" s="30">
        <f ca="1">INDEX(INDIRECT(zoneFichierTraite),$J312+offsetInitialFichierTraite,7)</f>
        <v>2</v>
      </c>
      <c r="F312" s="28">
        <f ca="1">INDEX(INDIRECT(zoneFichierTraite),$J312+offsetInitialFichierTraite,8)</f>
        <v>24.07</v>
      </c>
      <c r="G312" s="29">
        <f t="shared" ref="G312:G375" ca="1" si="1146">ROUNDUP(F312*3,0)</f>
        <v>73</v>
      </c>
      <c r="H312" s="31" t="str">
        <f ca="1">IF(ISNUMBER(N312),codeEAN13(INT(N312/10)),"")</f>
        <v>8APASOG*aijjah+</v>
      </c>
      <c r="I312" s="1" t="b">
        <f t="shared" ref="I312:I375" ca="1" si="1147">AND(A315&lt;&gt;0,A313=A315)</f>
        <v>0</v>
      </c>
      <c r="J312" s="15">
        <f t="shared" si="963"/>
        <v>152</v>
      </c>
      <c r="K312" s="1">
        <f t="shared" ref="K312:K375" ca="1" si="1148">A313</f>
        <v>45</v>
      </c>
      <c r="L312" s="5" t="str">
        <f ca="1">INDEX(INDIRECT(zoneFichierTraite),$J312+offsetInitialFichierTraite,1)</f>
        <v>'152</v>
      </c>
      <c r="M312" s="11">
        <f ca="1">INDEX(INDIRECT(zoneFichierTraite),$J312+offsetInitialFichierTraite,9)</f>
        <v>48.14</v>
      </c>
      <c r="N312" s="14">
        <f ca="1">INDEX(INDIRECT(zoneFichierTraite),$J312+offsetInitialFichierTraite,3)</f>
        <v>8050846089907</v>
      </c>
      <c r="O312" s="14"/>
      <c r="P312" s="56">
        <f ca="1">MATCH(N312,INDIRECT(nomFichierEAN13Valmag &amp; "!A:A"),0)</f>
        <v>675</v>
      </c>
      <c r="R312" s="50" t="str">
        <f t="shared" ref="R312:R343" ca="1" si="1149">LEFT(B312,14)</f>
        <v>OBAGT001-FAS58</v>
      </c>
      <c r="S312" s="52">
        <f ca="1">MATCH($R312,INDIRECT(nomFichierEAN13ValmagUniq &amp; "!A:A"),0)</f>
        <v>272</v>
      </c>
      <c r="T312" s="49" t="str">
        <f ca="1">IFERROR(INDEX(INDIRECT(zoneFichierEAN13ValmagUniq),S312,2),"")</f>
        <v xml:space="preserve"> </v>
      </c>
      <c r="U312" s="52" t="e">
        <f ca="1">MATCH($R312,INDIRECT(nomFichierEAN13ValmagUniq &amp; "!A" &amp; (S312+1) &amp; ":A" &amp;  (S312+10)),0)</f>
        <v>#N/A</v>
      </c>
      <c r="V312" s="51" t="e">
        <f t="shared" ref="V312:V375" ca="1" si="1150">U312+S312</f>
        <v>#N/A</v>
      </c>
      <c r="W312" s="49" t="str">
        <f ca="1">IFERROR(INDEX(INDIRECT(zoneFichierEAN13ValmagUniq),V312,2),"")</f>
        <v/>
      </c>
      <c r="X312" s="52" t="e">
        <f ca="1">MATCH($R312,INDIRECT(nomFichierEAN13ValmagUniq &amp; "!A" &amp; (V312+1) &amp; ":A" &amp;  (V312+10)),0)</f>
        <v>#N/A</v>
      </c>
      <c r="Y312" s="51" t="e">
        <f t="shared" ref="Y312:Y375" ca="1" si="1151">X312+V312</f>
        <v>#N/A</v>
      </c>
      <c r="Z312" s="49" t="str">
        <f ca="1">IFERROR(INDEX(INDIRECT(zoneFichierEAN13ValmagUniq),Y312,2),"")</f>
        <v/>
      </c>
      <c r="AA312" s="53" t="str">
        <f t="shared" ref="AA312:AA375" ca="1" si="1152">T312 &amp; IF(W312="","", " | " &amp; W312) &amp; IF(Z312="","", " | " &amp;Z312)</f>
        <v xml:space="preserve"> </v>
      </c>
      <c r="AC312" s="55">
        <f ca="1">MATCH(B312,INDIRECT(nomFichierFiltreCatalogue &amp; "!B:B"),0)</f>
        <v>276</v>
      </c>
      <c r="AD312" s="14"/>
    </row>
    <row r="313" spans="1:30" s="20" customFormat="1" ht="15.75" customHeight="1" x14ac:dyDescent="0.25">
      <c r="A313" s="25">
        <f ca="1">INDEX(INDIRECT(zoneFichierTraite),$J312+offsetInitialFichierTraite,2)</f>
        <v>45</v>
      </c>
      <c r="B313" s="57" t="str">
        <f ca="1">IF(ISERROR($P312),msgRefValmagAcreer,IF(INDEX(INDIRECT(zoneFichierEAN13Valmag),$P312,3) = "",msgCodeValmagVide, INDEX(INDIRECT(zoneFichierEAN13Valmag),$P312,3)))</f>
        <v xml:space="preserve"> </v>
      </c>
      <c r="C313" s="54" t="str">
        <f t="shared" ref="C313:C376" ca="1" si="1153">AA312</f>
        <v xml:space="preserve"> </v>
      </c>
      <c r="D313" s="19" t="str">
        <f ca="1">IFERROR(INDEX(INDIRECT(zoneFichierEAN13Valmag),$P312,4),"")</f>
        <v xml:space="preserve"> </v>
      </c>
      <c r="E313" s="58" t="str">
        <f ca="1">IFERROR(INDEX(INDIRECT(zoneFichierFiltreCatalogue),AC312,3),"")</f>
        <v>p056-1-01</v>
      </c>
      <c r="F313" s="19"/>
      <c r="G313" s="18"/>
      <c r="H313" s="32" t="str">
        <f ca="1">IFERROR(INDEX(INDIRECT(zoneFichierFiltreCatalogue),AC312,6),"")</f>
        <v>fall 2019 presentation_/catalogo fall 19.txt</v>
      </c>
      <c r="S313" s="1"/>
      <c r="T313" s="21"/>
      <c r="U313" s="21"/>
      <c r="V313" s="21"/>
      <c r="W313" s="21"/>
      <c r="X313" s="21"/>
      <c r="Y313" s="21"/>
      <c r="Z313" s="21"/>
      <c r="AA313" s="21"/>
      <c r="AB313" s="21"/>
      <c r="AC313" s="21"/>
    </row>
    <row r="314" spans="1:30" ht="39" customHeight="1" thickBot="1" x14ac:dyDescent="0.65">
      <c r="A314" s="9" t="str">
        <f ca="1">INDEX(INDIRECT(zoneFichierTraite),$J314+offsetInitialFichierTraite,6)</f>
        <v>UNICA</v>
      </c>
      <c r="B314" s="5" t="str">
        <f ca="1">INDEX(INDIRECT(zoneFichierTraite),$J314+offsetInitialFichierTraite,4)</f>
        <v>OBAGT001-FAS58-084</v>
      </c>
      <c r="C314" s="26" t="str">
        <f ca="1">INDEX(INDIRECT(zoneFichierTraite),$J314+offsetInitialFichierTraite,5)</f>
        <v>REVERS O BAG EN FAUSSE FOURRURE CASTOR</v>
      </c>
      <c r="D314" s="27" t="str">
        <f ca="1">INDEX(INDIRECT(zoneFichierTraite),$J314+offsetInitialFichierTraite,13)</f>
        <v>testa di moro</v>
      </c>
      <c r="E314" s="30">
        <f ca="1">INDEX(INDIRECT(zoneFichierTraite),$J314+offsetInitialFichierTraite,7)</f>
        <v>2</v>
      </c>
      <c r="F314" s="28">
        <f ca="1">INDEX(INDIRECT(zoneFichierTraite),$J314+offsetInitialFichierTraite,8)</f>
        <v>24.07</v>
      </c>
      <c r="G314" s="29">
        <f t="shared" ref="G314:G377" ca="1" si="1154">ROUNDUP(F314*3,0)</f>
        <v>73</v>
      </c>
      <c r="H314" s="31" t="str">
        <f ca="1">IF(ISNUMBER(N314),codeEAN13(INT(N314/10)),"")</f>
        <v>8APASOG*aijjbe+</v>
      </c>
      <c r="I314" s="1" t="b">
        <f t="shared" ref="I314:I377" ca="1" si="1155">AND(A317&lt;&gt;0,A315=A317)</f>
        <v>0</v>
      </c>
      <c r="J314" s="15">
        <f t="shared" si="963"/>
        <v>153</v>
      </c>
      <c r="K314" s="1">
        <f t="shared" ref="K314:K377" ca="1" si="1156">A315</f>
        <v>117</v>
      </c>
      <c r="L314" s="5" t="str">
        <f ca="1">INDEX(INDIRECT(zoneFichierTraite),$J314+offsetInitialFichierTraite,1)</f>
        <v>'153</v>
      </c>
      <c r="M314" s="11">
        <f ca="1">INDEX(INDIRECT(zoneFichierTraite),$J314+offsetInitialFichierTraite,9)</f>
        <v>48.14</v>
      </c>
      <c r="N314" s="14">
        <f ca="1">INDEX(INDIRECT(zoneFichierTraite),$J314+offsetInitialFichierTraite,3)</f>
        <v>8050846089914</v>
      </c>
      <c r="O314" s="14"/>
      <c r="P314" s="56">
        <f ca="1">MATCH(N314,INDIRECT(nomFichierEAN13Valmag &amp; "!A:A"),0)</f>
        <v>676</v>
      </c>
      <c r="R314" s="50" t="str">
        <f t="shared" ref="R314:R345" ca="1" si="1157">LEFT(B314,14)</f>
        <v>OBAGT001-FAS58</v>
      </c>
      <c r="S314" s="52">
        <f ca="1">MATCH($R314,INDIRECT(nomFichierEAN13ValmagUniq &amp; "!A:A"),0)</f>
        <v>272</v>
      </c>
      <c r="T314" s="49" t="str">
        <f ca="1">IFERROR(INDEX(INDIRECT(zoneFichierEAN13ValmagUniq),S314,2),"")</f>
        <v xml:space="preserve"> </v>
      </c>
      <c r="U314" s="52" t="e">
        <f ca="1">MATCH($R314,INDIRECT(nomFichierEAN13ValmagUniq &amp; "!A" &amp; (S314+1) &amp; ":A" &amp;  (S314+10)),0)</f>
        <v>#N/A</v>
      </c>
      <c r="V314" s="51" t="e">
        <f t="shared" ref="V314:V377" ca="1" si="1158">U314+S314</f>
        <v>#N/A</v>
      </c>
      <c r="W314" s="49" t="str">
        <f ca="1">IFERROR(INDEX(INDIRECT(zoneFichierEAN13ValmagUniq),V314,2),"")</f>
        <v/>
      </c>
      <c r="X314" s="52" t="e">
        <f ca="1">MATCH($R314,INDIRECT(nomFichierEAN13ValmagUniq &amp; "!A" &amp; (V314+1) &amp; ":A" &amp;  (V314+10)),0)</f>
        <v>#N/A</v>
      </c>
      <c r="Y314" s="51" t="e">
        <f t="shared" ref="Y314:Y377" ca="1" si="1159">X314+V314</f>
        <v>#N/A</v>
      </c>
      <c r="Z314" s="49" t="str">
        <f ca="1">IFERROR(INDEX(INDIRECT(zoneFichierEAN13ValmagUniq),Y314,2),"")</f>
        <v/>
      </c>
      <c r="AA314" s="53" t="str">
        <f t="shared" ref="AA314:AA377" ca="1" si="1160">T314 &amp; IF(W314="","", " | " &amp; W314) &amp; IF(Z314="","", " | " &amp;Z314)</f>
        <v xml:space="preserve"> </v>
      </c>
      <c r="AC314" s="55">
        <f ca="1">MATCH(B314,INDIRECT(nomFichierFiltreCatalogue &amp; "!B:B"),0)</f>
        <v>277</v>
      </c>
      <c r="AD314" s="14"/>
    </row>
    <row r="315" spans="1:30" s="20" customFormat="1" ht="15.75" customHeight="1" x14ac:dyDescent="0.25">
      <c r="A315" s="25">
        <f ca="1">INDEX(INDIRECT(zoneFichierTraite),$J314+offsetInitialFichierTraite,2)</f>
        <v>117</v>
      </c>
      <c r="B315" s="57" t="str">
        <f ca="1">IF(ISERROR($P314),msgRefValmagAcreer,IF(INDEX(INDIRECT(zoneFichierEAN13Valmag),$P314,3) = "",msgCodeValmagVide, INDEX(INDIRECT(zoneFichierEAN13Valmag),$P314,3)))</f>
        <v xml:space="preserve"> </v>
      </c>
      <c r="C315" s="54" t="str">
        <f t="shared" ref="C315:C378" ca="1" si="1161">AA314</f>
        <v xml:space="preserve"> </v>
      </c>
      <c r="D315" s="19" t="str">
        <f ca="1">IFERROR(INDEX(INDIRECT(zoneFichierEAN13Valmag),$P314,4),"")</f>
        <v xml:space="preserve"> </v>
      </c>
      <c r="E315" s="58" t="str">
        <f ca="1">IFERROR(INDEX(INDIRECT(zoneFichierFiltreCatalogue),AC314,3),"")</f>
        <v>p056-1-02</v>
      </c>
      <c r="F315" s="19"/>
      <c r="G315" s="18"/>
      <c r="H315" s="32" t="str">
        <f ca="1">IFERROR(INDEX(INDIRECT(zoneFichierFiltreCatalogue),AC314,6),"")</f>
        <v>fall 2019 presentation_/catalogo fall 19.txt</v>
      </c>
      <c r="S315" s="1"/>
      <c r="T315" s="21"/>
      <c r="U315" s="21"/>
      <c r="V315" s="21"/>
      <c r="W315" s="21"/>
      <c r="X315" s="21"/>
      <c r="Y315" s="21"/>
      <c r="Z315" s="21"/>
      <c r="AA315" s="21"/>
      <c r="AB315" s="21"/>
      <c r="AC315" s="21"/>
    </row>
    <row r="316" spans="1:30" ht="39" customHeight="1" thickBot="1" x14ac:dyDescent="0.65">
      <c r="A316" s="9" t="str">
        <f ca="1">INDEX(INDIRECT(zoneFichierTraite),$J316+offsetInitialFichierTraite,6)</f>
        <v>UNICA</v>
      </c>
      <c r="B316" s="5" t="str">
        <f ca="1">INDEX(INDIRECT(zoneFichierTraite),$J316+offsetInitialFichierTraite,4)</f>
        <v>OBAGT001-FAS59-227</v>
      </c>
      <c r="C316" s="26" t="str">
        <f ca="1">INDEX(INDIRECT(zoneFichierTraite),$J316+offsetInitialFichierTraite,5)</f>
        <v>REVERS O BAG EN FAUSSE FOURRURE LAPIN MARBLE</v>
      </c>
      <c r="D316" s="27" t="str">
        <f ca="1">INDEX(INDIRECT(zoneFichierTraite),$J316+offsetInitialFichierTraite,13)</f>
        <v>bianco/nero</v>
      </c>
      <c r="E316" s="30">
        <f ca="1">INDEX(INDIRECT(zoneFichierTraite),$J316+offsetInitialFichierTraite,7)</f>
        <v>2</v>
      </c>
      <c r="F316" s="28">
        <f ca="1">INDEX(INDIRECT(zoneFichierTraite),$J316+offsetInitialFichierTraite,8)</f>
        <v>20.37</v>
      </c>
      <c r="G316" s="29">
        <f t="shared" ref="G316:G379" ca="1" si="1162">ROUNDUP(F316*3,0)</f>
        <v>62</v>
      </c>
      <c r="H316" s="31" t="str">
        <f ca="1">IF(ISNUMBER(N316),codeEAN13(INT(N316/10)),"")</f>
        <v>8APASOG*aijjdi+</v>
      </c>
      <c r="I316" s="1" t="b">
        <f t="shared" ref="I316:I379" ca="1" si="1163">AND(A319&lt;&gt;0,A317=A319)</f>
        <v>0</v>
      </c>
      <c r="J316" s="15">
        <f t="shared" si="963"/>
        <v>154</v>
      </c>
      <c r="K316" s="1">
        <f t="shared" ref="K316:K379" ca="1" si="1164">A317</f>
        <v>67</v>
      </c>
      <c r="L316" s="5" t="str">
        <f ca="1">INDEX(INDIRECT(zoneFichierTraite),$J316+offsetInitialFichierTraite,1)</f>
        <v>'154</v>
      </c>
      <c r="M316" s="11">
        <f ca="1">INDEX(INDIRECT(zoneFichierTraite),$J316+offsetInitialFichierTraite,9)</f>
        <v>40.74</v>
      </c>
      <c r="N316" s="14">
        <f ca="1">INDEX(INDIRECT(zoneFichierTraite),$J316+offsetInitialFichierTraite,3)</f>
        <v>8050846089938</v>
      </c>
      <c r="O316" s="14"/>
      <c r="P316" s="56">
        <f ca="1">MATCH(N316,INDIRECT(nomFichierEAN13Valmag &amp; "!A:A"),0)</f>
        <v>678</v>
      </c>
      <c r="R316" s="50" t="str">
        <f t="shared" ref="R316:R347" ca="1" si="1165">LEFT(B316,14)</f>
        <v>OBAGT001-FAS59</v>
      </c>
      <c r="S316" s="52">
        <f ca="1">MATCH($R316,INDIRECT(nomFichierEAN13ValmagUniq &amp; "!A:A"),0)</f>
        <v>273</v>
      </c>
      <c r="T316" s="49" t="str">
        <f ca="1">IFERROR(INDEX(INDIRECT(zoneFichierEAN13ValmagUniq),S316,2),"")</f>
        <v xml:space="preserve"> </v>
      </c>
      <c r="U316" s="52" t="e">
        <f ca="1">MATCH($R316,INDIRECT(nomFichierEAN13ValmagUniq &amp; "!A" &amp; (S316+1) &amp; ":A" &amp;  (S316+10)),0)</f>
        <v>#N/A</v>
      </c>
      <c r="V316" s="51" t="e">
        <f t="shared" ref="V316:V379" ca="1" si="1166">U316+S316</f>
        <v>#N/A</v>
      </c>
      <c r="W316" s="49" t="str">
        <f ca="1">IFERROR(INDEX(INDIRECT(zoneFichierEAN13ValmagUniq),V316,2),"")</f>
        <v/>
      </c>
      <c r="X316" s="52" t="e">
        <f ca="1">MATCH($R316,INDIRECT(nomFichierEAN13ValmagUniq &amp; "!A" &amp; (V316+1) &amp; ":A" &amp;  (V316+10)),0)</f>
        <v>#N/A</v>
      </c>
      <c r="Y316" s="51" t="e">
        <f t="shared" ref="Y316:Y379" ca="1" si="1167">X316+V316</f>
        <v>#N/A</v>
      </c>
      <c r="Z316" s="49" t="str">
        <f ca="1">IFERROR(INDEX(INDIRECT(zoneFichierEAN13ValmagUniq),Y316,2),"")</f>
        <v/>
      </c>
      <c r="AA316" s="53" t="str">
        <f t="shared" ref="AA316:AA379" ca="1" si="1168">T316 &amp; IF(W316="","", " | " &amp; W316) &amp; IF(Z316="","", " | " &amp;Z316)</f>
        <v xml:space="preserve"> </v>
      </c>
      <c r="AC316" s="55">
        <f ca="1">MATCH(B316,INDIRECT(nomFichierFiltreCatalogue &amp; "!B:B"),0)</f>
        <v>278</v>
      </c>
      <c r="AD316" s="14"/>
    </row>
    <row r="317" spans="1:30" s="20" customFormat="1" ht="15.75" customHeight="1" x14ac:dyDescent="0.25">
      <c r="A317" s="25">
        <f ca="1">INDEX(INDIRECT(zoneFichierTraite),$J316+offsetInitialFichierTraite,2)</f>
        <v>67</v>
      </c>
      <c r="B317" s="57" t="str">
        <f ca="1">IF(ISERROR($P316),msgRefValmagAcreer,IF(INDEX(INDIRECT(zoneFichierEAN13Valmag),$P316,3) = "",msgCodeValmagVide, INDEX(INDIRECT(zoneFichierEAN13Valmag),$P316,3)))</f>
        <v xml:space="preserve"> </v>
      </c>
      <c r="C317" s="54" t="str">
        <f t="shared" ref="C317:C380" ca="1" si="1169">AA316</f>
        <v xml:space="preserve"> </v>
      </c>
      <c r="D317" s="19" t="str">
        <f ca="1">IFERROR(INDEX(INDIRECT(zoneFichierEAN13Valmag),$P316,4),"")</f>
        <v xml:space="preserve"> </v>
      </c>
      <c r="E317" s="58" t="str">
        <f ca="1">IFERROR(INDEX(INDIRECT(zoneFichierFiltreCatalogue),AC316,3),"")</f>
        <v>p056-2-01</v>
      </c>
      <c r="F317" s="19"/>
      <c r="G317" s="18"/>
      <c r="H317" s="32" t="str">
        <f ca="1">IFERROR(INDEX(INDIRECT(zoneFichierFiltreCatalogue),AC316,6),"")</f>
        <v>fall 2019 presentation_/catalogo fall 19.txt</v>
      </c>
      <c r="S317" s="1"/>
      <c r="T317" s="21"/>
      <c r="U317" s="21"/>
      <c r="V317" s="21"/>
      <c r="W317" s="21"/>
      <c r="X317" s="21"/>
      <c r="Y317" s="21"/>
      <c r="Z317" s="21"/>
      <c r="AA317" s="21"/>
      <c r="AB317" s="21"/>
      <c r="AC317" s="21"/>
    </row>
    <row r="318" spans="1:30" ht="39" customHeight="1" thickBot="1" x14ac:dyDescent="0.65">
      <c r="A318" s="9" t="str">
        <f ca="1">INDEX(INDIRECT(zoneFichierTraite),$J318+offsetInitialFichierTraite,6)</f>
        <v>UNICA</v>
      </c>
      <c r="B318" s="5" t="str">
        <f ca="1">INDEX(INDIRECT(zoneFichierTraite),$J318+offsetInitialFichierTraite,4)</f>
        <v>OBAGT001-FAS60-227</v>
      </c>
      <c r="C318" s="26" t="str">
        <f ca="1">INDEX(INDIRECT(zoneFichierTraite),$J318+offsetInitialFichierTraite,5)</f>
        <v>REVERS O BAG EN FAUSSE FOURRURE RENARD MARQUETEE</v>
      </c>
      <c r="D318" s="27" t="str">
        <f ca="1">INDEX(INDIRECT(zoneFichierTraite),$J318+offsetInitialFichierTraite,13)</f>
        <v>bianco/nero</v>
      </c>
      <c r="E318" s="30">
        <f ca="1">INDEX(INDIRECT(zoneFichierTraite),$J318+offsetInitialFichierTraite,7)</f>
        <v>2</v>
      </c>
      <c r="F318" s="28">
        <f ca="1">INDEX(INDIRECT(zoneFichierTraite),$J318+offsetInitialFichierTraite,8)</f>
        <v>27.04</v>
      </c>
      <c r="G318" s="29">
        <f t="shared" ref="G318:G381" ca="1" si="1170">ROUNDUP(F318*3,0)</f>
        <v>82</v>
      </c>
      <c r="H318" s="31" t="str">
        <f ca="1">IF(ISNUMBER(N318),codeEAN13(INT(N318/10)),"")</f>
        <v>8APASOG*aijjef+</v>
      </c>
      <c r="I318" s="1" t="b">
        <f t="shared" ref="I318:I381" ca="1" si="1171">AND(A321&lt;&gt;0,A319=A321)</f>
        <v>0</v>
      </c>
      <c r="J318" s="15">
        <f t="shared" si="963"/>
        <v>155</v>
      </c>
      <c r="K318" s="1">
        <f t="shared" ref="K318:K381" ca="1" si="1172">A319</f>
        <v>186</v>
      </c>
      <c r="L318" s="5" t="str">
        <f ca="1">INDEX(INDIRECT(zoneFichierTraite),$J318+offsetInitialFichierTraite,1)</f>
        <v>'155</v>
      </c>
      <c r="M318" s="11">
        <f ca="1">INDEX(INDIRECT(zoneFichierTraite),$J318+offsetInitialFichierTraite,9)</f>
        <v>54.08</v>
      </c>
      <c r="N318" s="14">
        <f ca="1">INDEX(INDIRECT(zoneFichierTraite),$J318+offsetInitialFichierTraite,3)</f>
        <v>8050846089945</v>
      </c>
      <c r="O318" s="14"/>
      <c r="P318" s="56">
        <f ca="1">MATCH(N318,INDIRECT(nomFichierEAN13Valmag &amp; "!A:A"),0)</f>
        <v>679</v>
      </c>
      <c r="R318" s="50" t="str">
        <f t="shared" ref="R318:R349" ca="1" si="1173">LEFT(B318,14)</f>
        <v>OBAGT001-FAS60</v>
      </c>
      <c r="S318" s="52">
        <f ca="1">MATCH($R318,INDIRECT(nomFichierEAN13ValmagUniq &amp; "!A:A"),0)</f>
        <v>274</v>
      </c>
      <c r="T318" s="49" t="str">
        <f ca="1">IFERROR(INDEX(INDIRECT(zoneFichierEAN13ValmagUniq),S318,2),"")</f>
        <v xml:space="preserve"> </v>
      </c>
      <c r="U318" s="52" t="e">
        <f ca="1">MATCH($R318,INDIRECT(nomFichierEAN13ValmagUniq &amp; "!A" &amp; (S318+1) &amp; ":A" &amp;  (S318+10)),0)</f>
        <v>#N/A</v>
      </c>
      <c r="V318" s="51" t="e">
        <f t="shared" ref="V318:V381" ca="1" si="1174">U318+S318</f>
        <v>#N/A</v>
      </c>
      <c r="W318" s="49" t="str">
        <f ca="1">IFERROR(INDEX(INDIRECT(zoneFichierEAN13ValmagUniq),V318,2),"")</f>
        <v/>
      </c>
      <c r="X318" s="52" t="e">
        <f ca="1">MATCH($R318,INDIRECT(nomFichierEAN13ValmagUniq &amp; "!A" &amp; (V318+1) &amp; ":A" &amp;  (V318+10)),0)</f>
        <v>#N/A</v>
      </c>
      <c r="Y318" s="51" t="e">
        <f t="shared" ref="Y318:Y381" ca="1" si="1175">X318+V318</f>
        <v>#N/A</v>
      </c>
      <c r="Z318" s="49" t="str">
        <f ca="1">IFERROR(INDEX(INDIRECT(zoneFichierEAN13ValmagUniq),Y318,2),"")</f>
        <v/>
      </c>
      <c r="AA318" s="53" t="str">
        <f t="shared" ref="AA318:AA381" ca="1" si="1176">T318 &amp; IF(W318="","", " | " &amp; W318) &amp; IF(Z318="","", " | " &amp;Z318)</f>
        <v xml:space="preserve"> </v>
      </c>
      <c r="AC318" s="55">
        <f ca="1">MATCH(B318,INDIRECT(nomFichierFiltreCatalogue &amp; "!B:B"),0)</f>
        <v>272</v>
      </c>
      <c r="AD318" s="14"/>
    </row>
    <row r="319" spans="1:30" s="20" customFormat="1" ht="15.75" customHeight="1" x14ac:dyDescent="0.25">
      <c r="A319" s="25">
        <f ca="1">INDEX(INDIRECT(zoneFichierTraite),$J318+offsetInitialFichierTraite,2)</f>
        <v>186</v>
      </c>
      <c r="B319" s="57" t="str">
        <f ca="1">IF(ISERROR($P318),msgRefValmagAcreer,IF(INDEX(INDIRECT(zoneFichierEAN13Valmag),$P318,3) = "",msgCodeValmagVide, INDEX(INDIRECT(zoneFichierEAN13Valmag),$P318,3)))</f>
        <v xml:space="preserve"> </v>
      </c>
      <c r="C319" s="54" t="str">
        <f t="shared" ref="C319:C382" ca="1" si="1177">AA318</f>
        <v xml:space="preserve"> </v>
      </c>
      <c r="D319" s="19" t="str">
        <f ca="1">IFERROR(INDEX(INDIRECT(zoneFichierEAN13Valmag),$P318,4),"")</f>
        <v xml:space="preserve"> </v>
      </c>
      <c r="E319" s="58" t="str">
        <f ca="1">IFERROR(INDEX(INDIRECT(zoneFichierFiltreCatalogue),AC318,3),"")</f>
        <v>p054-2-01</v>
      </c>
      <c r="F319" s="19"/>
      <c r="G319" s="18"/>
      <c r="H319" s="32" t="str">
        <f ca="1">IFERROR(INDEX(INDIRECT(zoneFichierFiltreCatalogue),AC318,6),"")</f>
        <v>fall 2019 presentation_/catalogo fall 19.txt</v>
      </c>
      <c r="S319" s="1"/>
      <c r="T319" s="21"/>
      <c r="U319" s="21"/>
      <c r="V319" s="21"/>
      <c r="W319" s="21"/>
      <c r="X319" s="21"/>
      <c r="Y319" s="21"/>
      <c r="Z319" s="21"/>
      <c r="AA319" s="21"/>
      <c r="AB319" s="21"/>
      <c r="AC319" s="21"/>
    </row>
    <row r="320" spans="1:30" ht="39" customHeight="1" thickBot="1" x14ac:dyDescent="0.65">
      <c r="A320" s="9" t="str">
        <f ca="1">INDEX(INDIRECT(zoneFichierTraite),$J320+offsetInitialFichierTraite,6)</f>
        <v>UNICA</v>
      </c>
      <c r="B320" s="5" t="str">
        <f ca="1">INDEX(INDIRECT(zoneFichierTraite),$J320+offsetInitialFichierTraite,4)</f>
        <v>OBAGT001-LAS44-017</v>
      </c>
      <c r="C320" s="26" t="str">
        <f ca="1">INDEX(INDIRECT(zoneFichierTraite),$J320+offsetInitialFichierTraite,5)</f>
        <v>REVERS O BAG EN LAINE HANOVRE</v>
      </c>
      <c r="D320" s="27" t="str">
        <f ca="1">INDEX(INDIRECT(zoneFichierTraite),$J320+offsetInitialFichierTraite,13)</f>
        <v>blu navy</v>
      </c>
      <c r="E320" s="30">
        <f ca="1">INDEX(INDIRECT(zoneFichierTraite),$J320+offsetInitialFichierTraite,7)</f>
        <v>2</v>
      </c>
      <c r="F320" s="28">
        <f ca="1">INDEX(INDIRECT(zoneFichierTraite),$J320+offsetInitialFichierTraite,8)</f>
        <v>10.74</v>
      </c>
      <c r="G320" s="29">
        <f t="shared" ref="G320:G383" ca="1" si="1178">ROUNDUP(F320*3,0)</f>
        <v>33</v>
      </c>
      <c r="H320" s="31" t="str">
        <f ca="1">IF(ISNUMBER(N320),codeEAN13(INT(N320/10)),"")</f>
        <v>8APASOG*aijihh+</v>
      </c>
      <c r="I320" s="1" t="b">
        <f t="shared" ref="I320:I383" ca="1" si="1179">AND(A323&lt;&gt;0,A321=A323)</f>
        <v>0</v>
      </c>
      <c r="J320" s="15">
        <f t="shared" si="963"/>
        <v>156</v>
      </c>
      <c r="K320" s="1">
        <f t="shared" ref="K320:K383" ca="1" si="1180">A321</f>
        <v>219</v>
      </c>
      <c r="L320" s="5" t="str">
        <f ca="1">INDEX(INDIRECT(zoneFichierTraite),$J320+offsetInitialFichierTraite,1)</f>
        <v>'156</v>
      </c>
      <c r="M320" s="11">
        <f ca="1">INDEX(INDIRECT(zoneFichierTraite),$J320+offsetInitialFichierTraite,9)</f>
        <v>21.48</v>
      </c>
      <c r="N320" s="14">
        <f ca="1">INDEX(INDIRECT(zoneFichierTraite),$J320+offsetInitialFichierTraite,3)</f>
        <v>8050846089877</v>
      </c>
      <c r="O320" s="14"/>
      <c r="P320" s="56">
        <f ca="1">MATCH(N320,INDIRECT(nomFichierEAN13Valmag &amp; "!A:A"),0)</f>
        <v>672</v>
      </c>
      <c r="R320" s="50" t="str">
        <f t="shared" ref="R320:R351" ca="1" si="1181">LEFT(B320,14)</f>
        <v>OBAGT001-LAS44</v>
      </c>
      <c r="S320" s="52">
        <f ca="1">MATCH($R320,INDIRECT(nomFichierEAN13ValmagUniq &amp; "!A:A"),0)</f>
        <v>280</v>
      </c>
      <c r="T320" s="49" t="str">
        <f ca="1">IFERROR(INDEX(INDIRECT(zoneFichierEAN13ValmagUniq),S320,2),"")</f>
        <v xml:space="preserve"> </v>
      </c>
      <c r="U320" s="52" t="e">
        <f ca="1">MATCH($R320,INDIRECT(nomFichierEAN13ValmagUniq &amp; "!A" &amp; (S320+1) &amp; ":A" &amp;  (S320+10)),0)</f>
        <v>#N/A</v>
      </c>
      <c r="V320" s="51" t="e">
        <f t="shared" ref="V320:V383" ca="1" si="1182">U320+S320</f>
        <v>#N/A</v>
      </c>
      <c r="W320" s="49" t="str">
        <f ca="1">IFERROR(INDEX(INDIRECT(zoneFichierEAN13ValmagUniq),V320,2),"")</f>
        <v/>
      </c>
      <c r="X320" s="52" t="e">
        <f ca="1">MATCH($R320,INDIRECT(nomFichierEAN13ValmagUniq &amp; "!A" &amp; (V320+1) &amp; ":A" &amp;  (V320+10)),0)</f>
        <v>#N/A</v>
      </c>
      <c r="Y320" s="51" t="e">
        <f t="shared" ref="Y320:Y383" ca="1" si="1183">X320+V320</f>
        <v>#N/A</v>
      </c>
      <c r="Z320" s="49" t="str">
        <f ca="1">IFERROR(INDEX(INDIRECT(zoneFichierEAN13ValmagUniq),Y320,2),"")</f>
        <v/>
      </c>
      <c r="AA320" s="53" t="str">
        <f t="shared" ref="AA320:AA383" ca="1" si="1184">T320 &amp; IF(W320="","", " | " &amp; W320) &amp; IF(Z320="","", " | " &amp;Z320)</f>
        <v xml:space="preserve"> </v>
      </c>
      <c r="AC320" s="55">
        <f ca="1">MATCH(B320,INDIRECT(nomFichierFiltreCatalogue &amp; "!B:B"),0)</f>
        <v>289</v>
      </c>
      <c r="AD320" s="14"/>
    </row>
    <row r="321" spans="1:30" s="20" customFormat="1" ht="15.75" customHeight="1" x14ac:dyDescent="0.25">
      <c r="A321" s="25">
        <f ca="1">INDEX(INDIRECT(zoneFichierTraite),$J320+offsetInitialFichierTraite,2)</f>
        <v>219</v>
      </c>
      <c r="B321" s="57" t="str">
        <f ca="1">IF(ISERROR($P320),msgRefValmagAcreer,IF(INDEX(INDIRECT(zoneFichierEAN13Valmag),$P320,3) = "",msgCodeValmagVide, INDEX(INDIRECT(zoneFichierEAN13Valmag),$P320,3)))</f>
        <v xml:space="preserve"> </v>
      </c>
      <c r="C321" s="54" t="str">
        <f t="shared" ref="C321:C384" ca="1" si="1185">AA320</f>
        <v xml:space="preserve"> </v>
      </c>
      <c r="D321" s="19" t="str">
        <f ca="1">IFERROR(INDEX(INDIRECT(zoneFichierEAN13Valmag),$P320,4),"")</f>
        <v xml:space="preserve"> </v>
      </c>
      <c r="E321" s="58" t="str">
        <f ca="1">IFERROR(INDEX(INDIRECT(zoneFichierFiltreCatalogue),AC320,3),"")</f>
        <v>p059-1-01</v>
      </c>
      <c r="F321" s="19"/>
      <c r="G321" s="18"/>
      <c r="H321" s="32" t="str">
        <f ca="1">IFERROR(INDEX(INDIRECT(zoneFichierFiltreCatalogue),AC320,6),"")</f>
        <v>fall 2019 presentation_/catalogo fall 19.txt</v>
      </c>
      <c r="S321" s="1"/>
      <c r="T321" s="21"/>
      <c r="U321" s="21"/>
      <c r="V321" s="21"/>
      <c r="W321" s="21"/>
      <c r="X321" s="21"/>
      <c r="Y321" s="21"/>
      <c r="Z321" s="21"/>
      <c r="AA321" s="21"/>
      <c r="AB321" s="21"/>
      <c r="AC321" s="21"/>
    </row>
    <row r="322" spans="1:30" ht="39" customHeight="1" thickBot="1" x14ac:dyDescent="0.65">
      <c r="A322" s="9" t="str">
        <f ca="1">INDEX(INDIRECT(zoneFichierTraite),$J322+offsetInitialFichierTraite,6)</f>
        <v>UNICA</v>
      </c>
      <c r="B322" s="5" t="str">
        <f ca="1">INDEX(INDIRECT(zoneFichierTraite),$J322+offsetInitialFichierTraite,4)</f>
        <v>OBAGT001-LAS44-078</v>
      </c>
      <c r="C322" s="26" t="str">
        <f ca="1">INDEX(INDIRECT(zoneFichierTraite),$J322+offsetInitialFichierTraite,5)</f>
        <v>REVERS O BAG EN LAINE HANOVRE</v>
      </c>
      <c r="D322" s="27" t="str">
        <f ca="1">INDEX(INDIRECT(zoneFichierTraite),$J322+offsetInitialFichierTraite,13)</f>
        <v>sabbia</v>
      </c>
      <c r="E322" s="30">
        <f ca="1">INDEX(INDIRECT(zoneFichierTraite),$J322+offsetInitialFichierTraite,7)</f>
        <v>2</v>
      </c>
      <c r="F322" s="28">
        <f ca="1">INDEX(INDIRECT(zoneFichierTraite),$J322+offsetInitialFichierTraite,8)</f>
        <v>10.74</v>
      </c>
      <c r="G322" s="29">
        <f t="shared" ref="G322:G385" ca="1" si="1186">ROUNDUP(F322*3,0)</f>
        <v>33</v>
      </c>
      <c r="H322" s="31" t="str">
        <f ca="1">IF(ISNUMBER(N322),codeEAN13(INT(N322/10)),"")</f>
        <v>8APASOG*aijijb+</v>
      </c>
      <c r="I322" s="1" t="b">
        <f t="shared" ref="I322:I385" ca="1" si="1187">AND(A325&lt;&gt;0,A323=A325)</f>
        <v>0</v>
      </c>
      <c r="J322" s="15">
        <f t="shared" si="963"/>
        <v>157</v>
      </c>
      <c r="K322" s="1">
        <f t="shared" ref="K322:K385" ca="1" si="1188">A323</f>
        <v>86</v>
      </c>
      <c r="L322" s="5" t="str">
        <f ca="1">INDEX(INDIRECT(zoneFichierTraite),$J322+offsetInitialFichierTraite,1)</f>
        <v>'157</v>
      </c>
      <c r="M322" s="11">
        <f ca="1">INDEX(INDIRECT(zoneFichierTraite),$J322+offsetInitialFichierTraite,9)</f>
        <v>21.48</v>
      </c>
      <c r="N322" s="14">
        <f ca="1">INDEX(INDIRECT(zoneFichierTraite),$J322+offsetInitialFichierTraite,3)</f>
        <v>8050846089891</v>
      </c>
      <c r="O322" s="14"/>
      <c r="P322" s="56">
        <f ca="1">MATCH(N322,INDIRECT(nomFichierEAN13Valmag &amp; "!A:A"),0)</f>
        <v>674</v>
      </c>
      <c r="R322" s="50" t="str">
        <f t="shared" ref="R322:R353" ca="1" si="1189">LEFT(B322,14)</f>
        <v>OBAGT001-LAS44</v>
      </c>
      <c r="S322" s="52">
        <f ca="1">MATCH($R322,INDIRECT(nomFichierEAN13ValmagUniq &amp; "!A:A"),0)</f>
        <v>280</v>
      </c>
      <c r="T322" s="49" t="str">
        <f ca="1">IFERROR(INDEX(INDIRECT(zoneFichierEAN13ValmagUniq),S322,2),"")</f>
        <v xml:space="preserve"> </v>
      </c>
      <c r="U322" s="52" t="e">
        <f ca="1">MATCH($R322,INDIRECT(nomFichierEAN13ValmagUniq &amp; "!A" &amp; (S322+1) &amp; ":A" &amp;  (S322+10)),0)</f>
        <v>#N/A</v>
      </c>
      <c r="V322" s="51" t="e">
        <f t="shared" ref="V322:V385" ca="1" si="1190">U322+S322</f>
        <v>#N/A</v>
      </c>
      <c r="W322" s="49" t="str">
        <f ca="1">IFERROR(INDEX(INDIRECT(zoneFichierEAN13ValmagUniq),V322,2),"")</f>
        <v/>
      </c>
      <c r="X322" s="52" t="e">
        <f ca="1">MATCH($R322,INDIRECT(nomFichierEAN13ValmagUniq &amp; "!A" &amp; (V322+1) &amp; ":A" &amp;  (V322+10)),0)</f>
        <v>#N/A</v>
      </c>
      <c r="Y322" s="51" t="e">
        <f t="shared" ref="Y322:Y385" ca="1" si="1191">X322+V322</f>
        <v>#N/A</v>
      </c>
      <c r="Z322" s="49" t="str">
        <f ca="1">IFERROR(INDEX(INDIRECT(zoneFichierEAN13ValmagUniq),Y322,2),"")</f>
        <v/>
      </c>
      <c r="AA322" s="53" t="str">
        <f t="shared" ref="AA322:AA385" ca="1" si="1192">T322 &amp; IF(W322="","", " | " &amp; W322) &amp; IF(Z322="","", " | " &amp;Z322)</f>
        <v xml:space="preserve"> </v>
      </c>
      <c r="AC322" s="55">
        <f ca="1">MATCH(B322,INDIRECT(nomFichierFiltreCatalogue &amp; "!B:B"),0)</f>
        <v>290</v>
      </c>
      <c r="AD322" s="14"/>
    </row>
    <row r="323" spans="1:30" s="20" customFormat="1" ht="15.75" customHeight="1" x14ac:dyDescent="0.25">
      <c r="A323" s="25">
        <f ca="1">INDEX(INDIRECT(zoneFichierTraite),$J322+offsetInitialFichierTraite,2)</f>
        <v>86</v>
      </c>
      <c r="B323" s="57" t="str">
        <f ca="1">IF(ISERROR($P322),msgRefValmagAcreer,IF(INDEX(INDIRECT(zoneFichierEAN13Valmag),$P322,3) = "",msgCodeValmagVide, INDEX(INDIRECT(zoneFichierEAN13Valmag),$P322,3)))</f>
        <v xml:space="preserve"> </v>
      </c>
      <c r="C323" s="54" t="str">
        <f t="shared" ref="C323:C386" ca="1" si="1193">AA322</f>
        <v xml:space="preserve"> </v>
      </c>
      <c r="D323" s="19" t="str">
        <f ca="1">IFERROR(INDEX(INDIRECT(zoneFichierEAN13Valmag),$P322,4),"")</f>
        <v xml:space="preserve"> </v>
      </c>
      <c r="E323" s="58" t="str">
        <f ca="1">IFERROR(INDEX(INDIRECT(zoneFichierFiltreCatalogue),AC322,3),"")</f>
        <v>p059-1-02</v>
      </c>
      <c r="F323" s="19"/>
      <c r="G323" s="18"/>
      <c r="H323" s="32" t="str">
        <f ca="1">IFERROR(INDEX(INDIRECT(zoneFichierFiltreCatalogue),AC322,6),"")</f>
        <v>fall 2019 presentation_/catalogo fall 19.txt</v>
      </c>
      <c r="S323" s="1"/>
      <c r="T323" s="21"/>
      <c r="U323" s="21"/>
      <c r="V323" s="21"/>
      <c r="W323" s="21"/>
      <c r="X323" s="21"/>
      <c r="Y323" s="21"/>
      <c r="Z323" s="21"/>
      <c r="AA323" s="21"/>
      <c r="AB323" s="21"/>
      <c r="AC323" s="21"/>
    </row>
    <row r="324" spans="1:30" ht="39" customHeight="1" thickBot="1" x14ac:dyDescent="0.65">
      <c r="A324" s="9" t="str">
        <f ca="1">INDEX(INDIRECT(zoneFichierTraite),$J324+offsetInitialFichierTraite,6)</f>
        <v>UNICA</v>
      </c>
      <c r="B324" s="5" t="str">
        <f ca="1">INDEX(INDIRECT(zoneFichierTraite),$J324+offsetInitialFichierTraite,4)</f>
        <v>OBAGT001-LAS44-615</v>
      </c>
      <c r="C324" s="26" t="str">
        <f ca="1">INDEX(INDIRECT(zoneFichierTraite),$J324+offsetInitialFichierTraite,5)</f>
        <v>REVERS O BAG EN LAINE HANOVRE</v>
      </c>
      <c r="D324" s="27" t="str">
        <f ca="1">INDEX(INDIRECT(zoneFichierTraite),$J324+offsetInitialFichierTraite,13)</f>
        <v>military</v>
      </c>
      <c r="E324" s="30">
        <f ca="1">INDEX(INDIRECT(zoneFichierTraite),$J324+offsetInitialFichierTraite,7)</f>
        <v>2</v>
      </c>
      <c r="F324" s="28">
        <f ca="1">INDEX(INDIRECT(zoneFichierTraite),$J324+offsetInitialFichierTraite,8)</f>
        <v>10.74</v>
      </c>
      <c r="G324" s="29">
        <f t="shared" ref="G324:G387" ca="1" si="1194">ROUNDUP(F324*3,0)</f>
        <v>33</v>
      </c>
      <c r="H324" s="31" t="str">
        <f ca="1">IF(ISNUMBER(N324),codeEAN13(INT(N324/10)),"")</f>
        <v>8APASOG*aijiie+</v>
      </c>
      <c r="I324" s="1" t="b">
        <f t="shared" ref="I324:I387" ca="1" si="1195">AND(A327&lt;&gt;0,A325=A327)</f>
        <v>0</v>
      </c>
      <c r="J324" s="15">
        <f t="shared" si="963"/>
        <v>158</v>
      </c>
      <c r="K324" s="1">
        <f t="shared" ref="K324:K387" ca="1" si="1196">A325</f>
        <v>204</v>
      </c>
      <c r="L324" s="5" t="str">
        <f ca="1">INDEX(INDIRECT(zoneFichierTraite),$J324+offsetInitialFichierTraite,1)</f>
        <v>'158</v>
      </c>
      <c r="M324" s="11">
        <f ca="1">INDEX(INDIRECT(zoneFichierTraite),$J324+offsetInitialFichierTraite,9)</f>
        <v>21.48</v>
      </c>
      <c r="N324" s="14">
        <f ca="1">INDEX(INDIRECT(zoneFichierTraite),$J324+offsetInitialFichierTraite,3)</f>
        <v>8050846089884</v>
      </c>
      <c r="O324" s="14"/>
      <c r="P324" s="56">
        <f ca="1">MATCH(N324,INDIRECT(nomFichierEAN13Valmag &amp; "!A:A"),0)</f>
        <v>673</v>
      </c>
      <c r="R324" s="50" t="str">
        <f t="shared" ref="R324:R355" ca="1" si="1197">LEFT(B324,14)</f>
        <v>OBAGT001-LAS44</v>
      </c>
      <c r="S324" s="52">
        <f ca="1">MATCH($R324,INDIRECT(nomFichierEAN13ValmagUniq &amp; "!A:A"),0)</f>
        <v>280</v>
      </c>
      <c r="T324" s="49" t="str">
        <f ca="1">IFERROR(INDEX(INDIRECT(zoneFichierEAN13ValmagUniq),S324,2),"")</f>
        <v xml:space="preserve"> </v>
      </c>
      <c r="U324" s="52" t="e">
        <f ca="1">MATCH($R324,INDIRECT(nomFichierEAN13ValmagUniq &amp; "!A" &amp; (S324+1) &amp; ":A" &amp;  (S324+10)),0)</f>
        <v>#N/A</v>
      </c>
      <c r="V324" s="51" t="e">
        <f t="shared" ref="V324:V387" ca="1" si="1198">U324+S324</f>
        <v>#N/A</v>
      </c>
      <c r="W324" s="49" t="str">
        <f ca="1">IFERROR(INDEX(INDIRECT(zoneFichierEAN13ValmagUniq),V324,2),"")</f>
        <v/>
      </c>
      <c r="X324" s="52" t="e">
        <f ca="1">MATCH($R324,INDIRECT(nomFichierEAN13ValmagUniq &amp; "!A" &amp; (V324+1) &amp; ":A" &amp;  (V324+10)),0)</f>
        <v>#N/A</v>
      </c>
      <c r="Y324" s="51" t="e">
        <f t="shared" ref="Y324:Y387" ca="1" si="1199">X324+V324</f>
        <v>#N/A</v>
      </c>
      <c r="Z324" s="49" t="str">
        <f ca="1">IFERROR(INDEX(INDIRECT(zoneFichierEAN13ValmagUniq),Y324,2),"")</f>
        <v/>
      </c>
      <c r="AA324" s="53" t="str">
        <f t="shared" ref="AA324:AA387" ca="1" si="1200">T324 &amp; IF(W324="","", " | " &amp; W324) &amp; IF(Z324="","", " | " &amp;Z324)</f>
        <v xml:space="preserve"> </v>
      </c>
      <c r="AC324" s="55">
        <f ca="1">MATCH(B324,INDIRECT(nomFichierFiltreCatalogue &amp; "!B:B"),0)</f>
        <v>291</v>
      </c>
      <c r="AD324" s="14"/>
    </row>
    <row r="325" spans="1:30" s="20" customFormat="1" ht="15.75" customHeight="1" x14ac:dyDescent="0.25">
      <c r="A325" s="25">
        <f ca="1">INDEX(INDIRECT(zoneFichierTraite),$J324+offsetInitialFichierTraite,2)</f>
        <v>204</v>
      </c>
      <c r="B325" s="57" t="str">
        <f ca="1">IF(ISERROR($P324),msgRefValmagAcreer,IF(INDEX(INDIRECT(zoneFichierEAN13Valmag),$P324,3) = "",msgCodeValmagVide, INDEX(INDIRECT(zoneFichierEAN13Valmag),$P324,3)))</f>
        <v xml:space="preserve"> </v>
      </c>
      <c r="C325" s="54" t="str">
        <f t="shared" ref="C325:C388" ca="1" si="1201">AA324</f>
        <v xml:space="preserve"> </v>
      </c>
      <c r="D325" s="19" t="str">
        <f ca="1">IFERROR(INDEX(INDIRECT(zoneFichierEAN13Valmag),$P324,4),"")</f>
        <v xml:space="preserve"> </v>
      </c>
      <c r="E325" s="58" t="str">
        <f ca="1">IFERROR(INDEX(INDIRECT(zoneFichierFiltreCatalogue),AC324,3),"")</f>
        <v>p059-1-03</v>
      </c>
      <c r="F325" s="19"/>
      <c r="G325" s="18"/>
      <c r="H325" s="32" t="str">
        <f ca="1">IFERROR(INDEX(INDIRECT(zoneFichierFiltreCatalogue),AC324,6),"")</f>
        <v>fall 2019 presentation_/catalogo fall 19.txt</v>
      </c>
      <c r="S325" s="1"/>
      <c r="T325" s="21"/>
      <c r="U325" s="21"/>
      <c r="V325" s="21"/>
      <c r="W325" s="21"/>
      <c r="X325" s="21"/>
      <c r="Y325" s="21"/>
      <c r="Z325" s="21"/>
      <c r="AA325" s="21"/>
      <c r="AB325" s="21"/>
      <c r="AC325" s="21"/>
    </row>
    <row r="326" spans="1:30" ht="39" customHeight="1" thickBot="1" x14ac:dyDescent="0.65">
      <c r="A326" s="9" t="str">
        <f ca="1">INDEX(INDIRECT(zoneFichierTraite),$J326+offsetInitialFichierTraite,6)</f>
        <v>UNICA</v>
      </c>
      <c r="B326" s="5" t="str">
        <f ca="1">INDEX(INDIRECT(zoneFichierTraite),$J326+offsetInitialFichierTraite,4)</f>
        <v>OBAGT001-LAS47-227</v>
      </c>
      <c r="C326" s="26" t="str">
        <f ca="1">INDEX(INDIRECT(zoneFichierTraite),$J326+offsetInitialFichierTraite,5)</f>
        <v>REVERS O BAG EN LAINE HELSINKI</v>
      </c>
      <c r="D326" s="27" t="str">
        <f ca="1">INDEX(INDIRECT(zoneFichierTraite),$J326+offsetInitialFichierTraite,13)</f>
        <v>bianco/nero</v>
      </c>
      <c r="E326" s="30">
        <f ca="1">INDEX(INDIRECT(zoneFichierTraite),$J326+offsetInitialFichierTraite,7)</f>
        <v>2</v>
      </c>
      <c r="F326" s="28">
        <f ca="1">INDEX(INDIRECT(zoneFichierTraite),$J326+offsetInitialFichierTraite,8)</f>
        <v>11.85</v>
      </c>
      <c r="G326" s="29">
        <f t="shared" ref="G326:G389" ca="1" si="1202">ROUNDUP(F326*3,0)</f>
        <v>36</v>
      </c>
      <c r="H326" s="31" t="str">
        <f ca="1">IF(ISNUMBER(N326),codeEAN13(INT(N326/10)),"")</f>
        <v>8APASOG*aijiga+</v>
      </c>
      <c r="I326" s="1" t="b">
        <f t="shared" ref="I326:I389" ca="1" si="1203">AND(A329&lt;&gt;0,A327=A329)</f>
        <v>0</v>
      </c>
      <c r="J326" s="15">
        <f t="shared" si="963"/>
        <v>159</v>
      </c>
      <c r="K326" s="1">
        <f t="shared" ref="K326:K389" ca="1" si="1204">A327</f>
        <v>57</v>
      </c>
      <c r="L326" s="5" t="str">
        <f ca="1">INDEX(INDIRECT(zoneFichierTraite),$J326+offsetInitialFichierTraite,1)</f>
        <v>'159</v>
      </c>
      <c r="M326" s="11">
        <f ca="1">INDEX(INDIRECT(zoneFichierTraite),$J326+offsetInitialFichierTraite,9)</f>
        <v>23.7</v>
      </c>
      <c r="N326" s="14">
        <f ca="1">INDEX(INDIRECT(zoneFichierTraite),$J326+offsetInitialFichierTraite,3)</f>
        <v>8050846089860</v>
      </c>
      <c r="O326" s="14"/>
      <c r="P326" s="56">
        <f ca="1">MATCH(N326,INDIRECT(nomFichierEAN13Valmag &amp; "!A:A"),0)</f>
        <v>671</v>
      </c>
      <c r="R326" s="50" t="str">
        <f t="shared" ref="R326:R357" ca="1" si="1205">LEFT(B326,14)</f>
        <v>OBAGT001-LAS47</v>
      </c>
      <c r="S326" s="52">
        <f ca="1">MATCH($R326,INDIRECT(nomFichierEAN13ValmagUniq &amp; "!A:A"),0)</f>
        <v>281</v>
      </c>
      <c r="T326" s="49" t="str">
        <f ca="1">IFERROR(INDEX(INDIRECT(zoneFichierEAN13ValmagUniq),S326,2),"")</f>
        <v xml:space="preserve"> </v>
      </c>
      <c r="U326" s="52" t="e">
        <f ca="1">MATCH($R326,INDIRECT(nomFichierEAN13ValmagUniq &amp; "!A" &amp; (S326+1) &amp; ":A" &amp;  (S326+10)),0)</f>
        <v>#N/A</v>
      </c>
      <c r="V326" s="51" t="e">
        <f t="shared" ref="V326:V389" ca="1" si="1206">U326+S326</f>
        <v>#N/A</v>
      </c>
      <c r="W326" s="49" t="str">
        <f ca="1">IFERROR(INDEX(INDIRECT(zoneFichierEAN13ValmagUniq),V326,2),"")</f>
        <v/>
      </c>
      <c r="X326" s="52" t="e">
        <f ca="1">MATCH($R326,INDIRECT(nomFichierEAN13ValmagUniq &amp; "!A" &amp; (V326+1) &amp; ":A" &amp;  (V326+10)),0)</f>
        <v>#N/A</v>
      </c>
      <c r="Y326" s="51" t="e">
        <f t="shared" ref="Y326:Y389" ca="1" si="1207">X326+V326</f>
        <v>#N/A</v>
      </c>
      <c r="Z326" s="49" t="str">
        <f ca="1">IFERROR(INDEX(INDIRECT(zoneFichierEAN13ValmagUniq),Y326,2),"")</f>
        <v/>
      </c>
      <c r="AA326" s="53" t="str">
        <f t="shared" ref="AA326:AA389" ca="1" si="1208">T326 &amp; IF(W326="","", " | " &amp; W326) &amp; IF(Z326="","", " | " &amp;Z326)</f>
        <v xml:space="preserve"> </v>
      </c>
      <c r="AC326" s="55">
        <f ca="1">MATCH(B326,INDIRECT(nomFichierFiltreCatalogue &amp; "!B:B"),0)</f>
        <v>292</v>
      </c>
      <c r="AD326" s="14"/>
    </row>
    <row r="327" spans="1:30" s="20" customFormat="1" ht="15.75" customHeight="1" x14ac:dyDescent="0.25">
      <c r="A327" s="25">
        <f ca="1">INDEX(INDIRECT(zoneFichierTraite),$J326+offsetInitialFichierTraite,2)</f>
        <v>57</v>
      </c>
      <c r="B327" s="57" t="str">
        <f ca="1">IF(ISERROR($P326),msgRefValmagAcreer,IF(INDEX(INDIRECT(zoneFichierEAN13Valmag),$P326,3) = "",msgCodeValmagVide, INDEX(INDIRECT(zoneFichierEAN13Valmag),$P326,3)))</f>
        <v xml:space="preserve"> </v>
      </c>
      <c r="C327" s="54" t="str">
        <f t="shared" ref="C327:C390" ca="1" si="1209">AA326</f>
        <v xml:space="preserve"> </v>
      </c>
      <c r="D327" s="19" t="str">
        <f ca="1">IFERROR(INDEX(INDIRECT(zoneFichierEAN13Valmag),$P326,4),"")</f>
        <v xml:space="preserve"> </v>
      </c>
      <c r="E327" s="58" t="str">
        <f ca="1">IFERROR(INDEX(INDIRECT(zoneFichierFiltreCatalogue),AC326,3),"")</f>
        <v>p059-2-01</v>
      </c>
      <c r="F327" s="19"/>
      <c r="G327" s="18"/>
      <c r="H327" s="32" t="str">
        <f ca="1">IFERROR(INDEX(INDIRECT(zoneFichierFiltreCatalogue),AC326,6),"")</f>
        <v>fall 2019 presentation_/catalogo fall 19.txt</v>
      </c>
      <c r="S327" s="1"/>
      <c r="T327" s="21"/>
      <c r="U327" s="21"/>
      <c r="V327" s="21"/>
      <c r="W327" s="21"/>
      <c r="X327" s="21"/>
      <c r="Y327" s="21"/>
      <c r="Z327" s="21"/>
      <c r="AA327" s="21"/>
      <c r="AB327" s="21"/>
      <c r="AC327" s="21"/>
    </row>
    <row r="328" spans="1:30" ht="39" customHeight="1" thickBot="1" x14ac:dyDescent="0.65">
      <c r="A328" s="9" t="str">
        <f ca="1">INDEX(INDIRECT(zoneFichierTraite),$J328+offsetInitialFichierTraite,6)</f>
        <v>UNICA</v>
      </c>
      <c r="B328" s="5" t="str">
        <f ca="1">INDEX(INDIRECT(zoneFichierTraite),$J328+offsetInitialFichierTraite,4)</f>
        <v>OBAGT001-TESBB-615</v>
      </c>
      <c r="C328" s="26" t="str">
        <f ca="1">INDEX(INDIRECT(zoneFichierTraite),$J328+offsetInitialFichierTraite,5)</f>
        <v>REVERS O BAG EN TISSU IMPRIME DIANTHUS</v>
      </c>
      <c r="D328" s="27" t="str">
        <f ca="1">INDEX(INDIRECT(zoneFichierTraite),$J328+offsetInitialFichierTraite,13)</f>
        <v>military</v>
      </c>
      <c r="E328" s="30">
        <f ca="1">INDEX(INDIRECT(zoneFichierTraite),$J328+offsetInitialFichierTraite,7)</f>
        <v>2</v>
      </c>
      <c r="F328" s="28">
        <f ca="1">INDEX(INDIRECT(zoneFichierTraite),$J328+offsetInitialFichierTraite,8)</f>
        <v>13.33</v>
      </c>
      <c r="G328" s="29">
        <f t="shared" ref="G328:G391" ca="1" si="1210">ROUNDUP(F328*3,0)</f>
        <v>40</v>
      </c>
      <c r="H328" s="31" t="str">
        <f ca="1">IF(ISNUMBER(N328),codeEAN13(INT(N328/10)),"")</f>
        <v>8APASOG*ajabgd+</v>
      </c>
      <c r="I328" s="1" t="b">
        <f t="shared" ref="I328:I391" ca="1" si="1211">AND(A331&lt;&gt;0,A329=A331)</f>
        <v>0</v>
      </c>
      <c r="J328" s="15">
        <f t="shared" si="963"/>
        <v>160</v>
      </c>
      <c r="K328" s="1">
        <f t="shared" ref="K328:K391" ca="1" si="1212">A329</f>
        <v>83</v>
      </c>
      <c r="L328" s="5" t="str">
        <f ca="1">INDEX(INDIRECT(zoneFichierTraite),$J328+offsetInitialFichierTraite,1)</f>
        <v>'160</v>
      </c>
      <c r="M328" s="11">
        <f ca="1">INDEX(INDIRECT(zoneFichierTraite),$J328+offsetInitialFichierTraite,9)</f>
        <v>26.66</v>
      </c>
      <c r="N328" s="14">
        <f ca="1">INDEX(INDIRECT(zoneFichierTraite),$J328+offsetInitialFichierTraite,3)</f>
        <v>8050846090163</v>
      </c>
      <c r="O328" s="14"/>
      <c r="P328" s="56">
        <f ca="1">MATCH(N328,INDIRECT(nomFichierEAN13Valmag &amp; "!A:A"),0)</f>
        <v>701</v>
      </c>
      <c r="R328" s="50" t="str">
        <f t="shared" ref="R328:R359" ca="1" si="1213">LEFT(B328,14)</f>
        <v>OBAGT001-TESBB</v>
      </c>
      <c r="S328" s="52">
        <f ca="1">MATCH($R328,INDIRECT(nomFichierEAN13ValmagUniq &amp; "!A:A"),0)</f>
        <v>282</v>
      </c>
      <c r="T328" s="49" t="str">
        <f ca="1">IFERROR(INDEX(INDIRECT(zoneFichierEAN13ValmagUniq),S328,2),"")</f>
        <v xml:space="preserve"> </v>
      </c>
      <c r="U328" s="52" t="e">
        <f ca="1">MATCH($R328,INDIRECT(nomFichierEAN13ValmagUniq &amp; "!A" &amp; (S328+1) &amp; ":A" &amp;  (S328+10)),0)</f>
        <v>#N/A</v>
      </c>
      <c r="V328" s="51" t="e">
        <f t="shared" ref="V328:V391" ca="1" si="1214">U328+S328</f>
        <v>#N/A</v>
      </c>
      <c r="W328" s="49" t="str">
        <f ca="1">IFERROR(INDEX(INDIRECT(zoneFichierEAN13ValmagUniq),V328,2),"")</f>
        <v/>
      </c>
      <c r="X328" s="52" t="e">
        <f ca="1">MATCH($R328,INDIRECT(nomFichierEAN13ValmagUniq &amp; "!A" &amp; (V328+1) &amp; ":A" &amp;  (V328+10)),0)</f>
        <v>#N/A</v>
      </c>
      <c r="Y328" s="51" t="e">
        <f t="shared" ref="Y328:Y391" ca="1" si="1215">X328+V328</f>
        <v>#N/A</v>
      </c>
      <c r="Z328" s="49" t="str">
        <f ca="1">IFERROR(INDEX(INDIRECT(zoneFichierEAN13ValmagUniq),Y328,2),"")</f>
        <v/>
      </c>
      <c r="AA328" s="53" t="str">
        <f t="shared" ref="AA328:AA391" ca="1" si="1216">T328 &amp; IF(W328="","", " | " &amp; W328) &amp; IF(Z328="","", " | " &amp;Z328)</f>
        <v xml:space="preserve"> </v>
      </c>
      <c r="AC328" s="55">
        <f ca="1">MATCH(B328,INDIRECT(nomFichierFiltreCatalogue &amp; "!B:B"),0)</f>
        <v>306</v>
      </c>
      <c r="AD328" s="14"/>
    </row>
    <row r="329" spans="1:30" s="20" customFormat="1" ht="15.75" customHeight="1" x14ac:dyDescent="0.25">
      <c r="A329" s="25">
        <f ca="1">INDEX(INDIRECT(zoneFichierTraite),$J328+offsetInitialFichierTraite,2)</f>
        <v>83</v>
      </c>
      <c r="B329" s="57" t="str">
        <f ca="1">IF(ISERROR($P328),msgRefValmagAcreer,IF(INDEX(INDIRECT(zoneFichierEAN13Valmag),$P328,3) = "",msgCodeValmagVide, INDEX(INDIRECT(zoneFichierEAN13Valmag),$P328,3)))</f>
        <v xml:space="preserve"> </v>
      </c>
      <c r="C329" s="54" t="str">
        <f t="shared" ref="C329:C392" ca="1" si="1217">AA328</f>
        <v xml:space="preserve"> </v>
      </c>
      <c r="D329" s="19" t="str">
        <f ca="1">IFERROR(INDEX(INDIRECT(zoneFichierEAN13Valmag),$P328,4),"")</f>
        <v xml:space="preserve"> </v>
      </c>
      <c r="E329" s="58" t="str">
        <f ca="1">IFERROR(INDEX(INDIRECT(zoneFichierFiltreCatalogue),AC328,3),"")</f>
        <v>p065-1-01</v>
      </c>
      <c r="F329" s="19"/>
      <c r="G329" s="18"/>
      <c r="H329" s="32" t="str">
        <f ca="1">IFERROR(INDEX(INDIRECT(zoneFichierFiltreCatalogue),AC328,6),"")</f>
        <v>fall 2019 presentation_/catalogo fall 19.txt</v>
      </c>
      <c r="S329" s="1"/>
      <c r="T329" s="21"/>
      <c r="U329" s="21"/>
      <c r="V329" s="21"/>
      <c r="W329" s="21"/>
      <c r="X329" s="21"/>
      <c r="Y329" s="21"/>
      <c r="Z329" s="21"/>
      <c r="AA329" s="21"/>
      <c r="AB329" s="21"/>
      <c r="AC329" s="21"/>
    </row>
    <row r="330" spans="1:30" ht="39" customHeight="1" thickBot="1" x14ac:dyDescent="0.65">
      <c r="A330" s="9" t="str">
        <f ca="1">INDEX(INDIRECT(zoneFichierTraite),$J330+offsetInitialFichierTraite,6)</f>
        <v>UNICA</v>
      </c>
      <c r="B330" s="5" t="str">
        <f ca="1">INDEX(INDIRECT(zoneFichierTraite),$J330+offsetInitialFichierTraite,4)</f>
        <v>OBAGT001-TESBD-227</v>
      </c>
      <c r="C330" s="26" t="str">
        <f ca="1">INDEX(INDIRECT(zoneFichierTraite),$J330+offsetInitialFichierTraite,5)</f>
        <v>REVERS O BAG EN TISSU CHECK EFFET LAINE</v>
      </c>
      <c r="D330" s="27" t="str">
        <f ca="1">INDEX(INDIRECT(zoneFichierTraite),$J330+offsetInitialFichierTraite,13)</f>
        <v>bianco/nero</v>
      </c>
      <c r="E330" s="30">
        <f ca="1">INDEX(INDIRECT(zoneFichierTraite),$J330+offsetInitialFichierTraite,7)</f>
        <v>2</v>
      </c>
      <c r="F330" s="28">
        <f ca="1">INDEX(INDIRECT(zoneFichierTraite),$J330+offsetInitialFichierTraite,8)</f>
        <v>13.33</v>
      </c>
      <c r="G330" s="29">
        <f t="shared" ref="G330:G393" ca="1" si="1218">ROUNDUP(F330*3,0)</f>
        <v>40</v>
      </c>
      <c r="H330" s="31" t="str">
        <f ca="1">IF(ISNUMBER(N330),codeEAN13(INT(N330/10)),"")</f>
        <v>8APASOG*ajabcf+</v>
      </c>
      <c r="I330" s="1" t="b">
        <f t="shared" ref="I330:I393" ca="1" si="1219">AND(A333&lt;&gt;0,A331=A333)</f>
        <v>0</v>
      </c>
      <c r="J330" s="15">
        <f t="shared" ref="J330:J392" si="1220">J328+1</f>
        <v>161</v>
      </c>
      <c r="K330" s="1">
        <f t="shared" ref="K330:K393" ca="1" si="1221">A331</f>
        <v>125</v>
      </c>
      <c r="L330" s="5" t="str">
        <f ca="1">INDEX(INDIRECT(zoneFichierTraite),$J330+offsetInitialFichierTraite,1)</f>
        <v>'161</v>
      </c>
      <c r="M330" s="11">
        <f ca="1">INDEX(INDIRECT(zoneFichierTraite),$J330+offsetInitialFichierTraite,9)</f>
        <v>26.66</v>
      </c>
      <c r="N330" s="14">
        <f ca="1">INDEX(INDIRECT(zoneFichierTraite),$J330+offsetInitialFichierTraite,3)</f>
        <v>8050846090125</v>
      </c>
      <c r="O330" s="14"/>
      <c r="P330" s="56">
        <f ca="1">MATCH(N330,INDIRECT(nomFichierEAN13Valmag &amp; "!A:A"),0)</f>
        <v>697</v>
      </c>
      <c r="R330" s="50" t="str">
        <f t="shared" ref="R330:R361" ca="1" si="1222">LEFT(B330,14)</f>
        <v>OBAGT001-TESBD</v>
      </c>
      <c r="S330" s="52">
        <f ca="1">MATCH($R330,INDIRECT(nomFichierEAN13ValmagUniq &amp; "!A:A"),0)</f>
        <v>283</v>
      </c>
      <c r="T330" s="49" t="str">
        <f ca="1">IFERROR(INDEX(INDIRECT(zoneFichierEAN13ValmagUniq),S330,2),"")</f>
        <v xml:space="preserve"> </v>
      </c>
      <c r="U330" s="52" t="e">
        <f ca="1">MATCH($R330,INDIRECT(nomFichierEAN13ValmagUniq &amp; "!A" &amp; (S330+1) &amp; ":A" &amp;  (S330+10)),0)</f>
        <v>#N/A</v>
      </c>
      <c r="V330" s="51" t="e">
        <f t="shared" ref="V330:V393" ca="1" si="1223">U330+S330</f>
        <v>#N/A</v>
      </c>
      <c r="W330" s="49" t="str">
        <f ca="1">IFERROR(INDEX(INDIRECT(zoneFichierEAN13ValmagUniq),V330,2),"")</f>
        <v/>
      </c>
      <c r="X330" s="52" t="e">
        <f ca="1">MATCH($R330,INDIRECT(nomFichierEAN13ValmagUniq &amp; "!A" &amp; (V330+1) &amp; ":A" &amp;  (V330+10)),0)</f>
        <v>#N/A</v>
      </c>
      <c r="Y330" s="51" t="e">
        <f t="shared" ref="Y330:Y393" ca="1" si="1224">X330+V330</f>
        <v>#N/A</v>
      </c>
      <c r="Z330" s="49" t="str">
        <f ca="1">IFERROR(INDEX(INDIRECT(zoneFichierEAN13ValmagUniq),Y330,2),"")</f>
        <v/>
      </c>
      <c r="AA330" s="53" t="str">
        <f t="shared" ref="AA330:AA393" ca="1" si="1225">T330 &amp; IF(W330="","", " | " &amp; W330) &amp; IF(Z330="","", " | " &amp;Z330)</f>
        <v xml:space="preserve"> </v>
      </c>
      <c r="AC330" s="55">
        <f ca="1">MATCH(B330,INDIRECT(nomFichierFiltreCatalogue &amp; "!B:B"),0)</f>
        <v>293</v>
      </c>
      <c r="AD330" s="14"/>
    </row>
    <row r="331" spans="1:30" s="20" customFormat="1" ht="15.75" customHeight="1" x14ac:dyDescent="0.25">
      <c r="A331" s="25">
        <f ca="1">INDEX(INDIRECT(zoneFichierTraite),$J330+offsetInitialFichierTraite,2)</f>
        <v>125</v>
      </c>
      <c r="B331" s="57" t="str">
        <f ca="1">IF(ISERROR($P330),msgRefValmagAcreer,IF(INDEX(INDIRECT(zoneFichierEAN13Valmag),$P330,3) = "",msgCodeValmagVide, INDEX(INDIRECT(zoneFichierEAN13Valmag),$P330,3)))</f>
        <v xml:space="preserve"> </v>
      </c>
      <c r="C331" s="54" t="str">
        <f t="shared" ref="C331:C394" ca="1" si="1226">AA330</f>
        <v xml:space="preserve"> </v>
      </c>
      <c r="D331" s="19" t="str">
        <f ca="1">IFERROR(INDEX(INDIRECT(zoneFichierEAN13Valmag),$P330,4),"")</f>
        <v xml:space="preserve"> </v>
      </c>
      <c r="E331" s="58" t="str">
        <f ca="1">IFERROR(INDEX(INDIRECT(zoneFichierFiltreCatalogue),AC330,3),"")</f>
        <v>p060-1-01</v>
      </c>
      <c r="F331" s="19"/>
      <c r="G331" s="18"/>
      <c r="H331" s="32" t="str">
        <f ca="1">IFERROR(INDEX(INDIRECT(zoneFichierFiltreCatalogue),AC330,6),"")</f>
        <v>fall 2019 presentation_/catalogo fall 19.txt</v>
      </c>
      <c r="S331" s="1"/>
      <c r="T331" s="21"/>
      <c r="U331" s="21"/>
      <c r="V331" s="21"/>
      <c r="W331" s="21"/>
      <c r="X331" s="21"/>
      <c r="Y331" s="21"/>
      <c r="Z331" s="21"/>
      <c r="AA331" s="21"/>
      <c r="AB331" s="21"/>
      <c r="AC331" s="21"/>
    </row>
    <row r="332" spans="1:30" ht="39" customHeight="1" thickBot="1" x14ac:dyDescent="0.65">
      <c r="A332" s="9" t="str">
        <f ca="1">INDEX(INDIRECT(zoneFichierTraite),$J332+offsetInitialFichierTraite,6)</f>
        <v>UNICA</v>
      </c>
      <c r="B332" s="5" t="str">
        <f ca="1">INDEX(INDIRECT(zoneFichierTraite),$J332+offsetInitialFichierTraite,4)</f>
        <v>OBAGT001-TESBE-227</v>
      </c>
      <c r="C332" s="26" t="str">
        <f ca="1">INDEX(INDIRECT(zoneFichierTraite),$J332+offsetInitialFichierTraite,5)</f>
        <v>REVERS O BAG EN TISSU Ã€ CHEVRONS</v>
      </c>
      <c r="D332" s="27" t="str">
        <f ca="1">INDEX(INDIRECT(zoneFichierTraite),$J332+offsetInitialFichierTraite,13)</f>
        <v>bianco/nero</v>
      </c>
      <c r="E332" s="30">
        <f ca="1">INDEX(INDIRECT(zoneFichierTraite),$J332+offsetInitialFichierTraite,7)</f>
        <v>2</v>
      </c>
      <c r="F332" s="28">
        <f ca="1">INDEX(INDIRECT(zoneFichierTraite),$J332+offsetInitialFichierTraite,8)</f>
        <v>13.33</v>
      </c>
      <c r="G332" s="29">
        <f t="shared" ref="G332:G395" ca="1" si="1227">ROUNDUP(F332*3,0)</f>
        <v>40</v>
      </c>
      <c r="H332" s="31" t="str">
        <f ca="1">IF(ISNUMBER(N332),codeEAN13(INT(N332/10)),"")</f>
        <v>8APASOG*ajabbi+</v>
      </c>
      <c r="I332" s="1" t="b">
        <f t="shared" ref="I332:I395" ca="1" si="1228">AND(A335&lt;&gt;0,A333=A335)</f>
        <v>0</v>
      </c>
      <c r="J332" s="15">
        <f t="shared" si="1220"/>
        <v>162</v>
      </c>
      <c r="K332" s="1">
        <f t="shared" ref="K332:K395" ca="1" si="1229">A333</f>
        <v>9</v>
      </c>
      <c r="L332" s="5" t="str">
        <f ca="1">INDEX(INDIRECT(zoneFichierTraite),$J332+offsetInitialFichierTraite,1)</f>
        <v>'162</v>
      </c>
      <c r="M332" s="11">
        <f ca="1">INDEX(INDIRECT(zoneFichierTraite),$J332+offsetInitialFichierTraite,9)</f>
        <v>26.66</v>
      </c>
      <c r="N332" s="14">
        <f ca="1">INDEX(INDIRECT(zoneFichierTraite),$J332+offsetInitialFichierTraite,3)</f>
        <v>8050846090118</v>
      </c>
      <c r="O332" s="14"/>
      <c r="P332" s="56">
        <f ca="1">MATCH(N332,INDIRECT(nomFichierEAN13Valmag &amp; "!A:A"),0)</f>
        <v>696</v>
      </c>
      <c r="R332" s="50" t="str">
        <f t="shared" ref="R332:R363" ca="1" si="1230">LEFT(B332,14)</f>
        <v>OBAGT001-TESBE</v>
      </c>
      <c r="S332" s="52">
        <f ca="1">MATCH($R332,INDIRECT(nomFichierEAN13ValmagUniq &amp; "!A:A"),0)</f>
        <v>284</v>
      </c>
      <c r="T332" s="49" t="str">
        <f ca="1">IFERROR(INDEX(INDIRECT(zoneFichierEAN13ValmagUniq),S332,2),"")</f>
        <v xml:space="preserve"> </v>
      </c>
      <c r="U332" s="52" t="e">
        <f ca="1">MATCH($R332,INDIRECT(nomFichierEAN13ValmagUniq &amp; "!A" &amp; (S332+1) &amp; ":A" &amp;  (S332+10)),0)</f>
        <v>#N/A</v>
      </c>
      <c r="V332" s="51" t="e">
        <f t="shared" ref="V332:V395" ca="1" si="1231">U332+S332</f>
        <v>#N/A</v>
      </c>
      <c r="W332" s="49" t="str">
        <f ca="1">IFERROR(INDEX(INDIRECT(zoneFichierEAN13ValmagUniq),V332,2),"")</f>
        <v/>
      </c>
      <c r="X332" s="52" t="e">
        <f ca="1">MATCH($R332,INDIRECT(nomFichierEAN13ValmagUniq &amp; "!A" &amp; (V332+1) &amp; ":A" &amp;  (V332+10)),0)</f>
        <v>#N/A</v>
      </c>
      <c r="Y332" s="51" t="e">
        <f t="shared" ref="Y332:Y395" ca="1" si="1232">X332+V332</f>
        <v>#N/A</v>
      </c>
      <c r="Z332" s="49" t="str">
        <f ca="1">IFERROR(INDEX(INDIRECT(zoneFichierEAN13ValmagUniq),Y332,2),"")</f>
        <v/>
      </c>
      <c r="AA332" s="53" t="str">
        <f t="shared" ref="AA332:AA395" ca="1" si="1233">T332 &amp; IF(W332="","", " | " &amp; W332) &amp; IF(Z332="","", " | " &amp;Z332)</f>
        <v xml:space="preserve"> </v>
      </c>
      <c r="AC332" s="55">
        <f ca="1">MATCH(B332,INDIRECT(nomFichierFiltreCatalogue &amp; "!B:B"),0)</f>
        <v>297</v>
      </c>
      <c r="AD332" s="14"/>
    </row>
    <row r="333" spans="1:30" s="20" customFormat="1" ht="15.75" customHeight="1" x14ac:dyDescent="0.25">
      <c r="A333" s="25">
        <f ca="1">INDEX(INDIRECT(zoneFichierTraite),$J332+offsetInitialFichierTraite,2)</f>
        <v>9</v>
      </c>
      <c r="B333" s="57" t="str">
        <f ca="1">IF(ISERROR($P332),msgRefValmagAcreer,IF(INDEX(INDIRECT(zoneFichierEAN13Valmag),$P332,3) = "",msgCodeValmagVide, INDEX(INDIRECT(zoneFichierEAN13Valmag),$P332,3)))</f>
        <v xml:space="preserve"> </v>
      </c>
      <c r="C333" s="54" t="str">
        <f t="shared" ref="C333:C396" ca="1" si="1234">AA332</f>
        <v xml:space="preserve"> </v>
      </c>
      <c r="D333" s="19" t="str">
        <f ca="1">IFERROR(INDEX(INDIRECT(zoneFichierEAN13Valmag),$P332,4),"")</f>
        <v xml:space="preserve"> </v>
      </c>
      <c r="E333" s="58" t="str">
        <f ca="1">IFERROR(INDEX(INDIRECT(zoneFichierFiltreCatalogue),AC332,3),"")</f>
        <v>p061-1-01</v>
      </c>
      <c r="F333" s="19"/>
      <c r="G333" s="18"/>
      <c r="H333" s="32" t="str">
        <f ca="1">IFERROR(INDEX(INDIRECT(zoneFichierFiltreCatalogue),AC332,6),"")</f>
        <v>fall 2019 presentation_/catalogo fall 19.txt</v>
      </c>
      <c r="S333" s="1"/>
      <c r="T333" s="21"/>
      <c r="U333" s="21"/>
      <c r="V333" s="21"/>
      <c r="W333" s="21"/>
      <c r="X333" s="21"/>
      <c r="Y333" s="21"/>
      <c r="Z333" s="21"/>
      <c r="AA333" s="21"/>
      <c r="AB333" s="21"/>
      <c r="AC333" s="21"/>
    </row>
    <row r="334" spans="1:30" ht="39" customHeight="1" thickBot="1" x14ac:dyDescent="0.65">
      <c r="A334" s="9" t="str">
        <f ca="1">INDEX(INDIRECT(zoneFichierTraite),$J334+offsetInitialFichierTraite,6)</f>
        <v>UNICA</v>
      </c>
      <c r="B334" s="5" t="str">
        <f ca="1">INDEX(INDIRECT(zoneFichierTraite),$J334+offsetInitialFichierTraite,4)</f>
        <v>OBAGT001-TESBG-227</v>
      </c>
      <c r="C334" s="26" t="str">
        <f ca="1">INDEX(INDIRECT(zoneFichierTraite),$J334+offsetInitialFichierTraite,5)</f>
        <v>REVERS O BAG EN TISSU PRINCE DE GALLES + FLEURS</v>
      </c>
      <c r="D334" s="27" t="str">
        <f ca="1">INDEX(INDIRECT(zoneFichierTraite),$J334+offsetInitialFichierTraite,13)</f>
        <v>bianco/nero</v>
      </c>
      <c r="E334" s="30">
        <f ca="1">INDEX(INDIRECT(zoneFichierTraite),$J334+offsetInitialFichierTraite,7)</f>
        <v>2</v>
      </c>
      <c r="F334" s="28">
        <f ca="1">INDEX(INDIRECT(zoneFichierTraite),$J334+offsetInitialFichierTraite,8)</f>
        <v>15.56</v>
      </c>
      <c r="G334" s="29">
        <f t="shared" ref="G334:G397" ca="1" si="1235">ROUNDUP(F334*3,0)</f>
        <v>47</v>
      </c>
      <c r="H334" s="31" t="str">
        <f ca="1">IF(ISNUMBER(N334),codeEAN13(INT(N334/10)),"")</f>
        <v>8APASOG*ajacbh+</v>
      </c>
      <c r="I334" s="1" t="b">
        <f t="shared" ref="I334:I397" ca="1" si="1236">AND(A337&lt;&gt;0,A335=A337)</f>
        <v>0</v>
      </c>
      <c r="J334" s="15">
        <f t="shared" si="1220"/>
        <v>163</v>
      </c>
      <c r="K334" s="1">
        <f t="shared" ref="K334:K397" ca="1" si="1237">A335</f>
        <v>13</v>
      </c>
      <c r="L334" s="5" t="str">
        <f ca="1">INDEX(INDIRECT(zoneFichierTraite),$J334+offsetInitialFichierTraite,1)</f>
        <v>'163</v>
      </c>
      <c r="M334" s="11">
        <f ca="1">INDEX(INDIRECT(zoneFichierTraite),$J334+offsetInitialFichierTraite,9)</f>
        <v>31.12</v>
      </c>
      <c r="N334" s="14">
        <f ca="1">INDEX(INDIRECT(zoneFichierTraite),$J334+offsetInitialFichierTraite,3)</f>
        <v>8050846090217</v>
      </c>
      <c r="O334" s="14"/>
      <c r="P334" s="56">
        <f ca="1">MATCH(N334,INDIRECT(nomFichierEAN13Valmag &amp; "!A:A"),0)</f>
        <v>705</v>
      </c>
      <c r="R334" s="50" t="str">
        <f t="shared" ref="R334:R365" ca="1" si="1238">LEFT(B334,14)</f>
        <v>OBAGT001-TESBG</v>
      </c>
      <c r="S334" s="52">
        <f ca="1">MATCH($R334,INDIRECT(nomFichierEAN13ValmagUniq &amp; "!A:A"),0)</f>
        <v>285</v>
      </c>
      <c r="T334" s="49" t="str">
        <f ca="1">IFERROR(INDEX(INDIRECT(zoneFichierEAN13ValmagUniq),S334,2),"")</f>
        <v xml:space="preserve"> </v>
      </c>
      <c r="U334" s="52" t="e">
        <f ca="1">MATCH($R334,INDIRECT(nomFichierEAN13ValmagUniq &amp; "!A" &amp; (S334+1) &amp; ":A" &amp;  (S334+10)),0)</f>
        <v>#N/A</v>
      </c>
      <c r="V334" s="51" t="e">
        <f t="shared" ref="V334:V397" ca="1" si="1239">U334+S334</f>
        <v>#N/A</v>
      </c>
      <c r="W334" s="49" t="str">
        <f ca="1">IFERROR(INDEX(INDIRECT(zoneFichierEAN13ValmagUniq),V334,2),"")</f>
        <v/>
      </c>
      <c r="X334" s="52" t="e">
        <f ca="1">MATCH($R334,INDIRECT(nomFichierEAN13ValmagUniq &amp; "!A" &amp; (V334+1) &amp; ":A" &amp;  (V334+10)),0)</f>
        <v>#N/A</v>
      </c>
      <c r="Y334" s="51" t="e">
        <f t="shared" ref="Y334:Y397" ca="1" si="1240">X334+V334</f>
        <v>#N/A</v>
      </c>
      <c r="Z334" s="49" t="str">
        <f ca="1">IFERROR(INDEX(INDIRECT(zoneFichierEAN13ValmagUniq),Y334,2),"")</f>
        <v/>
      </c>
      <c r="AA334" s="53" t="str">
        <f t="shared" ref="AA334:AA397" ca="1" si="1241">T334 &amp; IF(W334="","", " | " &amp; W334) &amp; IF(Z334="","", " | " &amp;Z334)</f>
        <v xml:space="preserve"> </v>
      </c>
      <c r="AC334" s="55">
        <f ca="1">MATCH(B334,INDIRECT(nomFichierFiltreCatalogue &amp; "!B:B"),0)</f>
        <v>298</v>
      </c>
      <c r="AD334" s="14"/>
    </row>
    <row r="335" spans="1:30" s="20" customFormat="1" ht="15.75" customHeight="1" x14ac:dyDescent="0.25">
      <c r="A335" s="25">
        <f ca="1">INDEX(INDIRECT(zoneFichierTraite),$J334+offsetInitialFichierTraite,2)</f>
        <v>13</v>
      </c>
      <c r="B335" s="57" t="str">
        <f ca="1">IF(ISERROR($P334),msgRefValmagAcreer,IF(INDEX(INDIRECT(zoneFichierEAN13Valmag),$P334,3) = "",msgCodeValmagVide, INDEX(INDIRECT(zoneFichierEAN13Valmag),$P334,3)))</f>
        <v xml:space="preserve"> </v>
      </c>
      <c r="C335" s="54" t="str">
        <f t="shared" ref="C335:C398" ca="1" si="1242">AA334</f>
        <v xml:space="preserve"> </v>
      </c>
      <c r="D335" s="19" t="str">
        <f ca="1">IFERROR(INDEX(INDIRECT(zoneFichierEAN13Valmag),$P334,4),"")</f>
        <v xml:space="preserve"> </v>
      </c>
      <c r="E335" s="58" t="str">
        <f ca="1">IFERROR(INDEX(INDIRECT(zoneFichierFiltreCatalogue),AC334,3),"")</f>
        <v>p061-2-01</v>
      </c>
      <c r="F335" s="19"/>
      <c r="G335" s="18"/>
      <c r="H335" s="32" t="str">
        <f ca="1">IFERROR(INDEX(INDIRECT(zoneFichierFiltreCatalogue),AC334,6),"")</f>
        <v>fall 2019 presentation_/catalogo fall 19.txt</v>
      </c>
      <c r="S335" s="1"/>
      <c r="T335" s="21"/>
      <c r="U335" s="21"/>
      <c r="V335" s="21"/>
      <c r="W335" s="21"/>
      <c r="X335" s="21"/>
      <c r="Y335" s="21"/>
      <c r="Z335" s="21"/>
      <c r="AA335" s="21"/>
      <c r="AB335" s="21"/>
      <c r="AC335" s="21"/>
    </row>
    <row r="336" spans="1:30" ht="39" customHeight="1" thickBot="1" x14ac:dyDescent="0.65">
      <c r="A336" s="9" t="str">
        <f ca="1">INDEX(INDIRECT(zoneFichierTraite),$J336+offsetInitialFichierTraite,6)</f>
        <v>UNICA</v>
      </c>
      <c r="B336" s="5" t="str">
        <f ca="1">INDEX(INDIRECT(zoneFichierTraite),$J336+offsetInitialFichierTraite,4)</f>
        <v>OBAGT001-TESBH-017</v>
      </c>
      <c r="C336" s="26" t="str">
        <f ca="1">INDEX(INDIRECT(zoneFichierTraite),$J336+offsetInitialFichierTraite,5)</f>
        <v>REVERS O BAG EN TISSU IMPRIME JACQUARD MICRO FANTAISIE</v>
      </c>
      <c r="D336" s="27" t="str">
        <f ca="1">INDEX(INDIRECT(zoneFichierTraite),$J336+offsetInitialFichierTraite,13)</f>
        <v>blu navy</v>
      </c>
      <c r="E336" s="30">
        <f ca="1">INDEX(INDIRECT(zoneFichierTraite),$J336+offsetInitialFichierTraite,7)</f>
        <v>2</v>
      </c>
      <c r="F336" s="28">
        <f ca="1">INDEX(INDIRECT(zoneFichierTraite),$J336+offsetInitialFichierTraite,8)</f>
        <v>13.33</v>
      </c>
      <c r="G336" s="29">
        <f t="shared" ref="G336:G399" ca="1" si="1243">ROUNDUP(F336*3,0)</f>
        <v>40</v>
      </c>
      <c r="H336" s="31" t="str">
        <f ca="1">IF(ISNUMBER(N336),codeEAN13(INT(N336/10)),"")</f>
        <v>8APASOG*ajabfg+</v>
      </c>
      <c r="I336" s="1" t="b">
        <f t="shared" ref="I336:I399" ca="1" si="1244">AND(A339&lt;&gt;0,A337=A339)</f>
        <v>0</v>
      </c>
      <c r="J336" s="15">
        <f t="shared" si="1220"/>
        <v>164</v>
      </c>
      <c r="K336" s="1">
        <f t="shared" ref="K336:K399" ca="1" si="1245">A337</f>
        <v>71</v>
      </c>
      <c r="L336" s="5" t="str">
        <f ca="1">INDEX(INDIRECT(zoneFichierTraite),$J336+offsetInitialFichierTraite,1)</f>
        <v>'164</v>
      </c>
      <c r="M336" s="11">
        <f ca="1">INDEX(INDIRECT(zoneFichierTraite),$J336+offsetInitialFichierTraite,9)</f>
        <v>26.66</v>
      </c>
      <c r="N336" s="14">
        <f ca="1">INDEX(INDIRECT(zoneFichierTraite),$J336+offsetInitialFichierTraite,3)</f>
        <v>8050846090156</v>
      </c>
      <c r="O336" s="14"/>
      <c r="P336" s="56">
        <f ca="1">MATCH(N336,INDIRECT(nomFichierEAN13Valmag &amp; "!A:A"),0)</f>
        <v>700</v>
      </c>
      <c r="R336" s="50" t="str">
        <f t="shared" ref="R336:R367" ca="1" si="1246">LEFT(B336,14)</f>
        <v>OBAGT001-TESBH</v>
      </c>
      <c r="S336" s="52">
        <f ca="1">MATCH($R336,INDIRECT(nomFichierEAN13ValmagUniq &amp; "!A:A"),0)</f>
        <v>286</v>
      </c>
      <c r="T336" s="49" t="str">
        <f ca="1">IFERROR(INDEX(INDIRECT(zoneFichierEAN13ValmagUniq),S336,2),"")</f>
        <v xml:space="preserve"> </v>
      </c>
      <c r="U336" s="52" t="e">
        <f ca="1">MATCH($R336,INDIRECT(nomFichierEAN13ValmagUniq &amp; "!A" &amp; (S336+1) &amp; ":A" &amp;  (S336+10)),0)</f>
        <v>#N/A</v>
      </c>
      <c r="V336" s="51" t="e">
        <f t="shared" ref="V336:V399" ca="1" si="1247">U336+S336</f>
        <v>#N/A</v>
      </c>
      <c r="W336" s="49" t="str">
        <f ca="1">IFERROR(INDEX(INDIRECT(zoneFichierEAN13ValmagUniq),V336,2),"")</f>
        <v/>
      </c>
      <c r="X336" s="52" t="e">
        <f ca="1">MATCH($R336,INDIRECT(nomFichierEAN13ValmagUniq &amp; "!A" &amp; (V336+1) &amp; ":A" &amp;  (V336+10)),0)</f>
        <v>#N/A</v>
      </c>
      <c r="Y336" s="51" t="e">
        <f t="shared" ref="Y336:Y399" ca="1" si="1248">X336+V336</f>
        <v>#N/A</v>
      </c>
      <c r="Z336" s="49" t="str">
        <f ca="1">IFERROR(INDEX(INDIRECT(zoneFichierEAN13ValmagUniq),Y336,2),"")</f>
        <v/>
      </c>
      <c r="AA336" s="53" t="str">
        <f t="shared" ref="AA336:AA399" ca="1" si="1249">T336 &amp; IF(W336="","", " | " &amp; W336) &amp; IF(Z336="","", " | " &amp;Z336)</f>
        <v xml:space="preserve"> </v>
      </c>
      <c r="AC336" s="55">
        <f ca="1">MATCH(B336,INDIRECT(nomFichierFiltreCatalogue &amp; "!B:B"),0)</f>
        <v>299</v>
      </c>
      <c r="AD336" s="14"/>
    </row>
    <row r="337" spans="1:30" s="20" customFormat="1" ht="15.75" customHeight="1" x14ac:dyDescent="0.25">
      <c r="A337" s="25">
        <f ca="1">INDEX(INDIRECT(zoneFichierTraite),$J336+offsetInitialFichierTraite,2)</f>
        <v>71</v>
      </c>
      <c r="B337" s="57" t="str">
        <f ca="1">IF(ISERROR($P336),msgRefValmagAcreer,IF(INDEX(INDIRECT(zoneFichierEAN13Valmag),$P336,3) = "",msgCodeValmagVide, INDEX(INDIRECT(zoneFichierEAN13Valmag),$P336,3)))</f>
        <v xml:space="preserve"> </v>
      </c>
      <c r="C337" s="54" t="str">
        <f t="shared" ref="C337:C400" ca="1" si="1250">AA336</f>
        <v xml:space="preserve"> </v>
      </c>
      <c r="D337" s="19" t="str">
        <f ca="1">IFERROR(INDEX(INDIRECT(zoneFichierEAN13Valmag),$P336,4),"")</f>
        <v xml:space="preserve"> </v>
      </c>
      <c r="E337" s="58" t="str">
        <f ca="1">IFERROR(INDEX(INDIRECT(zoneFichierFiltreCatalogue),AC336,3),"")</f>
        <v>p062-1-01</v>
      </c>
      <c r="F337" s="19"/>
      <c r="G337" s="18"/>
      <c r="H337" s="32" t="str">
        <f ca="1">IFERROR(INDEX(INDIRECT(zoneFichierFiltreCatalogue),AC336,6),"")</f>
        <v>fall 2019 presentation_/catalogo fall 19.txt</v>
      </c>
      <c r="S337" s="1"/>
      <c r="T337" s="21"/>
      <c r="U337" s="21"/>
      <c r="V337" s="21"/>
      <c r="W337" s="21"/>
      <c r="X337" s="21"/>
      <c r="Y337" s="21"/>
      <c r="Z337" s="21"/>
      <c r="AA337" s="21"/>
      <c r="AB337" s="21"/>
      <c r="AC337" s="21"/>
    </row>
    <row r="338" spans="1:30" ht="39" customHeight="1" thickBot="1" x14ac:dyDescent="0.65">
      <c r="A338" s="9" t="str">
        <f ca="1">INDEX(INDIRECT(zoneFichierTraite),$J338+offsetInitialFichierTraite,6)</f>
        <v>UNICA</v>
      </c>
      <c r="B338" s="5" t="str">
        <f ca="1">INDEX(INDIRECT(zoneFichierTraite),$J338+offsetInitialFichierTraite,4)</f>
        <v>OBAGT001-TESBJ-227</v>
      </c>
      <c r="C338" s="26" t="str">
        <f ca="1">INDEX(INDIRECT(zoneFichierTraite),$J338+offsetInitialFichierTraite,5)</f>
        <v>REVERS O BAG EN TISSU OPTICAL STRIPES</v>
      </c>
      <c r="D338" s="27" t="str">
        <f ca="1">INDEX(INDIRECT(zoneFichierTraite),$J338+offsetInitialFichierTraite,13)</f>
        <v>bianco/nero</v>
      </c>
      <c r="E338" s="30">
        <f ca="1">INDEX(INDIRECT(zoneFichierTraite),$J338+offsetInitialFichierTraite,7)</f>
        <v>2</v>
      </c>
      <c r="F338" s="28">
        <f ca="1">INDEX(INDIRECT(zoneFichierTraite),$J338+offsetInitialFichierTraite,8)</f>
        <v>11.85</v>
      </c>
      <c r="G338" s="29">
        <f t="shared" ref="G338:G401" ca="1" si="1251">ROUNDUP(F338*3,0)</f>
        <v>36</v>
      </c>
      <c r="H338" s="31" t="str">
        <f ca="1">IF(ISNUMBER(N338),codeEAN13(INT(N338/10)),"")</f>
        <v>8APASOG*ajabab+</v>
      </c>
      <c r="I338" s="1" t="b">
        <f t="shared" ref="I338:I401" ca="1" si="1252">AND(A341&lt;&gt;0,A339=A341)</f>
        <v>0</v>
      </c>
      <c r="J338" s="15">
        <f t="shared" si="1220"/>
        <v>165</v>
      </c>
      <c r="K338" s="1">
        <f t="shared" ref="K338:K401" ca="1" si="1253">A339</f>
        <v>208</v>
      </c>
      <c r="L338" s="5" t="str">
        <f ca="1">INDEX(INDIRECT(zoneFichierTraite),$J338+offsetInitialFichierTraite,1)</f>
        <v>'165</v>
      </c>
      <c r="M338" s="11">
        <f ca="1">INDEX(INDIRECT(zoneFichierTraite),$J338+offsetInitialFichierTraite,9)</f>
        <v>23.7</v>
      </c>
      <c r="N338" s="14">
        <f ca="1">INDEX(INDIRECT(zoneFichierTraite),$J338+offsetInitialFichierTraite,3)</f>
        <v>8050846090101</v>
      </c>
      <c r="O338" s="14"/>
      <c r="P338" s="56">
        <f ca="1">MATCH(N338,INDIRECT(nomFichierEAN13Valmag &amp; "!A:A"),0)</f>
        <v>695</v>
      </c>
      <c r="R338" s="50" t="str">
        <f t="shared" ref="R338:R369" ca="1" si="1254">LEFT(B338,14)</f>
        <v>OBAGT001-TESBJ</v>
      </c>
      <c r="S338" s="52">
        <f ca="1">MATCH($R338,INDIRECT(nomFichierEAN13ValmagUniq &amp; "!A:A"),0)</f>
        <v>288</v>
      </c>
      <c r="T338" s="49" t="str">
        <f ca="1">IFERROR(INDEX(INDIRECT(zoneFichierEAN13ValmagUniq),S338,2),"")</f>
        <v xml:space="preserve"> </v>
      </c>
      <c r="U338" s="52" t="e">
        <f ca="1">MATCH($R338,INDIRECT(nomFichierEAN13ValmagUniq &amp; "!A" &amp; (S338+1) &amp; ":A" &amp;  (S338+10)),0)</f>
        <v>#N/A</v>
      </c>
      <c r="V338" s="51" t="e">
        <f t="shared" ref="V338:V401" ca="1" si="1255">U338+S338</f>
        <v>#N/A</v>
      </c>
      <c r="W338" s="49" t="str">
        <f ca="1">IFERROR(INDEX(INDIRECT(zoneFichierEAN13ValmagUniq),V338,2),"")</f>
        <v/>
      </c>
      <c r="X338" s="52" t="e">
        <f ca="1">MATCH($R338,INDIRECT(nomFichierEAN13ValmagUniq &amp; "!A" &amp; (V338+1) &amp; ":A" &amp;  (V338+10)),0)</f>
        <v>#N/A</v>
      </c>
      <c r="Y338" s="51" t="e">
        <f t="shared" ref="Y338:Y401" ca="1" si="1256">X338+V338</f>
        <v>#N/A</v>
      </c>
      <c r="Z338" s="49" t="str">
        <f ca="1">IFERROR(INDEX(INDIRECT(zoneFichierEAN13ValmagUniq),Y338,2),"")</f>
        <v/>
      </c>
      <c r="AA338" s="53" t="str">
        <f t="shared" ref="AA338:AA401" ca="1" si="1257">T338 &amp; IF(W338="","", " | " &amp; W338) &amp; IF(Z338="","", " | " &amp;Z338)</f>
        <v xml:space="preserve"> </v>
      </c>
      <c r="AC338" s="55">
        <f ca="1">MATCH(B338,INDIRECT(nomFichierFiltreCatalogue &amp; "!B:B"),0)</f>
        <v>301</v>
      </c>
      <c r="AD338" s="14"/>
    </row>
    <row r="339" spans="1:30" s="20" customFormat="1" ht="15.75" customHeight="1" x14ac:dyDescent="0.25">
      <c r="A339" s="25">
        <f ca="1">INDEX(INDIRECT(zoneFichierTraite),$J338+offsetInitialFichierTraite,2)</f>
        <v>208</v>
      </c>
      <c r="B339" s="57" t="str">
        <f ca="1">IF(ISERROR($P338),msgRefValmagAcreer,IF(INDEX(INDIRECT(zoneFichierEAN13Valmag),$P338,3) = "",msgCodeValmagVide, INDEX(INDIRECT(zoneFichierEAN13Valmag),$P338,3)))</f>
        <v xml:space="preserve"> </v>
      </c>
      <c r="C339" s="54" t="str">
        <f t="shared" ref="C339:C402" ca="1" si="1258">AA338</f>
        <v xml:space="preserve"> </v>
      </c>
      <c r="D339" s="19" t="str">
        <f ca="1">IFERROR(INDEX(INDIRECT(zoneFichierEAN13Valmag),$P338,4),"")</f>
        <v xml:space="preserve"> </v>
      </c>
      <c r="E339" s="58" t="str">
        <f ca="1">IFERROR(INDEX(INDIRECT(zoneFichierFiltreCatalogue),AC338,3),"")</f>
        <v>p063-1-01</v>
      </c>
      <c r="F339" s="19"/>
      <c r="G339" s="18"/>
      <c r="H339" s="32" t="str">
        <f ca="1">IFERROR(INDEX(INDIRECT(zoneFichierFiltreCatalogue),AC338,6),"")</f>
        <v>fall 2019 presentation_/catalogo fall 19.txt</v>
      </c>
      <c r="S339" s="1"/>
      <c r="T339" s="21"/>
      <c r="U339" s="21"/>
      <c r="V339" s="21"/>
      <c r="W339" s="21"/>
      <c r="X339" s="21"/>
      <c r="Y339" s="21"/>
      <c r="Z339" s="21"/>
      <c r="AA339" s="21"/>
      <c r="AB339" s="21"/>
      <c r="AC339" s="21"/>
    </row>
    <row r="340" spans="1:30" ht="39" customHeight="1" thickBot="1" x14ac:dyDescent="0.65">
      <c r="A340" s="9" t="str">
        <f ca="1">INDEX(INDIRECT(zoneFichierTraite),$J340+offsetInitialFichierTraite,6)</f>
        <v>UNICA</v>
      </c>
      <c r="B340" s="5" t="str">
        <f ca="1">INDEX(INDIRECT(zoneFichierTraite),$J340+offsetInitialFichierTraite,4)</f>
        <v>OBAGT001-TESBK-055</v>
      </c>
      <c r="C340" s="26" t="str">
        <f ca="1">INDEX(INDIRECT(zoneFichierTraite),$J340+offsetInitialFichierTraite,5)</f>
        <v>REVERS O BAG EN TISSU DOUDOUNE Ã€ CHEVRONS</v>
      </c>
      <c r="D340" s="27" t="str">
        <f ca="1">INDEX(INDIRECT(zoneFichierTraite),$J340+offsetInitialFichierTraite,13)</f>
        <v>nero</v>
      </c>
      <c r="E340" s="30">
        <f ca="1">INDEX(INDIRECT(zoneFichierTraite),$J340+offsetInitialFichierTraite,7)</f>
        <v>2</v>
      </c>
      <c r="F340" s="28">
        <f ca="1">INDEX(INDIRECT(zoneFichierTraite),$J340+offsetInitialFichierTraite,8)</f>
        <v>11.85</v>
      </c>
      <c r="G340" s="29">
        <f t="shared" ref="G340:G403" ca="1" si="1259">ROUNDUP(F340*3,0)</f>
        <v>36</v>
      </c>
      <c r="H340" s="31" t="str">
        <f ca="1">IF(ISNUMBER(N340),codeEAN13(INT(N340/10)),"")</f>
        <v>8APASOG*ajaajf+</v>
      </c>
      <c r="I340" s="1" t="b">
        <f t="shared" ref="I340:I403" ca="1" si="1260">AND(A343&lt;&gt;0,A341=A343)</f>
        <v>0</v>
      </c>
      <c r="J340" s="15">
        <f t="shared" si="1220"/>
        <v>166</v>
      </c>
      <c r="K340" s="1">
        <f t="shared" ref="K340:K403" ca="1" si="1261">A341</f>
        <v>10</v>
      </c>
      <c r="L340" s="5" t="str">
        <f ca="1">INDEX(INDIRECT(zoneFichierTraite),$J340+offsetInitialFichierTraite,1)</f>
        <v>'166</v>
      </c>
      <c r="M340" s="11">
        <f ca="1">INDEX(INDIRECT(zoneFichierTraite),$J340+offsetInitialFichierTraite,9)</f>
        <v>23.7</v>
      </c>
      <c r="N340" s="14">
        <f ca="1">INDEX(INDIRECT(zoneFichierTraite),$J340+offsetInitialFichierTraite,3)</f>
        <v>8050846090095</v>
      </c>
      <c r="O340" s="14"/>
      <c r="P340" s="56">
        <f ca="1">MATCH(N340,INDIRECT(nomFichierEAN13Valmag &amp; "!A:A"),0)</f>
        <v>694</v>
      </c>
      <c r="R340" s="50" t="str">
        <f t="shared" ref="R340:R371" ca="1" si="1262">LEFT(B340,14)</f>
        <v>OBAGT001-TESBK</v>
      </c>
      <c r="S340" s="52">
        <f ca="1">MATCH($R340,INDIRECT(nomFichierEAN13ValmagUniq &amp; "!A:A"),0)</f>
        <v>289</v>
      </c>
      <c r="T340" s="49" t="str">
        <f ca="1">IFERROR(INDEX(INDIRECT(zoneFichierEAN13ValmagUniq),S340,2),"")</f>
        <v xml:space="preserve"> </v>
      </c>
      <c r="U340" s="52" t="e">
        <f ca="1">MATCH($R340,INDIRECT(nomFichierEAN13ValmagUniq &amp; "!A" &amp; (S340+1) &amp; ":A" &amp;  (S340+10)),0)</f>
        <v>#N/A</v>
      </c>
      <c r="V340" s="51" t="e">
        <f t="shared" ref="V340:V403" ca="1" si="1263">U340+S340</f>
        <v>#N/A</v>
      </c>
      <c r="W340" s="49" t="str">
        <f ca="1">IFERROR(INDEX(INDIRECT(zoneFichierEAN13ValmagUniq),V340,2),"")</f>
        <v/>
      </c>
      <c r="X340" s="52" t="e">
        <f ca="1">MATCH($R340,INDIRECT(nomFichierEAN13ValmagUniq &amp; "!A" &amp; (V340+1) &amp; ":A" &amp;  (V340+10)),0)</f>
        <v>#N/A</v>
      </c>
      <c r="Y340" s="51" t="e">
        <f t="shared" ref="Y340:Y403" ca="1" si="1264">X340+V340</f>
        <v>#N/A</v>
      </c>
      <c r="Z340" s="49" t="str">
        <f ca="1">IFERROR(INDEX(INDIRECT(zoneFichierEAN13ValmagUniq),Y340,2),"")</f>
        <v/>
      </c>
      <c r="AA340" s="53" t="str">
        <f t="shared" ref="AA340:AA403" ca="1" si="1265">T340 &amp; IF(W340="","", " | " &amp; W340) &amp; IF(Z340="","", " | " &amp;Z340)</f>
        <v xml:space="preserve"> </v>
      </c>
      <c r="AC340" s="55">
        <f ca="1">MATCH(B340,INDIRECT(nomFichierFiltreCatalogue &amp; "!B:B"),0)</f>
        <v>302</v>
      </c>
      <c r="AD340" s="14"/>
    </row>
    <row r="341" spans="1:30" s="20" customFormat="1" ht="15.75" customHeight="1" x14ac:dyDescent="0.25">
      <c r="A341" s="25">
        <f ca="1">INDEX(INDIRECT(zoneFichierTraite),$J340+offsetInitialFichierTraite,2)</f>
        <v>10</v>
      </c>
      <c r="B341" s="57" t="str">
        <f ca="1">IF(ISERROR($P340),msgRefValmagAcreer,IF(INDEX(INDIRECT(zoneFichierEAN13Valmag),$P340,3) = "",msgCodeValmagVide, INDEX(INDIRECT(zoneFichierEAN13Valmag),$P340,3)))</f>
        <v xml:space="preserve"> </v>
      </c>
      <c r="C341" s="54" t="str">
        <f t="shared" ref="C341:C404" ca="1" si="1266">AA340</f>
        <v xml:space="preserve"> </v>
      </c>
      <c r="D341" s="19" t="str">
        <f ca="1">IFERROR(INDEX(INDIRECT(zoneFichierEAN13Valmag),$P340,4),"")</f>
        <v xml:space="preserve"> </v>
      </c>
      <c r="E341" s="58" t="str">
        <f ca="1">IFERROR(INDEX(INDIRECT(zoneFichierFiltreCatalogue),AC340,3),"")</f>
        <v>p063-2-01</v>
      </c>
      <c r="F341" s="19"/>
      <c r="G341" s="18"/>
      <c r="H341" s="32" t="str">
        <f ca="1">IFERROR(INDEX(INDIRECT(zoneFichierFiltreCatalogue),AC340,6),"")</f>
        <v>fall 2019 presentation_/catalogo fall 19.txt</v>
      </c>
      <c r="S341" s="1"/>
      <c r="T341" s="21"/>
      <c r="U341" s="21"/>
      <c r="V341" s="21"/>
      <c r="W341" s="21"/>
      <c r="X341" s="21"/>
      <c r="Y341" s="21"/>
      <c r="Z341" s="21"/>
      <c r="AA341" s="21"/>
      <c r="AB341" s="21"/>
      <c r="AC341" s="21"/>
    </row>
    <row r="342" spans="1:30" ht="39" customHeight="1" thickBot="1" x14ac:dyDescent="0.65">
      <c r="A342" s="9" t="str">
        <f ca="1">INDEX(INDIRECT(zoneFichierTraite),$J342+offsetInitialFichierTraite,6)</f>
        <v>UNICA</v>
      </c>
      <c r="B342" s="5" t="str">
        <f ca="1">INDEX(INDIRECT(zoneFichierTraite),$J342+offsetInitialFichierTraite,4)</f>
        <v>OBAGT001-TESBK-137</v>
      </c>
      <c r="C342" s="26" t="str">
        <f ca="1">INDEX(INDIRECT(zoneFichierTraite),$J342+offsetInitialFichierTraite,5)</f>
        <v>REVERS O BAG EN TISSU DOUDOUNE Ã€ CHEVRONS</v>
      </c>
      <c r="D342" s="27" t="str">
        <f ca="1">INDEX(INDIRECT(zoneFichierTraite),$J342+offsetInitialFichierTraite,13)</f>
        <v>bluette</v>
      </c>
      <c r="E342" s="30">
        <f ca="1">INDEX(INDIRECT(zoneFichierTraite),$J342+offsetInitialFichierTraite,7)</f>
        <v>2</v>
      </c>
      <c r="F342" s="28">
        <f ca="1">INDEX(INDIRECT(zoneFichierTraite),$J342+offsetInitialFichierTraite,8)</f>
        <v>11.85</v>
      </c>
      <c r="G342" s="29">
        <f t="shared" ref="G342:G405" ca="1" si="1267">ROUNDUP(F342*3,0)</f>
        <v>36</v>
      </c>
      <c r="H342" s="31" t="str">
        <f ca="1">IF(ISNUMBER(N342),codeEAN13(INT(N342/10)),"")</f>
        <v>8APASOG*ajaaii+</v>
      </c>
      <c r="I342" s="1" t="b">
        <f t="shared" ref="I342:I405" ca="1" si="1268">AND(A345&lt;&gt;0,A343=A345)</f>
        <v>0</v>
      </c>
      <c r="J342" s="15">
        <f t="shared" si="1220"/>
        <v>167</v>
      </c>
      <c r="K342" s="1">
        <f t="shared" ref="K342:K405" ca="1" si="1269">A343</f>
        <v>59</v>
      </c>
      <c r="L342" s="5" t="str">
        <f ca="1">INDEX(INDIRECT(zoneFichierTraite),$J342+offsetInitialFichierTraite,1)</f>
        <v>'167</v>
      </c>
      <c r="M342" s="11">
        <f ca="1">INDEX(INDIRECT(zoneFichierTraite),$J342+offsetInitialFichierTraite,9)</f>
        <v>23.7</v>
      </c>
      <c r="N342" s="14">
        <f ca="1">INDEX(INDIRECT(zoneFichierTraite),$J342+offsetInitialFichierTraite,3)</f>
        <v>8050846090088</v>
      </c>
      <c r="O342" s="14"/>
      <c r="P342" s="56">
        <f ca="1">MATCH(N342,INDIRECT(nomFichierEAN13Valmag &amp; "!A:A"),0)</f>
        <v>693</v>
      </c>
      <c r="R342" s="50" t="str">
        <f t="shared" ref="R342:R373" ca="1" si="1270">LEFT(B342,14)</f>
        <v>OBAGT001-TESBK</v>
      </c>
      <c r="S342" s="52">
        <f ca="1">MATCH($R342,INDIRECT(nomFichierEAN13ValmagUniq &amp; "!A:A"),0)</f>
        <v>289</v>
      </c>
      <c r="T342" s="49" t="str">
        <f ca="1">IFERROR(INDEX(INDIRECT(zoneFichierEAN13ValmagUniq),S342,2),"")</f>
        <v xml:space="preserve"> </v>
      </c>
      <c r="U342" s="52" t="e">
        <f ca="1">MATCH($R342,INDIRECT(nomFichierEAN13ValmagUniq &amp; "!A" &amp; (S342+1) &amp; ":A" &amp;  (S342+10)),0)</f>
        <v>#N/A</v>
      </c>
      <c r="V342" s="51" t="e">
        <f t="shared" ref="V342:V405" ca="1" si="1271">U342+S342</f>
        <v>#N/A</v>
      </c>
      <c r="W342" s="49" t="str">
        <f ca="1">IFERROR(INDEX(INDIRECT(zoneFichierEAN13ValmagUniq),V342,2),"")</f>
        <v/>
      </c>
      <c r="X342" s="52" t="e">
        <f ca="1">MATCH($R342,INDIRECT(nomFichierEAN13ValmagUniq &amp; "!A" &amp; (V342+1) &amp; ":A" &amp;  (V342+10)),0)</f>
        <v>#N/A</v>
      </c>
      <c r="Y342" s="51" t="e">
        <f t="shared" ref="Y342:Y405" ca="1" si="1272">X342+V342</f>
        <v>#N/A</v>
      </c>
      <c r="Z342" s="49" t="str">
        <f ca="1">IFERROR(INDEX(INDIRECT(zoneFichierEAN13ValmagUniq),Y342,2),"")</f>
        <v/>
      </c>
      <c r="AA342" s="53" t="str">
        <f t="shared" ref="AA342:AA405" ca="1" si="1273">T342 &amp; IF(W342="","", " | " &amp; W342) &amp; IF(Z342="","", " | " &amp;Z342)</f>
        <v xml:space="preserve"> </v>
      </c>
      <c r="AC342" s="55">
        <f ca="1">MATCH(B342,INDIRECT(nomFichierFiltreCatalogue &amp; "!B:B"),0)</f>
        <v>303</v>
      </c>
      <c r="AD342" s="14"/>
    </row>
    <row r="343" spans="1:30" s="20" customFormat="1" ht="15.75" customHeight="1" x14ac:dyDescent="0.25">
      <c r="A343" s="25">
        <f ca="1">INDEX(INDIRECT(zoneFichierTraite),$J342+offsetInitialFichierTraite,2)</f>
        <v>59</v>
      </c>
      <c r="B343" s="57" t="str">
        <f ca="1">IF(ISERROR($P342),msgRefValmagAcreer,IF(INDEX(INDIRECT(zoneFichierEAN13Valmag),$P342,3) = "",msgCodeValmagVide, INDEX(INDIRECT(zoneFichierEAN13Valmag),$P342,3)))</f>
        <v xml:space="preserve"> </v>
      </c>
      <c r="C343" s="54" t="str">
        <f t="shared" ref="C343:C406" ca="1" si="1274">AA342</f>
        <v xml:space="preserve"> </v>
      </c>
      <c r="D343" s="19" t="str">
        <f ca="1">IFERROR(INDEX(INDIRECT(zoneFichierEAN13Valmag),$P342,4),"")</f>
        <v xml:space="preserve"> </v>
      </c>
      <c r="E343" s="58" t="str">
        <f ca="1">IFERROR(INDEX(INDIRECT(zoneFichierFiltreCatalogue),AC342,3),"")</f>
        <v>p063-2-02</v>
      </c>
      <c r="F343" s="19"/>
      <c r="G343" s="18"/>
      <c r="H343" s="32" t="str">
        <f ca="1">IFERROR(INDEX(INDIRECT(zoneFichierFiltreCatalogue),AC342,6),"")</f>
        <v>fall 2019 presentation_/catalogo fall 19.txt</v>
      </c>
      <c r="S343" s="1"/>
      <c r="T343" s="21"/>
      <c r="U343" s="21"/>
      <c r="V343" s="21"/>
      <c r="W343" s="21"/>
      <c r="X343" s="21"/>
      <c r="Y343" s="21"/>
      <c r="Z343" s="21"/>
      <c r="AA343" s="21"/>
      <c r="AB343" s="21"/>
      <c r="AC343" s="21"/>
    </row>
    <row r="344" spans="1:30" ht="39" customHeight="1" thickBot="1" x14ac:dyDescent="0.65">
      <c r="A344" s="9" t="str">
        <f ca="1">INDEX(INDIRECT(zoneFichierTraite),$J344+offsetInitialFichierTraite,6)</f>
        <v>UNICA</v>
      </c>
      <c r="B344" s="5" t="str">
        <f ca="1">INDEX(INDIRECT(zoneFichierTraite),$J344+offsetInitialFichierTraite,4)</f>
        <v>OBAGT001-TESBN-615</v>
      </c>
      <c r="C344" s="26" t="str">
        <f ca="1">INDEX(INDIRECT(zoneFichierTraite),$J344+offsetInitialFichierTraite,5)</f>
        <v>REVERS O BAG EN TISSU DOUDOUNE CHECK</v>
      </c>
      <c r="D344" s="27" t="str">
        <f ca="1">INDEX(INDIRECT(zoneFichierTraite),$J344+offsetInitialFichierTraite,13)</f>
        <v>military</v>
      </c>
      <c r="E344" s="30">
        <f ca="1">INDEX(INDIRECT(zoneFichierTraite),$J344+offsetInitialFichierTraite,7)</f>
        <v>2</v>
      </c>
      <c r="F344" s="28">
        <f ca="1">INDEX(INDIRECT(zoneFichierTraite),$J344+offsetInitialFichierTraite,8)</f>
        <v>15.56</v>
      </c>
      <c r="G344" s="29">
        <f t="shared" ref="G344:G407" ca="1" si="1275">ROUNDUP(F344*3,0)</f>
        <v>47</v>
      </c>
      <c r="H344" s="31" t="str">
        <f ca="1">IF(ISNUMBER(N344),codeEAN13(INT(N344/10)),"")</f>
        <v>8APASOG*ajacdb+</v>
      </c>
      <c r="I344" s="1" t="b">
        <f t="shared" ref="I344:I407" ca="1" si="1276">AND(A347&lt;&gt;0,A345=A347)</f>
        <v>0</v>
      </c>
      <c r="J344" s="15">
        <f t="shared" si="1220"/>
        <v>168</v>
      </c>
      <c r="K344" s="1">
        <f t="shared" ref="K344:K407" ca="1" si="1277">A345</f>
        <v>72</v>
      </c>
      <c r="L344" s="5" t="str">
        <f ca="1">INDEX(INDIRECT(zoneFichierTraite),$J344+offsetInitialFichierTraite,1)</f>
        <v>'168</v>
      </c>
      <c r="M344" s="11">
        <f ca="1">INDEX(INDIRECT(zoneFichierTraite),$J344+offsetInitialFichierTraite,9)</f>
        <v>31.12</v>
      </c>
      <c r="N344" s="14">
        <f ca="1">INDEX(INDIRECT(zoneFichierTraite),$J344+offsetInitialFichierTraite,3)</f>
        <v>8050846090231</v>
      </c>
      <c r="O344" s="14"/>
      <c r="P344" s="56">
        <f ca="1">MATCH(N344,INDIRECT(nomFichierEAN13Valmag &amp; "!A:A"),0)</f>
        <v>707</v>
      </c>
      <c r="R344" s="50" t="str">
        <f t="shared" ref="R344:R375" ca="1" si="1278">LEFT(B344,14)</f>
        <v>OBAGT001-TESBN</v>
      </c>
      <c r="S344" s="52">
        <f ca="1">MATCH($R344,INDIRECT(nomFichierEAN13ValmagUniq &amp; "!A:A"),0)</f>
        <v>291</v>
      </c>
      <c r="T344" s="49" t="str">
        <f ca="1">IFERROR(INDEX(INDIRECT(zoneFichierEAN13ValmagUniq),S344,2),"")</f>
        <v xml:space="preserve"> </v>
      </c>
      <c r="U344" s="52" t="e">
        <f ca="1">MATCH($R344,INDIRECT(nomFichierEAN13ValmagUniq &amp; "!A" &amp; (S344+1) &amp; ":A" &amp;  (S344+10)),0)</f>
        <v>#N/A</v>
      </c>
      <c r="V344" s="51" t="e">
        <f t="shared" ref="V344:V407" ca="1" si="1279">U344+S344</f>
        <v>#N/A</v>
      </c>
      <c r="W344" s="49" t="str">
        <f ca="1">IFERROR(INDEX(INDIRECT(zoneFichierEAN13ValmagUniq),V344,2),"")</f>
        <v/>
      </c>
      <c r="X344" s="52" t="e">
        <f ca="1">MATCH($R344,INDIRECT(nomFichierEAN13ValmagUniq &amp; "!A" &amp; (V344+1) &amp; ":A" &amp;  (V344+10)),0)</f>
        <v>#N/A</v>
      </c>
      <c r="Y344" s="51" t="e">
        <f t="shared" ref="Y344:Y407" ca="1" si="1280">X344+V344</f>
        <v>#N/A</v>
      </c>
      <c r="Z344" s="49" t="str">
        <f ca="1">IFERROR(INDEX(INDIRECT(zoneFichierEAN13ValmagUniq),Y344,2),"")</f>
        <v/>
      </c>
      <c r="AA344" s="53" t="str">
        <f t="shared" ref="AA344:AA407" ca="1" si="1281">T344 &amp; IF(W344="","", " | " &amp; W344) &amp; IF(Z344="","", " | " &amp;Z344)</f>
        <v xml:space="preserve"> </v>
      </c>
      <c r="AC344" s="55">
        <f ca="1">MATCH(B344,INDIRECT(nomFichierFiltreCatalogue &amp; "!B:B"),0)</f>
        <v>305</v>
      </c>
      <c r="AD344" s="14"/>
    </row>
    <row r="345" spans="1:30" s="20" customFormat="1" ht="15.75" customHeight="1" x14ac:dyDescent="0.25">
      <c r="A345" s="25">
        <f ca="1">INDEX(INDIRECT(zoneFichierTraite),$J344+offsetInitialFichierTraite,2)</f>
        <v>72</v>
      </c>
      <c r="B345" s="57" t="str">
        <f ca="1">IF(ISERROR($P344),msgRefValmagAcreer,IF(INDEX(INDIRECT(zoneFichierEAN13Valmag),$P344,3) = "",msgCodeValmagVide, INDEX(INDIRECT(zoneFichierEAN13Valmag),$P344,3)))</f>
        <v xml:space="preserve"> </v>
      </c>
      <c r="C345" s="54" t="str">
        <f t="shared" ref="C345:C408" ca="1" si="1282">AA344</f>
        <v xml:space="preserve"> </v>
      </c>
      <c r="D345" s="19" t="str">
        <f ca="1">IFERROR(INDEX(INDIRECT(zoneFichierEAN13Valmag),$P344,4),"")</f>
        <v xml:space="preserve"> </v>
      </c>
      <c r="E345" s="58" t="str">
        <f ca="1">IFERROR(INDEX(INDIRECT(zoneFichierFiltreCatalogue),AC344,3),"")</f>
        <v>p064-2-01</v>
      </c>
      <c r="F345" s="19"/>
      <c r="G345" s="18"/>
      <c r="H345" s="32" t="str">
        <f ca="1">IFERROR(INDEX(INDIRECT(zoneFichierFiltreCatalogue),AC344,6),"")</f>
        <v>fall 2019 presentation_/catalogo fall 19.txt</v>
      </c>
      <c r="S345" s="1"/>
      <c r="T345" s="21"/>
      <c r="U345" s="21"/>
      <c r="V345" s="21"/>
      <c r="W345" s="21"/>
      <c r="X345" s="21"/>
      <c r="Y345" s="21"/>
      <c r="Z345" s="21"/>
      <c r="AA345" s="21"/>
      <c r="AB345" s="21"/>
      <c r="AC345" s="21"/>
    </row>
    <row r="346" spans="1:30" ht="39" customHeight="1" thickBot="1" x14ac:dyDescent="0.65">
      <c r="A346" s="9" t="str">
        <f ca="1">INDEX(INDIRECT(zoneFichierTraite),$J346+offsetInitialFichierTraite,6)</f>
        <v>UNICA</v>
      </c>
      <c r="B346" s="5" t="str">
        <f ca="1">INDEX(INDIRECT(zoneFichierTraite),$J346+offsetInitialFichierTraite,4)</f>
        <v>OBAGT002-FAS04-615</v>
      </c>
      <c r="C346" s="26" t="str">
        <f ca="1">INDEX(INDIRECT(zoneFichierTraite),$J346+offsetInitialFichierTraite,5)</f>
        <v>REVERS O BAG MINI EN FAUSSE FOURRURE MURMANSKY</v>
      </c>
      <c r="D346" s="27" t="str">
        <f ca="1">INDEX(INDIRECT(zoneFichierTraite),$J346+offsetInitialFichierTraite,13)</f>
        <v>military</v>
      </c>
      <c r="E346" s="30">
        <f ca="1">INDEX(INDIRECT(zoneFichierTraite),$J346+offsetInitialFichierTraite,7)</f>
        <v>2</v>
      </c>
      <c r="F346" s="28">
        <f ca="1">INDEX(INDIRECT(zoneFichierTraite),$J346+offsetInitialFichierTraite,8)</f>
        <v>24</v>
      </c>
      <c r="G346" s="29">
        <f t="shared" ref="G346:G409" ca="1" si="1283">ROUNDUP(F346*3,0)</f>
        <v>72</v>
      </c>
      <c r="H346" s="31" t="str">
        <f ca="1">IF(ISNUMBER(N346),codeEAN13(INT(N346/10)),"")</f>
        <v>8APASOG*ajbaif+</v>
      </c>
      <c r="I346" s="1" t="b">
        <f t="shared" ref="I346:I409" ca="1" si="1284">AND(A349&lt;&gt;0,A347=A349)</f>
        <v>0</v>
      </c>
      <c r="J346" s="15">
        <f t="shared" si="1220"/>
        <v>169</v>
      </c>
      <c r="K346" s="1">
        <f t="shared" ref="K346:K409" ca="1" si="1285">A347</f>
        <v>84</v>
      </c>
      <c r="L346" s="5" t="str">
        <f ca="1">INDEX(INDIRECT(zoneFichierTraite),$J346+offsetInitialFichierTraite,1)</f>
        <v>'169</v>
      </c>
      <c r="M346" s="11">
        <f ca="1">INDEX(INDIRECT(zoneFichierTraite),$J346+offsetInitialFichierTraite,9)</f>
        <v>48</v>
      </c>
      <c r="N346" s="14">
        <f ca="1">INDEX(INDIRECT(zoneFichierTraite),$J346+offsetInitialFichierTraite,3)</f>
        <v>8050846091085</v>
      </c>
      <c r="O346" s="14"/>
      <c r="P346" s="56">
        <f ca="1">MATCH(N346,INDIRECT(nomFichierEAN13Valmag &amp; "!A:A"),0)</f>
        <v>786</v>
      </c>
      <c r="R346" s="50" t="str">
        <f t="shared" ref="R346:R377" ca="1" si="1286">LEFT(B346,14)</f>
        <v>OBAGT002-FAS04</v>
      </c>
      <c r="S346" s="52">
        <f ca="1">MATCH($R346,INDIRECT(nomFichierEAN13ValmagUniq &amp; "!A:A"),0)</f>
        <v>300</v>
      </c>
      <c r="T346" s="49" t="str">
        <f ca="1">IFERROR(INDEX(INDIRECT(zoneFichierEAN13ValmagUniq),S346,2),"")</f>
        <v xml:space="preserve"> </v>
      </c>
      <c r="U346" s="52">
        <f ca="1">MATCH($R346,INDIRECT(nomFichierEAN13ValmagUniq &amp; "!A" &amp; (S346+1) &amp; ":A" &amp;  (S346+10)),0)</f>
        <v>1</v>
      </c>
      <c r="V346" s="51">
        <f t="shared" ref="V346:V409" ca="1" si="1287">U346+S346</f>
        <v>301</v>
      </c>
      <c r="W346" s="49" t="str">
        <f ca="1">IFERROR(INDEX(INDIRECT(zoneFichierEAN13ValmagUniq),V346,2),"")</f>
        <v xml:space="preserve">MINIECOFOURRURE </v>
      </c>
      <c r="X346" s="52" t="e">
        <f ca="1">MATCH($R346,INDIRECT(nomFichierEAN13ValmagUniq &amp; "!A" &amp; (V346+1) &amp; ":A" &amp;  (V346+10)),0)</f>
        <v>#N/A</v>
      </c>
      <c r="Y346" s="51" t="e">
        <f t="shared" ref="Y346:Y409" ca="1" si="1288">X346+V346</f>
        <v>#N/A</v>
      </c>
      <c r="Z346" s="49" t="str">
        <f ca="1">IFERROR(INDEX(INDIRECT(zoneFichierEAN13ValmagUniq),Y346,2),"")</f>
        <v/>
      </c>
      <c r="AA346" s="53" t="str">
        <f t="shared" ref="AA346:AA409" ca="1" si="1289">T346 &amp; IF(W346="","", " | " &amp; W346) &amp; IF(Z346="","", " | " &amp;Z346)</f>
        <v xml:space="preserve">  | MINIECOFOURRURE </v>
      </c>
      <c r="AC346" s="55">
        <f ca="1">MATCH(B346,INDIRECT(nomFichierFiltreCatalogue &amp; "!B:B"),0)</f>
        <v>313</v>
      </c>
      <c r="AD346" s="14"/>
    </row>
    <row r="347" spans="1:30" s="20" customFormat="1" ht="15.75" customHeight="1" x14ac:dyDescent="0.25">
      <c r="A347" s="25">
        <f ca="1">INDEX(INDIRECT(zoneFichierTraite),$J346+offsetInitialFichierTraite,2)</f>
        <v>84</v>
      </c>
      <c r="B347" s="57" t="str">
        <f ca="1">IF(ISERROR($P346),msgRefValmagAcreer,IF(INDEX(INDIRECT(zoneFichierEAN13Valmag),$P346,3) = "",msgCodeValmagVide, INDEX(INDIRECT(zoneFichierEAN13Valmag),$P346,3)))</f>
        <v xml:space="preserve"> </v>
      </c>
      <c r="C347" s="54" t="str">
        <f t="shared" ref="C347:C410" ca="1" si="1290">AA346</f>
        <v xml:space="preserve">  | MINIECOFOURRURE </v>
      </c>
      <c r="D347" s="19" t="str">
        <f ca="1">IFERROR(INDEX(INDIRECT(zoneFichierEAN13Valmag),$P346,4),"")</f>
        <v xml:space="preserve"> </v>
      </c>
      <c r="E347" s="58" t="str">
        <f ca="1">IFERROR(INDEX(INDIRECT(zoneFichierFiltreCatalogue),AC346,3),"")</f>
        <v>p065-3-03</v>
      </c>
      <c r="F347" s="19"/>
      <c r="G347" s="18"/>
      <c r="H347" s="32" t="str">
        <f ca="1">IFERROR(INDEX(INDIRECT(zoneFichierFiltreCatalogue),AC346,6),"")</f>
        <v>fall 2019 presentation_/catalogo fall 19.txt</v>
      </c>
      <c r="S347" s="1"/>
      <c r="T347" s="21"/>
      <c r="U347" s="21"/>
      <c r="V347" s="21"/>
      <c r="W347" s="21"/>
      <c r="X347" s="21"/>
      <c r="Y347" s="21"/>
      <c r="Z347" s="21"/>
      <c r="AA347" s="21"/>
      <c r="AB347" s="21"/>
      <c r="AC347" s="21"/>
    </row>
    <row r="348" spans="1:30" ht="39" customHeight="1" thickBot="1" x14ac:dyDescent="0.65">
      <c r="A348" s="9" t="str">
        <f ca="1">INDEX(INDIRECT(zoneFichierTraite),$J348+offsetInitialFichierTraite,6)</f>
        <v>UNICA</v>
      </c>
      <c r="B348" s="5" t="str">
        <f ca="1">INDEX(INDIRECT(zoneFichierTraite),$J348+offsetInitialFichierTraite,4)</f>
        <v>OBAGT002-FAS09-067</v>
      </c>
      <c r="C348" s="26" t="str">
        <f ca="1">INDEX(INDIRECT(zoneFichierTraite),$J348+offsetInitialFichierTraite,5)</f>
        <v>REVERS O BAG MINI EN FAUSSE FOURRURE LAPIN REX</v>
      </c>
      <c r="D348" s="27" t="str">
        <f ca="1">INDEX(INDIRECT(zoneFichierTraite),$J348+offsetInitialFichierTraite,13)</f>
        <v>phard</v>
      </c>
      <c r="E348" s="30">
        <f ca="1">INDEX(INDIRECT(zoneFichierTraite),$J348+offsetInitialFichierTraite,7)</f>
        <v>2</v>
      </c>
      <c r="F348" s="28">
        <f ca="1">INDEX(INDIRECT(zoneFichierTraite),$J348+offsetInitialFichierTraite,8)</f>
        <v>18.48</v>
      </c>
      <c r="G348" s="29">
        <f t="shared" ref="G348:G411" ca="1" si="1291">ROUNDUP(F348*3,0)</f>
        <v>56</v>
      </c>
      <c r="H348" s="31" t="str">
        <f ca="1">IF(ISNUMBER(N348),codeEAN13(INT(N348/10)),"")</f>
        <v>8APGKTJ*bhjjah+</v>
      </c>
      <c r="I348" s="1" t="b">
        <f t="shared" ref="I348:I411" ca="1" si="1292">AND(A351&lt;&gt;0,A349=A351)</f>
        <v>0</v>
      </c>
      <c r="J348" s="15">
        <f t="shared" si="1220"/>
        <v>170</v>
      </c>
      <c r="K348" s="1">
        <f t="shared" ref="K348:K411" ca="1" si="1293">A349</f>
        <v>53</v>
      </c>
      <c r="L348" s="5" t="str">
        <f ca="1">INDEX(INDIRECT(zoneFichierTraite),$J348+offsetInitialFichierTraite,1)</f>
        <v>'170</v>
      </c>
      <c r="M348" s="11">
        <f ca="1">INDEX(INDIRECT(zoneFichierTraite),$J348+offsetInitialFichierTraite,9)</f>
        <v>36.96</v>
      </c>
      <c r="N348" s="14">
        <f ca="1">INDEX(INDIRECT(zoneFichierTraite),$J348+offsetInitialFichierTraite,3)</f>
        <v>8056099179907</v>
      </c>
      <c r="O348" s="14"/>
      <c r="P348" s="56">
        <f ca="1">MATCH(N348,INDIRECT(nomFichierEAN13Valmag &amp; "!A:A"),0)</f>
        <v>1059</v>
      </c>
      <c r="R348" s="50" t="str">
        <f t="shared" ref="R348:R379" ca="1" si="1294">LEFT(B348,14)</f>
        <v>OBAGT002-FAS09</v>
      </c>
      <c r="S348" s="52">
        <f ca="1">MATCH($R348,INDIRECT(nomFichierEAN13ValmagUniq &amp; "!A:A"),0)</f>
        <v>302</v>
      </c>
      <c r="T348" s="49" t="str">
        <f ca="1">IFERROR(INDEX(INDIRECT(zoneFichierEAN13ValmagUniq),S348,2),"")</f>
        <v xml:space="preserve"> </v>
      </c>
      <c r="U348" s="52">
        <f ca="1">MATCH($R348,INDIRECT(nomFichierEAN13ValmagUniq &amp; "!A" &amp; (S348+1) &amp; ":A" &amp;  (S348+10)),0)</f>
        <v>1</v>
      </c>
      <c r="V348" s="51">
        <f t="shared" ref="V348:V411" ca="1" si="1295">U348+S348</f>
        <v>303</v>
      </c>
      <c r="W348" s="49" t="str">
        <f ca="1">IFERROR(INDEX(INDIRECT(zoneFichierEAN13ValmagUniq),V348,2),"")</f>
        <v xml:space="preserve">MINIECOFOURRURE </v>
      </c>
      <c r="X348" s="52" t="e">
        <f ca="1">MATCH($R348,INDIRECT(nomFichierEAN13ValmagUniq &amp; "!A" &amp; (V348+1) &amp; ":A" &amp;  (V348+10)),0)</f>
        <v>#N/A</v>
      </c>
      <c r="Y348" s="51" t="e">
        <f t="shared" ref="Y348:Y411" ca="1" si="1296">X348+V348</f>
        <v>#N/A</v>
      </c>
      <c r="Z348" s="49" t="str">
        <f ca="1">IFERROR(INDEX(INDIRECT(zoneFichierEAN13ValmagUniq),Y348,2),"")</f>
        <v/>
      </c>
      <c r="AA348" s="53" t="str">
        <f t="shared" ref="AA348:AA411" ca="1" si="1297">T348 &amp; IF(W348="","", " | " &amp; W348) &amp; IF(Z348="","", " | " &amp;Z348)</f>
        <v xml:space="preserve">  | MINIECOFOURRURE </v>
      </c>
      <c r="AC348" s="55">
        <f ca="1">MATCH(B348,INDIRECT(nomFichierFiltreCatalogue &amp; "!B:B"),0)</f>
        <v>317</v>
      </c>
      <c r="AD348" s="14"/>
    </row>
    <row r="349" spans="1:30" s="20" customFormat="1" ht="15.75" customHeight="1" x14ac:dyDescent="0.25">
      <c r="A349" s="25">
        <f ca="1">INDEX(INDIRECT(zoneFichierTraite),$J348+offsetInitialFichierTraite,2)</f>
        <v>53</v>
      </c>
      <c r="B349" s="57" t="str">
        <f ca="1">IF(ISERROR($P348),msgRefValmagAcreer,IF(INDEX(INDIRECT(zoneFichierEAN13Valmag),$P348,3) = "",msgCodeValmagVide, INDEX(INDIRECT(zoneFichierEAN13Valmag),$P348,3)))</f>
        <v xml:space="preserve">MINIECOFOURRURE </v>
      </c>
      <c r="C349" s="54" t="str">
        <f t="shared" ref="C349:C412" ca="1" si="1298">AA348</f>
        <v xml:space="preserve">  | MINIECOFOURRURE </v>
      </c>
      <c r="D349" s="19" t="str">
        <f ca="1">IFERROR(INDEX(INDIRECT(zoneFichierEAN13Valmag),$P348,4),"")</f>
        <v>LAPHA</v>
      </c>
      <c r="E349" s="58" t="str">
        <f ca="1">IFERROR(INDEX(INDIRECT(zoneFichierFiltreCatalogue),AC348,3),"")</f>
        <v>p067-1-04</v>
      </c>
      <c r="F349" s="19"/>
      <c r="G349" s="18"/>
      <c r="H349" s="32" t="str">
        <f ca="1">IFERROR(INDEX(INDIRECT(zoneFichierFiltreCatalogue),AC348,6),"")</f>
        <v>fall 2019 presentation_/catalogo fall 19.txt</v>
      </c>
      <c r="S349" s="1"/>
      <c r="T349" s="21"/>
      <c r="U349" s="21"/>
      <c r="V349" s="21"/>
      <c r="W349" s="21"/>
      <c r="X349" s="21"/>
      <c r="Y349" s="21"/>
      <c r="Z349" s="21"/>
      <c r="AA349" s="21"/>
      <c r="AB349" s="21"/>
      <c r="AC349" s="21"/>
    </row>
    <row r="350" spans="1:30" ht="39" customHeight="1" thickBot="1" x14ac:dyDescent="0.65">
      <c r="A350" s="9" t="str">
        <f ca="1">INDEX(INDIRECT(zoneFichierTraite),$J350+offsetInitialFichierTraite,6)</f>
        <v>UNICA</v>
      </c>
      <c r="B350" s="5" t="str">
        <f ca="1">INDEX(INDIRECT(zoneFichierTraite),$J350+offsetInitialFichierTraite,4)</f>
        <v>OBAGT002-FAS09-615</v>
      </c>
      <c r="C350" s="26" t="str">
        <f ca="1">INDEX(INDIRECT(zoneFichierTraite),$J350+offsetInitialFichierTraite,5)</f>
        <v>REVERS O BAG MINI EN FAUSSE FOURRURE LAPIN REX</v>
      </c>
      <c r="D350" s="27" t="str">
        <f ca="1">INDEX(INDIRECT(zoneFichierTraite),$J350+offsetInitialFichierTraite,13)</f>
        <v>military</v>
      </c>
      <c r="E350" s="30">
        <f ca="1">INDEX(INDIRECT(zoneFichierTraite),$J350+offsetInitialFichierTraite,7)</f>
        <v>2</v>
      </c>
      <c r="F350" s="28">
        <f ca="1">INDEX(INDIRECT(zoneFichierTraite),$J350+offsetInitialFichierTraite,8)</f>
        <v>18.48</v>
      </c>
      <c r="G350" s="29">
        <f t="shared" ref="G350:G413" ca="1" si="1299">ROUNDUP(F350*3,0)</f>
        <v>56</v>
      </c>
      <c r="H350" s="31" t="str">
        <f ca="1">IF(ISNUMBER(N350),codeEAN13(INT(N350/10)),"")</f>
        <v>8APASOG*ajbbbf+</v>
      </c>
      <c r="I350" s="1" t="b">
        <f t="shared" ref="I350:I413" ca="1" si="1300">AND(A353&lt;&gt;0,A351=A353)</f>
        <v>0</v>
      </c>
      <c r="J350" s="15">
        <f t="shared" si="1220"/>
        <v>171</v>
      </c>
      <c r="K350" s="1">
        <f t="shared" ref="K350:K413" ca="1" si="1301">A351</f>
        <v>126</v>
      </c>
      <c r="L350" s="5" t="str">
        <f ca="1">INDEX(INDIRECT(zoneFichierTraite),$J350+offsetInitialFichierTraite,1)</f>
        <v>'171</v>
      </c>
      <c r="M350" s="11">
        <f ca="1">INDEX(INDIRECT(zoneFichierTraite),$J350+offsetInitialFichierTraite,9)</f>
        <v>36.96</v>
      </c>
      <c r="N350" s="14">
        <f ca="1">INDEX(INDIRECT(zoneFichierTraite),$J350+offsetInitialFichierTraite,3)</f>
        <v>8050846091115</v>
      </c>
      <c r="O350" s="14"/>
      <c r="P350" s="56">
        <f ca="1">MATCH(N350,INDIRECT(nomFichierEAN13Valmag &amp; "!A:A"),0)</f>
        <v>789</v>
      </c>
      <c r="R350" s="50" t="str">
        <f t="shared" ref="R350:R381" ca="1" si="1302">LEFT(B350,14)</f>
        <v>OBAGT002-FAS09</v>
      </c>
      <c r="S350" s="52">
        <f ca="1">MATCH($R350,INDIRECT(nomFichierEAN13ValmagUniq &amp; "!A:A"),0)</f>
        <v>302</v>
      </c>
      <c r="T350" s="49" t="str">
        <f ca="1">IFERROR(INDEX(INDIRECT(zoneFichierEAN13ValmagUniq),S350,2),"")</f>
        <v xml:space="preserve"> </v>
      </c>
      <c r="U350" s="52">
        <f ca="1">MATCH($R350,INDIRECT(nomFichierEAN13ValmagUniq &amp; "!A" &amp; (S350+1) &amp; ":A" &amp;  (S350+10)),0)</f>
        <v>1</v>
      </c>
      <c r="V350" s="51">
        <f t="shared" ref="V350:V413" ca="1" si="1303">U350+S350</f>
        <v>303</v>
      </c>
      <c r="W350" s="49" t="str">
        <f ca="1">IFERROR(INDEX(INDIRECT(zoneFichierEAN13ValmagUniq),V350,2),"")</f>
        <v xml:space="preserve">MINIECOFOURRURE </v>
      </c>
      <c r="X350" s="52" t="e">
        <f ca="1">MATCH($R350,INDIRECT(nomFichierEAN13ValmagUniq &amp; "!A" &amp; (V350+1) &amp; ":A" &amp;  (V350+10)),0)</f>
        <v>#N/A</v>
      </c>
      <c r="Y350" s="51" t="e">
        <f t="shared" ref="Y350:Y413" ca="1" si="1304">X350+V350</f>
        <v>#N/A</v>
      </c>
      <c r="Z350" s="49" t="str">
        <f ca="1">IFERROR(INDEX(INDIRECT(zoneFichierEAN13ValmagUniq),Y350,2),"")</f>
        <v/>
      </c>
      <c r="AA350" s="53" t="str">
        <f t="shared" ref="AA350:AA413" ca="1" si="1305">T350 &amp; IF(W350="","", " | " &amp; W350) &amp; IF(Z350="","", " | " &amp;Z350)</f>
        <v xml:space="preserve">  | MINIECOFOURRURE </v>
      </c>
      <c r="AC350" s="55">
        <f ca="1">MATCH(B350,INDIRECT(nomFichierFiltreCatalogue &amp; "!B:B"),0)</f>
        <v>321</v>
      </c>
      <c r="AD350" s="14"/>
    </row>
    <row r="351" spans="1:30" s="20" customFormat="1" ht="15.75" customHeight="1" x14ac:dyDescent="0.25">
      <c r="A351" s="25">
        <f ca="1">INDEX(INDIRECT(zoneFichierTraite),$J350+offsetInitialFichierTraite,2)</f>
        <v>126</v>
      </c>
      <c r="B351" s="57" t="str">
        <f ca="1">IF(ISERROR($P350),msgRefValmagAcreer,IF(INDEX(INDIRECT(zoneFichierEAN13Valmag),$P350,3) = "",msgCodeValmagVide, INDEX(INDIRECT(zoneFichierEAN13Valmag),$P350,3)))</f>
        <v xml:space="preserve"> </v>
      </c>
      <c r="C351" s="54" t="str">
        <f t="shared" ref="C351:C414" ca="1" si="1306">AA350</f>
        <v xml:space="preserve">  | MINIECOFOURRURE </v>
      </c>
      <c r="D351" s="19" t="str">
        <f ca="1">IFERROR(INDEX(INDIRECT(zoneFichierEAN13Valmag),$P350,4),"")</f>
        <v xml:space="preserve"> </v>
      </c>
      <c r="E351" s="58" t="str">
        <f ca="1">IFERROR(INDEX(INDIRECT(zoneFichierFiltreCatalogue),AC350,3),"")</f>
        <v>p067-1-08</v>
      </c>
      <c r="F351" s="19"/>
      <c r="G351" s="18"/>
      <c r="H351" s="32" t="str">
        <f ca="1">IFERROR(INDEX(INDIRECT(zoneFichierFiltreCatalogue),AC350,6),"")</f>
        <v>fall 2019 presentation_/catalogo fall 19.txt</v>
      </c>
      <c r="S351" s="1"/>
      <c r="T351" s="21"/>
      <c r="U351" s="21"/>
      <c r="V351" s="21"/>
      <c r="W351" s="21"/>
      <c r="X351" s="21"/>
      <c r="Y351" s="21"/>
      <c r="Z351" s="21"/>
      <c r="AA351" s="21"/>
      <c r="AB351" s="21"/>
      <c r="AC351" s="21"/>
    </row>
    <row r="352" spans="1:30" ht="39" customHeight="1" thickBot="1" x14ac:dyDescent="0.65">
      <c r="A352" s="9" t="str">
        <f ca="1">INDEX(INDIRECT(zoneFichierTraite),$J352+offsetInitialFichierTraite,6)</f>
        <v>UNICA</v>
      </c>
      <c r="B352" s="5" t="str">
        <f ca="1">INDEX(INDIRECT(zoneFichierTraite),$J352+offsetInitialFichierTraite,4)</f>
        <v>OBAGT002-FAS58-078</v>
      </c>
      <c r="C352" s="26" t="str">
        <f ca="1">INDEX(INDIRECT(zoneFichierTraite),$J352+offsetInitialFichierTraite,5)</f>
        <v>REVERS O BAG MINI EN FAUSSE FOURRURE CASTOR</v>
      </c>
      <c r="D352" s="27" t="str">
        <f ca="1">INDEX(INDIRECT(zoneFichierTraite),$J352+offsetInitialFichierTraite,13)</f>
        <v>sabbia</v>
      </c>
      <c r="E352" s="30">
        <f ca="1">INDEX(INDIRECT(zoneFichierTraite),$J352+offsetInitialFichierTraite,7)</f>
        <v>2</v>
      </c>
      <c r="F352" s="28">
        <f ca="1">INDEX(INDIRECT(zoneFichierTraite),$J352+offsetInitialFichierTraite,8)</f>
        <v>24.07</v>
      </c>
      <c r="G352" s="29">
        <f t="shared" ref="G352:G415" ca="1" si="1307">ROUNDUP(F352*3,0)</f>
        <v>73</v>
      </c>
      <c r="H352" s="31" t="str">
        <f ca="1">IF(ISNUMBER(N352),codeEAN13(INT(N352/10)),"")</f>
        <v>8APASOG*ajbagb+</v>
      </c>
      <c r="I352" s="1" t="b">
        <f t="shared" ref="I352:I415" ca="1" si="1308">AND(A355&lt;&gt;0,A353=A355)</f>
        <v>0</v>
      </c>
      <c r="J352" s="15">
        <f t="shared" si="1220"/>
        <v>172</v>
      </c>
      <c r="K352" s="1">
        <f t="shared" ref="K352:K415" ca="1" si="1309">A353</f>
        <v>39</v>
      </c>
      <c r="L352" s="5" t="str">
        <f ca="1">INDEX(INDIRECT(zoneFichierTraite),$J352+offsetInitialFichierTraite,1)</f>
        <v>'172</v>
      </c>
      <c r="M352" s="11">
        <f ca="1">INDEX(INDIRECT(zoneFichierTraite),$J352+offsetInitialFichierTraite,9)</f>
        <v>48.14</v>
      </c>
      <c r="N352" s="14">
        <f ca="1">INDEX(INDIRECT(zoneFichierTraite),$J352+offsetInitialFichierTraite,3)</f>
        <v>8050846091061</v>
      </c>
      <c r="O352" s="14"/>
      <c r="P352" s="56">
        <f ca="1">MATCH(N352,INDIRECT(nomFichierEAN13Valmag &amp; "!A:A"),0)</f>
        <v>784</v>
      </c>
      <c r="R352" s="50" t="str">
        <f t="shared" ref="R352:R383" ca="1" si="1310">LEFT(B352,14)</f>
        <v>OBAGT002-FAS58</v>
      </c>
      <c r="S352" s="52">
        <f ca="1">MATCH($R352,INDIRECT(nomFichierEAN13ValmagUniq &amp; "!A:A"),0)</f>
        <v>304</v>
      </c>
      <c r="T352" s="49" t="str">
        <f ca="1">IFERROR(INDEX(INDIRECT(zoneFichierEAN13ValmagUniq),S352,2),"")</f>
        <v xml:space="preserve"> </v>
      </c>
      <c r="U352" s="52" t="e">
        <f ca="1">MATCH($R352,INDIRECT(nomFichierEAN13ValmagUniq &amp; "!A" &amp; (S352+1) &amp; ":A" &amp;  (S352+10)),0)</f>
        <v>#N/A</v>
      </c>
      <c r="V352" s="51" t="e">
        <f t="shared" ref="V352:V415" ca="1" si="1311">U352+S352</f>
        <v>#N/A</v>
      </c>
      <c r="W352" s="49" t="str">
        <f ca="1">IFERROR(INDEX(INDIRECT(zoneFichierEAN13ValmagUniq),V352,2),"")</f>
        <v/>
      </c>
      <c r="X352" s="52" t="e">
        <f ca="1">MATCH($R352,INDIRECT(nomFichierEAN13ValmagUniq &amp; "!A" &amp; (V352+1) &amp; ":A" &amp;  (V352+10)),0)</f>
        <v>#N/A</v>
      </c>
      <c r="Y352" s="51" t="e">
        <f t="shared" ref="Y352:Y415" ca="1" si="1312">X352+V352</f>
        <v>#N/A</v>
      </c>
      <c r="Z352" s="49" t="str">
        <f ca="1">IFERROR(INDEX(INDIRECT(zoneFichierEAN13ValmagUniq),Y352,2),"")</f>
        <v/>
      </c>
      <c r="AA352" s="53" t="str">
        <f t="shared" ref="AA352:AA415" ca="1" si="1313">T352 &amp; IF(W352="","", " | " &amp; W352) &amp; IF(Z352="","", " | " &amp;Z352)</f>
        <v xml:space="preserve"> </v>
      </c>
      <c r="AC352" s="55">
        <f ca="1">MATCH(B352,INDIRECT(nomFichierFiltreCatalogue &amp; "!B:B"),0)</f>
        <v>322</v>
      </c>
      <c r="AD352" s="14"/>
    </row>
    <row r="353" spans="1:30" s="20" customFormat="1" ht="15.75" customHeight="1" x14ac:dyDescent="0.25">
      <c r="A353" s="25">
        <f ca="1">INDEX(INDIRECT(zoneFichierTraite),$J352+offsetInitialFichierTraite,2)</f>
        <v>39</v>
      </c>
      <c r="B353" s="57" t="str">
        <f ca="1">IF(ISERROR($P352),msgRefValmagAcreer,IF(INDEX(INDIRECT(zoneFichierEAN13Valmag),$P352,3) = "",msgCodeValmagVide, INDEX(INDIRECT(zoneFichierEAN13Valmag),$P352,3)))</f>
        <v xml:space="preserve"> </v>
      </c>
      <c r="C353" s="54" t="str">
        <f t="shared" ref="C353:C416" ca="1" si="1314">AA352</f>
        <v xml:space="preserve"> </v>
      </c>
      <c r="D353" s="19" t="str">
        <f ca="1">IFERROR(INDEX(INDIRECT(zoneFichierEAN13Valmag),$P352,4),"")</f>
        <v xml:space="preserve"> </v>
      </c>
      <c r="E353" s="58" t="str">
        <f ca="1">IFERROR(INDEX(INDIRECT(zoneFichierFiltreCatalogue),AC352,3),"")</f>
        <v>p068-1-01</v>
      </c>
      <c r="F353" s="19"/>
      <c r="G353" s="18"/>
      <c r="H353" s="32" t="str">
        <f ca="1">IFERROR(INDEX(INDIRECT(zoneFichierFiltreCatalogue),AC352,6),"")</f>
        <v>fall 2019 presentation_/catalogo fall 19.txt</v>
      </c>
      <c r="S353" s="1"/>
      <c r="T353" s="21"/>
      <c r="U353" s="21"/>
      <c r="V353" s="21"/>
      <c r="W353" s="21"/>
      <c r="X353" s="21"/>
      <c r="Y353" s="21"/>
      <c r="Z353" s="21"/>
      <c r="AA353" s="21"/>
      <c r="AB353" s="21"/>
      <c r="AC353" s="21"/>
    </row>
    <row r="354" spans="1:30" ht="39" customHeight="1" thickBot="1" x14ac:dyDescent="0.65">
      <c r="A354" s="9" t="str">
        <f ca="1">INDEX(INDIRECT(zoneFichierTraite),$J354+offsetInitialFichierTraite,6)</f>
        <v>UNICA</v>
      </c>
      <c r="B354" s="5" t="str">
        <f ca="1">INDEX(INDIRECT(zoneFichierTraite),$J354+offsetInitialFichierTraite,4)</f>
        <v>OBAGT002-FAS58-084</v>
      </c>
      <c r="C354" s="26" t="str">
        <f ca="1">INDEX(INDIRECT(zoneFichierTraite),$J354+offsetInitialFichierTraite,5)</f>
        <v>REVERS O BAG MINI EN FAUSSE FOURRURE CASTOR</v>
      </c>
      <c r="D354" s="27" t="str">
        <f ca="1">INDEX(INDIRECT(zoneFichierTraite),$J354+offsetInitialFichierTraite,13)</f>
        <v>testa di moro</v>
      </c>
      <c r="E354" s="30">
        <f ca="1">INDEX(INDIRECT(zoneFichierTraite),$J354+offsetInitialFichierTraite,7)</f>
        <v>2</v>
      </c>
      <c r="F354" s="28">
        <f ca="1">INDEX(INDIRECT(zoneFichierTraite),$J354+offsetInitialFichierTraite,8)</f>
        <v>24.07</v>
      </c>
      <c r="G354" s="29">
        <f t="shared" ref="G354:G417" ca="1" si="1315">ROUNDUP(F354*3,0)</f>
        <v>73</v>
      </c>
      <c r="H354" s="31" t="str">
        <f ca="1">IF(ISNUMBER(N354),codeEAN13(INT(N354/10)),"")</f>
        <v>8APASOG*ajbahi+</v>
      </c>
      <c r="I354" s="1" t="b">
        <f t="shared" ref="I354:I417" ca="1" si="1316">AND(A357&lt;&gt;0,A355=A357)</f>
        <v>0</v>
      </c>
      <c r="J354" s="15">
        <f t="shared" si="1220"/>
        <v>173</v>
      </c>
      <c r="K354" s="1">
        <f t="shared" ref="K354:K417" ca="1" si="1317">A355</f>
        <v>135</v>
      </c>
      <c r="L354" s="5" t="str">
        <f ca="1">INDEX(INDIRECT(zoneFichierTraite),$J354+offsetInitialFichierTraite,1)</f>
        <v>'173</v>
      </c>
      <c r="M354" s="11">
        <f ca="1">INDEX(INDIRECT(zoneFichierTraite),$J354+offsetInitialFichierTraite,9)</f>
        <v>48.14</v>
      </c>
      <c r="N354" s="14">
        <f ca="1">INDEX(INDIRECT(zoneFichierTraite),$J354+offsetInitialFichierTraite,3)</f>
        <v>8050846091078</v>
      </c>
      <c r="O354" s="14"/>
      <c r="P354" s="56">
        <f ca="1">MATCH(N354,INDIRECT(nomFichierEAN13Valmag &amp; "!A:A"),0)</f>
        <v>785</v>
      </c>
      <c r="R354" s="50" t="str">
        <f t="shared" ref="R354:R385" ca="1" si="1318">LEFT(B354,14)</f>
        <v>OBAGT002-FAS58</v>
      </c>
      <c r="S354" s="52">
        <f ca="1">MATCH($R354,INDIRECT(nomFichierEAN13ValmagUniq &amp; "!A:A"),0)</f>
        <v>304</v>
      </c>
      <c r="T354" s="49" t="str">
        <f ca="1">IFERROR(INDEX(INDIRECT(zoneFichierEAN13ValmagUniq),S354,2),"")</f>
        <v xml:space="preserve"> </v>
      </c>
      <c r="U354" s="52" t="e">
        <f ca="1">MATCH($R354,INDIRECT(nomFichierEAN13ValmagUniq &amp; "!A" &amp; (S354+1) &amp; ":A" &amp;  (S354+10)),0)</f>
        <v>#N/A</v>
      </c>
      <c r="V354" s="51" t="e">
        <f t="shared" ref="V354:V417" ca="1" si="1319">U354+S354</f>
        <v>#N/A</v>
      </c>
      <c r="W354" s="49" t="str">
        <f ca="1">IFERROR(INDEX(INDIRECT(zoneFichierEAN13ValmagUniq),V354,2),"")</f>
        <v/>
      </c>
      <c r="X354" s="52" t="e">
        <f ca="1">MATCH($R354,INDIRECT(nomFichierEAN13ValmagUniq &amp; "!A" &amp; (V354+1) &amp; ":A" &amp;  (V354+10)),0)</f>
        <v>#N/A</v>
      </c>
      <c r="Y354" s="51" t="e">
        <f t="shared" ref="Y354:Y417" ca="1" si="1320">X354+V354</f>
        <v>#N/A</v>
      </c>
      <c r="Z354" s="49" t="str">
        <f ca="1">IFERROR(INDEX(INDIRECT(zoneFichierEAN13ValmagUniq),Y354,2),"")</f>
        <v/>
      </c>
      <c r="AA354" s="53" t="str">
        <f t="shared" ref="AA354:AA417" ca="1" si="1321">T354 &amp; IF(W354="","", " | " &amp; W354) &amp; IF(Z354="","", " | " &amp;Z354)</f>
        <v xml:space="preserve"> </v>
      </c>
      <c r="AC354" s="55">
        <f ca="1">MATCH(B354,INDIRECT(nomFichierFiltreCatalogue &amp; "!B:B"),0)</f>
        <v>323</v>
      </c>
      <c r="AD354" s="14"/>
    </row>
    <row r="355" spans="1:30" s="20" customFormat="1" ht="15.75" customHeight="1" x14ac:dyDescent="0.25">
      <c r="A355" s="25">
        <f ca="1">INDEX(INDIRECT(zoneFichierTraite),$J354+offsetInitialFichierTraite,2)</f>
        <v>135</v>
      </c>
      <c r="B355" s="57" t="str">
        <f ca="1">IF(ISERROR($P354),msgRefValmagAcreer,IF(INDEX(INDIRECT(zoneFichierEAN13Valmag),$P354,3) = "",msgCodeValmagVide, INDEX(INDIRECT(zoneFichierEAN13Valmag),$P354,3)))</f>
        <v xml:space="preserve"> </v>
      </c>
      <c r="C355" s="54" t="str">
        <f t="shared" ref="C355:C418" ca="1" si="1322">AA354</f>
        <v xml:space="preserve"> </v>
      </c>
      <c r="D355" s="19" t="str">
        <f ca="1">IFERROR(INDEX(INDIRECT(zoneFichierEAN13Valmag),$P354,4),"")</f>
        <v xml:space="preserve"> </v>
      </c>
      <c r="E355" s="58" t="str">
        <f ca="1">IFERROR(INDEX(INDIRECT(zoneFichierFiltreCatalogue),AC354,3),"")</f>
        <v>p068-1-02</v>
      </c>
      <c r="F355" s="19"/>
      <c r="G355" s="18"/>
      <c r="H355" s="32" t="str">
        <f ca="1">IFERROR(INDEX(INDIRECT(zoneFichierFiltreCatalogue),AC354,6),"")</f>
        <v>fall 2019 presentation_/catalogo fall 19.txt</v>
      </c>
      <c r="S355" s="1"/>
      <c r="T355" s="21"/>
      <c r="U355" s="21"/>
      <c r="V355" s="21"/>
      <c r="W355" s="21"/>
      <c r="X355" s="21"/>
      <c r="Y355" s="21"/>
      <c r="Z355" s="21"/>
      <c r="AA355" s="21"/>
      <c r="AB355" s="21"/>
      <c r="AC355" s="21"/>
    </row>
    <row r="356" spans="1:30" ht="39" customHeight="1" thickBot="1" x14ac:dyDescent="0.65">
      <c r="A356" s="9" t="str">
        <f ca="1">INDEX(INDIRECT(zoneFichierTraite),$J356+offsetInitialFichierTraite,6)</f>
        <v>UNICA</v>
      </c>
      <c r="B356" s="5" t="str">
        <f ca="1">INDEX(INDIRECT(zoneFichierTraite),$J356+offsetInitialFichierTraite,4)</f>
        <v>OBAGT002-FAS59-227</v>
      </c>
      <c r="C356" s="26" t="str">
        <f ca="1">INDEX(INDIRECT(zoneFichierTraite),$J356+offsetInitialFichierTraite,5)</f>
        <v>REVERS O BAG MINI EN FAUSSE FOURRURE LAPIN MARBLE</v>
      </c>
      <c r="D356" s="27" t="str">
        <f ca="1">INDEX(INDIRECT(zoneFichierTraite),$J356+offsetInitialFichierTraite,13)</f>
        <v>bianco/nero</v>
      </c>
      <c r="E356" s="30">
        <f ca="1">INDEX(INDIRECT(zoneFichierTraite),$J356+offsetInitialFichierTraite,7)</f>
        <v>2</v>
      </c>
      <c r="F356" s="28">
        <f ca="1">INDEX(INDIRECT(zoneFichierTraite),$J356+offsetInitialFichierTraite,8)</f>
        <v>20.37</v>
      </c>
      <c r="G356" s="29">
        <f t="shared" ref="G356:G419" ca="1" si="1323">ROUNDUP(F356*3,0)</f>
        <v>62</v>
      </c>
      <c r="H356" s="31" t="str">
        <f ca="1">IF(ISNUMBER(N356),codeEAN13(INT(N356/10)),"")</f>
        <v>8APASOG*ajbajc+</v>
      </c>
      <c r="I356" s="1" t="b">
        <f t="shared" ref="I356:I419" ca="1" si="1324">AND(A359&lt;&gt;0,A357=A359)</f>
        <v>0</v>
      </c>
      <c r="J356" s="15">
        <f t="shared" si="1220"/>
        <v>174</v>
      </c>
      <c r="K356" s="1">
        <f t="shared" ref="K356:K419" ca="1" si="1325">A357</f>
        <v>68</v>
      </c>
      <c r="L356" s="5" t="str">
        <f ca="1">INDEX(INDIRECT(zoneFichierTraite),$J356+offsetInitialFichierTraite,1)</f>
        <v>'174</v>
      </c>
      <c r="M356" s="11">
        <f ca="1">INDEX(INDIRECT(zoneFichierTraite),$J356+offsetInitialFichierTraite,9)</f>
        <v>40.74</v>
      </c>
      <c r="N356" s="14">
        <f ca="1">INDEX(INDIRECT(zoneFichierTraite),$J356+offsetInitialFichierTraite,3)</f>
        <v>8050846091092</v>
      </c>
      <c r="O356" s="14"/>
      <c r="P356" s="56">
        <f ca="1">MATCH(N356,INDIRECT(nomFichierEAN13Valmag &amp; "!A:A"),0)</f>
        <v>787</v>
      </c>
      <c r="R356" s="50" t="str">
        <f t="shared" ref="R356:R387" ca="1" si="1326">LEFT(B356,14)</f>
        <v>OBAGT002-FAS59</v>
      </c>
      <c r="S356" s="52">
        <f ca="1">MATCH($R356,INDIRECT(nomFichierEAN13ValmagUniq &amp; "!A:A"),0)</f>
        <v>305</v>
      </c>
      <c r="T356" s="49" t="str">
        <f ca="1">IFERROR(INDEX(INDIRECT(zoneFichierEAN13ValmagUniq),S356,2),"")</f>
        <v xml:space="preserve"> </v>
      </c>
      <c r="U356" s="52" t="e">
        <f ca="1">MATCH($R356,INDIRECT(nomFichierEAN13ValmagUniq &amp; "!A" &amp; (S356+1) &amp; ":A" &amp;  (S356+10)),0)</f>
        <v>#N/A</v>
      </c>
      <c r="V356" s="51" t="e">
        <f t="shared" ref="V356:V419" ca="1" si="1327">U356+S356</f>
        <v>#N/A</v>
      </c>
      <c r="W356" s="49" t="str">
        <f ca="1">IFERROR(INDEX(INDIRECT(zoneFichierEAN13ValmagUniq),V356,2),"")</f>
        <v/>
      </c>
      <c r="X356" s="52" t="e">
        <f ca="1">MATCH($R356,INDIRECT(nomFichierEAN13ValmagUniq &amp; "!A" &amp; (V356+1) &amp; ":A" &amp;  (V356+10)),0)</f>
        <v>#N/A</v>
      </c>
      <c r="Y356" s="51" t="e">
        <f t="shared" ref="Y356:Y419" ca="1" si="1328">X356+V356</f>
        <v>#N/A</v>
      </c>
      <c r="Z356" s="49" t="str">
        <f ca="1">IFERROR(INDEX(INDIRECT(zoneFichierEAN13ValmagUniq),Y356,2),"")</f>
        <v/>
      </c>
      <c r="AA356" s="53" t="str">
        <f t="shared" ref="AA356:AA419" ca="1" si="1329">T356 &amp; IF(W356="","", " | " &amp; W356) &amp; IF(Z356="","", " | " &amp;Z356)</f>
        <v xml:space="preserve"> </v>
      </c>
      <c r="AC356" s="55">
        <f ca="1">MATCH(B356,INDIRECT(nomFichierFiltreCatalogue &amp; "!B:B"),0)</f>
        <v>325</v>
      </c>
      <c r="AD356" s="14"/>
    </row>
    <row r="357" spans="1:30" s="20" customFormat="1" ht="15.75" customHeight="1" x14ac:dyDescent="0.25">
      <c r="A357" s="25">
        <f ca="1">INDEX(INDIRECT(zoneFichierTraite),$J356+offsetInitialFichierTraite,2)</f>
        <v>68</v>
      </c>
      <c r="B357" s="57" t="str">
        <f ca="1">IF(ISERROR($P356),msgRefValmagAcreer,IF(INDEX(INDIRECT(zoneFichierEAN13Valmag),$P356,3) = "",msgCodeValmagVide, INDEX(INDIRECT(zoneFichierEAN13Valmag),$P356,3)))</f>
        <v xml:space="preserve"> </v>
      </c>
      <c r="C357" s="54" t="str">
        <f t="shared" ref="C357:C420" ca="1" si="1330">AA356</f>
        <v xml:space="preserve"> </v>
      </c>
      <c r="D357" s="19" t="str">
        <f ca="1">IFERROR(INDEX(INDIRECT(zoneFichierEAN13Valmag),$P356,4),"")</f>
        <v xml:space="preserve"> </v>
      </c>
      <c r="E357" s="58" t="str">
        <f ca="1">IFERROR(INDEX(INDIRECT(zoneFichierFiltreCatalogue),AC356,3),"")</f>
        <v>p069-1-01</v>
      </c>
      <c r="F357" s="19"/>
      <c r="G357" s="18"/>
      <c r="H357" s="32" t="str">
        <f ca="1">IFERROR(INDEX(INDIRECT(zoneFichierFiltreCatalogue),AC356,6),"")</f>
        <v>fall 2019 presentation_/catalogo fall 19.txt</v>
      </c>
      <c r="S357" s="1"/>
      <c r="T357" s="21"/>
      <c r="U357" s="21"/>
      <c r="V357" s="21"/>
      <c r="W357" s="21"/>
      <c r="X357" s="21"/>
      <c r="Y357" s="21"/>
      <c r="Z357" s="21"/>
      <c r="AA357" s="21"/>
      <c r="AB357" s="21"/>
      <c r="AC357" s="21"/>
    </row>
    <row r="358" spans="1:30" ht="39" customHeight="1" thickBot="1" x14ac:dyDescent="0.65">
      <c r="A358" s="9" t="str">
        <f ca="1">INDEX(INDIRECT(zoneFichierTraite),$J358+offsetInitialFichierTraite,6)</f>
        <v>UNICA</v>
      </c>
      <c r="B358" s="5" t="str">
        <f ca="1">INDEX(INDIRECT(zoneFichierTraite),$J358+offsetInitialFichierTraite,4)</f>
        <v>OBAGT002-FAS60-227</v>
      </c>
      <c r="C358" s="26" t="str">
        <f ca="1">INDEX(INDIRECT(zoneFichierTraite),$J358+offsetInitialFichierTraite,5)</f>
        <v>REVERS O BAG MINI EN FAUSSE FOURRURE RENARD MARQUETEE</v>
      </c>
      <c r="D358" s="27" t="str">
        <f ca="1">INDEX(INDIRECT(zoneFichierTraite),$J358+offsetInitialFichierTraite,13)</f>
        <v>bianco/nero</v>
      </c>
      <c r="E358" s="30">
        <f ca="1">INDEX(INDIRECT(zoneFichierTraite),$J358+offsetInitialFichierTraite,7)</f>
        <v>2</v>
      </c>
      <c r="F358" s="28">
        <f ca="1">INDEX(INDIRECT(zoneFichierTraite),$J358+offsetInitialFichierTraite,8)</f>
        <v>27.04</v>
      </c>
      <c r="G358" s="29">
        <f t="shared" ref="G358:G421" ca="1" si="1331">ROUNDUP(F358*3,0)</f>
        <v>82</v>
      </c>
      <c r="H358" s="31" t="str">
        <f ca="1">IF(ISNUMBER(N358),codeEAN13(INT(N358/10)),"")</f>
        <v>8APASOG*ajbbai+</v>
      </c>
      <c r="I358" s="1" t="b">
        <f t="shared" ref="I358:I421" ca="1" si="1332">AND(A361&lt;&gt;0,A359=A361)</f>
        <v>0</v>
      </c>
      <c r="J358" s="15">
        <f t="shared" si="1220"/>
        <v>175</v>
      </c>
      <c r="K358" s="1">
        <f t="shared" ref="K358:K421" ca="1" si="1333">A359</f>
        <v>6</v>
      </c>
      <c r="L358" s="5" t="str">
        <f ca="1">INDEX(INDIRECT(zoneFichierTraite),$J358+offsetInitialFichierTraite,1)</f>
        <v>'175</v>
      </c>
      <c r="M358" s="11">
        <f ca="1">INDEX(INDIRECT(zoneFichierTraite),$J358+offsetInitialFichierTraite,9)</f>
        <v>54.08</v>
      </c>
      <c r="N358" s="14">
        <f ca="1">INDEX(INDIRECT(zoneFichierTraite),$J358+offsetInitialFichierTraite,3)</f>
        <v>8050846091108</v>
      </c>
      <c r="O358" s="14"/>
      <c r="P358" s="56">
        <f ca="1">MATCH(N358,INDIRECT(nomFichierEAN13Valmag &amp; "!A:A"),0)</f>
        <v>788</v>
      </c>
      <c r="R358" s="50" t="str">
        <f t="shared" ref="R358:R389" ca="1" si="1334">LEFT(B358,14)</f>
        <v>OBAGT002-FAS60</v>
      </c>
      <c r="S358" s="52">
        <f ca="1">MATCH($R358,INDIRECT(nomFichierEAN13ValmagUniq &amp; "!A:A"),0)</f>
        <v>306</v>
      </c>
      <c r="T358" s="49" t="str">
        <f ca="1">IFERROR(INDEX(INDIRECT(zoneFichierEAN13ValmagUniq),S358,2),"")</f>
        <v xml:space="preserve"> </v>
      </c>
      <c r="U358" s="52" t="e">
        <f ca="1">MATCH($R358,INDIRECT(nomFichierEAN13ValmagUniq &amp; "!A" &amp; (S358+1) &amp; ":A" &amp;  (S358+10)),0)</f>
        <v>#N/A</v>
      </c>
      <c r="V358" s="51" t="e">
        <f t="shared" ref="V358:V421" ca="1" si="1335">U358+S358</f>
        <v>#N/A</v>
      </c>
      <c r="W358" s="49" t="str">
        <f ca="1">IFERROR(INDEX(INDIRECT(zoneFichierEAN13ValmagUniq),V358,2),"")</f>
        <v/>
      </c>
      <c r="X358" s="52" t="e">
        <f ca="1">MATCH($R358,INDIRECT(nomFichierEAN13ValmagUniq &amp; "!A" &amp; (V358+1) &amp; ":A" &amp;  (V358+10)),0)</f>
        <v>#N/A</v>
      </c>
      <c r="Y358" s="51" t="e">
        <f t="shared" ref="Y358:Y421" ca="1" si="1336">X358+V358</f>
        <v>#N/A</v>
      </c>
      <c r="Z358" s="49" t="str">
        <f ca="1">IFERROR(INDEX(INDIRECT(zoneFichierEAN13ValmagUniq),Y358,2),"")</f>
        <v/>
      </c>
      <c r="AA358" s="53" t="str">
        <f t="shared" ref="AA358:AA421" ca="1" si="1337">T358 &amp; IF(W358="","", " | " &amp; W358) &amp; IF(Z358="","", " | " &amp;Z358)</f>
        <v xml:space="preserve"> </v>
      </c>
      <c r="AC358" s="55">
        <f ca="1">MATCH(B358,INDIRECT(nomFichierFiltreCatalogue &amp; "!B:B"),0)</f>
        <v>324</v>
      </c>
      <c r="AD358" s="14"/>
    </row>
    <row r="359" spans="1:30" s="20" customFormat="1" ht="15.75" customHeight="1" x14ac:dyDescent="0.25">
      <c r="A359" s="25">
        <f ca="1">INDEX(INDIRECT(zoneFichierTraite),$J358+offsetInitialFichierTraite,2)</f>
        <v>6</v>
      </c>
      <c r="B359" s="57" t="str">
        <f ca="1">IF(ISERROR($P358),msgRefValmagAcreer,IF(INDEX(INDIRECT(zoneFichierEAN13Valmag),$P358,3) = "",msgCodeValmagVide, INDEX(INDIRECT(zoneFichierEAN13Valmag),$P358,3)))</f>
        <v xml:space="preserve"> </v>
      </c>
      <c r="C359" s="54" t="str">
        <f t="shared" ref="C359:C422" ca="1" si="1338">AA358</f>
        <v xml:space="preserve"> </v>
      </c>
      <c r="D359" s="19" t="str">
        <f ca="1">IFERROR(INDEX(INDIRECT(zoneFichierEAN13Valmag),$P358,4),"")</f>
        <v xml:space="preserve"> </v>
      </c>
      <c r="E359" s="58" t="str">
        <f ca="1">IFERROR(INDEX(INDIRECT(zoneFichierFiltreCatalogue),AC358,3),"")</f>
        <v>p068-2-01</v>
      </c>
      <c r="F359" s="19"/>
      <c r="G359" s="18"/>
      <c r="H359" s="32" t="str">
        <f ca="1">IFERROR(INDEX(INDIRECT(zoneFichierFiltreCatalogue),AC358,6),"")</f>
        <v>fall 2019 presentation_/catalogo fall 19.txt</v>
      </c>
      <c r="S359" s="1"/>
      <c r="T359" s="21"/>
      <c r="U359" s="21"/>
      <c r="V359" s="21"/>
      <c r="W359" s="21"/>
      <c r="X359" s="21"/>
      <c r="Y359" s="21"/>
      <c r="Z359" s="21"/>
      <c r="AA359" s="21"/>
      <c r="AB359" s="21"/>
      <c r="AC359" s="21"/>
    </row>
    <row r="360" spans="1:30" ht="39" customHeight="1" thickBot="1" x14ac:dyDescent="0.65">
      <c r="A360" s="9" t="str">
        <f ca="1">INDEX(INDIRECT(zoneFichierTraite),$J360+offsetInitialFichierTraite,6)</f>
        <v>UNICA</v>
      </c>
      <c r="B360" s="5" t="str">
        <f ca="1">INDEX(INDIRECT(zoneFichierTraite),$J360+offsetInitialFichierTraite,4)</f>
        <v>OBAGT002-LAS43-017</v>
      </c>
      <c r="C360" s="26" t="str">
        <f ca="1">INDEX(INDIRECT(zoneFichierTraite),$J360+offsetInitialFichierTraite,5)</f>
        <v>REVERS O BAG MINI EN LAINE COPENHAGUE</v>
      </c>
      <c r="D360" s="27" t="str">
        <f ca="1">INDEX(INDIRECT(zoneFichierTraite),$J360+offsetInitialFichierTraite,13)</f>
        <v>blu navy</v>
      </c>
      <c r="E360" s="30">
        <f ca="1">INDEX(INDIRECT(zoneFichierTraite),$J360+offsetInitialFichierTraite,7)</f>
        <v>2</v>
      </c>
      <c r="F360" s="28">
        <f ca="1">INDEX(INDIRECT(zoneFichierTraite),$J360+offsetInitialFichierTraite,8)</f>
        <v>10.74</v>
      </c>
      <c r="G360" s="29">
        <f t="shared" ref="G360:G423" ca="1" si="1339">ROUNDUP(F360*3,0)</f>
        <v>33</v>
      </c>
      <c r="H360" s="31" t="str">
        <f ca="1">IF(ISNUMBER(N360),codeEAN13(INT(N360/10)),"")</f>
        <v>8APASOG*ajbada+</v>
      </c>
      <c r="I360" s="1" t="b">
        <f t="shared" ref="I360:I423" ca="1" si="1340">AND(A363&lt;&gt;0,A361=A363)</f>
        <v>0</v>
      </c>
      <c r="J360" s="15">
        <f t="shared" si="1220"/>
        <v>176</v>
      </c>
      <c r="K360" s="1">
        <f t="shared" ref="K360:K423" ca="1" si="1341">A361</f>
        <v>177</v>
      </c>
      <c r="L360" s="5" t="str">
        <f ca="1">INDEX(INDIRECT(zoneFichierTraite),$J360+offsetInitialFichierTraite,1)</f>
        <v>'176</v>
      </c>
      <c r="M360" s="11">
        <f ca="1">INDEX(INDIRECT(zoneFichierTraite),$J360+offsetInitialFichierTraite,9)</f>
        <v>21.48</v>
      </c>
      <c r="N360" s="14">
        <f ca="1">INDEX(INDIRECT(zoneFichierTraite),$J360+offsetInitialFichierTraite,3)</f>
        <v>8050846091030</v>
      </c>
      <c r="O360" s="14"/>
      <c r="P360" s="56">
        <f ca="1">MATCH(N360,INDIRECT(nomFichierEAN13Valmag &amp; "!A:A"),0)</f>
        <v>781</v>
      </c>
      <c r="R360" s="50" t="str">
        <f t="shared" ref="R360:R391" ca="1" si="1342">LEFT(B360,14)</f>
        <v>OBAGT002-LAS43</v>
      </c>
      <c r="S360" s="52">
        <f ca="1">MATCH($R360,INDIRECT(nomFichierEAN13ValmagUniq &amp; "!A:A"),0)</f>
        <v>308</v>
      </c>
      <c r="T360" s="49" t="str">
        <f ca="1">IFERROR(INDEX(INDIRECT(zoneFichierEAN13ValmagUniq),S360,2),"")</f>
        <v xml:space="preserve"> </v>
      </c>
      <c r="U360" s="52" t="e">
        <f ca="1">MATCH($R360,INDIRECT(nomFichierEAN13ValmagUniq &amp; "!A" &amp; (S360+1) &amp; ":A" &amp;  (S360+10)),0)</f>
        <v>#N/A</v>
      </c>
      <c r="V360" s="51" t="e">
        <f t="shared" ref="V360:V423" ca="1" si="1343">U360+S360</f>
        <v>#N/A</v>
      </c>
      <c r="W360" s="49" t="str">
        <f ca="1">IFERROR(INDEX(INDIRECT(zoneFichierEAN13ValmagUniq),V360,2),"")</f>
        <v/>
      </c>
      <c r="X360" s="52" t="e">
        <f ca="1">MATCH($R360,INDIRECT(nomFichierEAN13ValmagUniq &amp; "!A" &amp; (V360+1) &amp; ":A" &amp;  (V360+10)),0)</f>
        <v>#N/A</v>
      </c>
      <c r="Y360" s="51" t="e">
        <f t="shared" ref="Y360:Y423" ca="1" si="1344">X360+V360</f>
        <v>#N/A</v>
      </c>
      <c r="Z360" s="49" t="str">
        <f ca="1">IFERROR(INDEX(INDIRECT(zoneFichierEAN13ValmagUniq),Y360,2),"")</f>
        <v/>
      </c>
      <c r="AA360" s="53" t="str">
        <f t="shared" ref="AA360:AA423" ca="1" si="1345">T360 &amp; IF(W360="","", " | " &amp; W360) &amp; IF(Z360="","", " | " &amp;Z360)</f>
        <v xml:space="preserve"> </v>
      </c>
      <c r="AC360" s="55">
        <f ca="1">MATCH(B360,INDIRECT(nomFichierFiltreCatalogue &amp; "!B:B"),0)</f>
        <v>326</v>
      </c>
      <c r="AD360" s="14"/>
    </row>
    <row r="361" spans="1:30" s="20" customFormat="1" ht="15.75" customHeight="1" x14ac:dyDescent="0.25">
      <c r="A361" s="25">
        <f ca="1">INDEX(INDIRECT(zoneFichierTraite),$J360+offsetInitialFichierTraite,2)</f>
        <v>177</v>
      </c>
      <c r="B361" s="57" t="str">
        <f ca="1">IF(ISERROR($P360),msgRefValmagAcreer,IF(INDEX(INDIRECT(zoneFichierEAN13Valmag),$P360,3) = "",msgCodeValmagVide, INDEX(INDIRECT(zoneFichierEAN13Valmag),$P360,3)))</f>
        <v xml:space="preserve"> </v>
      </c>
      <c r="C361" s="54" t="str">
        <f t="shared" ref="C361:C424" ca="1" si="1346">AA360</f>
        <v xml:space="preserve"> </v>
      </c>
      <c r="D361" s="19" t="str">
        <f ca="1">IFERROR(INDEX(INDIRECT(zoneFichierEAN13Valmag),$P360,4),"")</f>
        <v xml:space="preserve"> </v>
      </c>
      <c r="E361" s="58" t="str">
        <f ca="1">IFERROR(INDEX(INDIRECT(zoneFichierFiltreCatalogue),AC360,3),"")</f>
        <v>p069-2-01</v>
      </c>
      <c r="F361" s="19"/>
      <c r="G361" s="18"/>
      <c r="H361" s="32" t="str">
        <f ca="1">IFERROR(INDEX(INDIRECT(zoneFichierFiltreCatalogue),AC360,6),"")</f>
        <v>fall 2019 presentation_/catalogo fall 19.txt</v>
      </c>
      <c r="S361" s="1"/>
      <c r="T361" s="21"/>
      <c r="U361" s="21"/>
      <c r="V361" s="21"/>
      <c r="W361" s="21"/>
      <c r="X361" s="21"/>
      <c r="Y361" s="21"/>
      <c r="Z361" s="21"/>
      <c r="AA361" s="21"/>
      <c r="AB361" s="21"/>
      <c r="AC361" s="21"/>
    </row>
    <row r="362" spans="1:30" ht="39" customHeight="1" thickBot="1" x14ac:dyDescent="0.65">
      <c r="A362" s="9" t="str">
        <f ca="1">INDEX(INDIRECT(zoneFichierTraite),$J362+offsetInitialFichierTraite,6)</f>
        <v>UNICA</v>
      </c>
      <c r="B362" s="5" t="str">
        <f ca="1">INDEX(INDIRECT(zoneFichierTraite),$J362+offsetInitialFichierTraite,4)</f>
        <v>OBAGT002-LAS43-078</v>
      </c>
      <c r="C362" s="26" t="str">
        <f ca="1">INDEX(INDIRECT(zoneFichierTraite),$J362+offsetInitialFichierTraite,5)</f>
        <v>REVERS O BAG MINI EN LAINE COPENHAGUE</v>
      </c>
      <c r="D362" s="27" t="str">
        <f ca="1">INDEX(INDIRECT(zoneFichierTraite),$J362+offsetInitialFichierTraite,13)</f>
        <v>sabbia</v>
      </c>
      <c r="E362" s="30">
        <f ca="1">INDEX(INDIRECT(zoneFichierTraite),$J362+offsetInitialFichierTraite,7)</f>
        <v>2</v>
      </c>
      <c r="F362" s="28">
        <f ca="1">INDEX(INDIRECT(zoneFichierTraite),$J362+offsetInitialFichierTraite,8)</f>
        <v>10.74</v>
      </c>
      <c r="G362" s="29">
        <f t="shared" ref="G362:G425" ca="1" si="1347">ROUNDUP(F362*3,0)</f>
        <v>33</v>
      </c>
      <c r="H362" s="31" t="str">
        <f ca="1">IF(ISNUMBER(N362),codeEAN13(INT(N362/10)),"")</f>
        <v>8APASOG*ajbafe+</v>
      </c>
      <c r="I362" s="1" t="b">
        <f t="shared" ref="I362:I425" ca="1" si="1348">AND(A365&lt;&gt;0,A363=A365)</f>
        <v>0</v>
      </c>
      <c r="J362" s="15">
        <f t="shared" si="1220"/>
        <v>177</v>
      </c>
      <c r="K362" s="1">
        <f t="shared" ref="K362:K425" ca="1" si="1349">A363</f>
        <v>121</v>
      </c>
      <c r="L362" s="5" t="str">
        <f ca="1">INDEX(INDIRECT(zoneFichierTraite),$J362+offsetInitialFichierTraite,1)</f>
        <v>'177</v>
      </c>
      <c r="M362" s="11">
        <f ca="1">INDEX(INDIRECT(zoneFichierTraite),$J362+offsetInitialFichierTraite,9)</f>
        <v>21.48</v>
      </c>
      <c r="N362" s="14">
        <f ca="1">INDEX(INDIRECT(zoneFichierTraite),$J362+offsetInitialFichierTraite,3)</f>
        <v>8050846091054</v>
      </c>
      <c r="O362" s="14"/>
      <c r="P362" s="56">
        <f ca="1">MATCH(N362,INDIRECT(nomFichierEAN13Valmag &amp; "!A:A"),0)</f>
        <v>783</v>
      </c>
      <c r="R362" s="50" t="str">
        <f t="shared" ref="R362:R393" ca="1" si="1350">LEFT(B362,14)</f>
        <v>OBAGT002-LAS43</v>
      </c>
      <c r="S362" s="52">
        <f ca="1">MATCH($R362,INDIRECT(nomFichierEAN13ValmagUniq &amp; "!A:A"),0)</f>
        <v>308</v>
      </c>
      <c r="T362" s="49" t="str">
        <f ca="1">IFERROR(INDEX(INDIRECT(zoneFichierEAN13ValmagUniq),S362,2),"")</f>
        <v xml:space="preserve"> </v>
      </c>
      <c r="U362" s="52" t="e">
        <f ca="1">MATCH($R362,INDIRECT(nomFichierEAN13ValmagUniq &amp; "!A" &amp; (S362+1) &amp; ":A" &amp;  (S362+10)),0)</f>
        <v>#N/A</v>
      </c>
      <c r="V362" s="51" t="e">
        <f t="shared" ref="V362:V425" ca="1" si="1351">U362+S362</f>
        <v>#N/A</v>
      </c>
      <c r="W362" s="49" t="str">
        <f ca="1">IFERROR(INDEX(INDIRECT(zoneFichierEAN13ValmagUniq),V362,2),"")</f>
        <v/>
      </c>
      <c r="X362" s="52" t="e">
        <f ca="1">MATCH($R362,INDIRECT(nomFichierEAN13ValmagUniq &amp; "!A" &amp; (V362+1) &amp; ":A" &amp;  (V362+10)),0)</f>
        <v>#N/A</v>
      </c>
      <c r="Y362" s="51" t="e">
        <f t="shared" ref="Y362:Y425" ca="1" si="1352">X362+V362</f>
        <v>#N/A</v>
      </c>
      <c r="Z362" s="49" t="str">
        <f ca="1">IFERROR(INDEX(INDIRECT(zoneFichierEAN13ValmagUniq),Y362,2),"")</f>
        <v/>
      </c>
      <c r="AA362" s="53" t="str">
        <f t="shared" ref="AA362:AA425" ca="1" si="1353">T362 &amp; IF(W362="","", " | " &amp; W362) &amp; IF(Z362="","", " | " &amp;Z362)</f>
        <v xml:space="preserve"> </v>
      </c>
      <c r="AC362" s="55">
        <f ca="1">MATCH(B362,INDIRECT(nomFichierFiltreCatalogue &amp; "!B:B"),0)</f>
        <v>327</v>
      </c>
      <c r="AD362" s="14"/>
    </row>
    <row r="363" spans="1:30" s="20" customFormat="1" ht="15.75" customHeight="1" x14ac:dyDescent="0.25">
      <c r="A363" s="25">
        <f ca="1">INDEX(INDIRECT(zoneFichierTraite),$J362+offsetInitialFichierTraite,2)</f>
        <v>121</v>
      </c>
      <c r="B363" s="57" t="str">
        <f ca="1">IF(ISERROR($P362),msgRefValmagAcreer,IF(INDEX(INDIRECT(zoneFichierEAN13Valmag),$P362,3) = "",msgCodeValmagVide, INDEX(INDIRECT(zoneFichierEAN13Valmag),$P362,3)))</f>
        <v xml:space="preserve"> </v>
      </c>
      <c r="C363" s="54" t="str">
        <f t="shared" ref="C363:C426" ca="1" si="1354">AA362</f>
        <v xml:space="preserve"> </v>
      </c>
      <c r="D363" s="19" t="str">
        <f ca="1">IFERROR(INDEX(INDIRECT(zoneFichierEAN13Valmag),$P362,4),"")</f>
        <v xml:space="preserve"> </v>
      </c>
      <c r="E363" s="58" t="str">
        <f ca="1">IFERROR(INDEX(INDIRECT(zoneFichierFiltreCatalogue),AC362,3),"")</f>
        <v>p069-2-02</v>
      </c>
      <c r="F363" s="19"/>
      <c r="G363" s="18"/>
      <c r="H363" s="32" t="str">
        <f ca="1">IFERROR(INDEX(INDIRECT(zoneFichierFiltreCatalogue),AC362,6),"")</f>
        <v>fall 2019 presentation_/catalogo fall 19.txt</v>
      </c>
      <c r="S363" s="1"/>
      <c r="T363" s="21"/>
      <c r="U363" s="21"/>
      <c r="V363" s="21"/>
      <c r="W363" s="21"/>
      <c r="X363" s="21"/>
      <c r="Y363" s="21"/>
      <c r="Z363" s="21"/>
      <c r="AA363" s="21"/>
      <c r="AB363" s="21"/>
      <c r="AC363" s="21"/>
    </row>
    <row r="364" spans="1:30" ht="39" customHeight="1" thickBot="1" x14ac:dyDescent="0.65">
      <c r="A364" s="9" t="str">
        <f ca="1">INDEX(INDIRECT(zoneFichierTraite),$J364+offsetInitialFichierTraite,6)</f>
        <v>UNICA</v>
      </c>
      <c r="B364" s="5" t="str">
        <f ca="1">INDEX(INDIRECT(zoneFichierTraite),$J364+offsetInitialFichierTraite,4)</f>
        <v>OBAGT002-LAS43-615</v>
      </c>
      <c r="C364" s="26" t="str">
        <f ca="1">INDEX(INDIRECT(zoneFichierTraite),$J364+offsetInitialFichierTraite,5)</f>
        <v>REVERS O BAG MINI EN LAINE COPENHAGUE</v>
      </c>
      <c r="D364" s="27" t="str">
        <f ca="1">INDEX(INDIRECT(zoneFichierTraite),$J364+offsetInitialFichierTraite,13)</f>
        <v>military</v>
      </c>
      <c r="E364" s="30">
        <f ca="1">INDEX(INDIRECT(zoneFichierTraite),$J364+offsetInitialFichierTraite,7)</f>
        <v>2</v>
      </c>
      <c r="F364" s="28">
        <f ca="1">INDEX(INDIRECT(zoneFichierTraite),$J364+offsetInitialFichierTraite,8)</f>
        <v>10.74</v>
      </c>
      <c r="G364" s="29">
        <f t="shared" ref="G364:G427" ca="1" si="1355">ROUNDUP(F364*3,0)</f>
        <v>33</v>
      </c>
      <c r="H364" s="31" t="str">
        <f ca="1">IF(ISNUMBER(N364),codeEAN13(INT(N364/10)),"")</f>
        <v>8APASOG*ajbaeh+</v>
      </c>
      <c r="I364" s="1" t="b">
        <f t="shared" ref="I364:I427" ca="1" si="1356">AND(A367&lt;&gt;0,A365=A367)</f>
        <v>0</v>
      </c>
      <c r="J364" s="15">
        <f t="shared" si="1220"/>
        <v>178</v>
      </c>
      <c r="K364" s="1">
        <f t="shared" ref="K364:K427" ca="1" si="1357">A365</f>
        <v>73</v>
      </c>
      <c r="L364" s="5" t="str">
        <f ca="1">INDEX(INDIRECT(zoneFichierTraite),$J364+offsetInitialFichierTraite,1)</f>
        <v>'178</v>
      </c>
      <c r="M364" s="11">
        <f ca="1">INDEX(INDIRECT(zoneFichierTraite),$J364+offsetInitialFichierTraite,9)</f>
        <v>21.48</v>
      </c>
      <c r="N364" s="14">
        <f ca="1">INDEX(INDIRECT(zoneFichierTraite),$J364+offsetInitialFichierTraite,3)</f>
        <v>8050846091047</v>
      </c>
      <c r="O364" s="14"/>
      <c r="P364" s="56">
        <f ca="1">MATCH(N364,INDIRECT(nomFichierEAN13Valmag &amp; "!A:A"),0)</f>
        <v>782</v>
      </c>
      <c r="R364" s="50" t="str">
        <f t="shared" ref="R364:R395" ca="1" si="1358">LEFT(B364,14)</f>
        <v>OBAGT002-LAS43</v>
      </c>
      <c r="S364" s="52">
        <f ca="1">MATCH($R364,INDIRECT(nomFichierEAN13ValmagUniq &amp; "!A:A"),0)</f>
        <v>308</v>
      </c>
      <c r="T364" s="49" t="str">
        <f ca="1">IFERROR(INDEX(INDIRECT(zoneFichierEAN13ValmagUniq),S364,2),"")</f>
        <v xml:space="preserve"> </v>
      </c>
      <c r="U364" s="52" t="e">
        <f ca="1">MATCH($R364,INDIRECT(nomFichierEAN13ValmagUniq &amp; "!A" &amp; (S364+1) &amp; ":A" &amp;  (S364+10)),0)</f>
        <v>#N/A</v>
      </c>
      <c r="V364" s="51" t="e">
        <f t="shared" ref="V364:V427" ca="1" si="1359">U364+S364</f>
        <v>#N/A</v>
      </c>
      <c r="W364" s="49" t="str">
        <f ca="1">IFERROR(INDEX(INDIRECT(zoneFichierEAN13ValmagUniq),V364,2),"")</f>
        <v/>
      </c>
      <c r="X364" s="52" t="e">
        <f ca="1">MATCH($R364,INDIRECT(nomFichierEAN13ValmagUniq &amp; "!A" &amp; (V364+1) &amp; ":A" &amp;  (V364+10)),0)</f>
        <v>#N/A</v>
      </c>
      <c r="Y364" s="51" t="e">
        <f t="shared" ref="Y364:Y427" ca="1" si="1360">X364+V364</f>
        <v>#N/A</v>
      </c>
      <c r="Z364" s="49" t="str">
        <f ca="1">IFERROR(INDEX(INDIRECT(zoneFichierEAN13ValmagUniq),Y364,2),"")</f>
        <v/>
      </c>
      <c r="AA364" s="53" t="str">
        <f t="shared" ref="AA364:AA427" ca="1" si="1361">T364 &amp; IF(W364="","", " | " &amp; W364) &amp; IF(Z364="","", " | " &amp;Z364)</f>
        <v xml:space="preserve"> </v>
      </c>
      <c r="AC364" s="55">
        <f ca="1">MATCH(B364,INDIRECT(nomFichierFiltreCatalogue &amp; "!B:B"),0)</f>
        <v>328</v>
      </c>
      <c r="AD364" s="14"/>
    </row>
    <row r="365" spans="1:30" s="20" customFormat="1" ht="15.75" customHeight="1" x14ac:dyDescent="0.25">
      <c r="A365" s="25">
        <f ca="1">INDEX(INDIRECT(zoneFichierTraite),$J364+offsetInitialFichierTraite,2)</f>
        <v>73</v>
      </c>
      <c r="B365" s="57" t="str">
        <f ca="1">IF(ISERROR($P364),msgRefValmagAcreer,IF(INDEX(INDIRECT(zoneFichierEAN13Valmag),$P364,3) = "",msgCodeValmagVide, INDEX(INDIRECT(zoneFichierEAN13Valmag),$P364,3)))</f>
        <v xml:space="preserve"> </v>
      </c>
      <c r="C365" s="54" t="str">
        <f t="shared" ref="C365:C428" ca="1" si="1362">AA364</f>
        <v xml:space="preserve"> </v>
      </c>
      <c r="D365" s="19" t="str">
        <f ca="1">IFERROR(INDEX(INDIRECT(zoneFichierEAN13Valmag),$P364,4),"")</f>
        <v xml:space="preserve"> </v>
      </c>
      <c r="E365" s="58" t="str">
        <f ca="1">IFERROR(INDEX(INDIRECT(zoneFichierFiltreCatalogue),AC364,3),"")</f>
        <v>p069-2-03</v>
      </c>
      <c r="F365" s="19"/>
      <c r="G365" s="18"/>
      <c r="H365" s="32" t="str">
        <f ca="1">IFERROR(INDEX(INDIRECT(zoneFichierFiltreCatalogue),AC364,6),"")</f>
        <v>fall 2019 presentation_/catalogo fall 19.txt</v>
      </c>
      <c r="S365" s="1"/>
      <c r="T365" s="21"/>
      <c r="U365" s="21"/>
      <c r="V365" s="21"/>
      <c r="W365" s="21"/>
      <c r="X365" s="21"/>
      <c r="Y365" s="21"/>
      <c r="Z365" s="21"/>
      <c r="AA365" s="21"/>
      <c r="AB365" s="21"/>
      <c r="AC365" s="21"/>
    </row>
    <row r="366" spans="1:30" ht="39" customHeight="1" thickBot="1" x14ac:dyDescent="0.65">
      <c r="A366" s="9" t="str">
        <f ca="1">INDEX(INDIRECT(zoneFichierTraite),$J366+offsetInitialFichierTraite,6)</f>
        <v>UNICA</v>
      </c>
      <c r="B366" s="5" t="str">
        <f ca="1">INDEX(INDIRECT(zoneFichierTraite),$J366+offsetInitialFichierTraite,4)</f>
        <v>OBAGT002-LAS45-038</v>
      </c>
      <c r="C366" s="26" t="str">
        <f ca="1">INDEX(INDIRECT(zoneFichierTraite),$J366+offsetInitialFichierTraite,5)</f>
        <v>REVERS O BAG MINI EN LAINE OSLO</v>
      </c>
      <c r="D366" s="27" t="str">
        <f ca="1">INDEX(INDIRECT(zoneFichierTraite),$J366+offsetInitialFichierTraite,13)</f>
        <v>grafite</v>
      </c>
      <c r="E366" s="30">
        <f ca="1">INDEX(INDIRECT(zoneFichierTraite),$J366+offsetInitialFichierTraite,7)</f>
        <v>2</v>
      </c>
      <c r="F366" s="28">
        <f ca="1">INDEX(INDIRECT(zoneFichierTraite),$J366+offsetInitialFichierTraite,8)</f>
        <v>11.85</v>
      </c>
      <c r="G366" s="29">
        <f t="shared" ref="G366:G429" ca="1" si="1363">ROUNDUP(F366*3,0)</f>
        <v>36</v>
      </c>
      <c r="H366" s="31" t="str">
        <f ca="1">IF(ISNUMBER(N366),codeEAN13(INT(N366/10)),"")</f>
        <v>8APASOG*ajbabg+</v>
      </c>
      <c r="I366" s="1" t="b">
        <f t="shared" ref="I366:I429" ca="1" si="1364">AND(A369&lt;&gt;0,A367=A369)</f>
        <v>0</v>
      </c>
      <c r="J366" s="15">
        <f t="shared" si="1220"/>
        <v>179</v>
      </c>
      <c r="K366" s="1">
        <f t="shared" ref="K366:K429" ca="1" si="1365">A367</f>
        <v>60</v>
      </c>
      <c r="L366" s="5" t="str">
        <f ca="1">INDEX(INDIRECT(zoneFichierTraite),$J366+offsetInitialFichierTraite,1)</f>
        <v>'179</v>
      </c>
      <c r="M366" s="11">
        <f ca="1">INDEX(INDIRECT(zoneFichierTraite),$J366+offsetInitialFichierTraite,9)</f>
        <v>23.7</v>
      </c>
      <c r="N366" s="14">
        <f ca="1">INDEX(INDIRECT(zoneFichierTraite),$J366+offsetInitialFichierTraite,3)</f>
        <v>8050846091016</v>
      </c>
      <c r="O366" s="14"/>
      <c r="P366" s="56">
        <f ca="1">MATCH(N366,INDIRECT(nomFichierEAN13Valmag &amp; "!A:A"),0)</f>
        <v>779</v>
      </c>
      <c r="R366" s="50" t="str">
        <f t="shared" ref="R366:R397" ca="1" si="1366">LEFT(B366,14)</f>
        <v>OBAGT002-LAS45</v>
      </c>
      <c r="S366" s="52">
        <f ca="1">MATCH($R366,INDIRECT(nomFichierEAN13ValmagUniq &amp; "!A:A"),0)</f>
        <v>309</v>
      </c>
      <c r="T366" s="49" t="str">
        <f ca="1">IFERROR(INDEX(INDIRECT(zoneFichierEAN13ValmagUniq),S366,2),"")</f>
        <v xml:space="preserve"> </v>
      </c>
      <c r="U366" s="52" t="e">
        <f ca="1">MATCH($R366,INDIRECT(nomFichierEAN13ValmagUniq &amp; "!A" &amp; (S366+1) &amp; ":A" &amp;  (S366+10)),0)</f>
        <v>#N/A</v>
      </c>
      <c r="V366" s="51" t="e">
        <f t="shared" ref="V366:V429" ca="1" si="1367">U366+S366</f>
        <v>#N/A</v>
      </c>
      <c r="W366" s="49" t="str">
        <f ca="1">IFERROR(INDEX(INDIRECT(zoneFichierEAN13ValmagUniq),V366,2),"")</f>
        <v/>
      </c>
      <c r="X366" s="52" t="e">
        <f ca="1">MATCH($R366,INDIRECT(nomFichierEAN13ValmagUniq &amp; "!A" &amp; (V366+1) &amp; ":A" &amp;  (V366+10)),0)</f>
        <v>#N/A</v>
      </c>
      <c r="Y366" s="51" t="e">
        <f t="shared" ref="Y366:Y429" ca="1" si="1368">X366+V366</f>
        <v>#N/A</v>
      </c>
      <c r="Z366" s="49" t="str">
        <f ca="1">IFERROR(INDEX(INDIRECT(zoneFichierEAN13ValmagUniq),Y366,2),"")</f>
        <v/>
      </c>
      <c r="AA366" s="53" t="str">
        <f t="shared" ref="AA366:AA429" ca="1" si="1369">T366 &amp; IF(W366="","", " | " &amp; W366) &amp; IF(Z366="","", " | " &amp;Z366)</f>
        <v xml:space="preserve"> </v>
      </c>
      <c r="AC366" s="55">
        <f ca="1">MATCH(B366,INDIRECT(nomFichierFiltreCatalogue &amp; "!B:B"),0)</f>
        <v>329</v>
      </c>
      <c r="AD366" s="14"/>
    </row>
    <row r="367" spans="1:30" s="20" customFormat="1" ht="15.75" customHeight="1" x14ac:dyDescent="0.25">
      <c r="A367" s="25">
        <f ca="1">INDEX(INDIRECT(zoneFichierTraite),$J366+offsetInitialFichierTraite,2)</f>
        <v>60</v>
      </c>
      <c r="B367" s="57" t="str">
        <f ca="1">IF(ISERROR($P366),msgRefValmagAcreer,IF(INDEX(INDIRECT(zoneFichierEAN13Valmag),$P366,3) = "",msgCodeValmagVide, INDEX(INDIRECT(zoneFichierEAN13Valmag),$P366,3)))</f>
        <v xml:space="preserve"> </v>
      </c>
      <c r="C367" s="54" t="str">
        <f t="shared" ref="C367:C430" ca="1" si="1370">AA366</f>
        <v xml:space="preserve"> </v>
      </c>
      <c r="D367" s="19" t="str">
        <f ca="1">IFERROR(INDEX(INDIRECT(zoneFichierEAN13Valmag),$P366,4),"")</f>
        <v xml:space="preserve"> </v>
      </c>
      <c r="E367" s="58" t="str">
        <f ca="1">IFERROR(INDEX(INDIRECT(zoneFichierFiltreCatalogue),AC366,3),"")</f>
        <v>p070-2-01</v>
      </c>
      <c r="F367" s="19"/>
      <c r="G367" s="18"/>
      <c r="H367" s="32" t="str">
        <f ca="1">IFERROR(INDEX(INDIRECT(zoneFichierFiltreCatalogue),AC366,6),"")</f>
        <v>fall 2019 presentation_/catalogo fall 19.txt</v>
      </c>
      <c r="S367" s="1"/>
      <c r="T367" s="21"/>
      <c r="U367" s="21"/>
      <c r="V367" s="21"/>
      <c r="W367" s="21"/>
      <c r="X367" s="21"/>
      <c r="Y367" s="21"/>
      <c r="Z367" s="21"/>
      <c r="AA367" s="21"/>
      <c r="AB367" s="21"/>
      <c r="AC367" s="21"/>
    </row>
    <row r="368" spans="1:30" ht="39" customHeight="1" thickBot="1" x14ac:dyDescent="0.65">
      <c r="A368" s="9" t="str">
        <f ca="1">INDEX(INDIRECT(zoneFichierTraite),$J368+offsetInitialFichierTraite,6)</f>
        <v>UNICA</v>
      </c>
      <c r="B368" s="5" t="str">
        <f ca="1">INDEX(INDIRECT(zoneFichierTraite),$J368+offsetInitialFichierTraite,4)</f>
        <v>OBAGT002-LAS46-227</v>
      </c>
      <c r="C368" s="26" t="str">
        <f ca="1">INDEX(INDIRECT(zoneFichierTraite),$J368+offsetInitialFichierTraite,5)</f>
        <v>REVERS O BAG MINI EN LAINE OPTICAL</v>
      </c>
      <c r="D368" s="27" t="str">
        <f ca="1">INDEX(INDIRECT(zoneFichierTraite),$J368+offsetInitialFichierTraite,13)</f>
        <v>bianco/nero</v>
      </c>
      <c r="E368" s="30">
        <f ca="1">INDEX(INDIRECT(zoneFichierTraite),$J368+offsetInitialFichierTraite,7)</f>
        <v>2</v>
      </c>
      <c r="F368" s="28">
        <f ca="1">INDEX(INDIRECT(zoneFichierTraite),$J368+offsetInitialFichierTraite,8)</f>
        <v>11.85</v>
      </c>
      <c r="G368" s="29">
        <f t="shared" ref="G368:G431" ca="1" si="1371">ROUNDUP(F368*3,0)</f>
        <v>36</v>
      </c>
      <c r="H368" s="31" t="str">
        <f ca="1">IF(ISNUMBER(N368),codeEAN13(INT(N368/10)),"")</f>
        <v>8APASOG*ajbacd+</v>
      </c>
      <c r="I368" s="1" t="b">
        <f t="shared" ref="I368:I431" ca="1" si="1372">AND(A371&lt;&gt;0,A369=A371)</f>
        <v>0</v>
      </c>
      <c r="J368" s="15">
        <f t="shared" si="1220"/>
        <v>180</v>
      </c>
      <c r="K368" s="1">
        <f t="shared" ref="K368:K431" ca="1" si="1373">A369</f>
        <v>172</v>
      </c>
      <c r="L368" s="5" t="str">
        <f ca="1">INDEX(INDIRECT(zoneFichierTraite),$J368+offsetInitialFichierTraite,1)</f>
        <v>'180</v>
      </c>
      <c r="M368" s="11">
        <f ca="1">INDEX(INDIRECT(zoneFichierTraite),$J368+offsetInitialFichierTraite,9)</f>
        <v>23.7</v>
      </c>
      <c r="N368" s="14">
        <f ca="1">INDEX(INDIRECT(zoneFichierTraite),$J368+offsetInitialFichierTraite,3)</f>
        <v>8050846091023</v>
      </c>
      <c r="O368" s="14"/>
      <c r="P368" s="56">
        <f ca="1">MATCH(N368,INDIRECT(nomFichierEAN13Valmag &amp; "!A:A"),0)</f>
        <v>780</v>
      </c>
      <c r="R368" s="50" t="str">
        <f t="shared" ref="R368:R399" ca="1" si="1374">LEFT(B368,14)</f>
        <v>OBAGT002-LAS46</v>
      </c>
      <c r="S368" s="52">
        <f ca="1">MATCH($R368,INDIRECT(nomFichierEAN13ValmagUniq &amp; "!A:A"),0)</f>
        <v>310</v>
      </c>
      <c r="T368" s="49" t="str">
        <f ca="1">IFERROR(INDEX(INDIRECT(zoneFichierEAN13ValmagUniq),S368,2),"")</f>
        <v xml:space="preserve"> </v>
      </c>
      <c r="U368" s="52" t="e">
        <f ca="1">MATCH($R368,INDIRECT(nomFichierEAN13ValmagUniq &amp; "!A" &amp; (S368+1) &amp; ":A" &amp;  (S368+10)),0)</f>
        <v>#N/A</v>
      </c>
      <c r="V368" s="51" t="e">
        <f t="shared" ref="V368:V431" ca="1" si="1375">U368+S368</f>
        <v>#N/A</v>
      </c>
      <c r="W368" s="49" t="str">
        <f ca="1">IFERROR(INDEX(INDIRECT(zoneFichierEAN13ValmagUniq),V368,2),"")</f>
        <v/>
      </c>
      <c r="X368" s="52" t="e">
        <f ca="1">MATCH($R368,INDIRECT(nomFichierEAN13ValmagUniq &amp; "!A" &amp; (V368+1) &amp; ":A" &amp;  (V368+10)),0)</f>
        <v>#N/A</v>
      </c>
      <c r="Y368" s="51" t="e">
        <f t="shared" ref="Y368:Y431" ca="1" si="1376">X368+V368</f>
        <v>#N/A</v>
      </c>
      <c r="Z368" s="49" t="str">
        <f ca="1">IFERROR(INDEX(INDIRECT(zoneFichierEAN13ValmagUniq),Y368,2),"")</f>
        <v/>
      </c>
      <c r="AA368" s="53" t="str">
        <f t="shared" ref="AA368:AA431" ca="1" si="1377">T368 &amp; IF(W368="","", " | " &amp; W368) &amp; IF(Z368="","", " | " &amp;Z368)</f>
        <v xml:space="preserve"> </v>
      </c>
      <c r="AC368" s="55">
        <f ca="1">MATCH(B368,INDIRECT(nomFichierFiltreCatalogue &amp; "!B:B"),0)</f>
        <v>333</v>
      </c>
      <c r="AD368" s="14"/>
    </row>
    <row r="369" spans="1:30" s="20" customFormat="1" ht="15.75" customHeight="1" x14ac:dyDescent="0.25">
      <c r="A369" s="25">
        <f ca="1">INDEX(INDIRECT(zoneFichierTraite),$J368+offsetInitialFichierTraite,2)</f>
        <v>172</v>
      </c>
      <c r="B369" s="57" t="str">
        <f ca="1">IF(ISERROR($P368),msgRefValmagAcreer,IF(INDEX(INDIRECT(zoneFichierEAN13Valmag),$P368,3) = "",msgCodeValmagVide, INDEX(INDIRECT(zoneFichierEAN13Valmag),$P368,3)))</f>
        <v xml:space="preserve"> </v>
      </c>
      <c r="C369" s="54" t="str">
        <f t="shared" ref="C369:C432" ca="1" si="1378">AA368</f>
        <v xml:space="preserve"> </v>
      </c>
      <c r="D369" s="19" t="str">
        <f ca="1">IFERROR(INDEX(INDIRECT(zoneFichierEAN13Valmag),$P368,4),"")</f>
        <v xml:space="preserve"> </v>
      </c>
      <c r="E369" s="58" t="str">
        <f ca="1">IFERROR(INDEX(INDIRECT(zoneFichierFiltreCatalogue),AC368,3),"")</f>
        <v>p071-1-01</v>
      </c>
      <c r="F369" s="19"/>
      <c r="G369" s="18"/>
      <c r="H369" s="32" t="str">
        <f ca="1">IFERROR(INDEX(INDIRECT(zoneFichierFiltreCatalogue),AC368,6),"")</f>
        <v>fall 2019 presentation_/catalogo fall 19.txt</v>
      </c>
      <c r="S369" s="1"/>
      <c r="T369" s="21"/>
      <c r="U369" s="21"/>
      <c r="V369" s="21"/>
      <c r="W369" s="21"/>
      <c r="X369" s="21"/>
      <c r="Y369" s="21"/>
      <c r="Z369" s="21"/>
      <c r="AA369" s="21"/>
      <c r="AB369" s="21"/>
      <c r="AC369" s="21"/>
    </row>
    <row r="370" spans="1:30" ht="39" customHeight="1" thickBot="1" x14ac:dyDescent="0.65">
      <c r="A370" s="9" t="str">
        <f ca="1">INDEX(INDIRECT(zoneFichierTraite),$J370+offsetInitialFichierTraite,6)</f>
        <v>UNICA</v>
      </c>
      <c r="B370" s="5" t="str">
        <f ca="1">INDEX(INDIRECT(zoneFichierTraite),$J370+offsetInitialFichierTraite,4)</f>
        <v>OBAGT002-TESBB-615</v>
      </c>
      <c r="C370" s="26" t="str">
        <f ca="1">INDEX(INDIRECT(zoneFichierTraite),$J370+offsetInitialFichierTraite,5)</f>
        <v>REVERS O BAG MINI EN TISSU IMPRIME DIANTHUS</v>
      </c>
      <c r="D370" s="27" t="str">
        <f ca="1">INDEX(INDIRECT(zoneFichierTraite),$J370+offsetInitialFichierTraite,13)</f>
        <v>military</v>
      </c>
      <c r="E370" s="30">
        <f ca="1">INDEX(INDIRECT(zoneFichierTraite),$J370+offsetInitialFichierTraite,7)</f>
        <v>2</v>
      </c>
      <c r="F370" s="28">
        <f ca="1">INDEX(INDIRECT(zoneFichierTraite),$J370+offsetInitialFichierTraite,8)</f>
        <v>13.33</v>
      </c>
      <c r="G370" s="29">
        <f t="shared" ref="G370:G433" ca="1" si="1379">ROUNDUP(F370*3,0)</f>
        <v>40</v>
      </c>
      <c r="H370" s="31" t="str">
        <f ca="1">IF(ISNUMBER(N370),codeEAN13(INT(N370/10)),"")</f>
        <v>8APASOG*ajajde+</v>
      </c>
      <c r="I370" s="1" t="b">
        <f t="shared" ref="I370:I433" ca="1" si="1380">AND(A373&lt;&gt;0,A371=A373)</f>
        <v>0</v>
      </c>
      <c r="J370" s="15">
        <f t="shared" si="1220"/>
        <v>181</v>
      </c>
      <c r="K370" s="1">
        <f t="shared" ref="K370:K433" ca="1" si="1381">A371</f>
        <v>145</v>
      </c>
      <c r="L370" s="5" t="str">
        <f ca="1">INDEX(INDIRECT(zoneFichierTraite),$J370+offsetInitialFichierTraite,1)</f>
        <v>'181</v>
      </c>
      <c r="M370" s="11">
        <f ca="1">INDEX(INDIRECT(zoneFichierTraite),$J370+offsetInitialFichierTraite,9)</f>
        <v>26.66</v>
      </c>
      <c r="N370" s="14">
        <f ca="1">INDEX(INDIRECT(zoneFichierTraite),$J370+offsetInitialFichierTraite,3)</f>
        <v>8050846090934</v>
      </c>
      <c r="O370" s="14"/>
      <c r="P370" s="56">
        <f ca="1">MATCH(N370,INDIRECT(nomFichierEAN13Valmag &amp; "!A:A"),0)</f>
        <v>773</v>
      </c>
      <c r="R370" s="50" t="str">
        <f t="shared" ref="R370:R401" ca="1" si="1382">LEFT(B370,14)</f>
        <v>OBAGT002-TESBB</v>
      </c>
      <c r="S370" s="52">
        <f ca="1">MATCH($R370,INDIRECT(nomFichierEAN13ValmagUniq &amp; "!A:A"),0)</f>
        <v>311</v>
      </c>
      <c r="T370" s="49" t="str">
        <f ca="1">IFERROR(INDEX(INDIRECT(zoneFichierEAN13ValmagUniq),S370,2),"")</f>
        <v xml:space="preserve"> </v>
      </c>
      <c r="U370" s="52" t="e">
        <f ca="1">MATCH($R370,INDIRECT(nomFichierEAN13ValmagUniq &amp; "!A" &amp; (S370+1) &amp; ":A" &amp;  (S370+10)),0)</f>
        <v>#N/A</v>
      </c>
      <c r="V370" s="51" t="e">
        <f t="shared" ref="V370:V433" ca="1" si="1383">U370+S370</f>
        <v>#N/A</v>
      </c>
      <c r="W370" s="49" t="str">
        <f ca="1">IFERROR(INDEX(INDIRECT(zoneFichierEAN13ValmagUniq),V370,2),"")</f>
        <v/>
      </c>
      <c r="X370" s="52" t="e">
        <f ca="1">MATCH($R370,INDIRECT(nomFichierEAN13ValmagUniq &amp; "!A" &amp; (V370+1) &amp; ":A" &amp;  (V370+10)),0)</f>
        <v>#N/A</v>
      </c>
      <c r="Y370" s="51" t="e">
        <f t="shared" ref="Y370:Y433" ca="1" si="1384">X370+V370</f>
        <v>#N/A</v>
      </c>
      <c r="Z370" s="49" t="str">
        <f ca="1">IFERROR(INDEX(INDIRECT(zoneFichierEAN13ValmagUniq),Y370,2),"")</f>
        <v/>
      </c>
      <c r="AA370" s="53" t="str">
        <f t="shared" ref="AA370:AA433" ca="1" si="1385">T370 &amp; IF(W370="","", " | " &amp; W370) &amp; IF(Z370="","", " | " &amp;Z370)</f>
        <v xml:space="preserve"> </v>
      </c>
      <c r="AC370" s="55">
        <f ca="1">MATCH(B370,INDIRECT(nomFichierFiltreCatalogue &amp; "!B:B"),0)</f>
        <v>334</v>
      </c>
      <c r="AD370" s="14"/>
    </row>
    <row r="371" spans="1:30" s="20" customFormat="1" ht="15.75" customHeight="1" x14ac:dyDescent="0.25">
      <c r="A371" s="25">
        <f ca="1">INDEX(INDIRECT(zoneFichierTraite),$J370+offsetInitialFichierTraite,2)</f>
        <v>145</v>
      </c>
      <c r="B371" s="57" t="str">
        <f ca="1">IF(ISERROR($P370),msgRefValmagAcreer,IF(INDEX(INDIRECT(zoneFichierEAN13Valmag),$P370,3) = "",msgCodeValmagVide, INDEX(INDIRECT(zoneFichierEAN13Valmag),$P370,3)))</f>
        <v xml:space="preserve"> </v>
      </c>
      <c r="C371" s="54" t="str">
        <f t="shared" ref="C371:C434" ca="1" si="1386">AA370</f>
        <v xml:space="preserve"> </v>
      </c>
      <c r="D371" s="19" t="str">
        <f ca="1">IFERROR(INDEX(INDIRECT(zoneFichierEAN13Valmag),$P370,4),"")</f>
        <v xml:space="preserve"> </v>
      </c>
      <c r="E371" s="58" t="str">
        <f ca="1">IFERROR(INDEX(INDIRECT(zoneFichierFiltreCatalogue),AC370,3),"")</f>
        <v>p071-2-01</v>
      </c>
      <c r="F371" s="19"/>
      <c r="G371" s="18"/>
      <c r="H371" s="32" t="str">
        <f ca="1">IFERROR(INDEX(INDIRECT(zoneFichierFiltreCatalogue),AC370,6),"")</f>
        <v>fall 2019 presentation_/catalogo fall 19.txt</v>
      </c>
      <c r="S371" s="1"/>
      <c r="T371" s="21"/>
      <c r="U371" s="21"/>
      <c r="V371" s="21"/>
      <c r="W371" s="21"/>
      <c r="X371" s="21"/>
      <c r="Y371" s="21"/>
      <c r="Z371" s="21"/>
      <c r="AA371" s="21"/>
      <c r="AB371" s="21"/>
      <c r="AC371" s="21"/>
    </row>
    <row r="372" spans="1:30" ht="39" customHeight="1" thickBot="1" x14ac:dyDescent="0.65">
      <c r="A372" s="9" t="str">
        <f ca="1">INDEX(INDIRECT(zoneFichierTraite),$J372+offsetInitialFichierTraite,6)</f>
        <v>UNICA</v>
      </c>
      <c r="B372" s="5" t="str">
        <f ca="1">INDEX(INDIRECT(zoneFichierTraite),$J372+offsetInitialFichierTraite,4)</f>
        <v>OBAGT002-TESBD-227</v>
      </c>
      <c r="C372" s="26" t="str">
        <f ca="1">INDEX(INDIRECT(zoneFichierTraite),$J372+offsetInitialFichierTraite,5)</f>
        <v>REVERS O BAG MINI EN TISSU CHECK EFFET LAINE</v>
      </c>
      <c r="D372" s="27" t="str">
        <f ca="1">INDEX(INDIRECT(zoneFichierTraite),$J372+offsetInitialFichierTraite,13)</f>
        <v>bianco/nero</v>
      </c>
      <c r="E372" s="30">
        <f ca="1">INDEX(INDIRECT(zoneFichierTraite),$J372+offsetInitialFichierTraite,7)</f>
        <v>2</v>
      </c>
      <c r="F372" s="28">
        <f ca="1">INDEX(INDIRECT(zoneFichierTraite),$J372+offsetInitialFichierTraite,8)</f>
        <v>13.33</v>
      </c>
      <c r="G372" s="29">
        <f t="shared" ref="G372:G435" ca="1" si="1387">ROUNDUP(F372*3,0)</f>
        <v>40</v>
      </c>
      <c r="H372" s="31" t="str">
        <f ca="1">IF(ISNUMBER(N372),codeEAN13(INT(N372/10)),"")</f>
        <v>8APASOG*ajaijh+</v>
      </c>
      <c r="I372" s="1" t="b">
        <f t="shared" ref="I372:I435" ca="1" si="1388">AND(A375&lt;&gt;0,A373=A375)</f>
        <v>0</v>
      </c>
      <c r="J372" s="15">
        <f t="shared" si="1220"/>
        <v>182</v>
      </c>
      <c r="K372" s="1">
        <f t="shared" ref="K372:K435" ca="1" si="1389">A373</f>
        <v>127</v>
      </c>
      <c r="L372" s="5" t="str">
        <f ca="1">INDEX(INDIRECT(zoneFichierTraite),$J372+offsetInitialFichierTraite,1)</f>
        <v>'182</v>
      </c>
      <c r="M372" s="11">
        <f ca="1">INDEX(INDIRECT(zoneFichierTraite),$J372+offsetInitialFichierTraite,9)</f>
        <v>26.66</v>
      </c>
      <c r="N372" s="14">
        <f ca="1">INDEX(INDIRECT(zoneFichierTraite),$J372+offsetInitialFichierTraite,3)</f>
        <v>8050846090897</v>
      </c>
      <c r="O372" s="14"/>
      <c r="P372" s="56">
        <f ca="1">MATCH(N372,INDIRECT(nomFichierEAN13Valmag &amp; "!A:A"),0)</f>
        <v>769</v>
      </c>
      <c r="R372" s="50" t="str">
        <f t="shared" ref="R372:R403" ca="1" si="1390">LEFT(B372,14)</f>
        <v>OBAGT002-TESBD</v>
      </c>
      <c r="S372" s="52">
        <f ca="1">MATCH($R372,INDIRECT(nomFichierEAN13ValmagUniq &amp; "!A:A"),0)</f>
        <v>312</v>
      </c>
      <c r="T372" s="49" t="str">
        <f ca="1">IFERROR(INDEX(INDIRECT(zoneFichierEAN13ValmagUniq),S372,2),"")</f>
        <v xml:space="preserve"> </v>
      </c>
      <c r="U372" s="52" t="e">
        <f ca="1">MATCH($R372,INDIRECT(nomFichierEAN13ValmagUniq &amp; "!A" &amp; (S372+1) &amp; ":A" &amp;  (S372+10)),0)</f>
        <v>#N/A</v>
      </c>
      <c r="V372" s="51" t="e">
        <f t="shared" ref="V372:V435" ca="1" si="1391">U372+S372</f>
        <v>#N/A</v>
      </c>
      <c r="W372" s="49" t="str">
        <f ca="1">IFERROR(INDEX(INDIRECT(zoneFichierEAN13ValmagUniq),V372,2),"")</f>
        <v/>
      </c>
      <c r="X372" s="52" t="e">
        <f ca="1">MATCH($R372,INDIRECT(nomFichierEAN13ValmagUniq &amp; "!A" &amp; (V372+1) &amp; ":A" &amp;  (V372+10)),0)</f>
        <v>#N/A</v>
      </c>
      <c r="Y372" s="51" t="e">
        <f t="shared" ref="Y372:Y435" ca="1" si="1392">X372+V372</f>
        <v>#N/A</v>
      </c>
      <c r="Z372" s="49" t="str">
        <f ca="1">IFERROR(INDEX(INDIRECT(zoneFichierEAN13ValmagUniq),Y372,2),"")</f>
        <v/>
      </c>
      <c r="AA372" s="53" t="str">
        <f t="shared" ref="AA372:AA435" ca="1" si="1393">T372 &amp; IF(W372="","", " | " &amp; W372) &amp; IF(Z372="","", " | " &amp;Z372)</f>
        <v xml:space="preserve"> </v>
      </c>
      <c r="AC372" s="55">
        <f ca="1">MATCH(B372,INDIRECT(nomFichierFiltreCatalogue &amp; "!B:B"),0)</f>
        <v>335</v>
      </c>
      <c r="AD372" s="14"/>
    </row>
    <row r="373" spans="1:30" s="20" customFormat="1" ht="15.75" customHeight="1" x14ac:dyDescent="0.25">
      <c r="A373" s="25">
        <f ca="1">INDEX(INDIRECT(zoneFichierTraite),$J372+offsetInitialFichierTraite,2)</f>
        <v>127</v>
      </c>
      <c r="B373" s="57" t="str">
        <f ca="1">IF(ISERROR($P372),msgRefValmagAcreer,IF(INDEX(INDIRECT(zoneFichierEAN13Valmag),$P372,3) = "",msgCodeValmagVide, INDEX(INDIRECT(zoneFichierEAN13Valmag),$P372,3)))</f>
        <v xml:space="preserve"> </v>
      </c>
      <c r="C373" s="54" t="str">
        <f t="shared" ref="C373:C436" ca="1" si="1394">AA372</f>
        <v xml:space="preserve"> </v>
      </c>
      <c r="D373" s="19" t="str">
        <f ca="1">IFERROR(INDEX(INDIRECT(zoneFichierEAN13Valmag),$P372,4),"")</f>
        <v xml:space="preserve"> </v>
      </c>
      <c r="E373" s="58" t="str">
        <f ca="1">IFERROR(INDEX(INDIRECT(zoneFichierFiltreCatalogue),AC372,3),"")</f>
        <v>p072-1-01</v>
      </c>
      <c r="F373" s="19"/>
      <c r="G373" s="18"/>
      <c r="H373" s="32" t="str">
        <f ca="1">IFERROR(INDEX(INDIRECT(zoneFichierFiltreCatalogue),AC372,6),"")</f>
        <v>fall 2019 presentation_/catalogo fall 19.txt</v>
      </c>
      <c r="S373" s="1"/>
      <c r="T373" s="21"/>
      <c r="U373" s="21"/>
      <c r="V373" s="21"/>
      <c r="W373" s="21"/>
      <c r="X373" s="21"/>
      <c r="Y373" s="21"/>
      <c r="Z373" s="21"/>
      <c r="AA373" s="21"/>
      <c r="AB373" s="21"/>
      <c r="AC373" s="21"/>
    </row>
    <row r="374" spans="1:30" ht="39" customHeight="1" thickBot="1" x14ac:dyDescent="0.65">
      <c r="A374" s="9" t="str">
        <f ca="1">INDEX(INDIRECT(zoneFichierTraite),$J374+offsetInitialFichierTraite,6)</f>
        <v>UNICA</v>
      </c>
      <c r="B374" s="5" t="str">
        <f ca="1">INDEX(INDIRECT(zoneFichierTraite),$J374+offsetInitialFichierTraite,4)</f>
        <v>OBAGT002-TESBE-227</v>
      </c>
      <c r="C374" s="26" t="str">
        <f ca="1">INDEX(INDIRECT(zoneFichierTraite),$J374+offsetInitialFichierTraite,5)</f>
        <v>REVERS O BAG MINI EN TISSU Ã€ CHEVRONS</v>
      </c>
      <c r="D374" s="27" t="str">
        <f ca="1">INDEX(INDIRECT(zoneFichierTraite),$J374+offsetInitialFichierTraite,13)</f>
        <v>bianco/nero</v>
      </c>
      <c r="E374" s="30">
        <f ca="1">INDEX(INDIRECT(zoneFichierTraite),$J374+offsetInitialFichierTraite,7)</f>
        <v>2</v>
      </c>
      <c r="F374" s="28">
        <f ca="1">INDEX(INDIRECT(zoneFichierTraite),$J374+offsetInitialFichierTraite,8)</f>
        <v>13.33</v>
      </c>
      <c r="G374" s="29">
        <f t="shared" ref="G374:G437" ca="1" si="1395">ROUNDUP(F374*3,0)</f>
        <v>40</v>
      </c>
      <c r="H374" s="31" t="str">
        <f ca="1">IF(ISNUMBER(N374),codeEAN13(INT(N374/10)),"")</f>
        <v>8APASOG*ajaiia+</v>
      </c>
      <c r="I374" s="1" t="b">
        <f t="shared" ref="I374:I437" ca="1" si="1396">AND(A377&lt;&gt;0,A375=A377)</f>
        <v>0</v>
      </c>
      <c r="J374" s="15">
        <f t="shared" si="1220"/>
        <v>183</v>
      </c>
      <c r="K374" s="1">
        <f t="shared" ref="K374:K437" ca="1" si="1397">A375</f>
        <v>200</v>
      </c>
      <c r="L374" s="5" t="str">
        <f ca="1">INDEX(INDIRECT(zoneFichierTraite),$J374+offsetInitialFichierTraite,1)</f>
        <v>'183</v>
      </c>
      <c r="M374" s="11">
        <f ca="1">INDEX(INDIRECT(zoneFichierTraite),$J374+offsetInitialFichierTraite,9)</f>
        <v>26.66</v>
      </c>
      <c r="N374" s="14">
        <f ca="1">INDEX(INDIRECT(zoneFichierTraite),$J374+offsetInitialFichierTraite,3)</f>
        <v>8050846090880</v>
      </c>
      <c r="O374" s="14"/>
      <c r="P374" s="56">
        <f ca="1">MATCH(N374,INDIRECT(nomFichierEAN13Valmag &amp; "!A:A"),0)</f>
        <v>768</v>
      </c>
      <c r="R374" s="50" t="str">
        <f t="shared" ref="R374:R405" ca="1" si="1398">LEFT(B374,14)</f>
        <v>OBAGT002-TESBE</v>
      </c>
      <c r="S374" s="52">
        <f ca="1">MATCH($R374,INDIRECT(nomFichierEAN13ValmagUniq &amp; "!A:A"),0)</f>
        <v>313</v>
      </c>
      <c r="T374" s="49" t="str">
        <f ca="1">IFERROR(INDEX(INDIRECT(zoneFichierEAN13ValmagUniq),S374,2),"")</f>
        <v xml:space="preserve"> </v>
      </c>
      <c r="U374" s="52" t="e">
        <f ca="1">MATCH($R374,INDIRECT(nomFichierEAN13ValmagUniq &amp; "!A" &amp; (S374+1) &amp; ":A" &amp;  (S374+10)),0)</f>
        <v>#N/A</v>
      </c>
      <c r="V374" s="51" t="e">
        <f t="shared" ref="V374:V437" ca="1" si="1399">U374+S374</f>
        <v>#N/A</v>
      </c>
      <c r="W374" s="49" t="str">
        <f ca="1">IFERROR(INDEX(INDIRECT(zoneFichierEAN13ValmagUniq),V374,2),"")</f>
        <v/>
      </c>
      <c r="X374" s="52" t="e">
        <f ca="1">MATCH($R374,INDIRECT(nomFichierEAN13ValmagUniq &amp; "!A" &amp; (V374+1) &amp; ":A" &amp;  (V374+10)),0)</f>
        <v>#N/A</v>
      </c>
      <c r="Y374" s="51" t="e">
        <f t="shared" ref="Y374:Y437" ca="1" si="1400">X374+V374</f>
        <v>#N/A</v>
      </c>
      <c r="Z374" s="49" t="str">
        <f ca="1">IFERROR(INDEX(INDIRECT(zoneFichierEAN13ValmagUniq),Y374,2),"")</f>
        <v/>
      </c>
      <c r="AA374" s="53" t="str">
        <f t="shared" ref="AA374:AA437" ca="1" si="1401">T374 &amp; IF(W374="","", " | " &amp; W374) &amp; IF(Z374="","", " | " &amp;Z374)</f>
        <v xml:space="preserve"> </v>
      </c>
      <c r="AC374" s="55">
        <f ca="1">MATCH(B374,INDIRECT(nomFichierFiltreCatalogue &amp; "!B:B"),0)</f>
        <v>336</v>
      </c>
      <c r="AD374" s="14"/>
    </row>
    <row r="375" spans="1:30" s="20" customFormat="1" ht="15.75" customHeight="1" x14ac:dyDescent="0.25">
      <c r="A375" s="25">
        <f ca="1">INDEX(INDIRECT(zoneFichierTraite),$J374+offsetInitialFichierTraite,2)</f>
        <v>200</v>
      </c>
      <c r="B375" s="57" t="str">
        <f ca="1">IF(ISERROR($P374),msgRefValmagAcreer,IF(INDEX(INDIRECT(zoneFichierEAN13Valmag),$P374,3) = "",msgCodeValmagVide, INDEX(INDIRECT(zoneFichierEAN13Valmag),$P374,3)))</f>
        <v xml:space="preserve"> </v>
      </c>
      <c r="C375" s="54" t="str">
        <f t="shared" ref="C375:C438" ca="1" si="1402">AA374</f>
        <v xml:space="preserve"> </v>
      </c>
      <c r="D375" s="19" t="str">
        <f ca="1">IFERROR(INDEX(INDIRECT(zoneFichierEAN13Valmag),$P374,4),"")</f>
        <v xml:space="preserve"> </v>
      </c>
      <c r="E375" s="58" t="str">
        <f ca="1">IFERROR(INDEX(INDIRECT(zoneFichierFiltreCatalogue),AC374,3),"")</f>
        <v>p072-2-01</v>
      </c>
      <c r="F375" s="19"/>
      <c r="G375" s="18"/>
      <c r="H375" s="32" t="str">
        <f ca="1">IFERROR(INDEX(INDIRECT(zoneFichierFiltreCatalogue),AC374,6),"")</f>
        <v>fall 2019 presentation_/catalogo fall 19.txt</v>
      </c>
      <c r="S375" s="1"/>
      <c r="T375" s="21"/>
      <c r="U375" s="21"/>
      <c r="V375" s="21"/>
      <c r="W375" s="21"/>
      <c r="X375" s="21"/>
      <c r="Y375" s="21"/>
      <c r="Z375" s="21"/>
      <c r="AA375" s="21"/>
      <c r="AB375" s="21"/>
      <c r="AC375" s="21"/>
    </row>
    <row r="376" spans="1:30" ht="39" customHeight="1" thickBot="1" x14ac:dyDescent="0.65">
      <c r="A376" s="9" t="str">
        <f ca="1">INDEX(INDIRECT(zoneFichierTraite),$J376+offsetInitialFichierTraite,6)</f>
        <v>UNICA</v>
      </c>
      <c r="B376" s="5" t="str">
        <f ca="1">INDEX(INDIRECT(zoneFichierTraite),$J376+offsetInitialFichierTraite,4)</f>
        <v>OBAGT002-TESBH-017</v>
      </c>
      <c r="C376" s="26" t="str">
        <f ca="1">INDEX(INDIRECT(zoneFichierTraite),$J376+offsetInitialFichierTraite,5)</f>
        <v>REVERS O BAG MINI EN TISSU IMPRIME JACQUARD MICRO FANTAISIE</v>
      </c>
      <c r="D376" s="27" t="str">
        <f ca="1">INDEX(INDIRECT(zoneFichierTraite),$J376+offsetInitialFichierTraite,13)</f>
        <v>blu navy</v>
      </c>
      <c r="E376" s="30">
        <f ca="1">INDEX(INDIRECT(zoneFichierTraite),$J376+offsetInitialFichierTraite,7)</f>
        <v>2</v>
      </c>
      <c r="F376" s="28">
        <f ca="1">INDEX(INDIRECT(zoneFichierTraite),$J376+offsetInitialFichierTraite,8)</f>
        <v>13.33</v>
      </c>
      <c r="G376" s="29">
        <f t="shared" ref="G376:G439" ca="1" si="1403">ROUNDUP(F376*3,0)</f>
        <v>40</v>
      </c>
      <c r="H376" s="31" t="str">
        <f ca="1">IF(ISNUMBER(N376),codeEAN13(INT(N376/10)),"")</f>
        <v>8APASOG*ajajch+</v>
      </c>
      <c r="I376" s="1" t="b">
        <f t="shared" ref="I376:I439" ca="1" si="1404">AND(A379&lt;&gt;0,A377=A379)</f>
        <v>0</v>
      </c>
      <c r="J376" s="15">
        <f t="shared" si="1220"/>
        <v>184</v>
      </c>
      <c r="K376" s="1">
        <f t="shared" ref="K376:K439" ca="1" si="1405">A377</f>
        <v>157</v>
      </c>
      <c r="L376" s="5" t="str">
        <f ca="1">INDEX(INDIRECT(zoneFichierTraite),$J376+offsetInitialFichierTraite,1)</f>
        <v>'184</v>
      </c>
      <c r="M376" s="11">
        <f ca="1">INDEX(INDIRECT(zoneFichierTraite),$J376+offsetInitialFichierTraite,9)</f>
        <v>26.66</v>
      </c>
      <c r="N376" s="14">
        <f ca="1">INDEX(INDIRECT(zoneFichierTraite),$J376+offsetInitialFichierTraite,3)</f>
        <v>8050846090927</v>
      </c>
      <c r="O376" s="14"/>
      <c r="P376" s="56">
        <f ca="1">MATCH(N376,INDIRECT(nomFichierEAN13Valmag &amp; "!A:A"),0)</f>
        <v>772</v>
      </c>
      <c r="R376" s="50" t="str">
        <f t="shared" ref="R376:R407" ca="1" si="1406">LEFT(B376,14)</f>
        <v>OBAGT002-TESBH</v>
      </c>
      <c r="S376" s="52">
        <f ca="1">MATCH($R376,INDIRECT(nomFichierEAN13ValmagUniq &amp; "!A:A"),0)</f>
        <v>315</v>
      </c>
      <c r="T376" s="49" t="str">
        <f ca="1">IFERROR(INDEX(INDIRECT(zoneFichierEAN13ValmagUniq),S376,2),"")</f>
        <v xml:space="preserve"> </v>
      </c>
      <c r="U376" s="52" t="e">
        <f ca="1">MATCH($R376,INDIRECT(nomFichierEAN13ValmagUniq &amp; "!A" &amp; (S376+1) &amp; ":A" &amp;  (S376+10)),0)</f>
        <v>#N/A</v>
      </c>
      <c r="V376" s="51" t="e">
        <f t="shared" ref="V376:V439" ca="1" si="1407">U376+S376</f>
        <v>#N/A</v>
      </c>
      <c r="W376" s="49" t="str">
        <f ca="1">IFERROR(INDEX(INDIRECT(zoneFichierEAN13ValmagUniq),V376,2),"")</f>
        <v/>
      </c>
      <c r="X376" s="52" t="e">
        <f ca="1">MATCH($R376,INDIRECT(nomFichierEAN13ValmagUniq &amp; "!A" &amp; (V376+1) &amp; ":A" &amp;  (V376+10)),0)</f>
        <v>#N/A</v>
      </c>
      <c r="Y376" s="51" t="e">
        <f t="shared" ref="Y376:Y439" ca="1" si="1408">X376+V376</f>
        <v>#N/A</v>
      </c>
      <c r="Z376" s="49" t="str">
        <f ca="1">IFERROR(INDEX(INDIRECT(zoneFichierEAN13ValmagUniq),Y376,2),"")</f>
        <v/>
      </c>
      <c r="AA376" s="53" t="str">
        <f t="shared" ref="AA376:AA439" ca="1" si="1409">T376 &amp; IF(W376="","", " | " &amp; W376) &amp; IF(Z376="","", " | " &amp;Z376)</f>
        <v xml:space="preserve"> </v>
      </c>
      <c r="AC376" s="55">
        <f ca="1">MATCH(B376,INDIRECT(nomFichierFiltreCatalogue &amp; "!B:B"),0)</f>
        <v>338</v>
      </c>
      <c r="AD376" s="14"/>
    </row>
    <row r="377" spans="1:30" s="20" customFormat="1" ht="15.75" customHeight="1" x14ac:dyDescent="0.25">
      <c r="A377" s="25">
        <f ca="1">INDEX(INDIRECT(zoneFichierTraite),$J376+offsetInitialFichierTraite,2)</f>
        <v>157</v>
      </c>
      <c r="B377" s="57" t="str">
        <f ca="1">IF(ISERROR($P376),msgRefValmagAcreer,IF(INDEX(INDIRECT(zoneFichierEAN13Valmag),$P376,3) = "",msgCodeValmagVide, INDEX(INDIRECT(zoneFichierEAN13Valmag),$P376,3)))</f>
        <v xml:space="preserve"> </v>
      </c>
      <c r="C377" s="54" t="str">
        <f t="shared" ref="C377:C440" ca="1" si="1410">AA376</f>
        <v xml:space="preserve"> </v>
      </c>
      <c r="D377" s="19" t="str">
        <f ca="1">IFERROR(INDEX(INDIRECT(zoneFichierEAN13Valmag),$P376,4),"")</f>
        <v xml:space="preserve"> </v>
      </c>
      <c r="E377" s="58" t="str">
        <f ca="1">IFERROR(INDEX(INDIRECT(zoneFichierFiltreCatalogue),AC376,3),"")</f>
        <v>p073-2-01</v>
      </c>
      <c r="F377" s="19"/>
      <c r="G377" s="18"/>
      <c r="H377" s="32" t="str">
        <f ca="1">IFERROR(INDEX(INDIRECT(zoneFichierFiltreCatalogue),AC376,6),"")</f>
        <v>fall 2019 presentation_/catalogo fall 19.txt</v>
      </c>
      <c r="S377" s="1"/>
      <c r="T377" s="21"/>
      <c r="U377" s="21"/>
      <c r="V377" s="21"/>
      <c r="W377" s="21"/>
      <c r="X377" s="21"/>
      <c r="Y377" s="21"/>
      <c r="Z377" s="21"/>
      <c r="AA377" s="21"/>
      <c r="AB377" s="21"/>
      <c r="AC377" s="21"/>
    </row>
    <row r="378" spans="1:30" ht="39" customHeight="1" thickBot="1" x14ac:dyDescent="0.65">
      <c r="A378" s="9" t="str">
        <f ca="1">INDEX(INDIRECT(zoneFichierTraite),$J378+offsetInitialFichierTraite,6)</f>
        <v>UNICA</v>
      </c>
      <c r="B378" s="5" t="str">
        <f ca="1">INDEX(INDIRECT(zoneFichierTraite),$J378+offsetInitialFichierTraite,4)</f>
        <v>OBAGT002-TESBJ-227</v>
      </c>
      <c r="C378" s="26" t="str">
        <f ca="1">INDEX(INDIRECT(zoneFichierTraite),$J378+offsetInitialFichierTraite,5)</f>
        <v>REVERS O BAG MINI EN TISSU OPTICAL STRIPES</v>
      </c>
      <c r="D378" s="27" t="str">
        <f ca="1">INDEX(INDIRECT(zoneFichierTraite),$J378+offsetInitialFichierTraite,13)</f>
        <v>bianco/nero</v>
      </c>
      <c r="E378" s="30">
        <f ca="1">INDEX(INDIRECT(zoneFichierTraite),$J378+offsetInitialFichierTraite,7)</f>
        <v>2</v>
      </c>
      <c r="F378" s="28">
        <f ca="1">INDEX(INDIRECT(zoneFichierTraite),$J378+offsetInitialFichierTraite,8)</f>
        <v>11.85</v>
      </c>
      <c r="G378" s="29">
        <f t="shared" ref="G378:G441" ca="1" si="1411">ROUNDUP(F378*3,0)</f>
        <v>36</v>
      </c>
      <c r="H378" s="31" t="str">
        <f ca="1">IF(ISNUMBER(N378),codeEAN13(INT(N378/10)),"")</f>
        <v>8APASOG*ajaihd+</v>
      </c>
      <c r="I378" s="1" t="b">
        <f t="shared" ref="I378:I441" ca="1" si="1412">AND(A381&lt;&gt;0,A379=A381)</f>
        <v>0</v>
      </c>
      <c r="J378" s="15">
        <f t="shared" si="1220"/>
        <v>185</v>
      </c>
      <c r="K378" s="1">
        <f t="shared" ref="K378:K441" ca="1" si="1413">A379</f>
        <v>201</v>
      </c>
      <c r="L378" s="5" t="str">
        <f ca="1">INDEX(INDIRECT(zoneFichierTraite),$J378+offsetInitialFichierTraite,1)</f>
        <v>'185</v>
      </c>
      <c r="M378" s="11">
        <f ca="1">INDEX(INDIRECT(zoneFichierTraite),$J378+offsetInitialFichierTraite,9)</f>
        <v>23.7</v>
      </c>
      <c r="N378" s="14">
        <f ca="1">INDEX(INDIRECT(zoneFichierTraite),$J378+offsetInitialFichierTraite,3)</f>
        <v>8050846090873</v>
      </c>
      <c r="O378" s="14"/>
      <c r="P378" s="56">
        <f ca="1">MATCH(N378,INDIRECT(nomFichierEAN13Valmag &amp; "!A:A"),0)</f>
        <v>767</v>
      </c>
      <c r="R378" s="50" t="str">
        <f t="shared" ref="R378:R409" ca="1" si="1414">LEFT(B378,14)</f>
        <v>OBAGT002-TESBJ</v>
      </c>
      <c r="S378" s="52">
        <f ca="1">MATCH($R378,INDIRECT(nomFichierEAN13ValmagUniq &amp; "!A:A"),0)</f>
        <v>316</v>
      </c>
      <c r="T378" s="49" t="str">
        <f ca="1">IFERROR(INDEX(INDIRECT(zoneFichierEAN13ValmagUniq),S378,2),"")</f>
        <v xml:space="preserve"> </v>
      </c>
      <c r="U378" s="52" t="e">
        <f ca="1">MATCH($R378,INDIRECT(nomFichierEAN13ValmagUniq &amp; "!A" &amp; (S378+1) &amp; ":A" &amp;  (S378+10)),0)</f>
        <v>#N/A</v>
      </c>
      <c r="V378" s="51" t="e">
        <f t="shared" ref="V378:V441" ca="1" si="1415">U378+S378</f>
        <v>#N/A</v>
      </c>
      <c r="W378" s="49" t="str">
        <f ca="1">IFERROR(INDEX(INDIRECT(zoneFichierEAN13ValmagUniq),V378,2),"")</f>
        <v/>
      </c>
      <c r="X378" s="52" t="e">
        <f ca="1">MATCH($R378,INDIRECT(nomFichierEAN13ValmagUniq &amp; "!A" &amp; (V378+1) &amp; ":A" &amp;  (V378+10)),0)</f>
        <v>#N/A</v>
      </c>
      <c r="Y378" s="51" t="e">
        <f t="shared" ref="Y378:Y441" ca="1" si="1416">X378+V378</f>
        <v>#N/A</v>
      </c>
      <c r="Z378" s="49" t="str">
        <f ca="1">IFERROR(INDEX(INDIRECT(zoneFichierEAN13ValmagUniq),Y378,2),"")</f>
        <v/>
      </c>
      <c r="AA378" s="53" t="str">
        <f t="shared" ref="AA378:AA441" ca="1" si="1417">T378 &amp; IF(W378="","", " | " &amp; W378) &amp; IF(Z378="","", " | " &amp;Z378)</f>
        <v xml:space="preserve"> </v>
      </c>
      <c r="AC378" s="55">
        <f ca="1">MATCH(B378,INDIRECT(nomFichierFiltreCatalogue &amp; "!B:B"),0)</f>
        <v>339</v>
      </c>
      <c r="AD378" s="14"/>
    </row>
    <row r="379" spans="1:30" s="20" customFormat="1" ht="15.75" customHeight="1" x14ac:dyDescent="0.25">
      <c r="A379" s="25">
        <f ca="1">INDEX(INDIRECT(zoneFichierTraite),$J378+offsetInitialFichierTraite,2)</f>
        <v>201</v>
      </c>
      <c r="B379" s="57" t="str">
        <f ca="1">IF(ISERROR($P378),msgRefValmagAcreer,IF(INDEX(INDIRECT(zoneFichierEAN13Valmag),$P378,3) = "",msgCodeValmagVide, INDEX(INDIRECT(zoneFichierEAN13Valmag),$P378,3)))</f>
        <v xml:space="preserve"> </v>
      </c>
      <c r="C379" s="54" t="str">
        <f t="shared" ref="C379:C442" ca="1" si="1418">AA378</f>
        <v xml:space="preserve"> </v>
      </c>
      <c r="D379" s="19" t="str">
        <f ca="1">IFERROR(INDEX(INDIRECT(zoneFichierEAN13Valmag),$P378,4),"")</f>
        <v xml:space="preserve"> </v>
      </c>
      <c r="E379" s="58" t="str">
        <f ca="1">IFERROR(INDEX(INDIRECT(zoneFichierFiltreCatalogue),AC378,3),"")</f>
        <v>p074-1-01</v>
      </c>
      <c r="F379" s="19"/>
      <c r="G379" s="18"/>
      <c r="H379" s="32" t="str">
        <f ca="1">IFERROR(INDEX(INDIRECT(zoneFichierFiltreCatalogue),AC378,6),"")</f>
        <v>fall 2019 presentation_/catalogo fall 19.txt</v>
      </c>
      <c r="S379" s="1"/>
      <c r="T379" s="21"/>
      <c r="U379" s="21"/>
      <c r="V379" s="21"/>
      <c r="W379" s="21"/>
      <c r="X379" s="21"/>
      <c r="Y379" s="21"/>
      <c r="Z379" s="21"/>
      <c r="AA379" s="21"/>
      <c r="AB379" s="21"/>
      <c r="AC379" s="21"/>
    </row>
    <row r="380" spans="1:30" ht="39" customHeight="1" thickBot="1" x14ac:dyDescent="0.65">
      <c r="A380" s="9" t="str">
        <f ca="1">INDEX(INDIRECT(zoneFichierTraite),$J380+offsetInitialFichierTraite,6)</f>
        <v>UNICA</v>
      </c>
      <c r="B380" s="5" t="str">
        <f ca="1">INDEX(INDIRECT(zoneFichierTraite),$J380+offsetInitialFichierTraite,4)</f>
        <v>OBAGT002-TESBK-055</v>
      </c>
      <c r="C380" s="26" t="str">
        <f ca="1">INDEX(INDIRECT(zoneFichierTraite),$J380+offsetInitialFichierTraite,5)</f>
        <v>REVERS O BAG MINI EN TISSU DOUDOUNE Ã€ CHEVRONS</v>
      </c>
      <c r="D380" s="27" t="str">
        <f ca="1">INDEX(INDIRECT(zoneFichierTraite),$J380+offsetInitialFichierTraite,13)</f>
        <v>nero</v>
      </c>
      <c r="E380" s="30">
        <f ca="1">INDEX(INDIRECT(zoneFichierTraite),$J380+offsetInitialFichierTraite,7)</f>
        <v>2</v>
      </c>
      <c r="F380" s="28">
        <f ca="1">INDEX(INDIRECT(zoneFichierTraite),$J380+offsetInitialFichierTraite,8)</f>
        <v>11.85</v>
      </c>
      <c r="G380" s="29">
        <f t="shared" ref="G380:G443" ca="1" si="1419">ROUNDUP(F380*3,0)</f>
        <v>36</v>
      </c>
      <c r="H380" s="31" t="str">
        <f ca="1">IF(ISNUMBER(N380),codeEAN13(INT(N380/10)),"")</f>
        <v>8APASOG*ajaigg+</v>
      </c>
      <c r="I380" s="1" t="b">
        <f t="shared" ref="I380:I443" ca="1" si="1420">AND(A383&lt;&gt;0,A381=A383)</f>
        <v>0</v>
      </c>
      <c r="J380" s="15">
        <f t="shared" si="1220"/>
        <v>186</v>
      </c>
      <c r="K380" s="1">
        <f t="shared" ref="K380:K443" ca="1" si="1421">A381</f>
        <v>108</v>
      </c>
      <c r="L380" s="5" t="str">
        <f ca="1">INDEX(INDIRECT(zoneFichierTraite),$J380+offsetInitialFichierTraite,1)</f>
        <v>'186</v>
      </c>
      <c r="M380" s="11">
        <f ca="1">INDEX(INDIRECT(zoneFichierTraite),$J380+offsetInitialFichierTraite,9)</f>
        <v>23.7</v>
      </c>
      <c r="N380" s="14">
        <f ca="1">INDEX(INDIRECT(zoneFichierTraite),$J380+offsetInitialFichierTraite,3)</f>
        <v>8050846090866</v>
      </c>
      <c r="O380" s="14"/>
      <c r="P380" s="56">
        <f ca="1">MATCH(N380,INDIRECT(nomFichierEAN13Valmag &amp; "!A:A"),0)</f>
        <v>766</v>
      </c>
      <c r="R380" s="50" t="str">
        <f t="shared" ref="R380:R411" ca="1" si="1422">LEFT(B380,14)</f>
        <v>OBAGT002-TESBK</v>
      </c>
      <c r="S380" s="52">
        <f ca="1">MATCH($R380,INDIRECT(nomFichierEAN13ValmagUniq &amp; "!A:A"),0)</f>
        <v>317</v>
      </c>
      <c r="T380" s="49" t="str">
        <f ca="1">IFERROR(INDEX(INDIRECT(zoneFichierEAN13ValmagUniq),S380,2),"")</f>
        <v xml:space="preserve"> </v>
      </c>
      <c r="U380" s="52" t="e">
        <f ca="1">MATCH($R380,INDIRECT(nomFichierEAN13ValmagUniq &amp; "!A" &amp; (S380+1) &amp; ":A" &amp;  (S380+10)),0)</f>
        <v>#N/A</v>
      </c>
      <c r="V380" s="51" t="e">
        <f t="shared" ref="V380:V443" ca="1" si="1423">U380+S380</f>
        <v>#N/A</v>
      </c>
      <c r="W380" s="49" t="str">
        <f ca="1">IFERROR(INDEX(INDIRECT(zoneFichierEAN13ValmagUniq),V380,2),"")</f>
        <v/>
      </c>
      <c r="X380" s="52" t="e">
        <f ca="1">MATCH($R380,INDIRECT(nomFichierEAN13ValmagUniq &amp; "!A" &amp; (V380+1) &amp; ":A" &amp;  (V380+10)),0)</f>
        <v>#N/A</v>
      </c>
      <c r="Y380" s="51" t="e">
        <f t="shared" ref="Y380:Y443" ca="1" si="1424">X380+V380</f>
        <v>#N/A</v>
      </c>
      <c r="Z380" s="49" t="str">
        <f ca="1">IFERROR(INDEX(INDIRECT(zoneFichierEAN13ValmagUniq),Y380,2),"")</f>
        <v/>
      </c>
      <c r="AA380" s="53" t="str">
        <f t="shared" ref="AA380:AA443" ca="1" si="1425">T380 &amp; IF(W380="","", " | " &amp; W380) &amp; IF(Z380="","", " | " &amp;Z380)</f>
        <v xml:space="preserve"> </v>
      </c>
      <c r="AC380" s="55">
        <f ca="1">MATCH(B380,INDIRECT(nomFichierFiltreCatalogue &amp; "!B:B"),0)</f>
        <v>341</v>
      </c>
      <c r="AD380" s="14"/>
    </row>
    <row r="381" spans="1:30" s="20" customFormat="1" ht="15.75" customHeight="1" x14ac:dyDescent="0.25">
      <c r="A381" s="25">
        <f ca="1">INDEX(INDIRECT(zoneFichierTraite),$J380+offsetInitialFichierTraite,2)</f>
        <v>108</v>
      </c>
      <c r="B381" s="57" t="str">
        <f ca="1">IF(ISERROR($P380),msgRefValmagAcreer,IF(INDEX(INDIRECT(zoneFichierEAN13Valmag),$P380,3) = "",msgCodeValmagVide, INDEX(INDIRECT(zoneFichierEAN13Valmag),$P380,3)))</f>
        <v xml:space="preserve"> </v>
      </c>
      <c r="C381" s="54" t="str">
        <f t="shared" ref="C381:C444" ca="1" si="1426">AA380</f>
        <v xml:space="preserve"> </v>
      </c>
      <c r="D381" s="19" t="str">
        <f ca="1">IFERROR(INDEX(INDIRECT(zoneFichierEAN13Valmag),$P380,4),"")</f>
        <v xml:space="preserve"> </v>
      </c>
      <c r="E381" s="58" t="str">
        <f ca="1">IFERROR(INDEX(INDIRECT(zoneFichierFiltreCatalogue),AC380,3),"")</f>
        <v>p075-1-01</v>
      </c>
      <c r="F381" s="19"/>
      <c r="G381" s="18"/>
      <c r="H381" s="32" t="str">
        <f ca="1">IFERROR(INDEX(INDIRECT(zoneFichierFiltreCatalogue),AC380,6),"")</f>
        <v>fall 2019 presentation_/catalogo fall 19.txt</v>
      </c>
      <c r="S381" s="1"/>
      <c r="T381" s="21"/>
      <c r="U381" s="21"/>
      <c r="V381" s="21"/>
      <c r="W381" s="21"/>
      <c r="X381" s="21"/>
      <c r="Y381" s="21"/>
      <c r="Z381" s="21"/>
      <c r="AA381" s="21"/>
      <c r="AB381" s="21"/>
      <c r="AC381" s="21"/>
    </row>
    <row r="382" spans="1:30" ht="39" customHeight="1" thickBot="1" x14ac:dyDescent="0.65">
      <c r="A382" s="9" t="str">
        <f ca="1">INDEX(INDIRECT(zoneFichierTraite),$J382+offsetInitialFichierTraite,6)</f>
        <v>UNICA</v>
      </c>
      <c r="B382" s="5" t="str">
        <f ca="1">INDEX(INDIRECT(zoneFichierTraite),$J382+offsetInitialFichierTraite,4)</f>
        <v>OBAGT002-TESBK-137</v>
      </c>
      <c r="C382" s="26" t="str">
        <f ca="1">INDEX(INDIRECT(zoneFichierTraite),$J382+offsetInitialFichierTraite,5)</f>
        <v>REVERS O BAG MINI EN TISSU DOUDOUNE Ã€ CHEVRONS</v>
      </c>
      <c r="D382" s="27" t="str">
        <f ca="1">INDEX(INDIRECT(zoneFichierTraite),$J382+offsetInitialFichierTraite,13)</f>
        <v>bluette</v>
      </c>
      <c r="E382" s="30">
        <f ca="1">INDEX(INDIRECT(zoneFichierTraite),$J382+offsetInitialFichierTraite,7)</f>
        <v>2</v>
      </c>
      <c r="F382" s="28">
        <f ca="1">INDEX(INDIRECT(zoneFichierTraite),$J382+offsetInitialFichierTraite,8)</f>
        <v>11.85</v>
      </c>
      <c r="G382" s="29">
        <f t="shared" ref="G382:G445" ca="1" si="1427">ROUNDUP(F382*3,0)</f>
        <v>36</v>
      </c>
      <c r="H382" s="31" t="str">
        <f ca="1">IF(ISNUMBER(N382),codeEAN13(INT(N382/10)),"")</f>
        <v>8APASOG*ajaifj+</v>
      </c>
      <c r="I382" s="1" t="b">
        <f t="shared" ref="I382:I445" ca="1" si="1428">AND(A385&lt;&gt;0,A383=A385)</f>
        <v>0</v>
      </c>
      <c r="J382" s="15">
        <f t="shared" si="1220"/>
        <v>187</v>
      </c>
      <c r="K382" s="1">
        <f t="shared" ref="K382:K445" ca="1" si="1429">A383</f>
        <v>191</v>
      </c>
      <c r="L382" s="5" t="str">
        <f ca="1">INDEX(INDIRECT(zoneFichierTraite),$J382+offsetInitialFichierTraite,1)</f>
        <v>'187</v>
      </c>
      <c r="M382" s="11">
        <f ca="1">INDEX(INDIRECT(zoneFichierTraite),$J382+offsetInitialFichierTraite,9)</f>
        <v>23.7</v>
      </c>
      <c r="N382" s="14">
        <f ca="1">INDEX(INDIRECT(zoneFichierTraite),$J382+offsetInitialFichierTraite,3)</f>
        <v>8050846090859</v>
      </c>
      <c r="O382" s="14"/>
      <c r="P382" s="56">
        <f ca="1">MATCH(N382,INDIRECT(nomFichierEAN13Valmag &amp; "!A:A"),0)</f>
        <v>765</v>
      </c>
      <c r="R382" s="50" t="str">
        <f t="shared" ref="R382:R413" ca="1" si="1430">LEFT(B382,14)</f>
        <v>OBAGT002-TESBK</v>
      </c>
      <c r="S382" s="52">
        <f ca="1">MATCH($R382,INDIRECT(nomFichierEAN13ValmagUniq &amp; "!A:A"),0)</f>
        <v>317</v>
      </c>
      <c r="T382" s="49" t="str">
        <f ca="1">IFERROR(INDEX(INDIRECT(zoneFichierEAN13ValmagUniq),S382,2),"")</f>
        <v xml:space="preserve"> </v>
      </c>
      <c r="U382" s="52" t="e">
        <f ca="1">MATCH($R382,INDIRECT(nomFichierEAN13ValmagUniq &amp; "!A" &amp; (S382+1) &amp; ":A" &amp;  (S382+10)),0)</f>
        <v>#N/A</v>
      </c>
      <c r="V382" s="51" t="e">
        <f t="shared" ref="V382:V445" ca="1" si="1431">U382+S382</f>
        <v>#N/A</v>
      </c>
      <c r="W382" s="49" t="str">
        <f ca="1">IFERROR(INDEX(INDIRECT(zoneFichierEAN13ValmagUniq),V382,2),"")</f>
        <v/>
      </c>
      <c r="X382" s="52" t="e">
        <f ca="1">MATCH($R382,INDIRECT(nomFichierEAN13ValmagUniq &amp; "!A" &amp; (V382+1) &amp; ":A" &amp;  (V382+10)),0)</f>
        <v>#N/A</v>
      </c>
      <c r="Y382" s="51" t="e">
        <f t="shared" ref="Y382:Y445" ca="1" si="1432">X382+V382</f>
        <v>#N/A</v>
      </c>
      <c r="Z382" s="49" t="str">
        <f ca="1">IFERROR(INDEX(INDIRECT(zoneFichierEAN13ValmagUniq),Y382,2),"")</f>
        <v/>
      </c>
      <c r="AA382" s="53" t="str">
        <f t="shared" ref="AA382:AA445" ca="1" si="1433">T382 &amp; IF(W382="","", " | " &amp; W382) &amp; IF(Z382="","", " | " &amp;Z382)</f>
        <v xml:space="preserve"> </v>
      </c>
      <c r="AC382" s="55">
        <f ca="1">MATCH(B382,INDIRECT(nomFichierFiltreCatalogue &amp; "!B:B"),0)</f>
        <v>342</v>
      </c>
      <c r="AD382" s="14"/>
    </row>
    <row r="383" spans="1:30" s="20" customFormat="1" ht="15.75" customHeight="1" x14ac:dyDescent="0.25">
      <c r="A383" s="25">
        <f ca="1">INDEX(INDIRECT(zoneFichierTraite),$J382+offsetInitialFichierTraite,2)</f>
        <v>191</v>
      </c>
      <c r="B383" s="57" t="str">
        <f ca="1">IF(ISERROR($P382),msgRefValmagAcreer,IF(INDEX(INDIRECT(zoneFichierEAN13Valmag),$P382,3) = "",msgCodeValmagVide, INDEX(INDIRECT(zoneFichierEAN13Valmag),$P382,3)))</f>
        <v xml:space="preserve"> </v>
      </c>
      <c r="C383" s="54" t="str">
        <f t="shared" ref="C383:C446" ca="1" si="1434">AA382</f>
        <v xml:space="preserve"> </v>
      </c>
      <c r="D383" s="19" t="str">
        <f ca="1">IFERROR(INDEX(INDIRECT(zoneFichierEAN13Valmag),$P382,4),"")</f>
        <v xml:space="preserve"> </v>
      </c>
      <c r="E383" s="58" t="str">
        <f ca="1">IFERROR(INDEX(INDIRECT(zoneFichierFiltreCatalogue),AC382,3),"")</f>
        <v>p075-1-02</v>
      </c>
      <c r="F383" s="19"/>
      <c r="G383" s="18"/>
      <c r="H383" s="32" t="str">
        <f ca="1">IFERROR(INDEX(INDIRECT(zoneFichierFiltreCatalogue),AC382,6),"")</f>
        <v>fall 2019 presentation_/catalogo fall 19.txt</v>
      </c>
      <c r="S383" s="1"/>
      <c r="T383" s="21"/>
      <c r="U383" s="21"/>
      <c r="V383" s="21"/>
      <c r="W383" s="21"/>
      <c r="X383" s="21"/>
      <c r="Y383" s="21"/>
      <c r="Z383" s="21"/>
      <c r="AA383" s="21"/>
      <c r="AB383" s="21"/>
      <c r="AC383" s="21"/>
    </row>
    <row r="384" spans="1:30" ht="39" customHeight="1" thickBot="1" x14ac:dyDescent="0.65">
      <c r="A384" s="9" t="str">
        <f ca="1">INDEX(INDIRECT(zoneFichierTraite),$J384+offsetInitialFichierTraite,6)</f>
        <v>UNICA</v>
      </c>
      <c r="B384" s="5" t="str">
        <f ca="1">INDEX(INDIRECT(zoneFichierTraite),$J384+offsetInitialFichierTraite,4)</f>
        <v>OBAGT002-TESBN-615</v>
      </c>
      <c r="C384" s="26" t="str">
        <f ca="1">INDEX(INDIRECT(zoneFichierTraite),$J384+offsetInitialFichierTraite,5)</f>
        <v>REVERS O BAG MINI EN TISSU DOUDOUNE CHECK</v>
      </c>
      <c r="D384" s="27" t="str">
        <f ca="1">INDEX(INDIRECT(zoneFichierTraite),$J384+offsetInitialFichierTraite,13)</f>
        <v>military</v>
      </c>
      <c r="E384" s="30">
        <f ca="1">INDEX(INDIRECT(zoneFichierTraite),$J384+offsetInitialFichierTraite,7)</f>
        <v>2</v>
      </c>
      <c r="F384" s="28">
        <f ca="1">INDEX(INDIRECT(zoneFichierTraite),$J384+offsetInitialFichierTraite,8)</f>
        <v>15.56</v>
      </c>
      <c r="G384" s="29">
        <f t="shared" ref="G384:G447" ca="1" si="1435">ROUNDUP(F384*3,0)</f>
        <v>47</v>
      </c>
      <c r="H384" s="31" t="str">
        <f ca="1">IF(ISNUMBER(N384),codeEAN13(INT(N384/10)),"")</f>
        <v>8APASOG*ajbaaj+</v>
      </c>
      <c r="I384" s="1" t="b">
        <f t="shared" ref="I384:I447" ca="1" si="1436">AND(A387&lt;&gt;0,A385=A387)</f>
        <v>0</v>
      </c>
      <c r="J384" s="15">
        <f t="shared" si="1220"/>
        <v>188</v>
      </c>
      <c r="K384" s="1">
        <f t="shared" ref="K384:K447" ca="1" si="1437">A385</f>
        <v>175</v>
      </c>
      <c r="L384" s="5" t="str">
        <f ca="1">INDEX(INDIRECT(zoneFichierTraite),$J384+offsetInitialFichierTraite,1)</f>
        <v>'188</v>
      </c>
      <c r="M384" s="11">
        <f ca="1">INDEX(INDIRECT(zoneFichierTraite),$J384+offsetInitialFichierTraite,9)</f>
        <v>31.12</v>
      </c>
      <c r="N384" s="14">
        <f ca="1">INDEX(INDIRECT(zoneFichierTraite),$J384+offsetInitialFichierTraite,3)</f>
        <v>8050846091009</v>
      </c>
      <c r="O384" s="14"/>
      <c r="P384" s="56">
        <f ca="1">MATCH(N384,INDIRECT(nomFichierEAN13Valmag &amp; "!A:A"),0)</f>
        <v>778</v>
      </c>
      <c r="R384" s="50" t="str">
        <f t="shared" ref="R384:R415" ca="1" si="1438">LEFT(B384,14)</f>
        <v>OBAGT002-TESBN</v>
      </c>
      <c r="S384" s="52">
        <f ca="1">MATCH($R384,INDIRECT(nomFichierEAN13ValmagUniq &amp; "!A:A"),0)</f>
        <v>319</v>
      </c>
      <c r="T384" s="49" t="str">
        <f ca="1">IFERROR(INDEX(INDIRECT(zoneFichierEAN13ValmagUniq),S384,2),"")</f>
        <v xml:space="preserve"> </v>
      </c>
      <c r="U384" s="52" t="e">
        <f ca="1">MATCH($R384,INDIRECT(nomFichierEAN13ValmagUniq &amp; "!A" &amp; (S384+1) &amp; ":A" &amp;  (S384+10)),0)</f>
        <v>#N/A</v>
      </c>
      <c r="V384" s="51" t="e">
        <f t="shared" ref="V384:V447" ca="1" si="1439">U384+S384</f>
        <v>#N/A</v>
      </c>
      <c r="W384" s="49" t="str">
        <f ca="1">IFERROR(INDEX(INDIRECT(zoneFichierEAN13ValmagUniq),V384,2),"")</f>
        <v/>
      </c>
      <c r="X384" s="52" t="e">
        <f ca="1">MATCH($R384,INDIRECT(nomFichierEAN13ValmagUniq &amp; "!A" &amp; (V384+1) &amp; ":A" &amp;  (V384+10)),0)</f>
        <v>#N/A</v>
      </c>
      <c r="Y384" s="51" t="e">
        <f t="shared" ref="Y384:Y447" ca="1" si="1440">X384+V384</f>
        <v>#N/A</v>
      </c>
      <c r="Z384" s="49" t="str">
        <f ca="1">IFERROR(INDEX(INDIRECT(zoneFichierEAN13ValmagUniq),Y384,2),"")</f>
        <v/>
      </c>
      <c r="AA384" s="53" t="str">
        <f t="shared" ref="AA384:AA447" ca="1" si="1441">T384 &amp; IF(W384="","", " | " &amp; W384) &amp; IF(Z384="","", " | " &amp;Z384)</f>
        <v xml:space="preserve"> </v>
      </c>
      <c r="AC384" s="55">
        <f ca="1">MATCH(B384,INDIRECT(nomFichierFiltreCatalogue &amp; "!B:B"),0)</f>
        <v>340</v>
      </c>
      <c r="AD384" s="14"/>
    </row>
    <row r="385" spans="1:30" s="20" customFormat="1" ht="15.75" customHeight="1" x14ac:dyDescent="0.25">
      <c r="A385" s="25">
        <f ca="1">INDEX(INDIRECT(zoneFichierTraite),$J384+offsetInitialFichierTraite,2)</f>
        <v>175</v>
      </c>
      <c r="B385" s="57" t="str">
        <f ca="1">IF(ISERROR($P384),msgRefValmagAcreer,IF(INDEX(INDIRECT(zoneFichierEAN13Valmag),$P384,3) = "",msgCodeValmagVide, INDEX(INDIRECT(zoneFichierEAN13Valmag),$P384,3)))</f>
        <v xml:space="preserve"> </v>
      </c>
      <c r="C385" s="54" t="str">
        <f t="shared" ref="C385:C448" ca="1" si="1442">AA384</f>
        <v xml:space="preserve"> </v>
      </c>
      <c r="D385" s="19" t="str">
        <f ca="1">IFERROR(INDEX(INDIRECT(zoneFichierEAN13Valmag),$P384,4),"")</f>
        <v xml:space="preserve"> </v>
      </c>
      <c r="E385" s="58" t="str">
        <f ca="1">IFERROR(INDEX(INDIRECT(zoneFichierFiltreCatalogue),AC384,3),"")</f>
        <v>p074-2-01</v>
      </c>
      <c r="F385" s="19"/>
      <c r="G385" s="18"/>
      <c r="H385" s="32" t="str">
        <f ca="1">IFERROR(INDEX(INDIRECT(zoneFichierFiltreCatalogue),AC384,6),"")</f>
        <v>fall 2019 presentation_/catalogo fall 19.txt</v>
      </c>
      <c r="S385" s="1"/>
      <c r="T385" s="21"/>
      <c r="U385" s="21"/>
      <c r="V385" s="21"/>
      <c r="W385" s="21"/>
      <c r="X385" s="21"/>
      <c r="Y385" s="21"/>
      <c r="Z385" s="21"/>
      <c r="AA385" s="21"/>
      <c r="AB385" s="21"/>
      <c r="AC385" s="21"/>
    </row>
    <row r="386" spans="1:30" ht="39" customHeight="1" thickBot="1" x14ac:dyDescent="0.65">
      <c r="A386" s="9" t="str">
        <f ca="1">INDEX(INDIRECT(zoneFichierTraite),$J386+offsetInitialFichierTraite,6)</f>
        <v>UNICA</v>
      </c>
      <c r="B386" s="5" t="str">
        <f ca="1">INDEX(INDIRECT(zoneFichierTraite),$J386+offsetInitialFichierTraite,4)</f>
        <v>OCLKD001-MESE3-067</v>
      </c>
      <c r="C386" s="26" t="str">
        <f ca="1">INDEX(INDIRECT(zoneFichierTraite),$J386+offsetInitialFichierTraite,5)</f>
        <v>O CLOCK MECANISME CIRCLE SOLEIL</v>
      </c>
      <c r="D386" s="27" t="str">
        <f ca="1">INDEX(INDIRECT(zoneFichierTraite),$J386+offsetInitialFichierTraite,13)</f>
        <v>phard</v>
      </c>
      <c r="E386" s="30">
        <f ca="1">INDEX(INDIRECT(zoneFichierTraite),$J386+offsetInitialFichierTraite,7)</f>
        <v>3</v>
      </c>
      <c r="F386" s="28">
        <f ca="1">INDEX(INDIRECT(zoneFichierTraite),$J386+offsetInitialFichierTraite,8)</f>
        <v>7.78</v>
      </c>
      <c r="G386" s="29">
        <f t="shared" ref="G386:G449" ca="1" si="1443">ROUNDUP(F386*3,0)</f>
        <v>24</v>
      </c>
      <c r="H386" s="31" t="str">
        <f ca="1">IF(ISNUMBER(N386),codeEAN13(INT(N386/10)),"")</f>
        <v>8APASOG*ajcijb+</v>
      </c>
      <c r="I386" s="1" t="b">
        <f t="shared" ref="I386:I449" ca="1" si="1444">AND(A389&lt;&gt;0,A387=A389)</f>
        <v>0</v>
      </c>
      <c r="J386" s="15">
        <f t="shared" si="1220"/>
        <v>189</v>
      </c>
      <c r="K386" s="1">
        <f t="shared" ref="K386:K449" ca="1" si="1445">A387</f>
        <v>61</v>
      </c>
      <c r="L386" s="5" t="str">
        <f ca="1">INDEX(INDIRECT(zoneFichierTraite),$J386+offsetInitialFichierTraite,1)</f>
        <v>'189</v>
      </c>
      <c r="M386" s="11">
        <f ca="1">INDEX(INDIRECT(zoneFichierTraite),$J386+offsetInitialFichierTraite,9)</f>
        <v>23.34</v>
      </c>
      <c r="N386" s="14">
        <f ca="1">INDEX(INDIRECT(zoneFichierTraite),$J386+offsetInitialFichierTraite,3)</f>
        <v>8050846092891</v>
      </c>
      <c r="O386" s="14"/>
      <c r="P386" s="56">
        <f ca="1">MATCH(N386,INDIRECT(nomFichierEAN13Valmag &amp; "!A:A"),0)</f>
        <v>897</v>
      </c>
      <c r="R386" s="50" t="str">
        <f t="shared" ref="R386:R417" ca="1" si="1446">LEFT(B386,14)</f>
        <v>OCLKD001-MESE3</v>
      </c>
      <c r="S386" s="52">
        <f ca="1">MATCH($R386,INDIRECT(nomFichierEAN13ValmagUniq &amp; "!A:A"),0)</f>
        <v>341</v>
      </c>
      <c r="T386" s="49" t="str">
        <f ca="1">IFERROR(INDEX(INDIRECT(zoneFichierEAN13ValmagUniq),S386,2),"")</f>
        <v xml:space="preserve"> </v>
      </c>
      <c r="U386" s="52" t="e">
        <f ca="1">MATCH($R386,INDIRECT(nomFichierEAN13ValmagUniq &amp; "!A" &amp; (S386+1) &amp; ":A" &amp;  (S386+10)),0)</f>
        <v>#N/A</v>
      </c>
      <c r="V386" s="51" t="e">
        <f t="shared" ref="V386:V449" ca="1" si="1447">U386+S386</f>
        <v>#N/A</v>
      </c>
      <c r="W386" s="49" t="str">
        <f ca="1">IFERROR(INDEX(INDIRECT(zoneFichierEAN13ValmagUniq),V386,2),"")</f>
        <v/>
      </c>
      <c r="X386" s="52" t="e">
        <f ca="1">MATCH($R386,INDIRECT(nomFichierEAN13ValmagUniq &amp; "!A" &amp; (V386+1) &amp; ":A" &amp;  (V386+10)),0)</f>
        <v>#N/A</v>
      </c>
      <c r="Y386" s="51" t="e">
        <f t="shared" ref="Y386:Y449" ca="1" si="1448">X386+V386</f>
        <v>#N/A</v>
      </c>
      <c r="Z386" s="49" t="str">
        <f ca="1">IFERROR(INDEX(INDIRECT(zoneFichierEAN13ValmagUniq),Y386,2),"")</f>
        <v/>
      </c>
      <c r="AA386" s="53" t="str">
        <f t="shared" ref="AA386:AA449" ca="1" si="1449">T386 &amp; IF(W386="","", " | " &amp; W386) &amp; IF(Z386="","", " | " &amp;Z386)</f>
        <v xml:space="preserve"> </v>
      </c>
      <c r="AC386" s="55">
        <f ca="1">MATCH(B386,INDIRECT(nomFichierFiltreCatalogue &amp; "!B:B"),0)</f>
        <v>572</v>
      </c>
      <c r="AD386" s="14"/>
    </row>
    <row r="387" spans="1:30" s="20" customFormat="1" ht="15.75" customHeight="1" x14ac:dyDescent="0.25">
      <c r="A387" s="25">
        <f ca="1">INDEX(INDIRECT(zoneFichierTraite),$J386+offsetInitialFichierTraite,2)</f>
        <v>61</v>
      </c>
      <c r="B387" s="57" t="str">
        <f ca="1">IF(ISERROR($P386),msgRefValmagAcreer,IF(INDEX(INDIRECT(zoneFichierEAN13Valmag),$P386,3) = "",msgCodeValmagVide, INDEX(INDIRECT(zoneFichierEAN13Valmag),$P386,3)))</f>
        <v xml:space="preserve"> </v>
      </c>
      <c r="C387" s="54" t="str">
        <f t="shared" ref="C387:C450" ca="1" si="1450">AA386</f>
        <v xml:space="preserve"> </v>
      </c>
      <c r="D387" s="19" t="str">
        <f ca="1">IFERROR(INDEX(INDIRECT(zoneFichierEAN13Valmag),$P386,4),"")</f>
        <v xml:space="preserve"> </v>
      </c>
      <c r="E387" s="58" t="str">
        <f ca="1">IFERROR(INDEX(INDIRECT(zoneFichierFiltreCatalogue),AC386,3),"")</f>
        <v>p148-1-01</v>
      </c>
      <c r="F387" s="19"/>
      <c r="G387" s="18"/>
      <c r="H387" s="32" t="str">
        <f ca="1">IFERROR(INDEX(INDIRECT(zoneFichierFiltreCatalogue),AC386,6),"")</f>
        <v>fall 2019 presentation_/catalogo fall 19.txt</v>
      </c>
      <c r="S387" s="1"/>
      <c r="T387" s="21"/>
      <c r="U387" s="21"/>
      <c r="V387" s="21"/>
      <c r="W387" s="21"/>
      <c r="X387" s="21"/>
      <c r="Y387" s="21"/>
      <c r="Z387" s="21"/>
      <c r="AA387" s="21"/>
      <c r="AB387" s="21"/>
      <c r="AC387" s="21"/>
    </row>
    <row r="388" spans="1:30" ht="39" customHeight="1" thickBot="1" x14ac:dyDescent="0.65">
      <c r="A388" s="9" t="str">
        <f ca="1">INDEX(INDIRECT(zoneFichierTraite),$J388+offsetInitialFichierTraite,6)</f>
        <v>UNICA</v>
      </c>
      <c r="B388" s="5" t="str">
        <f ca="1">INDEX(INDIRECT(zoneFichierTraite),$J388+offsetInitialFichierTraite,4)</f>
        <v>OCLKD001-MESE3-137</v>
      </c>
      <c r="C388" s="26" t="str">
        <f ca="1">INDEX(INDIRECT(zoneFichierTraite),$J388+offsetInitialFichierTraite,5)</f>
        <v>O CLOCK MECANISME CIRCLE SOLEIL</v>
      </c>
      <c r="D388" s="27" t="str">
        <f ca="1">INDEX(INDIRECT(zoneFichierTraite),$J388+offsetInitialFichierTraite,13)</f>
        <v>bluette</v>
      </c>
      <c r="E388" s="30">
        <f ca="1">INDEX(INDIRECT(zoneFichierTraite),$J388+offsetInitialFichierTraite,7)</f>
        <v>3</v>
      </c>
      <c r="F388" s="28">
        <f ca="1">INDEX(INDIRECT(zoneFichierTraite),$J388+offsetInitialFichierTraite,8)</f>
        <v>7.78</v>
      </c>
      <c r="G388" s="29">
        <f t="shared" ref="G388:G451" ca="1" si="1451">ROUNDUP(F388*3,0)</f>
        <v>24</v>
      </c>
      <c r="H388" s="31" t="str">
        <f ca="1">IF(ISNUMBER(N388),codeEAN13(INT(N388/10)),"")</f>
        <v>8APASOG*ajcihh+</v>
      </c>
      <c r="I388" s="1" t="b">
        <f t="shared" ref="I388:I451" ca="1" si="1452">AND(A391&lt;&gt;0,A389=A391)</f>
        <v>0</v>
      </c>
      <c r="J388" s="15">
        <f t="shared" si="1220"/>
        <v>190</v>
      </c>
      <c r="K388" s="1">
        <f t="shared" ref="K388:K451" ca="1" si="1453">A389</f>
        <v>193</v>
      </c>
      <c r="L388" s="5" t="str">
        <f ca="1">INDEX(INDIRECT(zoneFichierTraite),$J388+offsetInitialFichierTraite,1)</f>
        <v>'190</v>
      </c>
      <c r="M388" s="11">
        <f ca="1">INDEX(INDIRECT(zoneFichierTraite),$J388+offsetInitialFichierTraite,9)</f>
        <v>23.34</v>
      </c>
      <c r="N388" s="14">
        <f ca="1">INDEX(INDIRECT(zoneFichierTraite),$J388+offsetInitialFichierTraite,3)</f>
        <v>8050846092877</v>
      </c>
      <c r="O388" s="14"/>
      <c r="P388" s="56">
        <f ca="1">MATCH(N388,INDIRECT(nomFichierEAN13Valmag &amp; "!A:A"),0)</f>
        <v>895</v>
      </c>
      <c r="R388" s="50" t="str">
        <f t="shared" ref="R388:R419" ca="1" si="1454">LEFT(B388,14)</f>
        <v>OCLKD001-MESE3</v>
      </c>
      <c r="S388" s="52">
        <f ca="1">MATCH($R388,INDIRECT(nomFichierEAN13ValmagUniq &amp; "!A:A"),0)</f>
        <v>341</v>
      </c>
      <c r="T388" s="49" t="str">
        <f ca="1">IFERROR(INDEX(INDIRECT(zoneFichierEAN13ValmagUniq),S388,2),"")</f>
        <v xml:space="preserve"> </v>
      </c>
      <c r="U388" s="52" t="e">
        <f ca="1">MATCH($R388,INDIRECT(nomFichierEAN13ValmagUniq &amp; "!A" &amp; (S388+1) &amp; ":A" &amp;  (S388+10)),0)</f>
        <v>#N/A</v>
      </c>
      <c r="V388" s="51" t="e">
        <f t="shared" ref="V388:V451" ca="1" si="1455">U388+S388</f>
        <v>#N/A</v>
      </c>
      <c r="W388" s="49" t="str">
        <f ca="1">IFERROR(INDEX(INDIRECT(zoneFichierEAN13ValmagUniq),V388,2),"")</f>
        <v/>
      </c>
      <c r="X388" s="52" t="e">
        <f ca="1">MATCH($R388,INDIRECT(nomFichierEAN13ValmagUniq &amp; "!A" &amp; (V388+1) &amp; ":A" &amp;  (V388+10)),0)</f>
        <v>#N/A</v>
      </c>
      <c r="Y388" s="51" t="e">
        <f t="shared" ref="Y388:Y451" ca="1" si="1456">X388+V388</f>
        <v>#N/A</v>
      </c>
      <c r="Z388" s="49" t="str">
        <f ca="1">IFERROR(INDEX(INDIRECT(zoneFichierEAN13ValmagUniq),Y388,2),"")</f>
        <v/>
      </c>
      <c r="AA388" s="53" t="str">
        <f t="shared" ref="AA388:AA451" ca="1" si="1457">T388 &amp; IF(W388="","", " | " &amp; W388) &amp; IF(Z388="","", " | " &amp;Z388)</f>
        <v xml:space="preserve"> </v>
      </c>
      <c r="AC388" s="55">
        <f ca="1">MATCH(B388,INDIRECT(nomFichierFiltreCatalogue &amp; "!B:B"),0)</f>
        <v>573</v>
      </c>
      <c r="AD388" s="14"/>
    </row>
    <row r="389" spans="1:30" s="20" customFormat="1" ht="15.75" customHeight="1" x14ac:dyDescent="0.25">
      <c r="A389" s="25">
        <f ca="1">INDEX(INDIRECT(zoneFichierTraite),$J388+offsetInitialFichierTraite,2)</f>
        <v>193</v>
      </c>
      <c r="B389" s="57" t="str">
        <f ca="1">IF(ISERROR($P388),msgRefValmagAcreer,IF(INDEX(INDIRECT(zoneFichierEAN13Valmag),$P388,3) = "",msgCodeValmagVide, INDEX(INDIRECT(zoneFichierEAN13Valmag),$P388,3)))</f>
        <v xml:space="preserve"> </v>
      </c>
      <c r="C389" s="54" t="str">
        <f t="shared" ref="C389:C452" ca="1" si="1458">AA388</f>
        <v xml:space="preserve"> </v>
      </c>
      <c r="D389" s="19" t="str">
        <f ca="1">IFERROR(INDEX(INDIRECT(zoneFichierEAN13Valmag),$P388,4),"")</f>
        <v xml:space="preserve"> </v>
      </c>
      <c r="E389" s="58" t="str">
        <f ca="1">IFERROR(INDEX(INDIRECT(zoneFichierFiltreCatalogue),AC388,3),"")</f>
        <v>p148-1-02</v>
      </c>
      <c r="F389" s="19"/>
      <c r="G389" s="18"/>
      <c r="H389" s="32" t="str">
        <f ca="1">IFERROR(INDEX(INDIRECT(zoneFichierFiltreCatalogue),AC388,6),"")</f>
        <v>fall 2019 presentation_/catalogo fall 19.txt</v>
      </c>
      <c r="S389" s="1"/>
      <c r="T389" s="21"/>
      <c r="U389" s="21"/>
      <c r="V389" s="21"/>
      <c r="W389" s="21"/>
      <c r="X389" s="21"/>
      <c r="Y389" s="21"/>
      <c r="Z389" s="21"/>
      <c r="AA389" s="21"/>
      <c r="AB389" s="21"/>
      <c r="AC389" s="21"/>
    </row>
    <row r="390" spans="1:30" ht="39" customHeight="1" thickBot="1" x14ac:dyDescent="0.65">
      <c r="A390" s="9" t="str">
        <f ca="1">INDEX(INDIRECT(zoneFichierTraite),$J390+offsetInitialFichierTraite,6)</f>
        <v>UNICA</v>
      </c>
      <c r="B390" s="5" t="str">
        <f ca="1">INDEX(INDIRECT(zoneFichierTraite),$J390+offsetInitialFichierTraite,4)</f>
        <v>OCLKD001-MESE3-615</v>
      </c>
      <c r="C390" s="26" t="str">
        <f ca="1">INDEX(INDIRECT(zoneFichierTraite),$J390+offsetInitialFichierTraite,5)</f>
        <v>O CLOCK MECANISME CIRCLE SOLEIL</v>
      </c>
      <c r="D390" s="27" t="str">
        <f ca="1">INDEX(INDIRECT(zoneFichierTraite),$J390+offsetInitialFichierTraite,13)</f>
        <v>military</v>
      </c>
      <c r="E390" s="30">
        <f ca="1">INDEX(INDIRECT(zoneFichierTraite),$J390+offsetInitialFichierTraite,7)</f>
        <v>3</v>
      </c>
      <c r="F390" s="28">
        <f ca="1">INDEX(INDIRECT(zoneFichierTraite),$J390+offsetInitialFichierTraite,8)</f>
        <v>7.78</v>
      </c>
      <c r="G390" s="29">
        <f t="shared" ref="G390:G453" ca="1" si="1459">ROUNDUP(F390*3,0)</f>
        <v>24</v>
      </c>
      <c r="H390" s="31" t="str">
        <f ca="1">IF(ISNUMBER(N390),codeEAN13(INT(N390/10)),"")</f>
        <v>8APASOG*ajciie+</v>
      </c>
      <c r="I390" s="1" t="b">
        <f t="shared" ref="I390:I453" ca="1" si="1460">AND(A393&lt;&gt;0,A391=A393)</f>
        <v>0</v>
      </c>
      <c r="J390" s="15">
        <f t="shared" si="1220"/>
        <v>191</v>
      </c>
      <c r="K390" s="1">
        <f t="shared" ref="K390:K453" ca="1" si="1461">A391</f>
        <v>28</v>
      </c>
      <c r="L390" s="5" t="str">
        <f ca="1">INDEX(INDIRECT(zoneFichierTraite),$J390+offsetInitialFichierTraite,1)</f>
        <v>'191</v>
      </c>
      <c r="M390" s="11">
        <f ca="1">INDEX(INDIRECT(zoneFichierTraite),$J390+offsetInitialFichierTraite,9)</f>
        <v>23.34</v>
      </c>
      <c r="N390" s="14">
        <f ca="1">INDEX(INDIRECT(zoneFichierTraite),$J390+offsetInitialFichierTraite,3)</f>
        <v>8050846092884</v>
      </c>
      <c r="O390" s="14"/>
      <c r="P390" s="56">
        <f ca="1">MATCH(N390,INDIRECT(nomFichierEAN13Valmag &amp; "!A:A"),0)</f>
        <v>896</v>
      </c>
      <c r="R390" s="50" t="str">
        <f t="shared" ref="R390:R421" ca="1" si="1462">LEFT(B390,14)</f>
        <v>OCLKD001-MESE3</v>
      </c>
      <c r="S390" s="52">
        <f ca="1">MATCH($R390,INDIRECT(nomFichierEAN13ValmagUniq &amp; "!A:A"),0)</f>
        <v>341</v>
      </c>
      <c r="T390" s="49" t="str">
        <f ca="1">IFERROR(INDEX(INDIRECT(zoneFichierEAN13ValmagUniq),S390,2),"")</f>
        <v xml:space="preserve"> </v>
      </c>
      <c r="U390" s="52" t="e">
        <f ca="1">MATCH($R390,INDIRECT(nomFichierEAN13ValmagUniq &amp; "!A" &amp; (S390+1) &amp; ":A" &amp;  (S390+10)),0)</f>
        <v>#N/A</v>
      </c>
      <c r="V390" s="51" t="e">
        <f t="shared" ref="V390:V453" ca="1" si="1463">U390+S390</f>
        <v>#N/A</v>
      </c>
      <c r="W390" s="49" t="str">
        <f ca="1">IFERROR(INDEX(INDIRECT(zoneFichierEAN13ValmagUniq),V390,2),"")</f>
        <v/>
      </c>
      <c r="X390" s="52" t="e">
        <f ca="1">MATCH($R390,INDIRECT(nomFichierEAN13ValmagUniq &amp; "!A" &amp; (V390+1) &amp; ":A" &amp;  (V390+10)),0)</f>
        <v>#N/A</v>
      </c>
      <c r="Y390" s="51" t="e">
        <f t="shared" ref="Y390:Y453" ca="1" si="1464">X390+V390</f>
        <v>#N/A</v>
      </c>
      <c r="Z390" s="49" t="str">
        <f ca="1">IFERROR(INDEX(INDIRECT(zoneFichierEAN13ValmagUniq),Y390,2),"")</f>
        <v/>
      </c>
      <c r="AA390" s="53" t="str">
        <f t="shared" ref="AA390:AA453" ca="1" si="1465">T390 &amp; IF(W390="","", " | " &amp; W390) &amp; IF(Z390="","", " | " &amp;Z390)</f>
        <v xml:space="preserve"> </v>
      </c>
      <c r="AC390" s="55">
        <f ca="1">MATCH(B390,INDIRECT(nomFichierFiltreCatalogue &amp; "!B:B"),0)</f>
        <v>574</v>
      </c>
      <c r="AD390" s="14"/>
    </row>
    <row r="391" spans="1:30" s="20" customFormat="1" ht="15.75" customHeight="1" x14ac:dyDescent="0.25">
      <c r="A391" s="25">
        <f ca="1">INDEX(INDIRECT(zoneFichierTraite),$J390+offsetInitialFichierTraite,2)</f>
        <v>28</v>
      </c>
      <c r="B391" s="57" t="str">
        <f ca="1">IF(ISERROR($P390),msgRefValmagAcreer,IF(INDEX(INDIRECT(zoneFichierEAN13Valmag),$P390,3) = "",msgCodeValmagVide, INDEX(INDIRECT(zoneFichierEAN13Valmag),$P390,3)))</f>
        <v xml:space="preserve"> </v>
      </c>
      <c r="C391" s="54" t="str">
        <f t="shared" ref="C391:C454" ca="1" si="1466">AA390</f>
        <v xml:space="preserve"> </v>
      </c>
      <c r="D391" s="19" t="str">
        <f ca="1">IFERROR(INDEX(INDIRECT(zoneFichierEAN13Valmag),$P390,4),"")</f>
        <v xml:space="preserve"> </v>
      </c>
      <c r="E391" s="58" t="str">
        <f ca="1">IFERROR(INDEX(INDIRECT(zoneFichierFiltreCatalogue),AC390,3),"")</f>
        <v>p148-1-03</v>
      </c>
      <c r="F391" s="19"/>
      <c r="G391" s="18"/>
      <c r="H391" s="32" t="str">
        <f ca="1">IFERROR(INDEX(INDIRECT(zoneFichierFiltreCatalogue),AC390,6),"")</f>
        <v>fall 2019 presentation_/catalogo fall 19.txt</v>
      </c>
      <c r="S391" s="1"/>
      <c r="T391" s="21"/>
      <c r="U391" s="21"/>
      <c r="V391" s="21"/>
      <c r="W391" s="21"/>
      <c r="X391" s="21"/>
      <c r="Y391" s="21"/>
      <c r="Z391" s="21"/>
      <c r="AA391" s="21"/>
      <c r="AB391" s="21"/>
      <c r="AC391" s="21"/>
    </row>
    <row r="392" spans="1:30" ht="39" customHeight="1" thickBot="1" x14ac:dyDescent="0.65">
      <c r="A392" s="9" t="str">
        <f ca="1">INDEX(INDIRECT(zoneFichierTraite),$J392+offsetInitialFichierTraite,6)</f>
        <v>UNICA</v>
      </c>
      <c r="B392" s="5" t="str">
        <f ca="1">INDEX(INDIRECT(zoneFichierTraite),$J392+offsetInitialFichierTraite,4)</f>
        <v>OCLKD001-MESE6-004</v>
      </c>
      <c r="C392" s="26" t="str">
        <f ca="1">INDEX(INDIRECT(zoneFichierTraite),$J392+offsetInitialFichierTraite,5)</f>
        <v>O CLOCK MECANISME GROOVE LUX</v>
      </c>
      <c r="D392" s="27" t="str">
        <f ca="1">INDEX(INDIRECT(zoneFichierTraite),$J392+offsetInitialFichierTraite,13)</f>
        <v>argento</v>
      </c>
      <c r="E392" s="30">
        <f ca="1">INDEX(INDIRECT(zoneFichierTraite),$J392+offsetInitialFichierTraite,7)</f>
        <v>3</v>
      </c>
      <c r="F392" s="28">
        <f ca="1">INDEX(INDIRECT(zoneFichierTraite),$J392+offsetInitialFichierTraite,8)</f>
        <v>10</v>
      </c>
      <c r="G392" s="29">
        <f t="shared" ref="G392:G455" ca="1" si="1467">ROUNDUP(F392*3,0)</f>
        <v>30</v>
      </c>
      <c r="H392" s="31" t="str">
        <f ca="1">IF(ISNUMBER(N392),codeEAN13(INT(N392/10)),"")</f>
        <v>8APASOG*ajcjfc+</v>
      </c>
      <c r="I392" s="1" t="b">
        <f t="shared" ref="I392:I455" ca="1" si="1468">AND(A395&lt;&gt;0,A393=A395)</f>
        <v>0</v>
      </c>
      <c r="J392" s="15">
        <f t="shared" si="1220"/>
        <v>192</v>
      </c>
      <c r="K392" s="1">
        <f t="shared" ref="K392:K455" ca="1" si="1469">A393</f>
        <v>80</v>
      </c>
      <c r="L392" s="5" t="str">
        <f ca="1">INDEX(INDIRECT(zoneFichierTraite),$J392+offsetInitialFichierTraite,1)</f>
        <v>'192</v>
      </c>
      <c r="M392" s="11">
        <f ca="1">INDEX(INDIRECT(zoneFichierTraite),$J392+offsetInitialFichierTraite,9)</f>
        <v>30</v>
      </c>
      <c r="N392" s="14">
        <f ca="1">INDEX(INDIRECT(zoneFichierTraite),$J392+offsetInitialFichierTraite,3)</f>
        <v>8050846092952</v>
      </c>
      <c r="O392" s="14"/>
      <c r="P392" s="56">
        <f ca="1">MATCH(N392,INDIRECT(nomFichierEAN13Valmag &amp; "!A:A"),0)</f>
        <v>899</v>
      </c>
      <c r="R392" s="50" t="str">
        <f t="shared" ref="R392:R423" ca="1" si="1470">LEFT(B392,14)</f>
        <v>OCLKD001-MESE6</v>
      </c>
      <c r="S392" s="52">
        <f ca="1">MATCH($R392,INDIRECT(nomFichierEAN13ValmagUniq &amp; "!A:A"),0)</f>
        <v>342</v>
      </c>
      <c r="T392" s="49" t="str">
        <f ca="1">IFERROR(INDEX(INDIRECT(zoneFichierEAN13ValmagUniq),S392,2),"")</f>
        <v xml:space="preserve"> </v>
      </c>
      <c r="U392" s="52" t="e">
        <f ca="1">MATCH($R392,INDIRECT(nomFichierEAN13ValmagUniq &amp; "!A" &amp; (S392+1) &amp; ":A" &amp;  (S392+10)),0)</f>
        <v>#N/A</v>
      </c>
      <c r="V392" s="51" t="e">
        <f t="shared" ref="V392:V455" ca="1" si="1471">U392+S392</f>
        <v>#N/A</v>
      </c>
      <c r="W392" s="49" t="str">
        <f ca="1">IFERROR(INDEX(INDIRECT(zoneFichierEAN13ValmagUniq),V392,2),"")</f>
        <v/>
      </c>
      <c r="X392" s="52" t="e">
        <f ca="1">MATCH($R392,INDIRECT(nomFichierEAN13ValmagUniq &amp; "!A" &amp; (V392+1) &amp; ":A" &amp;  (V392+10)),0)</f>
        <v>#N/A</v>
      </c>
      <c r="Y392" s="51" t="e">
        <f t="shared" ref="Y392:Y455" ca="1" si="1472">X392+V392</f>
        <v>#N/A</v>
      </c>
      <c r="Z392" s="49" t="str">
        <f ca="1">IFERROR(INDEX(INDIRECT(zoneFichierEAN13ValmagUniq),Y392,2),"")</f>
        <v/>
      </c>
      <c r="AA392" s="53" t="str">
        <f t="shared" ref="AA392:AA455" ca="1" si="1473">T392 &amp; IF(W392="","", " | " &amp; W392) &amp; IF(Z392="","", " | " &amp;Z392)</f>
        <v xml:space="preserve"> </v>
      </c>
      <c r="AC392" s="55">
        <f ca="1">MATCH(B392,INDIRECT(nomFichierFiltreCatalogue &amp; "!B:B"),0)</f>
        <v>577</v>
      </c>
      <c r="AD392" s="14"/>
    </row>
    <row r="393" spans="1:30" s="20" customFormat="1" ht="15.75" customHeight="1" x14ac:dyDescent="0.25">
      <c r="A393" s="25">
        <f ca="1">INDEX(INDIRECT(zoneFichierTraite),$J392+offsetInitialFichierTraite,2)</f>
        <v>80</v>
      </c>
      <c r="B393" s="57" t="str">
        <f ca="1">IF(ISERROR($P392),msgRefValmagAcreer,IF(INDEX(INDIRECT(zoneFichierEAN13Valmag),$P392,3) = "",msgCodeValmagVide, INDEX(INDIRECT(zoneFichierEAN13Valmag),$P392,3)))</f>
        <v xml:space="preserve"> </v>
      </c>
      <c r="C393" s="54" t="str">
        <f t="shared" ref="C393:C456" ca="1" si="1474">AA392</f>
        <v xml:space="preserve"> </v>
      </c>
      <c r="D393" s="19" t="str">
        <f ca="1">IFERROR(INDEX(INDIRECT(zoneFichierEAN13Valmag),$P392,4),"")</f>
        <v xml:space="preserve"> </v>
      </c>
      <c r="E393" s="58" t="str">
        <f ca="1">IFERROR(INDEX(INDIRECT(zoneFichierFiltreCatalogue),AC392,3),"")</f>
        <v>p149-1-01</v>
      </c>
      <c r="F393" s="19"/>
      <c r="G393" s="18"/>
      <c r="H393" s="32" t="str">
        <f ca="1">IFERROR(INDEX(INDIRECT(zoneFichierFiltreCatalogue),AC392,6),"")</f>
        <v>fall 2019 presentation_/catalogo fall 19.txt</v>
      </c>
      <c r="S393" s="1"/>
      <c r="T393" s="21"/>
      <c r="U393" s="21"/>
      <c r="V393" s="21"/>
      <c r="W393" s="21"/>
      <c r="X393" s="21"/>
      <c r="Y393" s="21"/>
      <c r="Z393" s="21"/>
      <c r="AA393" s="21"/>
      <c r="AB393" s="21"/>
      <c r="AC393" s="21"/>
    </row>
    <row r="394" spans="1:30" ht="39" customHeight="1" thickBot="1" x14ac:dyDescent="0.65">
      <c r="A394" s="9" t="str">
        <f ca="1">INDEX(INDIRECT(zoneFichierTraite),$J394+offsetInitialFichierTraite,6)</f>
        <v>UNICA</v>
      </c>
      <c r="B394" s="5" t="str">
        <f ca="1">INDEX(INDIRECT(zoneFichierTraite),$J394+offsetInitialFichierTraite,4)</f>
        <v>OCLKD001-MESE6-061</v>
      </c>
      <c r="C394" s="26" t="str">
        <f ca="1">INDEX(INDIRECT(zoneFichierTraite),$J394+offsetInitialFichierTraite,5)</f>
        <v>O CLOCK MECANISME GROOVE LUX</v>
      </c>
      <c r="D394" s="27" t="str">
        <f ca="1">INDEX(INDIRECT(zoneFichierTraite),$J394+offsetInitialFichierTraite,13)</f>
        <v>oro</v>
      </c>
      <c r="E394" s="30">
        <f ca="1">INDEX(INDIRECT(zoneFichierTraite),$J394+offsetInitialFichierTraite,7)</f>
        <v>3</v>
      </c>
      <c r="F394" s="28">
        <f ca="1">INDEX(INDIRECT(zoneFichierTraite),$J394+offsetInitialFichierTraite,8)</f>
        <v>10</v>
      </c>
      <c r="G394" s="29">
        <f t="shared" ref="G394:G457" ca="1" si="1475">ROUNDUP(F394*3,0)</f>
        <v>30</v>
      </c>
      <c r="H394" s="31" t="str">
        <f ca="1">IF(ISNUMBER(N394),codeEAN13(INT(N394/10)),"")</f>
        <v>8APASOG*ajcjef+</v>
      </c>
      <c r="I394" s="1" t="b">
        <f t="shared" ref="I394:I457" ca="1" si="1476">AND(A397&lt;&gt;0,A395=A397)</f>
        <v>0</v>
      </c>
      <c r="J394" s="15">
        <f t="shared" ref="J394:J456" si="1477">J392+1</f>
        <v>193</v>
      </c>
      <c r="K394" s="1">
        <f t="shared" ref="K394:K457" ca="1" si="1478">A395</f>
        <v>167</v>
      </c>
      <c r="L394" s="5" t="str">
        <f ca="1">INDEX(INDIRECT(zoneFichierTraite),$J394+offsetInitialFichierTraite,1)</f>
        <v>'193</v>
      </c>
      <c r="M394" s="11">
        <f ca="1">INDEX(INDIRECT(zoneFichierTraite),$J394+offsetInitialFichierTraite,9)</f>
        <v>30</v>
      </c>
      <c r="N394" s="14">
        <f ca="1">INDEX(INDIRECT(zoneFichierTraite),$J394+offsetInitialFichierTraite,3)</f>
        <v>8050846092945</v>
      </c>
      <c r="O394" s="14"/>
      <c r="P394" s="56">
        <f ca="1">MATCH(N394,INDIRECT(nomFichierEAN13Valmag &amp; "!A:A"),0)</f>
        <v>898</v>
      </c>
      <c r="R394" s="50" t="str">
        <f t="shared" ref="R394:R425" ca="1" si="1479">LEFT(B394,14)</f>
        <v>OCLKD001-MESE6</v>
      </c>
      <c r="S394" s="52">
        <f ca="1">MATCH($R394,INDIRECT(nomFichierEAN13ValmagUniq &amp; "!A:A"),0)</f>
        <v>342</v>
      </c>
      <c r="T394" s="49" t="str">
        <f ca="1">IFERROR(INDEX(INDIRECT(zoneFichierEAN13ValmagUniq),S394,2),"")</f>
        <v xml:space="preserve"> </v>
      </c>
      <c r="U394" s="52" t="e">
        <f ca="1">MATCH($R394,INDIRECT(nomFichierEAN13ValmagUniq &amp; "!A" &amp; (S394+1) &amp; ":A" &amp;  (S394+10)),0)</f>
        <v>#N/A</v>
      </c>
      <c r="V394" s="51" t="e">
        <f t="shared" ref="V394:V457" ca="1" si="1480">U394+S394</f>
        <v>#N/A</v>
      </c>
      <c r="W394" s="49" t="str">
        <f ca="1">IFERROR(INDEX(INDIRECT(zoneFichierEAN13ValmagUniq),V394,2),"")</f>
        <v/>
      </c>
      <c r="X394" s="52" t="e">
        <f ca="1">MATCH($R394,INDIRECT(nomFichierEAN13ValmagUniq &amp; "!A" &amp; (V394+1) &amp; ":A" &amp;  (V394+10)),0)</f>
        <v>#N/A</v>
      </c>
      <c r="Y394" s="51" t="e">
        <f t="shared" ref="Y394:Y457" ca="1" si="1481">X394+V394</f>
        <v>#N/A</v>
      </c>
      <c r="Z394" s="49" t="str">
        <f ca="1">IFERROR(INDEX(INDIRECT(zoneFichierEAN13ValmagUniq),Y394,2),"")</f>
        <v/>
      </c>
      <c r="AA394" s="53" t="str">
        <f t="shared" ref="AA394:AA457" ca="1" si="1482">T394 &amp; IF(W394="","", " | " &amp; W394) &amp; IF(Z394="","", " | " &amp;Z394)</f>
        <v xml:space="preserve"> </v>
      </c>
      <c r="AC394" s="55">
        <f ca="1">MATCH(B394,INDIRECT(nomFichierFiltreCatalogue &amp; "!B:B"),0)</f>
        <v>578</v>
      </c>
      <c r="AD394" s="14"/>
    </row>
    <row r="395" spans="1:30" s="20" customFormat="1" ht="15.75" customHeight="1" x14ac:dyDescent="0.25">
      <c r="A395" s="25">
        <f ca="1">INDEX(INDIRECT(zoneFichierTraite),$J394+offsetInitialFichierTraite,2)</f>
        <v>167</v>
      </c>
      <c r="B395" s="57" t="str">
        <f ca="1">IF(ISERROR($P394),msgRefValmagAcreer,IF(INDEX(INDIRECT(zoneFichierEAN13Valmag),$P394,3) = "",msgCodeValmagVide, INDEX(INDIRECT(zoneFichierEAN13Valmag),$P394,3)))</f>
        <v xml:space="preserve"> </v>
      </c>
      <c r="C395" s="54" t="str">
        <f t="shared" ref="C395:C458" ca="1" si="1483">AA394</f>
        <v xml:space="preserve"> </v>
      </c>
      <c r="D395" s="19" t="str">
        <f ca="1">IFERROR(INDEX(INDIRECT(zoneFichierEAN13Valmag),$P394,4),"")</f>
        <v xml:space="preserve"> </v>
      </c>
      <c r="E395" s="58" t="str">
        <f ca="1">IFERROR(INDEX(INDIRECT(zoneFichierFiltreCatalogue),AC394,3),"")</f>
        <v>p149-1-02</v>
      </c>
      <c r="F395" s="19"/>
      <c r="G395" s="18"/>
      <c r="H395" s="32" t="str">
        <f ca="1">IFERROR(INDEX(INDIRECT(zoneFichierFiltreCatalogue),AC394,6),"")</f>
        <v>fall 2019 presentation_/catalogo fall 19.txt</v>
      </c>
      <c r="S395" s="1"/>
      <c r="T395" s="21"/>
      <c r="U395" s="21"/>
      <c r="V395" s="21"/>
      <c r="W395" s="21"/>
      <c r="X395" s="21"/>
      <c r="Y395" s="21"/>
      <c r="Z395" s="21"/>
      <c r="AA395" s="21"/>
      <c r="AB395" s="21"/>
      <c r="AC395" s="21"/>
    </row>
    <row r="396" spans="1:30" ht="39" customHeight="1" thickBot="1" x14ac:dyDescent="0.65">
      <c r="A396" s="9" t="str">
        <f ca="1">INDEX(INDIRECT(zoneFichierTraite),$J396+offsetInitialFichierTraite,6)</f>
        <v>UNICA</v>
      </c>
      <c r="B396" s="5" t="str">
        <f ca="1">INDEX(INDIRECT(zoneFichierTraite),$J396+offsetInitialFichierTraite,4)</f>
        <v>OCLKD001-MESE7-055</v>
      </c>
      <c r="C396" s="26" t="str">
        <f ca="1">INDEX(INDIRECT(zoneFichierTraite),$J396+offsetInitialFichierTraite,5)</f>
        <v>O CLOCK MECANISME GROOVE SOLEIL</v>
      </c>
      <c r="D396" s="27" t="str">
        <f ca="1">INDEX(INDIRECT(zoneFichierTraite),$J396+offsetInitialFichierTraite,13)</f>
        <v>nero</v>
      </c>
      <c r="E396" s="30">
        <f ca="1">INDEX(INDIRECT(zoneFichierTraite),$J396+offsetInitialFichierTraite,7)</f>
        <v>3</v>
      </c>
      <c r="F396" s="28">
        <f ca="1">INDEX(INDIRECT(zoneFichierTraite),$J396+offsetInitialFichierTraite,8)</f>
        <v>8.52</v>
      </c>
      <c r="G396" s="29">
        <f t="shared" ref="G396:G459" ca="1" si="1484">ROUNDUP(F396*3,0)</f>
        <v>26</v>
      </c>
      <c r="H396" s="31" t="str">
        <f ca="1">IF(ISNUMBER(N396),codeEAN13(INT(N396/10)),"")</f>
        <v>8APASOG*ajcjid+</v>
      </c>
      <c r="I396" s="1" t="b">
        <f t="shared" ref="I396:I459" ca="1" si="1485">AND(A399&lt;&gt;0,A397=A399)</f>
        <v>0</v>
      </c>
      <c r="J396" s="15">
        <f t="shared" si="1477"/>
        <v>194</v>
      </c>
      <c r="K396" s="1">
        <f t="shared" ref="K396:K459" ca="1" si="1486">A397</f>
        <v>22</v>
      </c>
      <c r="L396" s="5" t="str">
        <f ca="1">INDEX(INDIRECT(zoneFichierTraite),$J396+offsetInitialFichierTraite,1)</f>
        <v>'194</v>
      </c>
      <c r="M396" s="11">
        <f ca="1">INDEX(INDIRECT(zoneFichierTraite),$J396+offsetInitialFichierTraite,9)</f>
        <v>25.56</v>
      </c>
      <c r="N396" s="14">
        <f ca="1">INDEX(INDIRECT(zoneFichierTraite),$J396+offsetInitialFichierTraite,3)</f>
        <v>8050846092983</v>
      </c>
      <c r="O396" s="14"/>
      <c r="P396" s="56">
        <f ca="1">MATCH(N396,INDIRECT(nomFichierEAN13Valmag &amp; "!A:A"),0)</f>
        <v>901</v>
      </c>
      <c r="R396" s="50" t="str">
        <f t="shared" ref="R396:R427" ca="1" si="1487">LEFT(B396,14)</f>
        <v>OCLKD001-MESE7</v>
      </c>
      <c r="S396" s="52">
        <f ca="1">MATCH($R396,INDIRECT(nomFichierEAN13ValmagUniq &amp; "!A:A"),0)</f>
        <v>343</v>
      </c>
      <c r="T396" s="49" t="str">
        <f ca="1">IFERROR(INDEX(INDIRECT(zoneFichierEAN13ValmagUniq),S396,2),"")</f>
        <v xml:space="preserve"> </v>
      </c>
      <c r="U396" s="52" t="e">
        <f ca="1">MATCH($R396,INDIRECT(nomFichierEAN13ValmagUniq &amp; "!A" &amp; (S396+1) &amp; ":A" &amp;  (S396+10)),0)</f>
        <v>#N/A</v>
      </c>
      <c r="V396" s="51" t="e">
        <f t="shared" ref="V396:V459" ca="1" si="1488">U396+S396</f>
        <v>#N/A</v>
      </c>
      <c r="W396" s="49" t="str">
        <f ca="1">IFERROR(INDEX(INDIRECT(zoneFichierEAN13ValmagUniq),V396,2),"")</f>
        <v/>
      </c>
      <c r="X396" s="52" t="e">
        <f ca="1">MATCH($R396,INDIRECT(nomFichierEAN13ValmagUniq &amp; "!A" &amp; (V396+1) &amp; ":A" &amp;  (V396+10)),0)</f>
        <v>#N/A</v>
      </c>
      <c r="Y396" s="51" t="e">
        <f t="shared" ref="Y396:Y459" ca="1" si="1489">X396+V396</f>
        <v>#N/A</v>
      </c>
      <c r="Z396" s="49" t="str">
        <f ca="1">IFERROR(INDEX(INDIRECT(zoneFichierEAN13ValmagUniq),Y396,2),"")</f>
        <v/>
      </c>
      <c r="AA396" s="53" t="str">
        <f t="shared" ref="AA396:AA459" ca="1" si="1490">T396 &amp; IF(W396="","", " | " &amp; W396) &amp; IF(Z396="","", " | " &amp;Z396)</f>
        <v xml:space="preserve"> </v>
      </c>
      <c r="AC396" s="55">
        <f ca="1">MATCH(B396,INDIRECT(nomFichierFiltreCatalogue &amp; "!B:B"),0)</f>
        <v>579</v>
      </c>
      <c r="AD396" s="14"/>
    </row>
    <row r="397" spans="1:30" s="20" customFormat="1" ht="15.75" customHeight="1" x14ac:dyDescent="0.25">
      <c r="A397" s="25">
        <f ca="1">INDEX(INDIRECT(zoneFichierTraite),$J396+offsetInitialFichierTraite,2)</f>
        <v>22</v>
      </c>
      <c r="B397" s="57" t="str">
        <f ca="1">IF(ISERROR($P396),msgRefValmagAcreer,IF(INDEX(INDIRECT(zoneFichierEAN13Valmag),$P396,3) = "",msgCodeValmagVide, INDEX(INDIRECT(zoneFichierEAN13Valmag),$P396,3)))</f>
        <v xml:space="preserve"> </v>
      </c>
      <c r="C397" s="54" t="str">
        <f t="shared" ref="C397:C460" ca="1" si="1491">AA396</f>
        <v xml:space="preserve"> </v>
      </c>
      <c r="D397" s="19" t="str">
        <f ca="1">IFERROR(INDEX(INDIRECT(zoneFichierEAN13Valmag),$P396,4),"")</f>
        <v xml:space="preserve"> </v>
      </c>
      <c r="E397" s="58" t="str">
        <f ca="1">IFERROR(INDEX(INDIRECT(zoneFichierFiltreCatalogue),AC396,3),"")</f>
        <v>p149-2-01</v>
      </c>
      <c r="F397" s="19"/>
      <c r="G397" s="18"/>
      <c r="H397" s="32" t="str">
        <f ca="1">IFERROR(INDEX(INDIRECT(zoneFichierFiltreCatalogue),AC396,6),"")</f>
        <v>fall 2019 presentation_/catalogo fall 19.txt</v>
      </c>
      <c r="S397" s="1"/>
      <c r="T397" s="21"/>
      <c r="U397" s="21"/>
      <c r="V397" s="21"/>
      <c r="W397" s="21"/>
      <c r="X397" s="21"/>
      <c r="Y397" s="21"/>
      <c r="Z397" s="21"/>
      <c r="AA397" s="21"/>
      <c r="AB397" s="21"/>
      <c r="AC397" s="21"/>
    </row>
    <row r="398" spans="1:30" ht="39" customHeight="1" thickBot="1" x14ac:dyDescent="0.65">
      <c r="A398" s="9" t="str">
        <f ca="1">INDEX(INDIRECT(zoneFichierTraite),$J398+offsetInitialFichierTraite,6)</f>
        <v>UNICA</v>
      </c>
      <c r="B398" s="5" t="str">
        <f ca="1">INDEX(INDIRECT(zoneFichierTraite),$J398+offsetInitialFichierTraite,4)</f>
        <v>OCLKD001-MESE7-137</v>
      </c>
      <c r="C398" s="26" t="str">
        <f ca="1">INDEX(INDIRECT(zoneFichierTraite),$J398+offsetInitialFichierTraite,5)</f>
        <v>O CLOCK MECANISME GROOVE SOLEIL</v>
      </c>
      <c r="D398" s="27" t="str">
        <f ca="1">INDEX(INDIRECT(zoneFichierTraite),$J398+offsetInitialFichierTraite,13)</f>
        <v>bluette</v>
      </c>
      <c r="E398" s="30">
        <f ca="1">INDEX(INDIRECT(zoneFichierTraite),$J398+offsetInitialFichierTraite,7)</f>
        <v>3</v>
      </c>
      <c r="F398" s="28">
        <f ca="1">INDEX(INDIRECT(zoneFichierTraite),$J398+offsetInitialFichierTraite,8)</f>
        <v>8.52</v>
      </c>
      <c r="G398" s="29">
        <f t="shared" ref="G398:G461" ca="1" si="1492">ROUNDUP(F398*3,0)</f>
        <v>26</v>
      </c>
      <c r="H398" s="31" t="str">
        <f ca="1">IF(ISNUMBER(N398),codeEAN13(INT(N398/10)),"")</f>
        <v>8APASOG*ajcjgj+</v>
      </c>
      <c r="I398" s="1" t="b">
        <f t="shared" ref="I398:I461" ca="1" si="1493">AND(A401&lt;&gt;0,A399=A401)</f>
        <v>0</v>
      </c>
      <c r="J398" s="15">
        <f t="shared" si="1477"/>
        <v>195</v>
      </c>
      <c r="K398" s="1">
        <f t="shared" ref="K398:K461" ca="1" si="1494">A399</f>
        <v>81</v>
      </c>
      <c r="L398" s="5" t="str">
        <f ca="1">INDEX(INDIRECT(zoneFichierTraite),$J398+offsetInitialFichierTraite,1)</f>
        <v>'195</v>
      </c>
      <c r="M398" s="11">
        <f ca="1">INDEX(INDIRECT(zoneFichierTraite),$J398+offsetInitialFichierTraite,9)</f>
        <v>25.56</v>
      </c>
      <c r="N398" s="14">
        <f ca="1">INDEX(INDIRECT(zoneFichierTraite),$J398+offsetInitialFichierTraite,3)</f>
        <v>8050846092969</v>
      </c>
      <c r="O398" s="14"/>
      <c r="P398" s="56">
        <f ca="1">MATCH(N398,INDIRECT(nomFichierEAN13Valmag &amp; "!A:A"),0)</f>
        <v>900</v>
      </c>
      <c r="R398" s="50" t="str">
        <f t="shared" ref="R398:R429" ca="1" si="1495">LEFT(B398,14)</f>
        <v>OCLKD001-MESE7</v>
      </c>
      <c r="S398" s="52">
        <f ca="1">MATCH($R398,INDIRECT(nomFichierEAN13ValmagUniq &amp; "!A:A"),0)</f>
        <v>343</v>
      </c>
      <c r="T398" s="49" t="str">
        <f ca="1">IFERROR(INDEX(INDIRECT(zoneFichierEAN13ValmagUniq),S398,2),"")</f>
        <v xml:space="preserve"> </v>
      </c>
      <c r="U398" s="52" t="e">
        <f ca="1">MATCH($R398,INDIRECT(nomFichierEAN13ValmagUniq &amp; "!A" &amp; (S398+1) &amp; ":A" &amp;  (S398+10)),0)</f>
        <v>#N/A</v>
      </c>
      <c r="V398" s="51" t="e">
        <f t="shared" ref="V398:V461" ca="1" si="1496">U398+S398</f>
        <v>#N/A</v>
      </c>
      <c r="W398" s="49" t="str">
        <f ca="1">IFERROR(INDEX(INDIRECT(zoneFichierEAN13ValmagUniq),V398,2),"")</f>
        <v/>
      </c>
      <c r="X398" s="52" t="e">
        <f ca="1">MATCH($R398,INDIRECT(nomFichierEAN13ValmagUniq &amp; "!A" &amp; (V398+1) &amp; ":A" &amp;  (V398+10)),0)</f>
        <v>#N/A</v>
      </c>
      <c r="Y398" s="51" t="e">
        <f t="shared" ref="Y398:Y461" ca="1" si="1497">X398+V398</f>
        <v>#N/A</v>
      </c>
      <c r="Z398" s="49" t="str">
        <f ca="1">IFERROR(INDEX(INDIRECT(zoneFichierEAN13ValmagUniq),Y398,2),"")</f>
        <v/>
      </c>
      <c r="AA398" s="53" t="str">
        <f t="shared" ref="AA398:AA461" ca="1" si="1498">T398 &amp; IF(W398="","", " | " &amp; W398) &amp; IF(Z398="","", " | " &amp;Z398)</f>
        <v xml:space="preserve"> </v>
      </c>
      <c r="AC398" s="55">
        <f ca="1">MATCH(B398,INDIRECT(nomFichierFiltreCatalogue &amp; "!B:B"),0)</f>
        <v>580</v>
      </c>
      <c r="AD398" s="14"/>
    </row>
    <row r="399" spans="1:30" s="20" customFormat="1" ht="15.75" customHeight="1" x14ac:dyDescent="0.25">
      <c r="A399" s="25">
        <f ca="1">INDEX(INDIRECT(zoneFichierTraite),$J398+offsetInitialFichierTraite,2)</f>
        <v>81</v>
      </c>
      <c r="B399" s="57" t="str">
        <f ca="1">IF(ISERROR($P398),msgRefValmagAcreer,IF(INDEX(INDIRECT(zoneFichierEAN13Valmag),$P398,3) = "",msgCodeValmagVide, INDEX(INDIRECT(zoneFichierEAN13Valmag),$P398,3)))</f>
        <v xml:space="preserve"> </v>
      </c>
      <c r="C399" s="54" t="str">
        <f t="shared" ref="C399:C462" ca="1" si="1499">AA398</f>
        <v xml:space="preserve"> </v>
      </c>
      <c r="D399" s="19" t="str">
        <f ca="1">IFERROR(INDEX(INDIRECT(zoneFichierEAN13Valmag),$P398,4),"")</f>
        <v xml:space="preserve"> </v>
      </c>
      <c r="E399" s="58" t="str">
        <f ca="1">IFERROR(INDEX(INDIRECT(zoneFichierFiltreCatalogue),AC398,3),"")</f>
        <v>p149-2-02</v>
      </c>
      <c r="F399" s="19"/>
      <c r="G399" s="18"/>
      <c r="H399" s="32" t="str">
        <f ca="1">IFERROR(INDEX(INDIRECT(zoneFichierFiltreCatalogue),AC398,6),"")</f>
        <v>fall 2019 presentation_/catalogo fall 19.txt</v>
      </c>
      <c r="S399" s="1"/>
      <c r="T399" s="21"/>
      <c r="U399" s="21"/>
      <c r="V399" s="21"/>
      <c r="W399" s="21"/>
      <c r="X399" s="21"/>
      <c r="Y399" s="21"/>
      <c r="Z399" s="21"/>
      <c r="AA399" s="21"/>
      <c r="AB399" s="21"/>
      <c r="AC399" s="21"/>
    </row>
    <row r="400" spans="1:30" ht="39" customHeight="1" thickBot="1" x14ac:dyDescent="0.65">
      <c r="A400" s="9" t="str">
        <f ca="1">INDEX(INDIRECT(zoneFichierTraite),$J400+offsetInitialFichierTraite,6)</f>
        <v>UNICA</v>
      </c>
      <c r="B400" s="5" t="str">
        <f ca="1">INDEX(INDIRECT(zoneFichierTraite),$J400+offsetInitialFichierTraite,4)</f>
        <v>OCLKD001-MESE9-008</v>
      </c>
      <c r="C400" s="26" t="str">
        <f ca="1">INDEX(INDIRECT(zoneFichierTraite),$J400+offsetInitialFichierTraite,5)</f>
        <v>O CLOCK MECANISME INDEX MIRROR</v>
      </c>
      <c r="D400" s="27" t="str">
        <f ca="1">INDEX(INDIRECT(zoneFichierTraite),$J400+offsetInitialFichierTraite,13)</f>
        <v>bianco</v>
      </c>
      <c r="E400" s="30">
        <f ca="1">INDEX(INDIRECT(zoneFichierTraite),$J400+offsetInitialFichierTraite,7)</f>
        <v>3</v>
      </c>
      <c r="F400" s="28">
        <f ca="1">INDEX(INDIRECT(zoneFichierTraite),$J400+offsetInitialFichierTraite,8)</f>
        <v>8.52</v>
      </c>
      <c r="G400" s="29">
        <f t="shared" ref="G400:G463" ca="1" si="1500">ROUNDUP(F400*3,0)</f>
        <v>26</v>
      </c>
      <c r="H400" s="31" t="str">
        <f ca="1">IF(ISNUMBER(N400),codeEAN13(INT(N400/10)),"")</f>
        <v>8APASOG*ajdaba+</v>
      </c>
      <c r="I400" s="1" t="b">
        <f t="shared" ref="I400:I463" ca="1" si="1501">AND(A403&lt;&gt;0,A401=A403)</f>
        <v>0</v>
      </c>
      <c r="J400" s="15">
        <f t="shared" si="1477"/>
        <v>196</v>
      </c>
      <c r="K400" s="1">
        <f t="shared" ref="K400:K463" ca="1" si="1502">A401</f>
        <v>147</v>
      </c>
      <c r="L400" s="5" t="str">
        <f ca="1">INDEX(INDIRECT(zoneFichierTraite),$J400+offsetInitialFichierTraite,1)</f>
        <v>'196</v>
      </c>
      <c r="M400" s="11">
        <f ca="1">INDEX(INDIRECT(zoneFichierTraite),$J400+offsetInitialFichierTraite,9)</f>
        <v>25.56</v>
      </c>
      <c r="N400" s="14">
        <f ca="1">INDEX(INDIRECT(zoneFichierTraite),$J400+offsetInitialFichierTraite,3)</f>
        <v>8050846093010</v>
      </c>
      <c r="O400" s="14"/>
      <c r="P400" s="56">
        <f ca="1">MATCH(N400,INDIRECT(nomFichierEAN13Valmag &amp; "!A:A"),0)</f>
        <v>902</v>
      </c>
      <c r="R400" s="50" t="str">
        <f t="shared" ref="R400:R431" ca="1" si="1503">LEFT(B400,14)</f>
        <v>OCLKD001-MESE9</v>
      </c>
      <c r="S400" s="52">
        <f ca="1">MATCH($R400,INDIRECT(nomFichierEAN13ValmagUniq &amp; "!A:A"),0)</f>
        <v>344</v>
      </c>
      <c r="T400" s="49" t="str">
        <f ca="1">IFERROR(INDEX(INDIRECT(zoneFichierEAN13ValmagUniq),S400,2),"")</f>
        <v xml:space="preserve"> </v>
      </c>
      <c r="U400" s="52" t="e">
        <f ca="1">MATCH($R400,INDIRECT(nomFichierEAN13ValmagUniq &amp; "!A" &amp; (S400+1) &amp; ":A" &amp;  (S400+10)),0)</f>
        <v>#N/A</v>
      </c>
      <c r="V400" s="51" t="e">
        <f t="shared" ref="V400:V463" ca="1" si="1504">U400+S400</f>
        <v>#N/A</v>
      </c>
      <c r="W400" s="49" t="str">
        <f ca="1">IFERROR(INDEX(INDIRECT(zoneFichierEAN13ValmagUniq),V400,2),"")</f>
        <v/>
      </c>
      <c r="X400" s="52" t="e">
        <f ca="1">MATCH($R400,INDIRECT(nomFichierEAN13ValmagUniq &amp; "!A" &amp; (V400+1) &amp; ":A" &amp;  (V400+10)),0)</f>
        <v>#N/A</v>
      </c>
      <c r="Y400" s="51" t="e">
        <f t="shared" ref="Y400:Y463" ca="1" si="1505">X400+V400</f>
        <v>#N/A</v>
      </c>
      <c r="Z400" s="49" t="str">
        <f ca="1">IFERROR(INDEX(INDIRECT(zoneFichierEAN13ValmagUniq),Y400,2),"")</f>
        <v/>
      </c>
      <c r="AA400" s="53" t="str">
        <f t="shared" ref="AA400:AA463" ca="1" si="1506">T400 &amp; IF(W400="","", " | " &amp; W400) &amp; IF(Z400="","", " | " &amp;Z400)</f>
        <v xml:space="preserve"> </v>
      </c>
      <c r="AC400" s="55">
        <f ca="1">MATCH(B400,INDIRECT(nomFichierFiltreCatalogue &amp; "!B:B"),0)</f>
        <v>581</v>
      </c>
      <c r="AD400" s="14"/>
    </row>
    <row r="401" spans="1:30" s="20" customFormat="1" ht="15.75" customHeight="1" x14ac:dyDescent="0.25">
      <c r="A401" s="25">
        <f ca="1">INDEX(INDIRECT(zoneFichierTraite),$J400+offsetInitialFichierTraite,2)</f>
        <v>147</v>
      </c>
      <c r="B401" s="57" t="str">
        <f ca="1">IF(ISERROR($P400),msgRefValmagAcreer,IF(INDEX(INDIRECT(zoneFichierEAN13Valmag),$P400,3) = "",msgCodeValmagVide, INDEX(INDIRECT(zoneFichierEAN13Valmag),$P400,3)))</f>
        <v xml:space="preserve"> </v>
      </c>
      <c r="C401" s="54" t="str">
        <f t="shared" ref="C401:C464" ca="1" si="1507">AA400</f>
        <v xml:space="preserve"> </v>
      </c>
      <c r="D401" s="19" t="str">
        <f ca="1">IFERROR(INDEX(INDIRECT(zoneFichierEAN13Valmag),$P400,4),"")</f>
        <v xml:space="preserve"> </v>
      </c>
      <c r="E401" s="58" t="str">
        <f ca="1">IFERROR(INDEX(INDIRECT(zoneFichierFiltreCatalogue),AC400,3),"")</f>
        <v>p150-1-01</v>
      </c>
      <c r="F401" s="19"/>
      <c r="G401" s="18"/>
      <c r="H401" s="32" t="str">
        <f ca="1">IFERROR(INDEX(INDIRECT(zoneFichierFiltreCatalogue),AC400,6),"")</f>
        <v>fall 2019 presentation_/catalogo fall 19.txt</v>
      </c>
      <c r="S401" s="1"/>
      <c r="T401" s="21"/>
      <c r="U401" s="21"/>
      <c r="V401" s="21"/>
      <c r="W401" s="21"/>
      <c r="X401" s="21"/>
      <c r="Y401" s="21"/>
      <c r="Z401" s="21"/>
      <c r="AA401" s="21"/>
      <c r="AB401" s="21"/>
      <c r="AC401" s="21"/>
    </row>
    <row r="402" spans="1:30" ht="39" customHeight="1" thickBot="1" x14ac:dyDescent="0.65">
      <c r="A402" s="9" t="str">
        <f ca="1">INDEX(INDIRECT(zoneFichierTraite),$J402+offsetInitialFichierTraite,6)</f>
        <v>UNICA</v>
      </c>
      <c r="B402" s="5" t="str">
        <f ca="1">INDEX(INDIRECT(zoneFichierTraite),$J402+offsetInitialFichierTraite,4)</f>
        <v>OCLKD001-MESE9-055</v>
      </c>
      <c r="C402" s="26" t="str">
        <f ca="1">INDEX(INDIRECT(zoneFichierTraite),$J402+offsetInitialFichierTraite,5)</f>
        <v>O CLOCK MECANISME INDEX MIRROR</v>
      </c>
      <c r="D402" s="27" t="str">
        <f ca="1">INDEX(INDIRECT(zoneFichierTraite),$J402+offsetInitialFichierTraite,13)</f>
        <v>nero</v>
      </c>
      <c r="E402" s="30">
        <f ca="1">INDEX(INDIRECT(zoneFichierTraite),$J402+offsetInitialFichierTraite,7)</f>
        <v>3</v>
      </c>
      <c r="F402" s="28">
        <f ca="1">INDEX(INDIRECT(zoneFichierTraite),$J402+offsetInitialFichierTraite,8)</f>
        <v>8.52</v>
      </c>
      <c r="G402" s="29">
        <f t="shared" ref="G402:G465" ca="1" si="1508">ROUNDUP(F402*3,0)</f>
        <v>26</v>
      </c>
      <c r="H402" s="31" t="str">
        <f ca="1">IF(ISNUMBER(N402),codeEAN13(INT(N402/10)),"")</f>
        <v>8APASOG*ajdach+</v>
      </c>
      <c r="I402" s="1" t="b">
        <f t="shared" ref="I402:I465" ca="1" si="1509">AND(A405&lt;&gt;0,A403=A405)</f>
        <v>0</v>
      </c>
      <c r="J402" s="15">
        <f t="shared" si="1477"/>
        <v>197</v>
      </c>
      <c r="K402" s="1">
        <f t="shared" ref="K402:K465" ca="1" si="1510">A403</f>
        <v>207</v>
      </c>
      <c r="L402" s="5" t="str">
        <f ca="1">INDEX(INDIRECT(zoneFichierTraite),$J402+offsetInitialFichierTraite,1)</f>
        <v>'197</v>
      </c>
      <c r="M402" s="11">
        <f ca="1">INDEX(INDIRECT(zoneFichierTraite),$J402+offsetInitialFichierTraite,9)</f>
        <v>25.56</v>
      </c>
      <c r="N402" s="14">
        <f ca="1">INDEX(INDIRECT(zoneFichierTraite),$J402+offsetInitialFichierTraite,3)</f>
        <v>8050846093027</v>
      </c>
      <c r="O402" s="14"/>
      <c r="P402" s="56">
        <f ca="1">MATCH(N402,INDIRECT(nomFichierEAN13Valmag &amp; "!A:A"),0)</f>
        <v>903</v>
      </c>
      <c r="R402" s="50" t="str">
        <f t="shared" ref="R402:R433" ca="1" si="1511">LEFT(B402,14)</f>
        <v>OCLKD001-MESE9</v>
      </c>
      <c r="S402" s="52">
        <f ca="1">MATCH($R402,INDIRECT(nomFichierEAN13ValmagUniq &amp; "!A:A"),0)</f>
        <v>344</v>
      </c>
      <c r="T402" s="49" t="str">
        <f ca="1">IFERROR(INDEX(INDIRECT(zoneFichierEAN13ValmagUniq),S402,2),"")</f>
        <v xml:space="preserve"> </v>
      </c>
      <c r="U402" s="52" t="e">
        <f ca="1">MATCH($R402,INDIRECT(nomFichierEAN13ValmagUniq &amp; "!A" &amp; (S402+1) &amp; ":A" &amp;  (S402+10)),0)</f>
        <v>#N/A</v>
      </c>
      <c r="V402" s="51" t="e">
        <f t="shared" ref="V402:V465" ca="1" si="1512">U402+S402</f>
        <v>#N/A</v>
      </c>
      <c r="W402" s="49" t="str">
        <f ca="1">IFERROR(INDEX(INDIRECT(zoneFichierEAN13ValmagUniq),V402,2),"")</f>
        <v/>
      </c>
      <c r="X402" s="52" t="e">
        <f ca="1">MATCH($R402,INDIRECT(nomFichierEAN13ValmagUniq &amp; "!A" &amp; (V402+1) &amp; ":A" &amp;  (V402+10)),0)</f>
        <v>#N/A</v>
      </c>
      <c r="Y402" s="51" t="e">
        <f t="shared" ref="Y402:Y465" ca="1" si="1513">X402+V402</f>
        <v>#N/A</v>
      </c>
      <c r="Z402" s="49" t="str">
        <f ca="1">IFERROR(INDEX(INDIRECT(zoneFichierEAN13ValmagUniq),Y402,2),"")</f>
        <v/>
      </c>
      <c r="AA402" s="53" t="str">
        <f t="shared" ref="AA402:AA465" ca="1" si="1514">T402 &amp; IF(W402="","", " | " &amp; W402) &amp; IF(Z402="","", " | " &amp;Z402)</f>
        <v xml:space="preserve"> </v>
      </c>
      <c r="AC402" s="55">
        <f ca="1">MATCH(B402,INDIRECT(nomFichierFiltreCatalogue &amp; "!B:B"),0)</f>
        <v>582</v>
      </c>
      <c r="AD402" s="14"/>
    </row>
    <row r="403" spans="1:30" s="20" customFormat="1" ht="15.75" customHeight="1" x14ac:dyDescent="0.25">
      <c r="A403" s="25">
        <f ca="1">INDEX(INDIRECT(zoneFichierTraite),$J402+offsetInitialFichierTraite,2)</f>
        <v>207</v>
      </c>
      <c r="B403" s="57" t="str">
        <f ca="1">IF(ISERROR($P402),msgRefValmagAcreer,IF(INDEX(INDIRECT(zoneFichierEAN13Valmag),$P402,3) = "",msgCodeValmagVide, INDEX(INDIRECT(zoneFichierEAN13Valmag),$P402,3)))</f>
        <v xml:space="preserve"> </v>
      </c>
      <c r="C403" s="54" t="str">
        <f t="shared" ref="C403:C466" ca="1" si="1515">AA402</f>
        <v xml:space="preserve"> </v>
      </c>
      <c r="D403" s="19" t="str">
        <f ca="1">IFERROR(INDEX(INDIRECT(zoneFichierEAN13Valmag),$P402,4),"")</f>
        <v xml:space="preserve"> </v>
      </c>
      <c r="E403" s="58" t="str">
        <f ca="1">IFERROR(INDEX(INDIRECT(zoneFichierFiltreCatalogue),AC402,3),"")</f>
        <v>p150-1-02</v>
      </c>
      <c r="F403" s="19"/>
      <c r="G403" s="18"/>
      <c r="H403" s="32" t="str">
        <f ca="1">IFERROR(INDEX(INDIRECT(zoneFichierFiltreCatalogue),AC402,6),"")</f>
        <v>fall 2019 presentation_/catalogo fall 19.txt</v>
      </c>
      <c r="S403" s="1"/>
      <c r="T403" s="21"/>
      <c r="U403" s="21"/>
      <c r="V403" s="21"/>
      <c r="W403" s="21"/>
      <c r="X403" s="21"/>
      <c r="Y403" s="21"/>
      <c r="Z403" s="21"/>
      <c r="AA403" s="21"/>
      <c r="AB403" s="21"/>
      <c r="AC403" s="21"/>
    </row>
    <row r="404" spans="1:30" ht="39" customHeight="1" thickBot="1" x14ac:dyDescent="0.65">
      <c r="A404" s="9" t="str">
        <f ca="1">INDEX(INDIRECT(zoneFichierTraite),$J404+offsetInitialFichierTraite,6)</f>
        <v>UNICA</v>
      </c>
      <c r="B404" s="5" t="str">
        <f ca="1">INDEX(INDIRECT(zoneFichierTraite),$J404+offsetInitialFichierTraite,4)</f>
        <v>OCLKD001-MESF2-055</v>
      </c>
      <c r="C404" s="26" t="str">
        <f ca="1">INDEX(INDIRECT(zoneFichierTraite),$J404+offsetInitialFichierTraite,5)</f>
        <v>O CLOCK MECANISME ACTIVE</v>
      </c>
      <c r="D404" s="27" t="str">
        <f ca="1">INDEX(INDIRECT(zoneFichierTraite),$J404+offsetInitialFichierTraite,13)</f>
        <v>nero</v>
      </c>
      <c r="E404" s="30">
        <f ca="1">INDEX(INDIRECT(zoneFichierTraite),$J404+offsetInitialFichierTraite,7)</f>
        <v>3</v>
      </c>
      <c r="F404" s="28">
        <f ca="1">INDEX(INDIRECT(zoneFichierTraite),$J404+offsetInitialFichierTraite,8)</f>
        <v>11.85</v>
      </c>
      <c r="G404" s="29">
        <f t="shared" ref="G404:G467" ca="1" si="1516">ROUNDUP(F404*3,0)</f>
        <v>36</v>
      </c>
      <c r="H404" s="31" t="str">
        <f ca="1">IF(ISNUMBER(N404),codeEAN13(INT(N404/10)),"")</f>
        <v>8APASOG*ajejgd+</v>
      </c>
      <c r="I404" s="1" t="b">
        <f t="shared" ref="I404:I467" ca="1" si="1517">AND(A407&lt;&gt;0,A405=A407)</f>
        <v>0</v>
      </c>
      <c r="J404" s="15">
        <f t="shared" si="1477"/>
        <v>198</v>
      </c>
      <c r="K404" s="1">
        <f t="shared" ref="K404:K467" ca="1" si="1518">A405</f>
        <v>36</v>
      </c>
      <c r="L404" s="5" t="str">
        <f ca="1">INDEX(INDIRECT(zoneFichierTraite),$J404+offsetInitialFichierTraite,1)</f>
        <v>'198</v>
      </c>
      <c r="M404" s="11">
        <f ca="1">INDEX(INDIRECT(zoneFichierTraite),$J404+offsetInitialFichierTraite,9)</f>
        <v>35.549999999999997</v>
      </c>
      <c r="N404" s="14">
        <f ca="1">INDEX(INDIRECT(zoneFichierTraite),$J404+offsetInitialFichierTraite,3)</f>
        <v>8050846094963</v>
      </c>
      <c r="O404" s="14"/>
      <c r="P404" s="56">
        <f ca="1">MATCH(N404,INDIRECT(nomFichierEAN13Valmag &amp; "!A:A"),0)</f>
        <v>928</v>
      </c>
      <c r="R404" s="50" t="str">
        <f t="shared" ref="R404:R435" ca="1" si="1519">LEFT(B404,14)</f>
        <v>OCLKD001-MESF2</v>
      </c>
      <c r="S404" s="52">
        <f ca="1">MATCH($R404,INDIRECT(nomFichierEAN13ValmagUniq &amp; "!A:A"),0)</f>
        <v>345</v>
      </c>
      <c r="T404" s="49" t="str">
        <f ca="1">IFERROR(INDEX(INDIRECT(zoneFichierEAN13ValmagUniq),S404,2),"")</f>
        <v xml:space="preserve"> </v>
      </c>
      <c r="U404" s="52" t="e">
        <f ca="1">MATCH($R404,INDIRECT(nomFichierEAN13ValmagUniq &amp; "!A" &amp; (S404+1) &amp; ":A" &amp;  (S404+10)),0)</f>
        <v>#N/A</v>
      </c>
      <c r="V404" s="51" t="e">
        <f t="shared" ref="V404:V467" ca="1" si="1520">U404+S404</f>
        <v>#N/A</v>
      </c>
      <c r="W404" s="49" t="str">
        <f ca="1">IFERROR(INDEX(INDIRECT(zoneFichierEAN13ValmagUniq),V404,2),"")</f>
        <v/>
      </c>
      <c r="X404" s="52" t="e">
        <f ca="1">MATCH($R404,INDIRECT(nomFichierEAN13ValmagUniq &amp; "!A" &amp; (V404+1) &amp; ":A" &amp;  (V404+10)),0)</f>
        <v>#N/A</v>
      </c>
      <c r="Y404" s="51" t="e">
        <f t="shared" ref="Y404:Y467" ca="1" si="1521">X404+V404</f>
        <v>#N/A</v>
      </c>
      <c r="Z404" s="49" t="str">
        <f ca="1">IFERROR(INDEX(INDIRECT(zoneFichierEAN13ValmagUniq),Y404,2),"")</f>
        <v/>
      </c>
      <c r="AA404" s="53" t="str">
        <f t="shared" ref="AA404:AA467" ca="1" si="1522">T404 &amp; IF(W404="","", " | " &amp; W404) &amp; IF(Z404="","", " | " &amp;Z404)</f>
        <v xml:space="preserve"> </v>
      </c>
      <c r="AC404" s="55">
        <f ca="1">MATCH(B404,INDIRECT(nomFichierFiltreCatalogue &amp; "!B:B"),0)</f>
        <v>575</v>
      </c>
      <c r="AD404" s="14"/>
    </row>
    <row r="405" spans="1:30" s="20" customFormat="1" ht="15.75" customHeight="1" x14ac:dyDescent="0.25">
      <c r="A405" s="25">
        <f ca="1">INDEX(INDIRECT(zoneFichierTraite),$J404+offsetInitialFichierTraite,2)</f>
        <v>36</v>
      </c>
      <c r="B405" s="57" t="str">
        <f ca="1">IF(ISERROR($P404),msgRefValmagAcreer,IF(INDEX(INDIRECT(zoneFichierEAN13Valmag),$P404,3) = "",msgCodeValmagVide, INDEX(INDIRECT(zoneFichierEAN13Valmag),$P404,3)))</f>
        <v xml:space="preserve"> </v>
      </c>
      <c r="C405" s="54" t="str">
        <f t="shared" ref="C405:C468" ca="1" si="1523">AA404</f>
        <v xml:space="preserve"> </v>
      </c>
      <c r="D405" s="19" t="str">
        <f ca="1">IFERROR(INDEX(INDIRECT(zoneFichierEAN13Valmag),$P404,4),"")</f>
        <v xml:space="preserve"> </v>
      </c>
      <c r="E405" s="58" t="str">
        <f ca="1">IFERROR(INDEX(INDIRECT(zoneFichierFiltreCatalogue),AC404,3),"")</f>
        <v>p148-2-01</v>
      </c>
      <c r="F405" s="19"/>
      <c r="G405" s="18"/>
      <c r="H405" s="32" t="str">
        <f ca="1">IFERROR(INDEX(INDIRECT(zoneFichierFiltreCatalogue),AC404,6),"")</f>
        <v>fall 2019 presentation_/catalogo fall 19.txt</v>
      </c>
      <c r="S405" s="1"/>
      <c r="T405" s="21"/>
      <c r="U405" s="21"/>
      <c r="V405" s="21"/>
      <c r="W405" s="21"/>
      <c r="X405" s="21"/>
      <c r="Y405" s="21"/>
      <c r="Z405" s="21"/>
      <c r="AA405" s="21"/>
      <c r="AB405" s="21"/>
      <c r="AC405" s="21"/>
    </row>
    <row r="406" spans="1:30" ht="39" customHeight="1" thickBot="1" x14ac:dyDescent="0.65">
      <c r="A406" s="9" t="str">
        <f ca="1">INDEX(INDIRECT(zoneFichierTraite),$J406+offsetInitialFichierTraite,6)</f>
        <v>UNICA</v>
      </c>
      <c r="B406" s="5" t="str">
        <f ca="1">INDEX(INDIRECT(zoneFichierTraite),$J406+offsetInitialFichierTraite,4)</f>
        <v>OCLKD001-MESF2-137</v>
      </c>
      <c r="C406" s="26" t="str">
        <f ca="1">INDEX(INDIRECT(zoneFichierTraite),$J406+offsetInitialFichierTraite,5)</f>
        <v>O CLOCK MECANISME ACTIVE</v>
      </c>
      <c r="D406" s="27" t="str">
        <f ca="1">INDEX(INDIRECT(zoneFichierTraite),$J406+offsetInitialFichierTraite,13)</f>
        <v>bluette</v>
      </c>
      <c r="E406" s="30">
        <f ca="1">INDEX(INDIRECT(zoneFichierTraite),$J406+offsetInitialFichierTraite,7)</f>
        <v>3</v>
      </c>
      <c r="F406" s="28">
        <f ca="1">INDEX(INDIRECT(zoneFichierTraite),$J406+offsetInitialFichierTraite,8)</f>
        <v>11.85</v>
      </c>
      <c r="G406" s="29">
        <f t="shared" ref="G406:G469" ca="1" si="1524">ROUNDUP(F406*3,0)</f>
        <v>36</v>
      </c>
      <c r="H406" s="31" t="str">
        <f ca="1">IF(ISNUMBER(N406),codeEAN13(INT(N406/10)),"")</f>
        <v>8APASOG*ajejih+</v>
      </c>
      <c r="I406" s="1" t="b">
        <f t="shared" ref="I406:I469" ca="1" si="1525">AND(A409&lt;&gt;0,A407=A409)</f>
        <v>0</v>
      </c>
      <c r="J406" s="15">
        <f t="shared" si="1477"/>
        <v>199</v>
      </c>
      <c r="K406" s="1">
        <f t="shared" ref="K406:K469" ca="1" si="1526">A407</f>
        <v>23</v>
      </c>
      <c r="L406" s="5" t="str">
        <f ca="1">INDEX(INDIRECT(zoneFichierTraite),$J406+offsetInitialFichierTraite,1)</f>
        <v>'199</v>
      </c>
      <c r="M406" s="11">
        <f ca="1">INDEX(INDIRECT(zoneFichierTraite),$J406+offsetInitialFichierTraite,9)</f>
        <v>35.549999999999997</v>
      </c>
      <c r="N406" s="14">
        <f ca="1">INDEX(INDIRECT(zoneFichierTraite),$J406+offsetInitialFichierTraite,3)</f>
        <v>8050846094987</v>
      </c>
      <c r="O406" s="14"/>
      <c r="P406" s="56">
        <f ca="1">MATCH(N406,INDIRECT(nomFichierEAN13Valmag &amp; "!A:A"),0)</f>
        <v>929</v>
      </c>
      <c r="R406" s="50" t="str">
        <f t="shared" ref="R406:R437" ca="1" si="1527">LEFT(B406,14)</f>
        <v>OCLKD001-MESF2</v>
      </c>
      <c r="S406" s="52">
        <f ca="1">MATCH($R406,INDIRECT(nomFichierEAN13ValmagUniq &amp; "!A:A"),0)</f>
        <v>345</v>
      </c>
      <c r="T406" s="49" t="str">
        <f ca="1">IFERROR(INDEX(INDIRECT(zoneFichierEAN13ValmagUniq),S406,2),"")</f>
        <v xml:space="preserve"> </v>
      </c>
      <c r="U406" s="52" t="e">
        <f ca="1">MATCH($R406,INDIRECT(nomFichierEAN13ValmagUniq &amp; "!A" &amp; (S406+1) &amp; ":A" &amp;  (S406+10)),0)</f>
        <v>#N/A</v>
      </c>
      <c r="V406" s="51" t="e">
        <f t="shared" ref="V406:V469" ca="1" si="1528">U406+S406</f>
        <v>#N/A</v>
      </c>
      <c r="W406" s="49" t="str">
        <f ca="1">IFERROR(INDEX(INDIRECT(zoneFichierEAN13ValmagUniq),V406,2),"")</f>
        <v/>
      </c>
      <c r="X406" s="52" t="e">
        <f ca="1">MATCH($R406,INDIRECT(nomFichierEAN13ValmagUniq &amp; "!A" &amp; (V406+1) &amp; ":A" &amp;  (V406+10)),0)</f>
        <v>#N/A</v>
      </c>
      <c r="Y406" s="51" t="e">
        <f t="shared" ref="Y406:Y469" ca="1" si="1529">X406+V406</f>
        <v>#N/A</v>
      </c>
      <c r="Z406" s="49" t="str">
        <f ca="1">IFERROR(INDEX(INDIRECT(zoneFichierEAN13ValmagUniq),Y406,2),"")</f>
        <v/>
      </c>
      <c r="AA406" s="53" t="str">
        <f t="shared" ref="AA406:AA469" ca="1" si="1530">T406 &amp; IF(W406="","", " | " &amp; W406) &amp; IF(Z406="","", " | " &amp;Z406)</f>
        <v xml:space="preserve"> </v>
      </c>
      <c r="AC406" s="55">
        <f ca="1">MATCH(B406,INDIRECT(nomFichierFiltreCatalogue &amp; "!B:B"),0)</f>
        <v>576</v>
      </c>
      <c r="AD406" s="14"/>
    </row>
    <row r="407" spans="1:30" s="20" customFormat="1" ht="15.75" customHeight="1" x14ac:dyDescent="0.25">
      <c r="A407" s="25">
        <f ca="1">INDEX(INDIRECT(zoneFichierTraite),$J406+offsetInitialFichierTraite,2)</f>
        <v>23</v>
      </c>
      <c r="B407" s="57" t="str">
        <f ca="1">IF(ISERROR($P406),msgRefValmagAcreer,IF(INDEX(INDIRECT(zoneFichierEAN13Valmag),$P406,3) = "",msgCodeValmagVide, INDEX(INDIRECT(zoneFichierEAN13Valmag),$P406,3)))</f>
        <v xml:space="preserve"> </v>
      </c>
      <c r="C407" s="54" t="str">
        <f t="shared" ref="C407:C470" ca="1" si="1531">AA406</f>
        <v xml:space="preserve"> </v>
      </c>
      <c r="D407" s="19" t="str">
        <f ca="1">IFERROR(INDEX(INDIRECT(zoneFichierEAN13Valmag),$P406,4),"")</f>
        <v xml:space="preserve"> </v>
      </c>
      <c r="E407" s="58" t="str">
        <f ca="1">IFERROR(INDEX(INDIRECT(zoneFichierFiltreCatalogue),AC406,3),"")</f>
        <v>p148-2-02</v>
      </c>
      <c r="F407" s="19"/>
      <c r="G407" s="18"/>
      <c r="H407" s="32" t="str">
        <f ca="1">IFERROR(INDEX(INDIRECT(zoneFichierFiltreCatalogue),AC406,6),"")</f>
        <v>fall 2019 presentation_/catalogo fall 19.txt</v>
      </c>
      <c r="S407" s="1"/>
      <c r="T407" s="21"/>
      <c r="U407" s="21"/>
      <c r="V407" s="21"/>
      <c r="W407" s="21"/>
      <c r="X407" s="21"/>
      <c r="Y407" s="21"/>
      <c r="Z407" s="21"/>
      <c r="AA407" s="21"/>
      <c r="AB407" s="21"/>
      <c r="AC407" s="21"/>
    </row>
    <row r="408" spans="1:30" ht="39" customHeight="1" thickBot="1" x14ac:dyDescent="0.65">
      <c r="A408" s="9" t="str">
        <f ca="1">INDEX(INDIRECT(zoneFichierTraite),$J408+offsetInitialFichierTraite,6)</f>
        <v>UNICA</v>
      </c>
      <c r="B408" s="5" t="str">
        <f ca="1">INDEX(INDIRECT(zoneFichierTraite),$J408+offsetInitialFichierTraite,4)</f>
        <v>OCLKD001-MESF2-615</v>
      </c>
      <c r="C408" s="26" t="str">
        <f ca="1">INDEX(INDIRECT(zoneFichierTraite),$J408+offsetInitialFichierTraite,5)</f>
        <v>O CLOCK MECANISME ACTIVE</v>
      </c>
      <c r="D408" s="27" t="str">
        <f ca="1">INDEX(INDIRECT(zoneFichierTraite),$J408+offsetInitialFichierTraite,13)</f>
        <v>CodeBarre</v>
      </c>
      <c r="E408" s="30">
        <f ca="1">INDEX(INDIRECT(zoneFichierTraite),$J408+offsetInitialFichierTraite,7)</f>
        <v>3</v>
      </c>
      <c r="F408" s="28">
        <f ca="1">INDEX(INDIRECT(zoneFichierTraite),$J408+offsetInitialFichierTraite,8)</f>
        <v>11.85</v>
      </c>
      <c r="G408" s="29">
        <f t="shared" ref="G408:G471" ca="1" si="1532">ROUNDUP(F408*3,0)</f>
        <v>36</v>
      </c>
      <c r="H408" s="31" t="str">
        <f ca="1">IF(ISNUMBER(N408),codeEAN13(INT(N408/10)),"")</f>
        <v/>
      </c>
      <c r="I408" s="1" t="b">
        <f t="shared" ref="I408:I471" ca="1" si="1533">AND(A411&lt;&gt;0,A409=A411)</f>
        <v>0</v>
      </c>
      <c r="J408" s="15">
        <f t="shared" si="1477"/>
        <v>200</v>
      </c>
      <c r="K408" s="1">
        <f t="shared" ref="K408:K471" ca="1" si="1534">A409</f>
        <v>158</v>
      </c>
      <c r="L408" s="5" t="str">
        <f ca="1">INDEX(INDIRECT(zoneFichierTraite),$J408+offsetInitialFichierTraite,1)</f>
        <v>'200</v>
      </c>
      <c r="M408" s="11">
        <f ca="1">INDEX(INDIRECT(zoneFichierTraite),$J408+offsetInitialFichierTraite,9)</f>
        <v>35.549999999999997</v>
      </c>
      <c r="N408" s="14" t="str">
        <f ca="1">INDEX(INDIRECT(zoneFichierTraite),$J408+offsetInitialFichierTraite,3)</f>
        <v>CodeBarre</v>
      </c>
      <c r="O408" s="14"/>
      <c r="P408" s="56" t="e">
        <f ca="1">MATCH(N408,INDIRECT(nomFichierEAN13Valmag &amp; "!A:A"),0)</f>
        <v>#N/A</v>
      </c>
      <c r="R408" s="50" t="str">
        <f t="shared" ref="R408:R439" ca="1" si="1535">LEFT(B408,14)</f>
        <v>OCLKD001-MESF2</v>
      </c>
      <c r="S408" s="52">
        <f ca="1">MATCH($R408,INDIRECT(nomFichierEAN13ValmagUniq &amp; "!A:A"),0)</f>
        <v>345</v>
      </c>
      <c r="T408" s="49" t="str">
        <f ca="1">IFERROR(INDEX(INDIRECT(zoneFichierEAN13ValmagUniq),S408,2),"")</f>
        <v xml:space="preserve"> </v>
      </c>
      <c r="U408" s="52" t="e">
        <f ca="1">MATCH($R408,INDIRECT(nomFichierEAN13ValmagUniq &amp; "!A" &amp; (S408+1) &amp; ":A" &amp;  (S408+10)),0)</f>
        <v>#N/A</v>
      </c>
      <c r="V408" s="51" t="e">
        <f t="shared" ref="V408:V471" ca="1" si="1536">U408+S408</f>
        <v>#N/A</v>
      </c>
      <c r="W408" s="49" t="str">
        <f ca="1">IFERROR(INDEX(INDIRECT(zoneFichierEAN13ValmagUniq),V408,2),"")</f>
        <v/>
      </c>
      <c r="X408" s="52" t="e">
        <f ca="1">MATCH($R408,INDIRECT(nomFichierEAN13ValmagUniq &amp; "!A" &amp; (V408+1) &amp; ":A" &amp;  (V408+10)),0)</f>
        <v>#N/A</v>
      </c>
      <c r="Y408" s="51" t="e">
        <f t="shared" ref="Y408:Y471" ca="1" si="1537">X408+V408</f>
        <v>#N/A</v>
      </c>
      <c r="Z408" s="49" t="str">
        <f ca="1">IFERROR(INDEX(INDIRECT(zoneFichierEAN13ValmagUniq),Y408,2),"")</f>
        <v/>
      </c>
      <c r="AA408" s="53" t="str">
        <f t="shared" ref="AA408:AA471" ca="1" si="1538">T408 &amp; IF(W408="","", " | " &amp; W408) &amp; IF(Z408="","", " | " &amp;Z408)</f>
        <v xml:space="preserve"> </v>
      </c>
      <c r="AC408" s="55" t="e">
        <f ca="1">MATCH(B408,INDIRECT(nomFichierFiltreCatalogue &amp; "!B:B"),0)</f>
        <v>#N/A</v>
      </c>
      <c r="AD408" s="14"/>
    </row>
    <row r="409" spans="1:30" s="20" customFormat="1" ht="15.75" customHeight="1" x14ac:dyDescent="0.25">
      <c r="A409" s="25">
        <f ca="1">INDEX(INDIRECT(zoneFichierTraite),$J408+offsetInitialFichierTraite,2)</f>
        <v>158</v>
      </c>
      <c r="B409" s="57" t="str">
        <f ca="1">IF(ISERROR($P408),msgRefValmagAcreer,IF(INDEX(INDIRECT(zoneFichierEAN13Valmag),$P408,3) = "",msgCodeValmagVide, INDEX(INDIRECT(zoneFichierEAN13Valmag),$P408,3)))</f>
        <v>&gt; Référence à créer</v>
      </c>
      <c r="C409" s="54" t="str">
        <f t="shared" ref="C409:C472" ca="1" si="1539">AA408</f>
        <v xml:space="preserve"> </v>
      </c>
      <c r="D409" s="19" t="str">
        <f ca="1">IFERROR(INDEX(INDIRECT(zoneFichierEAN13Valmag),$P408,4),"")</f>
        <v/>
      </c>
      <c r="E409" s="58" t="str">
        <f ca="1">IFERROR(INDEX(INDIRECT(zoneFichierFiltreCatalogue),AC408,3),"")</f>
        <v/>
      </c>
      <c r="F409" s="19"/>
      <c r="G409" s="18"/>
      <c r="H409" s="32" t="str">
        <f ca="1">IFERROR(INDEX(INDIRECT(zoneFichierFiltreCatalogue),AC408,6),"")</f>
        <v/>
      </c>
      <c r="S409" s="1"/>
      <c r="T409" s="21"/>
      <c r="U409" s="21"/>
      <c r="V409" s="21"/>
      <c r="W409" s="21"/>
      <c r="X409" s="21"/>
      <c r="Y409" s="21"/>
      <c r="Z409" s="21"/>
      <c r="AA409" s="21"/>
      <c r="AB409" s="21"/>
      <c r="AC409" s="21"/>
    </row>
    <row r="410" spans="1:30" ht="39" customHeight="1" thickBot="1" x14ac:dyDescent="0.65">
      <c r="A410" s="9" t="str">
        <f ca="1">INDEX(INDIRECT(zoneFichierTraite),$J410+offsetInitialFichierTraite,6)</f>
        <v>UNICA</v>
      </c>
      <c r="B410" s="5" t="str">
        <f ca="1">INDEX(INDIRECT(zoneFichierTraite),$J410+offsetInitialFichierTraite,4)</f>
        <v>OCLKD101-MESE4-004</v>
      </c>
      <c r="C410" s="26" t="str">
        <f ca="1">INDEX(INDIRECT(zoneFichierTraite),$J410+offsetInitialFichierTraite,5)</f>
        <v>O CLOCK MECANISME GREAT CIRCLE MOTHER OF PEARL</v>
      </c>
      <c r="D410" s="27" t="str">
        <f ca="1">INDEX(INDIRECT(zoneFichierTraite),$J410+offsetInitialFichierTraite,13)</f>
        <v>argento</v>
      </c>
      <c r="E410" s="30">
        <f ca="1">INDEX(INDIRECT(zoneFichierTraite),$J410+offsetInitialFichierTraite,7)</f>
        <v>3</v>
      </c>
      <c r="F410" s="28">
        <f ca="1">INDEX(INDIRECT(zoneFichierTraite),$J410+offsetInitialFichierTraite,8)</f>
        <v>9.6300000000000008</v>
      </c>
      <c r="G410" s="29">
        <f t="shared" ref="G410:G473" ca="1" si="1540">ROUNDUP(F410*3,0)</f>
        <v>29</v>
      </c>
      <c r="H410" s="31" t="str">
        <f ca="1">IF(ISNUMBER(N410),codeEAN13(INT(N410/10)),"")</f>
        <v>8APASOG*ajdagf+</v>
      </c>
      <c r="I410" s="1" t="b">
        <f t="shared" ref="I410:I473" ca="1" si="1541">AND(A413&lt;&gt;0,A411=A413)</f>
        <v>0</v>
      </c>
      <c r="J410" s="15">
        <f t="shared" si="1477"/>
        <v>201</v>
      </c>
      <c r="K410" s="1">
        <f t="shared" ref="K410:K473" ca="1" si="1542">A411</f>
        <v>96</v>
      </c>
      <c r="L410" s="5" t="str">
        <f ca="1">INDEX(INDIRECT(zoneFichierTraite),$J410+offsetInitialFichierTraite,1)</f>
        <v>'201</v>
      </c>
      <c r="M410" s="11">
        <f ca="1">INDEX(INDIRECT(zoneFichierTraite),$J410+offsetInitialFichierTraite,9)</f>
        <v>28.89</v>
      </c>
      <c r="N410" s="14">
        <f ca="1">INDEX(INDIRECT(zoneFichierTraite),$J410+offsetInitialFichierTraite,3)</f>
        <v>8050846093065</v>
      </c>
      <c r="O410" s="14"/>
      <c r="P410" s="56">
        <f ca="1">MATCH(N410,INDIRECT(nomFichierEAN13Valmag &amp; "!A:A"),0)</f>
        <v>904</v>
      </c>
      <c r="R410" s="50" t="str">
        <f t="shared" ref="R410:R441" ca="1" si="1543">LEFT(B410,14)</f>
        <v>OCLKD101-MESE4</v>
      </c>
      <c r="S410" s="52">
        <f ca="1">MATCH($R410,INDIRECT(nomFichierEAN13ValmagUniq &amp; "!A:A"),0)</f>
        <v>347</v>
      </c>
      <c r="T410" s="49" t="str">
        <f ca="1">IFERROR(INDEX(INDIRECT(zoneFichierEAN13ValmagUniq),S410,2),"")</f>
        <v xml:space="preserve"> </v>
      </c>
      <c r="U410" s="52" t="e">
        <f ca="1">MATCH($R410,INDIRECT(nomFichierEAN13ValmagUniq &amp; "!A" &amp; (S410+1) &amp; ":A" &amp;  (S410+10)),0)</f>
        <v>#N/A</v>
      </c>
      <c r="V410" s="51" t="e">
        <f t="shared" ref="V410:V473" ca="1" si="1544">U410+S410</f>
        <v>#N/A</v>
      </c>
      <c r="W410" s="49" t="str">
        <f ca="1">IFERROR(INDEX(INDIRECT(zoneFichierEAN13ValmagUniq),V410,2),"")</f>
        <v/>
      </c>
      <c r="X410" s="52" t="e">
        <f ca="1">MATCH($R410,INDIRECT(nomFichierEAN13ValmagUniq &amp; "!A" &amp; (V410+1) &amp; ":A" &amp;  (V410+10)),0)</f>
        <v>#N/A</v>
      </c>
      <c r="Y410" s="51" t="e">
        <f t="shared" ref="Y410:Y473" ca="1" si="1545">X410+V410</f>
        <v>#N/A</v>
      </c>
      <c r="Z410" s="49" t="str">
        <f ca="1">IFERROR(INDEX(INDIRECT(zoneFichierEAN13ValmagUniq),Y410,2),"")</f>
        <v/>
      </c>
      <c r="AA410" s="53" t="str">
        <f t="shared" ref="AA410:AA473" ca="1" si="1546">T410 &amp; IF(W410="","", " | " &amp; W410) &amp; IF(Z410="","", " | " &amp;Z410)</f>
        <v xml:space="preserve"> </v>
      </c>
      <c r="AC410" s="55">
        <f ca="1">MATCH(B410,INDIRECT(nomFichierFiltreCatalogue &amp; "!B:B"),0)</f>
        <v>741</v>
      </c>
      <c r="AD410" s="14"/>
    </row>
    <row r="411" spans="1:30" s="20" customFormat="1" ht="15.75" customHeight="1" x14ac:dyDescent="0.25">
      <c r="A411" s="25">
        <f ca="1">INDEX(INDIRECT(zoneFichierTraite),$J410+offsetInitialFichierTraite,2)</f>
        <v>96</v>
      </c>
      <c r="B411" s="57" t="str">
        <f ca="1">IF(ISERROR($P410),msgRefValmagAcreer,IF(INDEX(INDIRECT(zoneFichierEAN13Valmag),$P410,3) = "",msgCodeValmagVide, INDEX(INDIRECT(zoneFichierEAN13Valmag),$P410,3)))</f>
        <v xml:space="preserve"> </v>
      </c>
      <c r="C411" s="54" t="str">
        <f t="shared" ref="C411:C474" ca="1" si="1547">AA410</f>
        <v xml:space="preserve"> </v>
      </c>
      <c r="D411" s="19" t="str">
        <f ca="1">IFERROR(INDEX(INDIRECT(zoneFichierEAN13Valmag),$P410,4),"")</f>
        <v xml:space="preserve"> </v>
      </c>
      <c r="E411" s="58" t="str">
        <f ca="1">IFERROR(INDEX(INDIRECT(zoneFichierFiltreCatalogue),AC410,3),"")</f>
        <v>p165-2-01</v>
      </c>
      <c r="F411" s="19"/>
      <c r="G411" s="18"/>
      <c r="H411" s="32" t="str">
        <f ca="1">IFERROR(INDEX(INDIRECT(zoneFichierFiltreCatalogue),AC410,6),"")</f>
        <v>fall 2019 presentation_/catalogo fall 19.txt</v>
      </c>
      <c r="S411" s="1"/>
      <c r="T411" s="21"/>
      <c r="U411" s="21"/>
      <c r="V411" s="21"/>
      <c r="W411" s="21"/>
      <c r="X411" s="21"/>
      <c r="Y411" s="21"/>
      <c r="Z411" s="21"/>
      <c r="AA411" s="21"/>
      <c r="AB411" s="21"/>
      <c r="AC411" s="21"/>
    </row>
    <row r="412" spans="1:30" ht="39" customHeight="1" thickBot="1" x14ac:dyDescent="0.65">
      <c r="A412" s="9" t="str">
        <f ca="1">INDEX(INDIRECT(zoneFichierTraite),$J412+offsetInitialFichierTraite,6)</f>
        <v>UNICA</v>
      </c>
      <c r="B412" s="5" t="str">
        <f ca="1">INDEX(INDIRECT(zoneFichierTraite),$J412+offsetInitialFichierTraite,4)</f>
        <v>SHOUB801-ECSC4-055</v>
      </c>
      <c r="C412" s="26" t="str">
        <f ca="1">INDEX(INDIRECT(zoneFichierTraite),$J412+offsetInitialFichierTraite,5)</f>
        <v>BANDOULIÃˆRE COURTE AVEC BOUCLE + CLIP EN FAUX CUIR EFFET GRIFFE + CLOUS</v>
      </c>
      <c r="D412" s="27" t="str">
        <f ca="1">INDEX(INDIRECT(zoneFichierTraite),$J412+offsetInitialFichierTraite,13)</f>
        <v>nero</v>
      </c>
      <c r="E412" s="30">
        <f ca="1">INDEX(INDIRECT(zoneFichierTraite),$J412+offsetInitialFichierTraite,7)</f>
        <v>4</v>
      </c>
      <c r="F412" s="28">
        <f ca="1">INDEX(INDIRECT(zoneFichierTraite),$J412+offsetInitialFichierTraite,8)</f>
        <v>16.670000000000002</v>
      </c>
      <c r="G412" s="29">
        <f t="shared" ref="G412:G475" ca="1" si="1548">ROUNDUP(F412*3,0)</f>
        <v>51</v>
      </c>
      <c r="H412" s="31" t="str">
        <f ca="1">IF(ISNUMBER(N412),codeEAN13(INT(N412/10)),"")</f>
        <v>8APASOG*aijgei+</v>
      </c>
      <c r="I412" s="1" t="b">
        <f t="shared" ref="I412:I475" ca="1" si="1549">AND(A415&lt;&gt;0,A413=A415)</f>
        <v>0</v>
      </c>
      <c r="J412" s="15">
        <f t="shared" si="1477"/>
        <v>202</v>
      </c>
      <c r="K412" s="1">
        <f t="shared" ref="K412:K475" ca="1" si="1550">A413</f>
        <v>187</v>
      </c>
      <c r="L412" s="5" t="str">
        <f ca="1">INDEX(INDIRECT(zoneFichierTraite),$J412+offsetInitialFichierTraite,1)</f>
        <v>'202</v>
      </c>
      <c r="M412" s="11">
        <f ca="1">INDEX(INDIRECT(zoneFichierTraite),$J412+offsetInitialFichierTraite,9)</f>
        <v>66.680000000000007</v>
      </c>
      <c r="N412" s="14">
        <f ca="1">INDEX(INDIRECT(zoneFichierTraite),$J412+offsetInitialFichierTraite,3)</f>
        <v>8050846089648</v>
      </c>
      <c r="O412" s="14"/>
      <c r="P412" s="56">
        <f ca="1">MATCH(N412,INDIRECT(nomFichierEAN13Valmag &amp; "!A:A"),0)</f>
        <v>651</v>
      </c>
      <c r="R412" s="50" t="str">
        <f t="shared" ref="R412:R443" ca="1" si="1551">LEFT(B412,14)</f>
        <v>SHOUB801-ECSC4</v>
      </c>
      <c r="S412" s="52">
        <f ca="1">MATCH($R412,INDIRECT(nomFichierEAN13ValmagUniq &amp; "!A:A"),0)</f>
        <v>356</v>
      </c>
      <c r="T412" s="49" t="str">
        <f ca="1">IFERROR(INDEX(INDIRECT(zoneFichierEAN13ValmagUniq),S412,2),"")</f>
        <v xml:space="preserve"> </v>
      </c>
      <c r="U412" s="52" t="e">
        <f ca="1">MATCH($R412,INDIRECT(nomFichierEAN13ValmagUniq &amp; "!A" &amp; (S412+1) &amp; ":A" &amp;  (S412+10)),0)</f>
        <v>#N/A</v>
      </c>
      <c r="V412" s="51" t="e">
        <f t="shared" ref="V412:V475" ca="1" si="1552">U412+S412</f>
        <v>#N/A</v>
      </c>
      <c r="W412" s="49" t="str">
        <f ca="1">IFERROR(INDEX(INDIRECT(zoneFichierEAN13ValmagUniq),V412,2),"")</f>
        <v/>
      </c>
      <c r="X412" s="52" t="e">
        <f ca="1">MATCH($R412,INDIRECT(nomFichierEAN13ValmagUniq &amp; "!A" &amp; (V412+1) &amp; ":A" &amp;  (V412+10)),0)</f>
        <v>#N/A</v>
      </c>
      <c r="Y412" s="51" t="e">
        <f t="shared" ref="Y412:Y475" ca="1" si="1553">X412+V412</f>
        <v>#N/A</v>
      </c>
      <c r="Z412" s="49" t="str">
        <f ca="1">IFERROR(INDEX(INDIRECT(zoneFichierEAN13ValmagUniq),Y412,2),"")</f>
        <v/>
      </c>
      <c r="AA412" s="53" t="str">
        <f t="shared" ref="AA412:AA475" ca="1" si="1554">T412 &amp; IF(W412="","", " | " &amp; W412) &amp; IF(Z412="","", " | " &amp;Z412)</f>
        <v xml:space="preserve"> </v>
      </c>
      <c r="AC412" s="55">
        <f ca="1">MATCH(B412,INDIRECT(nomFichierFiltreCatalogue &amp; "!B:B"),0)</f>
        <v>197</v>
      </c>
      <c r="AD412" s="14"/>
    </row>
    <row r="413" spans="1:30" s="20" customFormat="1" ht="15.75" customHeight="1" x14ac:dyDescent="0.25">
      <c r="A413" s="25">
        <f ca="1">INDEX(INDIRECT(zoneFichierTraite),$J412+offsetInitialFichierTraite,2)</f>
        <v>187</v>
      </c>
      <c r="B413" s="57" t="str">
        <f ca="1">IF(ISERROR($P412),msgRefValmagAcreer,IF(INDEX(INDIRECT(zoneFichierEAN13Valmag),$P412,3) = "",msgCodeValmagVide, INDEX(INDIRECT(zoneFichierEAN13Valmag),$P412,3)))</f>
        <v xml:space="preserve"> </v>
      </c>
      <c r="C413" s="54" t="str">
        <f t="shared" ref="C413:C476" ca="1" si="1555">AA412</f>
        <v xml:space="preserve"> </v>
      </c>
      <c r="D413" s="19" t="str">
        <f ca="1">IFERROR(INDEX(INDIRECT(zoneFichierEAN13Valmag),$P412,4),"")</f>
        <v xml:space="preserve"> </v>
      </c>
      <c r="E413" s="58" t="str">
        <f ca="1">IFERROR(INDEX(INDIRECT(zoneFichierFiltreCatalogue),AC412,3),"")</f>
        <v>p037-1-01</v>
      </c>
      <c r="F413" s="19"/>
      <c r="G413" s="18"/>
      <c r="H413" s="32" t="str">
        <f ca="1">IFERROR(INDEX(INDIRECT(zoneFichierFiltreCatalogue),AC412,6),"")</f>
        <v>fall 2019 presentation_/catalogo fall 19.txt</v>
      </c>
      <c r="S413" s="1"/>
      <c r="T413" s="21"/>
      <c r="U413" s="21"/>
      <c r="V413" s="21"/>
      <c r="W413" s="21"/>
      <c r="X413" s="21"/>
      <c r="Y413" s="21"/>
      <c r="Z413" s="21"/>
      <c r="AA413" s="21"/>
      <c r="AB413" s="21"/>
      <c r="AC413" s="21"/>
    </row>
    <row r="414" spans="1:30" ht="39" customHeight="1" thickBot="1" x14ac:dyDescent="0.65">
      <c r="A414" s="9" t="str">
        <f ca="1">INDEX(INDIRECT(zoneFichierTraite),$J414+offsetInitialFichierTraite,6)</f>
        <v>UNICA</v>
      </c>
      <c r="B414" s="5" t="str">
        <f ca="1">INDEX(INDIRECT(zoneFichierTraite),$J414+offsetInitialFichierTraite,4)</f>
        <v>SHOUB801-ECSC4-371</v>
      </c>
      <c r="C414" s="26" t="str">
        <f ca="1">INDEX(INDIRECT(zoneFichierTraite),$J414+offsetInitialFichierTraite,5)</f>
        <v>BANDOULIÃˆRE COURTE AVEC BOUCLE + CLIP EN FAUX CUIR EFFET GRIFFE + CLOUS</v>
      </c>
      <c r="D414" s="27" t="str">
        <f ca="1">INDEX(INDIRECT(zoneFichierTraite),$J414+offsetInitialFichierTraite,13)</f>
        <v>latte</v>
      </c>
      <c r="E414" s="30">
        <f ca="1">INDEX(INDIRECT(zoneFichierTraite),$J414+offsetInitialFichierTraite,7)</f>
        <v>4</v>
      </c>
      <c r="F414" s="28">
        <f ca="1">INDEX(INDIRECT(zoneFichierTraite),$J414+offsetInitialFichierTraite,8)</f>
        <v>16.670000000000002</v>
      </c>
      <c r="G414" s="29">
        <f t="shared" ref="G414:G477" ca="1" si="1556">ROUNDUP(F414*3,0)</f>
        <v>51</v>
      </c>
      <c r="H414" s="31" t="str">
        <f ca="1">IF(ISNUMBER(N414),codeEAN13(INT(N414/10)),"")</f>
        <v>8APASOG*aijgdb+</v>
      </c>
      <c r="I414" s="1" t="b">
        <f t="shared" ref="I414:I477" ca="1" si="1557">AND(A417&lt;&gt;0,A415=A417)</f>
        <v>0</v>
      </c>
      <c r="J414" s="15">
        <f t="shared" si="1477"/>
        <v>203</v>
      </c>
      <c r="K414" s="1">
        <f t="shared" ref="K414:K477" ca="1" si="1558">A415</f>
        <v>92</v>
      </c>
      <c r="L414" s="5" t="str">
        <f ca="1">INDEX(INDIRECT(zoneFichierTraite),$J414+offsetInitialFichierTraite,1)</f>
        <v>'203</v>
      </c>
      <c r="M414" s="11">
        <f ca="1">INDEX(INDIRECT(zoneFichierTraite),$J414+offsetInitialFichierTraite,9)</f>
        <v>66.680000000000007</v>
      </c>
      <c r="N414" s="14">
        <f ca="1">INDEX(INDIRECT(zoneFichierTraite),$J414+offsetInitialFichierTraite,3)</f>
        <v>8050846089631</v>
      </c>
      <c r="O414" s="14"/>
      <c r="P414" s="56">
        <f ca="1">MATCH(N414,INDIRECT(nomFichierEAN13Valmag &amp; "!A:A"),0)</f>
        <v>650</v>
      </c>
      <c r="R414" s="50" t="str">
        <f t="shared" ref="R414:R445" ca="1" si="1559">LEFT(B414,14)</f>
        <v>SHOUB801-ECSC4</v>
      </c>
      <c r="S414" s="52">
        <f ca="1">MATCH($R414,INDIRECT(nomFichierEAN13ValmagUniq &amp; "!A:A"),0)</f>
        <v>356</v>
      </c>
      <c r="T414" s="49" t="str">
        <f ca="1">IFERROR(INDEX(INDIRECT(zoneFichierEAN13ValmagUniq),S414,2),"")</f>
        <v xml:space="preserve"> </v>
      </c>
      <c r="U414" s="52" t="e">
        <f ca="1">MATCH($R414,INDIRECT(nomFichierEAN13ValmagUniq &amp; "!A" &amp; (S414+1) &amp; ":A" &amp;  (S414+10)),0)</f>
        <v>#N/A</v>
      </c>
      <c r="V414" s="51" t="e">
        <f t="shared" ref="V414:V477" ca="1" si="1560">U414+S414</f>
        <v>#N/A</v>
      </c>
      <c r="W414" s="49" t="str">
        <f ca="1">IFERROR(INDEX(INDIRECT(zoneFichierEAN13ValmagUniq),V414,2),"")</f>
        <v/>
      </c>
      <c r="X414" s="52" t="e">
        <f ca="1">MATCH($R414,INDIRECT(nomFichierEAN13ValmagUniq &amp; "!A" &amp; (V414+1) &amp; ":A" &amp;  (V414+10)),0)</f>
        <v>#N/A</v>
      </c>
      <c r="Y414" s="51" t="e">
        <f t="shared" ref="Y414:Y477" ca="1" si="1561">X414+V414</f>
        <v>#N/A</v>
      </c>
      <c r="Z414" s="49" t="str">
        <f ca="1">IFERROR(INDEX(INDIRECT(zoneFichierEAN13ValmagUniq),Y414,2),"")</f>
        <v/>
      </c>
      <c r="AA414" s="53" t="str">
        <f t="shared" ref="AA414:AA477" ca="1" si="1562">T414 &amp; IF(W414="","", " | " &amp; W414) &amp; IF(Z414="","", " | " &amp;Z414)</f>
        <v xml:space="preserve"> </v>
      </c>
      <c r="AC414" s="55">
        <f ca="1">MATCH(B414,INDIRECT(nomFichierFiltreCatalogue &amp; "!B:B"),0)</f>
        <v>198</v>
      </c>
      <c r="AD414" s="14"/>
    </row>
    <row r="415" spans="1:30" s="20" customFormat="1" ht="15.75" customHeight="1" x14ac:dyDescent="0.25">
      <c r="A415" s="25">
        <f ca="1">INDEX(INDIRECT(zoneFichierTraite),$J414+offsetInitialFichierTraite,2)</f>
        <v>92</v>
      </c>
      <c r="B415" s="57" t="str">
        <f ca="1">IF(ISERROR($P414),msgRefValmagAcreer,IF(INDEX(INDIRECT(zoneFichierEAN13Valmag),$P414,3) = "",msgCodeValmagVide, INDEX(INDIRECT(zoneFichierEAN13Valmag),$P414,3)))</f>
        <v xml:space="preserve"> </v>
      </c>
      <c r="C415" s="54" t="str">
        <f t="shared" ref="C415:C478" ca="1" si="1563">AA414</f>
        <v xml:space="preserve"> </v>
      </c>
      <c r="D415" s="19" t="str">
        <f ca="1">IFERROR(INDEX(INDIRECT(zoneFichierEAN13Valmag),$P414,4),"")</f>
        <v xml:space="preserve"> </v>
      </c>
      <c r="E415" s="58" t="str">
        <f ca="1">IFERROR(INDEX(INDIRECT(zoneFichierFiltreCatalogue),AC414,3),"")</f>
        <v>p037-1-02</v>
      </c>
      <c r="F415" s="19"/>
      <c r="G415" s="18"/>
      <c r="H415" s="32" t="str">
        <f ca="1">IFERROR(INDEX(INDIRECT(zoneFichierFiltreCatalogue),AC414,6),"")</f>
        <v>fall 2019 presentation_/catalogo fall 19.txt</v>
      </c>
      <c r="S415" s="1"/>
      <c r="T415" s="21"/>
      <c r="U415" s="21"/>
      <c r="V415" s="21"/>
      <c r="W415" s="21"/>
      <c r="X415" s="21"/>
      <c r="Y415" s="21"/>
      <c r="Z415" s="21"/>
      <c r="AA415" s="21"/>
      <c r="AB415" s="21"/>
      <c r="AC415" s="21"/>
    </row>
    <row r="416" spans="1:30" ht="39" customHeight="1" thickBot="1" x14ac:dyDescent="0.65">
      <c r="A416" s="9" t="str">
        <f ca="1">INDEX(INDIRECT(zoneFichierTraite),$J416+offsetInitialFichierTraite,6)</f>
        <v>UNICA</v>
      </c>
      <c r="B416" s="5" t="str">
        <f ca="1">INDEX(INDIRECT(zoneFichierTraite),$J416+offsetInitialFichierTraite,4)</f>
        <v>SHOUBG00-ECS00-055</v>
      </c>
      <c r="C416" s="26" t="str">
        <f ca="1">INDEX(INDIRECT(zoneFichierTraite),$J416+offsetInitialFichierTraite,5)</f>
        <v>BANDOULIÃˆRE/BRETELLE SLIM 140 EN FAUX CUIR</v>
      </c>
      <c r="D416" s="27" t="str">
        <f ca="1">INDEX(INDIRECT(zoneFichierTraite),$J416+offsetInitialFichierTraite,13)</f>
        <v>nero</v>
      </c>
      <c r="E416" s="30">
        <f ca="1">INDEX(INDIRECT(zoneFichierTraite),$J416+offsetInitialFichierTraite,7)</f>
        <v>2</v>
      </c>
      <c r="F416" s="28">
        <f ca="1">INDEX(INDIRECT(zoneFichierTraite),$J416+offsetInitialFichierTraite,8)</f>
        <v>7.8</v>
      </c>
      <c r="G416" s="29">
        <f t="shared" ref="G416:G479" ca="1" si="1564">ROUNDUP(F416*3,0)</f>
        <v>24</v>
      </c>
      <c r="H416" s="31" t="str">
        <f ca="1">IF(ISNUMBER(N416),codeEAN13(INT(N416/10)),"")</f>
        <v>8APASOG*aadcei+</v>
      </c>
      <c r="I416" s="1" t="b">
        <f t="shared" ref="I416:I479" ca="1" si="1565">AND(A419&lt;&gt;0,A417=A419)</f>
        <v>0</v>
      </c>
      <c r="J416" s="15">
        <f t="shared" si="1477"/>
        <v>204</v>
      </c>
      <c r="K416" s="1">
        <f t="shared" ref="K416:K479" ca="1" si="1566">A417</f>
        <v>196</v>
      </c>
      <c r="L416" s="5" t="str">
        <f ca="1">INDEX(INDIRECT(zoneFichierTraite),$J416+offsetInitialFichierTraite,1)</f>
        <v>'204</v>
      </c>
      <c r="M416" s="11">
        <f ca="1">INDEX(INDIRECT(zoneFichierTraite),$J416+offsetInitialFichierTraite,9)</f>
        <v>15.6</v>
      </c>
      <c r="N416" s="14">
        <f ca="1">INDEX(INDIRECT(zoneFichierTraite),$J416+offsetInitialFichierTraite,3)</f>
        <v>8050846003248</v>
      </c>
      <c r="O416" s="14"/>
      <c r="P416" s="56">
        <f ca="1">MATCH(N416,INDIRECT(nomFichierEAN13Valmag &amp; "!A:A"),0)</f>
        <v>77</v>
      </c>
      <c r="R416" s="50" t="str">
        <f t="shared" ref="R416:R447" ca="1" si="1567">LEFT(B416,14)</f>
        <v>SHOUBG00-ECS00</v>
      </c>
      <c r="S416" s="52">
        <f ca="1">MATCH($R416,INDIRECT(nomFichierEAN13ValmagUniq &amp; "!A:A"),0)</f>
        <v>357</v>
      </c>
      <c r="T416" s="49" t="str">
        <f ca="1">IFERROR(INDEX(INDIRECT(zoneFichierEAN13ValmagUniq),S416,2),"")</f>
        <v xml:space="preserve">BANDOULIERE     </v>
      </c>
      <c r="U416" s="52" t="e">
        <f ca="1">MATCH($R416,INDIRECT(nomFichierEAN13ValmagUniq &amp; "!A" &amp; (S416+1) &amp; ":A" &amp;  (S416+10)),0)</f>
        <v>#N/A</v>
      </c>
      <c r="V416" s="51" t="e">
        <f t="shared" ref="V416:V479" ca="1" si="1568">U416+S416</f>
        <v>#N/A</v>
      </c>
      <c r="W416" s="49" t="str">
        <f ca="1">IFERROR(INDEX(INDIRECT(zoneFichierEAN13ValmagUniq),V416,2),"")</f>
        <v/>
      </c>
      <c r="X416" s="52" t="e">
        <f ca="1">MATCH($R416,INDIRECT(nomFichierEAN13ValmagUniq &amp; "!A" &amp; (V416+1) &amp; ":A" &amp;  (V416+10)),0)</f>
        <v>#N/A</v>
      </c>
      <c r="Y416" s="51" t="e">
        <f t="shared" ref="Y416:Y479" ca="1" si="1569">X416+V416</f>
        <v>#N/A</v>
      </c>
      <c r="Z416" s="49" t="str">
        <f ca="1">IFERROR(INDEX(INDIRECT(zoneFichierEAN13ValmagUniq),Y416,2),"")</f>
        <v/>
      </c>
      <c r="AA416" s="53" t="str">
        <f t="shared" ref="AA416:AA479" ca="1" si="1570">T416 &amp; IF(W416="","", " | " &amp; W416) &amp; IF(Z416="","", " | " &amp;Z416)</f>
        <v xml:space="preserve">BANDOULIERE     </v>
      </c>
      <c r="AC416" s="55">
        <f ca="1">MATCH(B416,INDIRECT(nomFichierFiltreCatalogue &amp; "!B:B"),0)</f>
        <v>562</v>
      </c>
      <c r="AD416" s="14"/>
    </row>
    <row r="417" spans="1:30" s="20" customFormat="1" ht="15.75" customHeight="1" x14ac:dyDescent="0.25">
      <c r="A417" s="25">
        <f ca="1">INDEX(INDIRECT(zoneFichierTraite),$J416+offsetInitialFichierTraite,2)</f>
        <v>196</v>
      </c>
      <c r="B417" s="57" t="str">
        <f ca="1">IF(ISERROR($P416),msgRefValmagAcreer,IF(INDEX(INDIRECT(zoneFichierEAN13Valmag),$P416,3) = "",msgCodeValmagVide, INDEX(INDIRECT(zoneFichierEAN13Valmag),$P416,3)))</f>
        <v xml:space="preserve">BANDOULIERE     </v>
      </c>
      <c r="C417" s="54" t="str">
        <f t="shared" ref="C417:C480" ca="1" si="1571">AA416</f>
        <v xml:space="preserve">BANDOULIERE     </v>
      </c>
      <c r="D417" s="19" t="str">
        <f ca="1">IFERROR(INDEX(INDIRECT(zoneFichierEAN13Valmag),$P416,4),"")</f>
        <v>BLACK</v>
      </c>
      <c r="E417" s="58" t="str">
        <f ca="1">IFERROR(INDEX(INDIRECT(zoneFichierFiltreCatalogue),AC416,3),"")</f>
        <v>p141-1-01</v>
      </c>
      <c r="F417" s="19"/>
      <c r="G417" s="18"/>
      <c r="H417" s="32" t="str">
        <f ca="1">IFERROR(INDEX(INDIRECT(zoneFichierFiltreCatalogue),AC416,6),"")</f>
        <v>fall 2019 presentation_/catalogo fall 19.txt</v>
      </c>
      <c r="S417" s="1"/>
      <c r="T417" s="21"/>
      <c r="U417" s="21"/>
      <c r="V417" s="21"/>
      <c r="W417" s="21"/>
      <c r="X417" s="21"/>
      <c r="Y417" s="21"/>
      <c r="Z417" s="21"/>
      <c r="AA417" s="21"/>
      <c r="AB417" s="21"/>
      <c r="AC417" s="21"/>
    </row>
    <row r="418" spans="1:30" ht="39" customHeight="1" thickBot="1" x14ac:dyDescent="0.65">
      <c r="A418" s="9" t="str">
        <f ca="1">INDEX(INDIRECT(zoneFichierTraite),$J418+offsetInitialFichierTraite,6)</f>
        <v>UNICA</v>
      </c>
      <c r="B418" s="5" t="str">
        <f ca="1">INDEX(INDIRECT(zoneFichierTraite),$J418+offsetInitialFichierTraite,4)</f>
        <v>SHOUG801-ECSC4-055</v>
      </c>
      <c r="C418" s="26" t="str">
        <f ca="1">INDEX(INDIRECT(zoneFichierTraite),$J418+offsetInitialFichierTraite,5)</f>
        <v>BANDOULIÃˆRE 80 + CLIP EN FAUX CUIR EFFET GRIFFE + CLOUS</v>
      </c>
      <c r="D418" s="27" t="str">
        <f ca="1">INDEX(INDIRECT(zoneFichierTraite),$J418+offsetInitialFichierTraite,13)</f>
        <v>nero</v>
      </c>
      <c r="E418" s="30">
        <f ca="1">INDEX(INDIRECT(zoneFichierTraite),$J418+offsetInitialFichierTraite,7)</f>
        <v>4</v>
      </c>
      <c r="F418" s="28">
        <f ca="1">INDEX(INDIRECT(zoneFichierTraite),$J418+offsetInitialFichierTraite,8)</f>
        <v>20</v>
      </c>
      <c r="G418" s="29">
        <f t="shared" ref="G418:G481" ca="1" si="1572">ROUNDUP(F418*3,0)</f>
        <v>60</v>
      </c>
      <c r="H418" s="31" t="str">
        <f ca="1">IF(ISNUMBER(N418),codeEAN13(INT(N418/10)),"")</f>
        <v>8APASOG*ajccdf+</v>
      </c>
      <c r="I418" s="1" t="b">
        <f t="shared" ref="I418:I481" ca="1" si="1573">AND(A421&lt;&gt;0,A419=A421)</f>
        <v>0</v>
      </c>
      <c r="J418" s="15">
        <f t="shared" si="1477"/>
        <v>205</v>
      </c>
      <c r="K418" s="1">
        <f t="shared" ref="K418:K481" ca="1" si="1574">A419</f>
        <v>192</v>
      </c>
      <c r="L418" s="5" t="str">
        <f ca="1">INDEX(INDIRECT(zoneFichierTraite),$J418+offsetInitialFichierTraite,1)</f>
        <v>'205</v>
      </c>
      <c r="M418" s="11">
        <f ca="1">INDEX(INDIRECT(zoneFichierTraite),$J418+offsetInitialFichierTraite,9)</f>
        <v>80</v>
      </c>
      <c r="N418" s="14">
        <f ca="1">INDEX(INDIRECT(zoneFichierTraite),$J418+offsetInitialFichierTraite,3)</f>
        <v>8050846092235</v>
      </c>
      <c r="O418" s="14"/>
      <c r="P418" s="56">
        <f ca="1">MATCH(N418,INDIRECT(nomFichierEAN13Valmag &amp; "!A:A"),0)</f>
        <v>869</v>
      </c>
      <c r="R418" s="50" t="str">
        <f t="shared" ref="R418:R449" ca="1" si="1575">LEFT(B418,14)</f>
        <v>SHOUG801-ECSC4</v>
      </c>
      <c r="S418" s="52">
        <f ca="1">MATCH($R418,INDIRECT(nomFichierEAN13ValmagUniq &amp; "!A:A"),0)</f>
        <v>360</v>
      </c>
      <c r="T418" s="49" t="str">
        <f ca="1">IFERROR(INDEX(INDIRECT(zoneFichierEAN13ValmagUniq),S418,2),"")</f>
        <v xml:space="preserve"> </v>
      </c>
      <c r="U418" s="52" t="e">
        <f ca="1">MATCH($R418,INDIRECT(nomFichierEAN13ValmagUniq &amp; "!A" &amp; (S418+1) &amp; ":A" &amp;  (S418+10)),0)</f>
        <v>#N/A</v>
      </c>
      <c r="V418" s="51" t="e">
        <f t="shared" ref="V418:V481" ca="1" si="1576">U418+S418</f>
        <v>#N/A</v>
      </c>
      <c r="W418" s="49" t="str">
        <f ca="1">IFERROR(INDEX(INDIRECT(zoneFichierEAN13ValmagUniq),V418,2),"")</f>
        <v/>
      </c>
      <c r="X418" s="52" t="e">
        <f ca="1">MATCH($R418,INDIRECT(nomFichierEAN13ValmagUniq &amp; "!A" &amp; (V418+1) &amp; ":A" &amp;  (V418+10)),0)</f>
        <v>#N/A</v>
      </c>
      <c r="Y418" s="51" t="e">
        <f t="shared" ref="Y418:Y481" ca="1" si="1577">X418+V418</f>
        <v>#N/A</v>
      </c>
      <c r="Z418" s="49" t="str">
        <f ca="1">IFERROR(INDEX(INDIRECT(zoneFichierEAN13ValmagUniq),Y418,2),"")</f>
        <v/>
      </c>
      <c r="AA418" s="53" t="str">
        <f t="shared" ref="AA418:AA481" ca="1" si="1578">T418 &amp; IF(W418="","", " | " &amp; W418) &amp; IF(Z418="","", " | " &amp;Z418)</f>
        <v xml:space="preserve"> </v>
      </c>
      <c r="AC418" s="55">
        <f ca="1">MATCH(B418,INDIRECT(nomFichierFiltreCatalogue &amp; "!B:B"),0)</f>
        <v>199</v>
      </c>
      <c r="AD418" s="14"/>
    </row>
    <row r="419" spans="1:30" s="20" customFormat="1" ht="15.75" customHeight="1" x14ac:dyDescent="0.25">
      <c r="A419" s="25">
        <f ca="1">INDEX(INDIRECT(zoneFichierTraite),$J418+offsetInitialFichierTraite,2)</f>
        <v>192</v>
      </c>
      <c r="B419" s="57" t="str">
        <f ca="1">IF(ISERROR($P418),msgRefValmagAcreer,IF(INDEX(INDIRECT(zoneFichierEAN13Valmag),$P418,3) = "",msgCodeValmagVide, INDEX(INDIRECT(zoneFichierEAN13Valmag),$P418,3)))</f>
        <v xml:space="preserve"> </v>
      </c>
      <c r="C419" s="54" t="str">
        <f t="shared" ref="C419:C482" ca="1" si="1579">AA418</f>
        <v xml:space="preserve"> </v>
      </c>
      <c r="D419" s="19" t="str">
        <f ca="1">IFERROR(INDEX(INDIRECT(zoneFichierEAN13Valmag),$P418,4),"")</f>
        <v xml:space="preserve"> </v>
      </c>
      <c r="E419" s="58" t="str">
        <f ca="1">IFERROR(INDEX(INDIRECT(zoneFichierFiltreCatalogue),AC418,3),"")</f>
        <v>p038-1-01</v>
      </c>
      <c r="F419" s="19"/>
      <c r="G419" s="18"/>
      <c r="H419" s="32" t="str">
        <f ca="1">IFERROR(INDEX(INDIRECT(zoneFichierFiltreCatalogue),AC418,6),"")</f>
        <v>fall 2019 presentation_/catalogo fall 19.txt</v>
      </c>
      <c r="S419" s="1"/>
      <c r="T419" s="21"/>
      <c r="U419" s="21"/>
      <c r="V419" s="21"/>
      <c r="W419" s="21"/>
      <c r="X419" s="21"/>
      <c r="Y419" s="21"/>
      <c r="Z419" s="21"/>
      <c r="AA419" s="21"/>
      <c r="AB419" s="21"/>
      <c r="AC419" s="21"/>
    </row>
    <row r="420" spans="1:30" ht="39" customHeight="1" thickBot="1" x14ac:dyDescent="0.65">
      <c r="A420" s="9" t="str">
        <f ca="1">INDEX(INDIRECT(zoneFichierTraite),$J420+offsetInitialFichierTraite,6)</f>
        <v>UNICA</v>
      </c>
      <c r="B420" s="5" t="str">
        <f ca="1">INDEX(INDIRECT(zoneFichierTraite),$J420+offsetInitialFichierTraite,4)</f>
        <v>SHOUGC01-ECSD7-227</v>
      </c>
      <c r="C420" s="26" t="str">
        <f ca="1">INDEX(INDIRECT(zoneFichierTraite),$J420+offsetInitialFichierTraite,5)</f>
        <v>BANDOULIÃˆRE AJOUREE COURTE + CLIP EN FAUX CUIR BICOLORE</v>
      </c>
      <c r="D420" s="27" t="str">
        <f ca="1">INDEX(INDIRECT(zoneFichierTraite),$J420+offsetInitialFichierTraite,13)</f>
        <v>bianco/nero</v>
      </c>
      <c r="E420" s="30">
        <f ca="1">INDEX(INDIRECT(zoneFichierTraite),$J420+offsetInitialFichierTraite,7)</f>
        <v>2</v>
      </c>
      <c r="F420" s="28">
        <f ca="1">INDEX(INDIRECT(zoneFichierTraite),$J420+offsetInitialFichierTraite,8)</f>
        <v>12.59</v>
      </c>
      <c r="G420" s="29">
        <f t="shared" ref="G420:G483" ca="1" si="1580">ROUNDUP(F420*3,0)</f>
        <v>38</v>
      </c>
      <c r="H420" s="31" t="str">
        <f ca="1">IF(ISNUMBER(N420),codeEAN13(INT(N420/10)),"")</f>
        <v>8APASOG*ajcdjg+</v>
      </c>
      <c r="I420" s="1" t="b">
        <f t="shared" ref="I420:I483" ca="1" si="1581">AND(A423&lt;&gt;0,A421=A423)</f>
        <v>0</v>
      </c>
      <c r="J420" s="15">
        <f t="shared" si="1477"/>
        <v>206</v>
      </c>
      <c r="K420" s="1">
        <f t="shared" ref="K420:K483" ca="1" si="1582">A421</f>
        <v>24</v>
      </c>
      <c r="L420" s="5" t="str">
        <f ca="1">INDEX(INDIRECT(zoneFichierTraite),$J420+offsetInitialFichierTraite,1)</f>
        <v>'206</v>
      </c>
      <c r="M420" s="11">
        <f ca="1">INDEX(INDIRECT(zoneFichierTraite),$J420+offsetInitialFichierTraite,9)</f>
        <v>25.18</v>
      </c>
      <c r="N420" s="14">
        <f ca="1">INDEX(INDIRECT(zoneFichierTraite),$J420+offsetInitialFichierTraite,3)</f>
        <v>8050846092396</v>
      </c>
      <c r="O420" s="14"/>
      <c r="P420" s="56">
        <f ca="1">MATCH(N420,INDIRECT(nomFichierEAN13Valmag &amp; "!A:A"),0)</f>
        <v>884</v>
      </c>
      <c r="R420" s="50" t="str">
        <f t="shared" ref="R420:R451" ca="1" si="1583">LEFT(B420,14)</f>
        <v>SHOUGC01-ECSD7</v>
      </c>
      <c r="S420" s="52">
        <f ca="1">MATCH($R420,INDIRECT(nomFichierEAN13ValmagUniq &amp; "!A:A"),0)</f>
        <v>364</v>
      </c>
      <c r="T420" s="49" t="str">
        <f ca="1">IFERROR(INDEX(INDIRECT(zoneFichierEAN13ValmagUniq),S420,2),"")</f>
        <v xml:space="preserve"> </v>
      </c>
      <c r="U420" s="52" t="e">
        <f ca="1">MATCH($R420,INDIRECT(nomFichierEAN13ValmagUniq &amp; "!A" &amp; (S420+1) &amp; ":A" &amp;  (S420+10)),0)</f>
        <v>#N/A</v>
      </c>
      <c r="V420" s="51" t="e">
        <f t="shared" ref="V420:V483" ca="1" si="1584">U420+S420</f>
        <v>#N/A</v>
      </c>
      <c r="W420" s="49" t="str">
        <f ca="1">IFERROR(INDEX(INDIRECT(zoneFichierEAN13ValmagUniq),V420,2),"")</f>
        <v/>
      </c>
      <c r="X420" s="52" t="e">
        <f ca="1">MATCH($R420,INDIRECT(nomFichierEAN13ValmagUniq &amp; "!A" &amp; (V420+1) &amp; ":A" &amp;  (V420+10)),0)</f>
        <v>#N/A</v>
      </c>
      <c r="Y420" s="51" t="e">
        <f t="shared" ref="Y420:Y483" ca="1" si="1585">X420+V420</f>
        <v>#N/A</v>
      </c>
      <c r="Z420" s="49" t="str">
        <f ca="1">IFERROR(INDEX(INDIRECT(zoneFichierEAN13ValmagUniq),Y420,2),"")</f>
        <v/>
      </c>
      <c r="AA420" s="53" t="str">
        <f t="shared" ref="AA420:AA483" ca="1" si="1586">T420 &amp; IF(W420="","", " | " &amp; W420) &amp; IF(Z420="","", " | " &amp;Z420)</f>
        <v xml:space="preserve"> </v>
      </c>
      <c r="AC420" s="55">
        <f ca="1">MATCH(B420,INDIRECT(nomFichierFiltreCatalogue &amp; "!B:B"),0)</f>
        <v>201</v>
      </c>
      <c r="AD420" s="14"/>
    </row>
    <row r="421" spans="1:30" s="20" customFormat="1" ht="15.75" customHeight="1" x14ac:dyDescent="0.25">
      <c r="A421" s="25">
        <f ca="1">INDEX(INDIRECT(zoneFichierTraite),$J420+offsetInitialFichierTraite,2)</f>
        <v>24</v>
      </c>
      <c r="B421" s="57" t="str">
        <f ca="1">IF(ISERROR($P420),msgRefValmagAcreer,IF(INDEX(INDIRECT(zoneFichierEAN13Valmag),$P420,3) = "",msgCodeValmagVide, INDEX(INDIRECT(zoneFichierEAN13Valmag),$P420,3)))</f>
        <v xml:space="preserve"> </v>
      </c>
      <c r="C421" s="54" t="str">
        <f t="shared" ref="C421:C484" ca="1" si="1587">AA420</f>
        <v xml:space="preserve"> </v>
      </c>
      <c r="D421" s="19" t="str">
        <f ca="1">IFERROR(INDEX(INDIRECT(zoneFichierEAN13Valmag),$P420,4),"")</f>
        <v xml:space="preserve"> </v>
      </c>
      <c r="E421" s="58" t="str">
        <f ca="1">IFERROR(INDEX(INDIRECT(zoneFichierFiltreCatalogue),AC420,3),"")</f>
        <v>p038-2-01</v>
      </c>
      <c r="F421" s="19"/>
      <c r="G421" s="18"/>
      <c r="H421" s="32" t="str">
        <f ca="1">IFERROR(INDEX(INDIRECT(zoneFichierFiltreCatalogue),AC420,6),"")</f>
        <v>fall 2019 presentation_/catalogo fall 19.txt</v>
      </c>
      <c r="S421" s="1"/>
      <c r="T421" s="21"/>
      <c r="U421" s="21"/>
      <c r="V421" s="21"/>
      <c r="W421" s="21"/>
      <c r="X421" s="21"/>
      <c r="Y421" s="21"/>
      <c r="Z421" s="21"/>
      <c r="AA421" s="21"/>
      <c r="AB421" s="21"/>
      <c r="AC421" s="21"/>
    </row>
    <row r="422" spans="1:30" ht="39" customHeight="1" thickBot="1" x14ac:dyDescent="0.65">
      <c r="A422" s="9" t="str">
        <f ca="1">INDEX(INDIRECT(zoneFichierTraite),$J422+offsetInitialFichierTraite,6)</f>
        <v>UNICA</v>
      </c>
      <c r="B422" s="5" t="str">
        <f ca="1">INDEX(INDIRECT(zoneFichierTraite),$J422+offsetInitialFichierTraite,4)</f>
        <v>SHOUGC01-ECSD7-622</v>
      </c>
      <c r="C422" s="26" t="str">
        <f ca="1">INDEX(INDIRECT(zoneFichierTraite),$J422+offsetInitialFichierTraite,5)</f>
        <v>BANDOULIÃˆRE AJOUREE COURTE + CLIP EN FAUX CUIR BICOLORE</v>
      </c>
      <c r="D422" s="27" t="str">
        <f ca="1">INDEX(INDIRECT(zoneFichierTraite),$J422+offsetInitialFichierTraite,13)</f>
        <v>military/phard</v>
      </c>
      <c r="E422" s="30">
        <f ca="1">INDEX(INDIRECT(zoneFichierTraite),$J422+offsetInitialFichierTraite,7)</f>
        <v>2</v>
      </c>
      <c r="F422" s="28">
        <f ca="1">INDEX(INDIRECT(zoneFichierTraite),$J422+offsetInitialFichierTraite,8)</f>
        <v>12.59</v>
      </c>
      <c r="G422" s="29">
        <f t="shared" ref="G422:G485" ca="1" si="1588">ROUNDUP(F422*3,0)</f>
        <v>38</v>
      </c>
      <c r="H422" s="31" t="str">
        <f ca="1">IF(ISNUMBER(N422),codeEAN13(INT(N422/10)),"")</f>
        <v>8APASOG*ajceac+</v>
      </c>
      <c r="I422" s="1" t="b">
        <f t="shared" ref="I422:I485" ca="1" si="1589">AND(A425&lt;&gt;0,A423=A425)</f>
        <v>0</v>
      </c>
      <c r="J422" s="15">
        <f t="shared" si="1477"/>
        <v>207</v>
      </c>
      <c r="K422" s="1">
        <f t="shared" ref="K422:K485" ca="1" si="1590">A423</f>
        <v>131</v>
      </c>
      <c r="L422" s="5" t="str">
        <f ca="1">INDEX(INDIRECT(zoneFichierTraite),$J422+offsetInitialFichierTraite,1)</f>
        <v>'207</v>
      </c>
      <c r="M422" s="11">
        <f ca="1">INDEX(INDIRECT(zoneFichierTraite),$J422+offsetInitialFichierTraite,9)</f>
        <v>25.18</v>
      </c>
      <c r="N422" s="14">
        <f ca="1">INDEX(INDIRECT(zoneFichierTraite),$J422+offsetInitialFichierTraite,3)</f>
        <v>8050846092402</v>
      </c>
      <c r="O422" s="14"/>
      <c r="P422" s="56">
        <f ca="1">MATCH(N422,INDIRECT(nomFichierEAN13Valmag &amp; "!A:A"),0)</f>
        <v>885</v>
      </c>
      <c r="R422" s="50" t="str">
        <f t="shared" ref="R422:R453" ca="1" si="1591">LEFT(B422,14)</f>
        <v>SHOUGC01-ECSD7</v>
      </c>
      <c r="S422" s="52">
        <f ca="1">MATCH($R422,INDIRECT(nomFichierEAN13ValmagUniq &amp; "!A:A"),0)</f>
        <v>364</v>
      </c>
      <c r="T422" s="49" t="str">
        <f ca="1">IFERROR(INDEX(INDIRECT(zoneFichierEAN13ValmagUniq),S422,2),"")</f>
        <v xml:space="preserve"> </v>
      </c>
      <c r="U422" s="52" t="e">
        <f ca="1">MATCH($R422,INDIRECT(nomFichierEAN13ValmagUniq &amp; "!A" &amp; (S422+1) &amp; ":A" &amp;  (S422+10)),0)</f>
        <v>#N/A</v>
      </c>
      <c r="V422" s="51" t="e">
        <f t="shared" ref="V422:V485" ca="1" si="1592">U422+S422</f>
        <v>#N/A</v>
      </c>
      <c r="W422" s="49" t="str">
        <f ca="1">IFERROR(INDEX(INDIRECT(zoneFichierEAN13ValmagUniq),V422,2),"")</f>
        <v/>
      </c>
      <c r="X422" s="52" t="e">
        <f ca="1">MATCH($R422,INDIRECT(nomFichierEAN13ValmagUniq &amp; "!A" &amp; (V422+1) &amp; ":A" &amp;  (V422+10)),0)</f>
        <v>#N/A</v>
      </c>
      <c r="Y422" s="51" t="e">
        <f t="shared" ref="Y422:Y485" ca="1" si="1593">X422+V422</f>
        <v>#N/A</v>
      </c>
      <c r="Z422" s="49" t="str">
        <f ca="1">IFERROR(INDEX(INDIRECT(zoneFichierEAN13ValmagUniq),Y422,2),"")</f>
        <v/>
      </c>
      <c r="AA422" s="53" t="str">
        <f t="shared" ref="AA422:AA485" ca="1" si="1594">T422 &amp; IF(W422="","", " | " &amp; W422) &amp; IF(Z422="","", " | " &amp;Z422)</f>
        <v xml:space="preserve"> </v>
      </c>
      <c r="AC422" s="55">
        <f ca="1">MATCH(B422,INDIRECT(nomFichierFiltreCatalogue &amp; "!B:B"),0)</f>
        <v>203</v>
      </c>
      <c r="AD422" s="14"/>
    </row>
    <row r="423" spans="1:30" s="20" customFormat="1" ht="15.75" customHeight="1" x14ac:dyDescent="0.25">
      <c r="A423" s="25">
        <f ca="1">INDEX(INDIRECT(zoneFichierTraite),$J422+offsetInitialFichierTraite,2)</f>
        <v>131</v>
      </c>
      <c r="B423" s="57" t="str">
        <f ca="1">IF(ISERROR($P422),msgRefValmagAcreer,IF(INDEX(INDIRECT(zoneFichierEAN13Valmag),$P422,3) = "",msgCodeValmagVide, INDEX(INDIRECT(zoneFichierEAN13Valmag),$P422,3)))</f>
        <v xml:space="preserve"> </v>
      </c>
      <c r="C423" s="54" t="str">
        <f t="shared" ref="C423:C486" ca="1" si="1595">AA422</f>
        <v xml:space="preserve"> </v>
      </c>
      <c r="D423" s="19" t="str">
        <f ca="1">IFERROR(INDEX(INDIRECT(zoneFichierEAN13Valmag),$P422,4),"")</f>
        <v xml:space="preserve"> </v>
      </c>
      <c r="E423" s="58" t="str">
        <f ca="1">IFERROR(INDEX(INDIRECT(zoneFichierFiltreCatalogue),AC422,3),"")</f>
        <v>p038-2-03</v>
      </c>
      <c r="F423" s="19"/>
      <c r="G423" s="18"/>
      <c r="H423" s="32" t="str">
        <f ca="1">IFERROR(INDEX(INDIRECT(zoneFichierFiltreCatalogue),AC422,6),"")</f>
        <v>fall 2019 presentation_/catalogo fall 19.txt</v>
      </c>
      <c r="S423" s="1"/>
      <c r="T423" s="21"/>
      <c r="U423" s="21"/>
      <c r="V423" s="21"/>
      <c r="W423" s="21"/>
      <c r="X423" s="21"/>
      <c r="Y423" s="21"/>
      <c r="Z423" s="21"/>
      <c r="AA423" s="21"/>
      <c r="AB423" s="21"/>
      <c r="AC423" s="21"/>
    </row>
    <row r="424" spans="1:30" ht="39" customHeight="1" thickBot="1" x14ac:dyDescent="0.65">
      <c r="A424" s="9" t="str">
        <f ca="1">INDEX(INDIRECT(zoneFichierTraite),$J424+offsetInitialFichierTraite,6)</f>
        <v>UNICA</v>
      </c>
      <c r="B424" s="5" t="str">
        <f ca="1">INDEX(INDIRECT(zoneFichierTraite),$J424+offsetInitialFichierTraite,4)</f>
        <v>SHOUGC01-ECSD7-623</v>
      </c>
      <c r="C424" s="26" t="str">
        <f ca="1">INDEX(INDIRECT(zoneFichierTraite),$J424+offsetInitialFichierTraite,5)</f>
        <v>BANDOULIÃˆRE AJOUREE COURTE + CLIP EN FAUX CUIR BICOLORE</v>
      </c>
      <c r="D424" s="27" t="str">
        <f ca="1">INDEX(INDIRECT(zoneFichierTraite),$J424+offsetInitialFichierTraite,13)</f>
        <v>blu navy/ice</v>
      </c>
      <c r="E424" s="30">
        <f ca="1">INDEX(INDIRECT(zoneFichierTraite),$J424+offsetInitialFichierTraite,7)</f>
        <v>2</v>
      </c>
      <c r="F424" s="28">
        <f ca="1">INDEX(INDIRECT(zoneFichierTraite),$J424+offsetInitialFichierTraite,8)</f>
        <v>12.59</v>
      </c>
      <c r="G424" s="29">
        <f t="shared" ref="G424:G487" ca="1" si="1596">ROUNDUP(F424*3,0)</f>
        <v>38</v>
      </c>
      <c r="H424" s="31" t="str">
        <f ca="1">IF(ISNUMBER(N424),codeEAN13(INT(N424/10)),"")</f>
        <v>8APASOG*ajcebj+</v>
      </c>
      <c r="I424" s="1" t="b">
        <f t="shared" ref="I424:I487" ca="1" si="1597">AND(A427&lt;&gt;0,A425=A427)</f>
        <v>0</v>
      </c>
      <c r="J424" s="15">
        <f t="shared" si="1477"/>
        <v>208</v>
      </c>
      <c r="K424" s="1">
        <f t="shared" ref="K424:K487" ca="1" si="1598">A425</f>
        <v>29</v>
      </c>
      <c r="L424" s="5" t="str">
        <f ca="1">INDEX(INDIRECT(zoneFichierTraite),$J424+offsetInitialFichierTraite,1)</f>
        <v>'208</v>
      </c>
      <c r="M424" s="11">
        <f ca="1">INDEX(INDIRECT(zoneFichierTraite),$J424+offsetInitialFichierTraite,9)</f>
        <v>25.18</v>
      </c>
      <c r="N424" s="14">
        <f ca="1">INDEX(INDIRECT(zoneFichierTraite),$J424+offsetInitialFichierTraite,3)</f>
        <v>8050846092419</v>
      </c>
      <c r="O424" s="14"/>
      <c r="P424" s="56">
        <f ca="1">MATCH(N424,INDIRECT(nomFichierEAN13Valmag &amp; "!A:A"),0)</f>
        <v>886</v>
      </c>
      <c r="R424" s="50" t="str">
        <f t="shared" ref="R424:R455" ca="1" si="1599">LEFT(B424,14)</f>
        <v>SHOUGC01-ECSD7</v>
      </c>
      <c r="S424" s="52">
        <f ca="1">MATCH($R424,INDIRECT(nomFichierEAN13ValmagUniq &amp; "!A:A"),0)</f>
        <v>364</v>
      </c>
      <c r="T424" s="49" t="str">
        <f ca="1">IFERROR(INDEX(INDIRECT(zoneFichierEAN13ValmagUniq),S424,2),"")</f>
        <v xml:space="preserve"> </v>
      </c>
      <c r="U424" s="52" t="e">
        <f ca="1">MATCH($R424,INDIRECT(nomFichierEAN13ValmagUniq &amp; "!A" &amp; (S424+1) &amp; ":A" &amp;  (S424+10)),0)</f>
        <v>#N/A</v>
      </c>
      <c r="V424" s="51" t="e">
        <f t="shared" ref="V424:V487" ca="1" si="1600">U424+S424</f>
        <v>#N/A</v>
      </c>
      <c r="W424" s="49" t="str">
        <f ca="1">IFERROR(INDEX(INDIRECT(zoneFichierEAN13ValmagUniq),V424,2),"")</f>
        <v/>
      </c>
      <c r="X424" s="52" t="e">
        <f ca="1">MATCH($R424,INDIRECT(nomFichierEAN13ValmagUniq &amp; "!A" &amp; (V424+1) &amp; ":A" &amp;  (V424+10)),0)</f>
        <v>#N/A</v>
      </c>
      <c r="Y424" s="51" t="e">
        <f t="shared" ref="Y424:Y487" ca="1" si="1601">X424+V424</f>
        <v>#N/A</v>
      </c>
      <c r="Z424" s="49" t="str">
        <f ca="1">IFERROR(INDEX(INDIRECT(zoneFichierEAN13ValmagUniq),Y424,2),"")</f>
        <v/>
      </c>
      <c r="AA424" s="53" t="str">
        <f t="shared" ref="AA424:AA487" ca="1" si="1602">T424 &amp; IF(W424="","", " | " &amp; W424) &amp; IF(Z424="","", " | " &amp;Z424)</f>
        <v xml:space="preserve"> </v>
      </c>
      <c r="AC424" s="55">
        <f ca="1">MATCH(B424,INDIRECT(nomFichierFiltreCatalogue &amp; "!B:B"),0)</f>
        <v>204</v>
      </c>
      <c r="AD424" s="14"/>
    </row>
    <row r="425" spans="1:30" s="20" customFormat="1" ht="15.75" customHeight="1" x14ac:dyDescent="0.25">
      <c r="A425" s="25">
        <f ca="1">INDEX(INDIRECT(zoneFichierTraite),$J424+offsetInitialFichierTraite,2)</f>
        <v>29</v>
      </c>
      <c r="B425" s="57" t="str">
        <f ca="1">IF(ISERROR($P424),msgRefValmagAcreer,IF(INDEX(INDIRECT(zoneFichierEAN13Valmag),$P424,3) = "",msgCodeValmagVide, INDEX(INDIRECT(zoneFichierEAN13Valmag),$P424,3)))</f>
        <v xml:space="preserve"> </v>
      </c>
      <c r="C425" s="54" t="str">
        <f t="shared" ref="C425:C488" ca="1" si="1603">AA424</f>
        <v xml:space="preserve"> </v>
      </c>
      <c r="D425" s="19" t="str">
        <f ca="1">IFERROR(INDEX(INDIRECT(zoneFichierEAN13Valmag),$P424,4),"")</f>
        <v xml:space="preserve"> </v>
      </c>
      <c r="E425" s="58" t="str">
        <f ca="1">IFERROR(INDEX(INDIRECT(zoneFichierFiltreCatalogue),AC424,3),"")</f>
        <v>p038-2-04</v>
      </c>
      <c r="F425" s="19"/>
      <c r="G425" s="18"/>
      <c r="H425" s="32" t="str">
        <f ca="1">IFERROR(INDEX(INDIRECT(zoneFichierFiltreCatalogue),AC424,6),"")</f>
        <v>fall 2019 presentation_/catalogo fall 19.txt</v>
      </c>
      <c r="S425" s="1"/>
      <c r="T425" s="21"/>
      <c r="U425" s="21"/>
      <c r="V425" s="21"/>
      <c r="W425" s="21"/>
      <c r="X425" s="21"/>
      <c r="Y425" s="21"/>
      <c r="Z425" s="21"/>
      <c r="AA425" s="21"/>
      <c r="AB425" s="21"/>
      <c r="AC425" s="21"/>
    </row>
    <row r="426" spans="1:30" ht="39" customHeight="1" thickBot="1" x14ac:dyDescent="0.65">
      <c r="A426" s="9" t="str">
        <f ca="1">INDEX(INDIRECT(zoneFichierTraite),$J426+offsetInitialFichierTraite,6)</f>
        <v>UNICA</v>
      </c>
      <c r="B426" s="5" t="str">
        <f ca="1">INDEX(INDIRECT(zoneFichierTraite),$J426+offsetInitialFichierTraite,4)</f>
        <v>SHOUGC01-ECSD7-624</v>
      </c>
      <c r="C426" s="26" t="str">
        <f ca="1">INDEX(INDIRECT(zoneFichierTraite),$J426+offsetInitialFichierTraite,5)</f>
        <v>BANDOULIÃˆRE AJOUREE COURTE + CLIP EN FAUX CUIR BICOLORE</v>
      </c>
      <c r="D426" s="27" t="str">
        <f ca="1">INDEX(INDIRECT(zoneFichierTraite),$J426+offsetInitialFichierTraite,13)</f>
        <v>biscotto/sabbia</v>
      </c>
      <c r="E426" s="30">
        <f ca="1">INDEX(INDIRECT(zoneFichierTraite),$J426+offsetInitialFichierTraite,7)</f>
        <v>2</v>
      </c>
      <c r="F426" s="28">
        <f ca="1">INDEX(INDIRECT(zoneFichierTraite),$J426+offsetInitialFichierTraite,8)</f>
        <v>12.59</v>
      </c>
      <c r="G426" s="29">
        <f t="shared" ref="G426:G489" ca="1" si="1604">ROUNDUP(F426*3,0)</f>
        <v>38</v>
      </c>
      <c r="H426" s="31" t="str">
        <f ca="1">IF(ISNUMBER(N426),codeEAN13(INT(N426/10)),"")</f>
        <v>8APASOG*ajcecg+</v>
      </c>
      <c r="I426" s="1" t="b">
        <f t="shared" ref="I426:I489" ca="1" si="1605">AND(A429&lt;&gt;0,A427=A429)</f>
        <v>0</v>
      </c>
      <c r="J426" s="15">
        <f t="shared" si="1477"/>
        <v>209</v>
      </c>
      <c r="K426" s="1">
        <f t="shared" ref="K426:K489" ca="1" si="1606">A427</f>
        <v>162</v>
      </c>
      <c r="L426" s="5" t="str">
        <f ca="1">INDEX(INDIRECT(zoneFichierTraite),$J426+offsetInitialFichierTraite,1)</f>
        <v>'209</v>
      </c>
      <c r="M426" s="11">
        <f ca="1">INDEX(INDIRECT(zoneFichierTraite),$J426+offsetInitialFichierTraite,9)</f>
        <v>25.18</v>
      </c>
      <c r="N426" s="14">
        <f ca="1">INDEX(INDIRECT(zoneFichierTraite),$J426+offsetInitialFichierTraite,3)</f>
        <v>8050846092426</v>
      </c>
      <c r="O426" s="14"/>
      <c r="P426" s="56">
        <f ca="1">MATCH(N426,INDIRECT(nomFichierEAN13Valmag &amp; "!A:A"),0)</f>
        <v>887</v>
      </c>
      <c r="R426" s="50" t="str">
        <f t="shared" ref="R426:R457" ca="1" si="1607">LEFT(B426,14)</f>
        <v>SHOUGC01-ECSD7</v>
      </c>
      <c r="S426" s="52">
        <f ca="1">MATCH($R426,INDIRECT(nomFichierEAN13ValmagUniq &amp; "!A:A"),0)</f>
        <v>364</v>
      </c>
      <c r="T426" s="49" t="str">
        <f ca="1">IFERROR(INDEX(INDIRECT(zoneFichierEAN13ValmagUniq),S426,2),"")</f>
        <v xml:space="preserve"> </v>
      </c>
      <c r="U426" s="52" t="e">
        <f ca="1">MATCH($R426,INDIRECT(nomFichierEAN13ValmagUniq &amp; "!A" &amp; (S426+1) &amp; ":A" &amp;  (S426+10)),0)</f>
        <v>#N/A</v>
      </c>
      <c r="V426" s="51" t="e">
        <f t="shared" ref="V426:V489" ca="1" si="1608">U426+S426</f>
        <v>#N/A</v>
      </c>
      <c r="W426" s="49" t="str">
        <f ca="1">IFERROR(INDEX(INDIRECT(zoneFichierEAN13ValmagUniq),V426,2),"")</f>
        <v/>
      </c>
      <c r="X426" s="52" t="e">
        <f ca="1">MATCH($R426,INDIRECT(nomFichierEAN13ValmagUniq &amp; "!A" &amp; (V426+1) &amp; ":A" &amp;  (V426+10)),0)</f>
        <v>#N/A</v>
      </c>
      <c r="Y426" s="51" t="e">
        <f t="shared" ref="Y426:Y489" ca="1" si="1609">X426+V426</f>
        <v>#N/A</v>
      </c>
      <c r="Z426" s="49" t="str">
        <f ca="1">IFERROR(INDEX(INDIRECT(zoneFichierEAN13ValmagUniq),Y426,2),"")</f>
        <v/>
      </c>
      <c r="AA426" s="53" t="str">
        <f t="shared" ref="AA426:AA489" ca="1" si="1610">T426 &amp; IF(W426="","", " | " &amp; W426) &amp; IF(Z426="","", " | " &amp;Z426)</f>
        <v xml:space="preserve"> </v>
      </c>
      <c r="AC426" s="55">
        <f ca="1">MATCH(B426,INDIRECT(nomFichierFiltreCatalogue &amp; "!B:B"),0)</f>
        <v>202</v>
      </c>
      <c r="AD426" s="14"/>
    </row>
    <row r="427" spans="1:30" s="20" customFormat="1" ht="15.75" customHeight="1" x14ac:dyDescent="0.25">
      <c r="A427" s="25">
        <f ca="1">INDEX(INDIRECT(zoneFichierTraite),$J426+offsetInitialFichierTraite,2)</f>
        <v>162</v>
      </c>
      <c r="B427" s="57" t="str">
        <f ca="1">IF(ISERROR($P426),msgRefValmagAcreer,IF(INDEX(INDIRECT(zoneFichierEAN13Valmag),$P426,3) = "",msgCodeValmagVide, INDEX(INDIRECT(zoneFichierEAN13Valmag),$P426,3)))</f>
        <v xml:space="preserve"> </v>
      </c>
      <c r="C427" s="54" t="str">
        <f t="shared" ref="C427:C489" ca="1" si="1611">AA426</f>
        <v xml:space="preserve"> </v>
      </c>
      <c r="D427" s="19" t="str">
        <f ca="1">IFERROR(INDEX(INDIRECT(zoneFichierEAN13Valmag),$P426,4),"")</f>
        <v xml:space="preserve"> </v>
      </c>
      <c r="E427" s="58" t="str">
        <f ca="1">IFERROR(INDEX(INDIRECT(zoneFichierFiltreCatalogue),AC426,3),"")</f>
        <v>p038-2-02</v>
      </c>
      <c r="F427" s="19"/>
      <c r="G427" s="18"/>
      <c r="H427" s="32" t="str">
        <f ca="1">IFERROR(INDEX(INDIRECT(zoneFichierFiltreCatalogue),AC426,6),"")</f>
        <v>fall 2019 presentation_/catalogo fall 19.txt</v>
      </c>
      <c r="S427" s="1"/>
      <c r="T427" s="21"/>
      <c r="U427" s="21"/>
      <c r="V427" s="21"/>
      <c r="W427" s="21"/>
      <c r="X427" s="21"/>
      <c r="Y427" s="21"/>
      <c r="Z427" s="21"/>
      <c r="AA427" s="21"/>
      <c r="AB427" s="21"/>
      <c r="AC427" s="21"/>
    </row>
    <row r="428" spans="1:30" ht="39" customHeight="1" thickBot="1" x14ac:dyDescent="0.65">
      <c r="A428" s="9" t="str">
        <f ca="1">INDEX(INDIRECT(zoneFichierTraite),$J428+offsetInitialFichierTraite,6)</f>
        <v>UNICA</v>
      </c>
      <c r="B428" s="5" t="str">
        <f ca="1">INDEX(INDIRECT(zoneFichierTraite),$J428+offsetInitialFichierTraite,4)</f>
        <v>SHOUGG00-ECSC9-055</v>
      </c>
      <c r="C428" s="26" t="str">
        <f ca="1">INDEX(INDIRECT(zoneFichierTraite),$J428+offsetInitialFichierTraite,5)</f>
        <v>BANDOULIÃˆRE 80/120 + CLIP EN FAUX CUIR IMPRIME ATHLEISURE</v>
      </c>
      <c r="D428" s="27" t="str">
        <f ca="1">INDEX(INDIRECT(zoneFichierTraite),$J428+offsetInitialFichierTraite,13)</f>
        <v>nero</v>
      </c>
      <c r="E428" s="30">
        <f ca="1">INDEX(INDIRECT(zoneFichierTraite),$J428+offsetInitialFichierTraite,7)</f>
        <v>4</v>
      </c>
      <c r="F428" s="28">
        <f ca="1">INDEX(INDIRECT(zoneFichierTraite),$J428+offsetInitialFichierTraite,8)</f>
        <v>15.56</v>
      </c>
      <c r="G428" s="29">
        <f t="shared" ref="G428:G489" ca="1" si="1612">ROUNDUP(F428*3,0)</f>
        <v>47</v>
      </c>
      <c r="H428" s="31" t="str">
        <f ca="1">IF(ISNUMBER(N428),codeEAN13(INT(N428/10)),"")</f>
        <v>8APASOG*ajcdad+</v>
      </c>
      <c r="I428" s="1" t="b">
        <f t="shared" ref="I428:I489" ca="1" si="1613">AND(A431&lt;&gt;0,A429=A431)</f>
        <v>0</v>
      </c>
      <c r="J428" s="15">
        <f t="shared" si="1477"/>
        <v>210</v>
      </c>
      <c r="K428" s="1">
        <f t="shared" ref="K428:K489" ca="1" si="1614">A429</f>
        <v>178</v>
      </c>
      <c r="L428" s="5" t="str">
        <f ca="1">INDEX(INDIRECT(zoneFichierTraite),$J428+offsetInitialFichierTraite,1)</f>
        <v>'210</v>
      </c>
      <c r="M428" s="11">
        <f ca="1">INDEX(INDIRECT(zoneFichierTraite),$J428+offsetInitialFichierTraite,9)</f>
        <v>62.24</v>
      </c>
      <c r="N428" s="14">
        <f ca="1">INDEX(INDIRECT(zoneFichierTraite),$J428+offsetInitialFichierTraite,3)</f>
        <v>8050846092303</v>
      </c>
      <c r="O428" s="14"/>
      <c r="P428" s="56">
        <f ca="1">MATCH(N428,INDIRECT(nomFichierEAN13Valmag &amp; "!A:A"),0)</f>
        <v>876</v>
      </c>
      <c r="R428" s="50" t="str">
        <f t="shared" ref="R428:R459" ca="1" si="1615">LEFT(B428,14)</f>
        <v>SHOUGG00-ECSC9</v>
      </c>
      <c r="S428" s="52">
        <f ca="1">MATCH($R428,INDIRECT(nomFichierEAN13ValmagUniq &amp; "!A:A"),0)</f>
        <v>365</v>
      </c>
      <c r="T428" s="49" t="str">
        <f ca="1">IFERROR(INDEX(INDIRECT(zoneFichierEAN13ValmagUniq),S428,2),"")</f>
        <v xml:space="preserve"> </v>
      </c>
      <c r="U428" s="52" t="e">
        <f ca="1">MATCH($R428,INDIRECT(nomFichierEAN13ValmagUniq &amp; "!A" &amp; (S428+1) &amp; ":A" &amp;  (S428+10)),0)</f>
        <v>#N/A</v>
      </c>
      <c r="V428" s="51" t="e">
        <f t="shared" ref="V428:V489" ca="1" si="1616">U428+S428</f>
        <v>#N/A</v>
      </c>
      <c r="W428" s="49" t="str">
        <f ca="1">IFERROR(INDEX(INDIRECT(zoneFichierEAN13ValmagUniq),V428,2),"")</f>
        <v/>
      </c>
      <c r="X428" s="52" t="e">
        <f ca="1">MATCH($R428,INDIRECT(nomFichierEAN13ValmagUniq &amp; "!A" &amp; (V428+1) &amp; ":A" &amp;  (V428+10)),0)</f>
        <v>#N/A</v>
      </c>
      <c r="Y428" s="51" t="e">
        <f t="shared" ref="Y428:Y489" ca="1" si="1617">X428+V428</f>
        <v>#N/A</v>
      </c>
      <c r="Z428" s="49" t="str">
        <f ca="1">IFERROR(INDEX(INDIRECT(zoneFichierEAN13ValmagUniq),Y428,2),"")</f>
        <v/>
      </c>
      <c r="AA428" s="53" t="str">
        <f t="shared" ref="AA428:AA489" ca="1" si="1618">T428 &amp; IF(W428="","", " | " &amp; W428) &amp; IF(Z428="","", " | " &amp;Z428)</f>
        <v xml:space="preserve"> </v>
      </c>
      <c r="AC428" s="55">
        <f ca="1">MATCH(B428,INDIRECT(nomFichierFiltreCatalogue &amp; "!B:B"),0)</f>
        <v>205</v>
      </c>
      <c r="AD428" s="14"/>
    </row>
    <row r="429" spans="1:30" s="20" customFormat="1" ht="15.75" customHeight="1" x14ac:dyDescent="0.25">
      <c r="A429" s="25">
        <f ca="1">INDEX(INDIRECT(zoneFichierTraite),$J428+offsetInitialFichierTraite,2)</f>
        <v>178</v>
      </c>
      <c r="B429" s="57" t="str">
        <f ca="1">IF(ISERROR($P428),msgRefValmagAcreer,IF(INDEX(INDIRECT(zoneFichierEAN13Valmag),$P428,3) = "",msgCodeValmagVide, INDEX(INDIRECT(zoneFichierEAN13Valmag),$P428,3)))</f>
        <v xml:space="preserve"> </v>
      </c>
      <c r="C429" s="54" t="str">
        <f t="shared" ref="C429:C489" ca="1" si="1619">AA428</f>
        <v xml:space="preserve"> </v>
      </c>
      <c r="D429" s="19" t="str">
        <f ca="1">IFERROR(INDEX(INDIRECT(zoneFichierEAN13Valmag),$P428,4),"")</f>
        <v xml:space="preserve"> </v>
      </c>
      <c r="E429" s="58" t="str">
        <f ca="1">IFERROR(INDEX(INDIRECT(zoneFichierFiltreCatalogue),AC428,3),"")</f>
        <v>p039-1-01</v>
      </c>
      <c r="F429" s="19"/>
      <c r="G429" s="18"/>
      <c r="H429" s="32" t="str">
        <f ca="1">IFERROR(INDEX(INDIRECT(zoneFichierFiltreCatalogue),AC428,6),"")</f>
        <v>fall 2019 presentation_/catalogo fall 19.txt</v>
      </c>
      <c r="S429" s="1"/>
      <c r="T429" s="21"/>
      <c r="U429" s="21"/>
      <c r="V429" s="21"/>
      <c r="W429" s="21"/>
      <c r="X429" s="21"/>
      <c r="Y429" s="21"/>
      <c r="Z429" s="21"/>
      <c r="AA429" s="21"/>
      <c r="AB429" s="21"/>
      <c r="AC429" s="21"/>
    </row>
    <row r="430" spans="1:30" ht="39" customHeight="1" thickBot="1" x14ac:dyDescent="0.65">
      <c r="A430" s="9" t="str">
        <f ca="1">INDEX(INDIRECT(zoneFichierTraite),$J430+offsetInitialFichierTraite,6)</f>
        <v>UNICA</v>
      </c>
      <c r="B430" s="5" t="str">
        <f ca="1">INDEX(INDIRECT(zoneFichierTraite),$J430+offsetInitialFichierTraite,4)</f>
        <v>SHOUGG00-ECSC9-137</v>
      </c>
      <c r="C430" s="26" t="str">
        <f ca="1">INDEX(INDIRECT(zoneFichierTraite),$J430+offsetInitialFichierTraite,5)</f>
        <v>BANDOULIÃˆRE 80/120 + CLIP EN FAUX CUIR IMPRIME ATHLEISURE</v>
      </c>
      <c r="D430" s="27" t="str">
        <f ca="1">INDEX(INDIRECT(zoneFichierTraite),$J430+offsetInitialFichierTraite,13)</f>
        <v>bluette</v>
      </c>
      <c r="E430" s="30">
        <f ca="1">INDEX(INDIRECT(zoneFichierTraite),$J430+offsetInitialFichierTraite,7)</f>
        <v>2</v>
      </c>
      <c r="F430" s="28">
        <f ca="1">INDEX(INDIRECT(zoneFichierTraite),$J430+offsetInitialFichierTraite,8)</f>
        <v>15.56</v>
      </c>
      <c r="G430" s="29">
        <f t="shared" ref="G430:G489" ca="1" si="1620">ROUNDUP(F430*3,0)</f>
        <v>47</v>
      </c>
      <c r="H430" s="31" t="str">
        <f ca="1">IF(ISNUMBER(N430),codeEAN13(INT(N430/10)),"")</f>
        <v>8APASOG*ajccjh+</v>
      </c>
      <c r="I430" s="1" t="b">
        <f t="shared" ref="I430:I489" ca="1" si="1621">AND(A433&lt;&gt;0,A431=A433)</f>
        <v>0</v>
      </c>
      <c r="J430" s="15">
        <f t="shared" si="1477"/>
        <v>211</v>
      </c>
      <c r="K430" s="1">
        <f t="shared" ref="K430:K489" ca="1" si="1622">A431</f>
        <v>93</v>
      </c>
      <c r="L430" s="5" t="str">
        <f ca="1">INDEX(INDIRECT(zoneFichierTraite),$J430+offsetInitialFichierTraite,1)</f>
        <v>'211</v>
      </c>
      <c r="M430" s="11">
        <f ca="1">INDEX(INDIRECT(zoneFichierTraite),$J430+offsetInitialFichierTraite,9)</f>
        <v>31.12</v>
      </c>
      <c r="N430" s="14">
        <f ca="1">INDEX(INDIRECT(zoneFichierTraite),$J430+offsetInitialFichierTraite,3)</f>
        <v>8050846092297</v>
      </c>
      <c r="O430" s="14"/>
      <c r="P430" s="56">
        <f ca="1">MATCH(N430,INDIRECT(nomFichierEAN13Valmag &amp; "!A:A"),0)</f>
        <v>875</v>
      </c>
      <c r="R430" s="50" t="str">
        <f t="shared" ref="R430:R461" ca="1" si="1623">LEFT(B430,14)</f>
        <v>SHOUGG00-ECSC9</v>
      </c>
      <c r="S430" s="52">
        <f ca="1">MATCH($R430,INDIRECT(nomFichierEAN13ValmagUniq &amp; "!A:A"),0)</f>
        <v>365</v>
      </c>
      <c r="T430" s="49" t="str">
        <f ca="1">IFERROR(INDEX(INDIRECT(zoneFichierEAN13ValmagUniq),S430,2),"")</f>
        <v xml:space="preserve"> </v>
      </c>
      <c r="U430" s="52" t="e">
        <f ca="1">MATCH($R430,INDIRECT(nomFichierEAN13ValmagUniq &amp; "!A" &amp; (S430+1) &amp; ":A" &amp;  (S430+10)),0)</f>
        <v>#N/A</v>
      </c>
      <c r="V430" s="51" t="e">
        <f t="shared" ref="V430:V489" ca="1" si="1624">U430+S430</f>
        <v>#N/A</v>
      </c>
      <c r="W430" s="49" t="str">
        <f ca="1">IFERROR(INDEX(INDIRECT(zoneFichierEAN13ValmagUniq),V430,2),"")</f>
        <v/>
      </c>
      <c r="X430" s="52" t="e">
        <f ca="1">MATCH($R430,INDIRECT(nomFichierEAN13ValmagUniq &amp; "!A" &amp; (V430+1) &amp; ":A" &amp;  (V430+10)),0)</f>
        <v>#N/A</v>
      </c>
      <c r="Y430" s="51" t="e">
        <f t="shared" ref="Y430:Y489" ca="1" si="1625">X430+V430</f>
        <v>#N/A</v>
      </c>
      <c r="Z430" s="49" t="str">
        <f ca="1">IFERROR(INDEX(INDIRECT(zoneFichierEAN13ValmagUniq),Y430,2),"")</f>
        <v/>
      </c>
      <c r="AA430" s="53" t="str">
        <f t="shared" ref="AA430:AA489" ca="1" si="1626">T430 &amp; IF(W430="","", " | " &amp; W430) &amp; IF(Z430="","", " | " &amp;Z430)</f>
        <v xml:space="preserve"> </v>
      </c>
      <c r="AC430" s="55">
        <f ca="1">MATCH(B430,INDIRECT(nomFichierFiltreCatalogue &amp; "!B:B"),0)</f>
        <v>206</v>
      </c>
      <c r="AD430" s="14"/>
    </row>
    <row r="431" spans="1:30" s="20" customFormat="1" ht="15.75" customHeight="1" x14ac:dyDescent="0.25">
      <c r="A431" s="25">
        <f ca="1">INDEX(INDIRECT(zoneFichierTraite),$J430+offsetInitialFichierTraite,2)</f>
        <v>93</v>
      </c>
      <c r="B431" s="57" t="str">
        <f ca="1">IF(ISERROR($P430),msgRefValmagAcreer,IF(INDEX(INDIRECT(zoneFichierEAN13Valmag),$P430,3) = "",msgCodeValmagVide, INDEX(INDIRECT(zoneFichierEAN13Valmag),$P430,3)))</f>
        <v xml:space="preserve"> </v>
      </c>
      <c r="C431" s="54" t="str">
        <f t="shared" ref="C431:C489" ca="1" si="1627">AA430</f>
        <v xml:space="preserve"> </v>
      </c>
      <c r="D431" s="19" t="str">
        <f ca="1">IFERROR(INDEX(INDIRECT(zoneFichierEAN13Valmag),$P430,4),"")</f>
        <v xml:space="preserve"> </v>
      </c>
      <c r="E431" s="58" t="str">
        <f ca="1">IFERROR(INDEX(INDIRECT(zoneFichierFiltreCatalogue),AC430,3),"")</f>
        <v>p039-1-02</v>
      </c>
      <c r="F431" s="19"/>
      <c r="G431" s="18"/>
      <c r="H431" s="32" t="str">
        <f ca="1">IFERROR(INDEX(INDIRECT(zoneFichierFiltreCatalogue),AC430,6),"")</f>
        <v>fall 2019 presentation_/catalogo fall 19.txt</v>
      </c>
      <c r="S431" s="1"/>
      <c r="T431" s="21"/>
      <c r="U431" s="21"/>
      <c r="V431" s="21"/>
      <c r="W431" s="21"/>
      <c r="X431" s="21"/>
      <c r="Y431" s="21"/>
      <c r="Z431" s="21"/>
      <c r="AA431" s="21"/>
      <c r="AB431" s="21"/>
      <c r="AC431" s="21"/>
    </row>
    <row r="432" spans="1:30" ht="39" customHeight="1" thickBot="1" x14ac:dyDescent="0.65">
      <c r="A432" s="9" t="str">
        <f ca="1">INDEX(INDIRECT(zoneFichierTraite),$J432+offsetInitialFichierTraite,6)</f>
        <v>UNICA</v>
      </c>
      <c r="B432" s="5" t="str">
        <f ca="1">INDEX(INDIRECT(zoneFichierTraite),$J432+offsetInitialFichierTraite,4)</f>
        <v>SHOUGG00-ECSD6-615</v>
      </c>
      <c r="C432" s="26" t="str">
        <f ca="1">INDEX(INDIRECT(zoneFichierTraite),$J432+offsetInitialFichierTraite,5)</f>
        <v>BANDOULIÃˆRE 80/120 + CLIP EN FAUX CUIR IMPRIME DIANTHUS</v>
      </c>
      <c r="D432" s="27" t="str">
        <f ca="1">INDEX(INDIRECT(zoneFichierTraite),$J432+offsetInitialFichierTraite,13)</f>
        <v>military</v>
      </c>
      <c r="E432" s="30">
        <f ca="1">INDEX(INDIRECT(zoneFichierTraite),$J432+offsetInitialFichierTraite,7)</f>
        <v>2</v>
      </c>
      <c r="F432" s="28">
        <f ca="1">INDEX(INDIRECT(zoneFichierTraite),$J432+offsetInitialFichierTraite,8)</f>
        <v>13.33</v>
      </c>
      <c r="G432" s="29">
        <f t="shared" ref="G432:G489" ca="1" si="1628">ROUNDUP(F432*3,0)</f>
        <v>40</v>
      </c>
      <c r="H432" s="31" t="str">
        <f ca="1">IF(ISNUMBER(N432),codeEAN13(INT(N432/10)),"")</f>
        <v>8APASOG*ajccgg+</v>
      </c>
      <c r="I432" s="1" t="b">
        <f t="shared" ref="I432:I489" ca="1" si="1629">AND(A435&lt;&gt;0,A433=A435)</f>
        <v>0</v>
      </c>
      <c r="J432" s="15">
        <f t="shared" si="1477"/>
        <v>212</v>
      </c>
      <c r="K432" s="1">
        <f t="shared" ref="K432:K489" ca="1" si="1630">A433</f>
        <v>136</v>
      </c>
      <c r="L432" s="5" t="str">
        <f ca="1">INDEX(INDIRECT(zoneFichierTraite),$J432+offsetInitialFichierTraite,1)</f>
        <v>'212</v>
      </c>
      <c r="M432" s="11">
        <f ca="1">INDEX(INDIRECT(zoneFichierTraite),$J432+offsetInitialFichierTraite,9)</f>
        <v>26.66</v>
      </c>
      <c r="N432" s="14">
        <f ca="1">INDEX(INDIRECT(zoneFichierTraite),$J432+offsetInitialFichierTraite,3)</f>
        <v>8050846092266</v>
      </c>
      <c r="O432" s="14"/>
      <c r="P432" s="56">
        <f ca="1">MATCH(N432,INDIRECT(nomFichierEAN13Valmag &amp; "!A:A"),0)</f>
        <v>872</v>
      </c>
      <c r="R432" s="50" t="str">
        <f t="shared" ref="R432:R463" ca="1" si="1631">LEFT(B432,14)</f>
        <v>SHOUGG00-ECSD6</v>
      </c>
      <c r="S432" s="52">
        <f ca="1">MATCH($R432,INDIRECT(nomFichierEAN13ValmagUniq &amp; "!A:A"),0)</f>
        <v>366</v>
      </c>
      <c r="T432" s="49" t="str">
        <f ca="1">IFERROR(INDEX(INDIRECT(zoneFichierEAN13ValmagUniq),S432,2),"")</f>
        <v xml:space="preserve"> </v>
      </c>
      <c r="U432" s="52" t="e">
        <f ca="1">MATCH($R432,INDIRECT(nomFichierEAN13ValmagUniq &amp; "!A" &amp; (S432+1) &amp; ":A" &amp;  (S432+10)),0)</f>
        <v>#N/A</v>
      </c>
      <c r="V432" s="51" t="e">
        <f t="shared" ref="V432:V489" ca="1" si="1632">U432+S432</f>
        <v>#N/A</v>
      </c>
      <c r="W432" s="49" t="str">
        <f ca="1">IFERROR(INDEX(INDIRECT(zoneFichierEAN13ValmagUniq),V432,2),"")</f>
        <v/>
      </c>
      <c r="X432" s="52" t="e">
        <f ca="1">MATCH($R432,INDIRECT(nomFichierEAN13ValmagUniq &amp; "!A" &amp; (V432+1) &amp; ":A" &amp;  (V432+10)),0)</f>
        <v>#N/A</v>
      </c>
      <c r="Y432" s="51" t="e">
        <f t="shared" ref="Y432:Y489" ca="1" si="1633">X432+V432</f>
        <v>#N/A</v>
      </c>
      <c r="Z432" s="49" t="str">
        <f ca="1">IFERROR(INDEX(INDIRECT(zoneFichierEAN13ValmagUniq),Y432,2),"")</f>
        <v/>
      </c>
      <c r="AA432" s="53" t="str">
        <f t="shared" ref="AA432:AA489" ca="1" si="1634">T432 &amp; IF(W432="","", " | " &amp; W432) &amp; IF(Z432="","", " | " &amp;Z432)</f>
        <v xml:space="preserve"> </v>
      </c>
      <c r="AC432" s="55">
        <f ca="1">MATCH(B432,INDIRECT(nomFichierFiltreCatalogue &amp; "!B:B"),0)</f>
        <v>209</v>
      </c>
      <c r="AD432" s="14"/>
    </row>
    <row r="433" spans="1:30" s="20" customFormat="1" ht="15.75" customHeight="1" x14ac:dyDescent="0.25">
      <c r="A433" s="25">
        <f ca="1">INDEX(INDIRECT(zoneFichierTraite),$J432+offsetInitialFichierTraite,2)</f>
        <v>136</v>
      </c>
      <c r="B433" s="57" t="str">
        <f ca="1">IF(ISERROR($P432),msgRefValmagAcreer,IF(INDEX(INDIRECT(zoneFichierEAN13Valmag),$P432,3) = "",msgCodeValmagVide, INDEX(INDIRECT(zoneFichierEAN13Valmag),$P432,3)))</f>
        <v xml:space="preserve"> </v>
      </c>
      <c r="C433" s="54" t="str">
        <f t="shared" ref="C433:C489" ca="1" si="1635">AA432</f>
        <v xml:space="preserve"> </v>
      </c>
      <c r="D433" s="19" t="str">
        <f ca="1">IFERROR(INDEX(INDIRECT(zoneFichierEAN13Valmag),$P432,4),"")</f>
        <v xml:space="preserve"> </v>
      </c>
      <c r="E433" s="58" t="str">
        <f ca="1">IFERROR(INDEX(INDIRECT(zoneFichierFiltreCatalogue),AC432,3),"")</f>
        <v>p040-1-01</v>
      </c>
      <c r="F433" s="19"/>
      <c r="G433" s="18"/>
      <c r="H433" s="32" t="str">
        <f ca="1">IFERROR(INDEX(INDIRECT(zoneFichierFiltreCatalogue),AC432,6),"")</f>
        <v>fall 2019 presentation_/catalogo fall 19.txt</v>
      </c>
      <c r="S433" s="1"/>
      <c r="T433" s="21"/>
      <c r="U433" s="21"/>
      <c r="V433" s="21"/>
      <c r="W433" s="21"/>
      <c r="X433" s="21"/>
      <c r="Y433" s="21"/>
      <c r="Z433" s="21"/>
      <c r="AA433" s="21"/>
      <c r="AB433" s="21"/>
      <c r="AC433" s="21"/>
    </row>
    <row r="434" spans="1:30" ht="39" customHeight="1" thickBot="1" x14ac:dyDescent="0.65">
      <c r="A434" s="9" t="str">
        <f ca="1">INDEX(INDIRECT(zoneFichierTraite),$J434+offsetInitialFichierTraite,6)</f>
        <v>UNICA</v>
      </c>
      <c r="B434" s="5" t="str">
        <f ca="1">INDEX(INDIRECT(zoneFichierTraite),$J434+offsetInitialFichierTraite,4)</f>
        <v>SHOUGG00-TESBM-227</v>
      </c>
      <c r="C434" s="26" t="str">
        <f ca="1">INDEX(INDIRECT(zoneFichierTraite),$J434+offsetInitialFichierTraite,5)</f>
        <v>BANDOULIÃˆRE 80/120 + CLIP EN TISSU IMPRIME GEOMETRIC LILY</v>
      </c>
      <c r="D434" s="27" t="str">
        <f ca="1">INDEX(INDIRECT(zoneFichierTraite),$J434+offsetInitialFichierTraite,13)</f>
        <v>bianco/nero</v>
      </c>
      <c r="E434" s="30">
        <f ca="1">INDEX(INDIRECT(zoneFichierTraite),$J434+offsetInitialFichierTraite,7)</f>
        <v>2</v>
      </c>
      <c r="F434" s="28">
        <f ca="1">INDEX(INDIRECT(zoneFichierTraite),$J434+offsetInitialFichierTraite,8)</f>
        <v>15.56</v>
      </c>
      <c r="G434" s="29">
        <f t="shared" ref="G434:G489" ca="1" si="1636">ROUNDUP(F434*3,0)</f>
        <v>47</v>
      </c>
      <c r="H434" s="31" t="str">
        <f ca="1">IF(ISNUMBER(N434),codeEAN13(INT(N434/10)),"")</f>
        <v>8APASOG*ajccec+</v>
      </c>
      <c r="I434" s="1" t="b">
        <f t="shared" ref="I434:I489" ca="1" si="1637">AND(A437&lt;&gt;0,A435=A437)</f>
        <v>0</v>
      </c>
      <c r="J434" s="15">
        <f t="shared" si="1477"/>
        <v>213</v>
      </c>
      <c r="K434" s="1">
        <f t="shared" ref="K434:K489" ca="1" si="1638">A435</f>
        <v>74</v>
      </c>
      <c r="L434" s="5" t="str">
        <f ca="1">INDEX(INDIRECT(zoneFichierTraite),$J434+offsetInitialFichierTraite,1)</f>
        <v>'213</v>
      </c>
      <c r="M434" s="11">
        <f ca="1">INDEX(INDIRECT(zoneFichierTraite),$J434+offsetInitialFichierTraite,9)</f>
        <v>31.12</v>
      </c>
      <c r="N434" s="14">
        <f ca="1">INDEX(INDIRECT(zoneFichierTraite),$J434+offsetInitialFichierTraite,3)</f>
        <v>8050846092242</v>
      </c>
      <c r="O434" s="14"/>
      <c r="P434" s="56">
        <f ca="1">MATCH(N434,INDIRECT(nomFichierEAN13Valmag &amp; "!A:A"),0)</f>
        <v>870</v>
      </c>
      <c r="R434" s="50" t="str">
        <f t="shared" ref="R434:R465" ca="1" si="1639">LEFT(B434,14)</f>
        <v>SHOUGG00-TESBM</v>
      </c>
      <c r="S434" s="52">
        <f ca="1">MATCH($R434,INDIRECT(nomFichierEAN13ValmagUniq &amp; "!A:A"),0)</f>
        <v>369</v>
      </c>
      <c r="T434" s="49" t="str">
        <f ca="1">IFERROR(INDEX(INDIRECT(zoneFichierEAN13ValmagUniq),S434,2),"")</f>
        <v xml:space="preserve"> </v>
      </c>
      <c r="U434" s="52" t="e">
        <f ca="1">MATCH($R434,INDIRECT(nomFichierEAN13ValmagUniq &amp; "!A" &amp; (S434+1) &amp; ":A" &amp;  (S434+10)),0)</f>
        <v>#N/A</v>
      </c>
      <c r="V434" s="51" t="e">
        <f t="shared" ref="V434:V489" ca="1" si="1640">U434+S434</f>
        <v>#N/A</v>
      </c>
      <c r="W434" s="49" t="str">
        <f ca="1">IFERROR(INDEX(INDIRECT(zoneFichierEAN13ValmagUniq),V434,2),"")</f>
        <v/>
      </c>
      <c r="X434" s="52" t="e">
        <f ca="1">MATCH($R434,INDIRECT(nomFichierEAN13ValmagUniq &amp; "!A" &amp; (V434+1) &amp; ":A" &amp;  (V434+10)),0)</f>
        <v>#N/A</v>
      </c>
      <c r="Y434" s="51" t="e">
        <f t="shared" ref="Y434:Y489" ca="1" si="1641">X434+V434</f>
        <v>#N/A</v>
      </c>
      <c r="Z434" s="49" t="str">
        <f ca="1">IFERROR(INDEX(INDIRECT(zoneFichierEAN13ValmagUniq),Y434,2),"")</f>
        <v/>
      </c>
      <c r="AA434" s="53" t="str">
        <f t="shared" ref="AA434:AA489" ca="1" si="1642">T434 &amp; IF(W434="","", " | " &amp; W434) &amp; IF(Z434="","", " | " &amp;Z434)</f>
        <v xml:space="preserve"> </v>
      </c>
      <c r="AC434" s="55">
        <f ca="1">MATCH(B434,INDIRECT(nomFichierFiltreCatalogue &amp; "!B:B"),0)</f>
        <v>211</v>
      </c>
      <c r="AD434" s="14"/>
    </row>
    <row r="435" spans="1:30" s="20" customFormat="1" ht="15.75" customHeight="1" x14ac:dyDescent="0.25">
      <c r="A435" s="25">
        <f ca="1">INDEX(INDIRECT(zoneFichierTraite),$J434+offsetInitialFichierTraite,2)</f>
        <v>74</v>
      </c>
      <c r="B435" s="57" t="str">
        <f ca="1">IF(ISERROR($P434),msgRefValmagAcreer,IF(INDEX(INDIRECT(zoneFichierEAN13Valmag),$P434,3) = "",msgCodeValmagVide, INDEX(INDIRECT(zoneFichierEAN13Valmag),$P434,3)))</f>
        <v xml:space="preserve"> </v>
      </c>
      <c r="C435" s="54" t="str">
        <f t="shared" ref="C435:C489" ca="1" si="1643">AA434</f>
        <v xml:space="preserve"> </v>
      </c>
      <c r="D435" s="19" t="str">
        <f ca="1">IFERROR(INDEX(INDIRECT(zoneFichierEAN13Valmag),$P434,4),"")</f>
        <v xml:space="preserve"> </v>
      </c>
      <c r="E435" s="58" t="str">
        <f ca="1">IFERROR(INDEX(INDIRECT(zoneFichierFiltreCatalogue),AC434,3),"")</f>
        <v>p041-1-01</v>
      </c>
      <c r="F435" s="19"/>
      <c r="G435" s="18"/>
      <c r="H435" s="32" t="str">
        <f ca="1">IFERROR(INDEX(INDIRECT(zoneFichierFiltreCatalogue),AC434,6),"")</f>
        <v>fall 2019 presentation_/catalogo fall 19.txt</v>
      </c>
      <c r="S435" s="1"/>
      <c r="T435" s="21"/>
      <c r="U435" s="21"/>
      <c r="V435" s="21"/>
      <c r="W435" s="21"/>
      <c r="X435" s="21"/>
      <c r="Y435" s="21"/>
      <c r="Z435" s="21"/>
      <c r="AA435" s="21"/>
      <c r="AB435" s="21"/>
      <c r="AC435" s="21"/>
    </row>
    <row r="436" spans="1:30" ht="39" customHeight="1" thickBot="1" x14ac:dyDescent="0.65">
      <c r="A436" s="9" t="str">
        <f ca="1">INDEX(INDIRECT(zoneFichierTraite),$J436+offsetInitialFichierTraite,6)</f>
        <v>UNICA</v>
      </c>
      <c r="B436" s="5" t="str">
        <f ca="1">INDEX(INDIRECT(zoneFichierTraite),$J436+offsetInitialFichierTraite,4)</f>
        <v>SHOUU000-TESBM-227</v>
      </c>
      <c r="C436" s="26" t="str">
        <f ca="1">INDEX(INDIRECT(zoneFichierTraite),$J436+offsetInitialFichierTraite,5)</f>
        <v>BANDOULIÃˆRE FOULARD EN TISSU IMPRIME GEOMETRIC LILY</v>
      </c>
      <c r="D436" s="27" t="str">
        <f ca="1">INDEX(INDIRECT(zoneFichierTraite),$J436+offsetInitialFichierTraite,13)</f>
        <v>bianco/nero</v>
      </c>
      <c r="E436" s="30">
        <f ca="1">INDEX(INDIRECT(zoneFichierTraite),$J436+offsetInitialFichierTraite,7)</f>
        <v>4</v>
      </c>
      <c r="F436" s="28">
        <f ca="1">INDEX(INDIRECT(zoneFichierTraite),$J436+offsetInitialFichierTraite,8)</f>
        <v>7.78</v>
      </c>
      <c r="G436" s="29">
        <f t="shared" ref="G436:G489" ca="1" si="1644">ROUNDUP(F436*3,0)</f>
        <v>24</v>
      </c>
      <c r="H436" s="31" t="str">
        <f ca="1">IF(ISNUMBER(N436),codeEAN13(INT(N436/10)),"")</f>
        <v>8APASOG*ajcehb+</v>
      </c>
      <c r="I436" s="1" t="b">
        <f t="shared" ref="I436:I489" ca="1" si="1645">AND(A439&lt;&gt;0,A437=A439)</f>
        <v>0</v>
      </c>
      <c r="J436" s="15">
        <f t="shared" si="1477"/>
        <v>214</v>
      </c>
      <c r="K436" s="1">
        <f t="shared" ref="K436:K489" ca="1" si="1646">A437</f>
        <v>202</v>
      </c>
      <c r="L436" s="5" t="str">
        <f ca="1">INDEX(INDIRECT(zoneFichierTraite),$J436+offsetInitialFichierTraite,1)</f>
        <v>'214</v>
      </c>
      <c r="M436" s="11">
        <f ca="1">INDEX(INDIRECT(zoneFichierTraite),$J436+offsetInitialFichierTraite,9)</f>
        <v>31.12</v>
      </c>
      <c r="N436" s="14">
        <f ca="1">INDEX(INDIRECT(zoneFichierTraite),$J436+offsetInitialFichierTraite,3)</f>
        <v>8050846092471</v>
      </c>
      <c r="O436" s="14"/>
      <c r="P436" s="56">
        <f ca="1">MATCH(N436,INDIRECT(nomFichierEAN13Valmag &amp; "!A:A"),0)</f>
        <v>888</v>
      </c>
      <c r="R436" s="50" t="str">
        <f t="shared" ref="R436:R467" ca="1" si="1647">LEFT(B436,14)</f>
        <v>SHOUU000-TESBM</v>
      </c>
      <c r="S436" s="52">
        <f ca="1">MATCH($R436,INDIRECT(nomFichierEAN13ValmagUniq &amp; "!A:A"),0)</f>
        <v>372</v>
      </c>
      <c r="T436" s="49" t="str">
        <f ca="1">IFERROR(INDEX(INDIRECT(zoneFichierEAN13ValmagUniq),S436,2),"")</f>
        <v xml:space="preserve"> </v>
      </c>
      <c r="U436" s="52" t="e">
        <f ca="1">MATCH($R436,INDIRECT(nomFichierEAN13ValmagUniq &amp; "!A" &amp; (S436+1) &amp; ":A" &amp;  (S436+10)),0)</f>
        <v>#N/A</v>
      </c>
      <c r="V436" s="51" t="e">
        <f t="shared" ref="V436:V489" ca="1" si="1648">U436+S436</f>
        <v>#N/A</v>
      </c>
      <c r="W436" s="49" t="str">
        <f ca="1">IFERROR(INDEX(INDIRECT(zoneFichierEAN13ValmagUniq),V436,2),"")</f>
        <v/>
      </c>
      <c r="X436" s="52" t="e">
        <f ca="1">MATCH($R436,INDIRECT(nomFichierEAN13ValmagUniq &amp; "!A" &amp; (V436+1) &amp; ":A" &amp;  (V436+10)),0)</f>
        <v>#N/A</v>
      </c>
      <c r="Y436" s="51" t="e">
        <f t="shared" ref="Y436:Y489" ca="1" si="1649">X436+V436</f>
        <v>#N/A</v>
      </c>
      <c r="Z436" s="49" t="str">
        <f ca="1">IFERROR(INDEX(INDIRECT(zoneFichierEAN13ValmagUniq),Y436,2),"")</f>
        <v/>
      </c>
      <c r="AA436" s="53" t="str">
        <f t="shared" ref="AA436:AA489" ca="1" si="1650">T436 &amp; IF(W436="","", " | " &amp; W436) &amp; IF(Z436="","", " | " &amp;Z436)</f>
        <v xml:space="preserve"> </v>
      </c>
      <c r="AC436" s="55">
        <f ca="1">MATCH(B436,INDIRECT(nomFichierFiltreCatalogue &amp; "!B:B"),0)</f>
        <v>212</v>
      </c>
      <c r="AD436" s="14"/>
    </row>
    <row r="437" spans="1:30" s="20" customFormat="1" ht="15.75" customHeight="1" x14ac:dyDescent="0.25">
      <c r="A437" s="25">
        <f ca="1">INDEX(INDIRECT(zoneFichierTraite),$J436+offsetInitialFichierTraite,2)</f>
        <v>202</v>
      </c>
      <c r="B437" s="57" t="str">
        <f ca="1">IF(ISERROR($P436),msgRefValmagAcreer,IF(INDEX(INDIRECT(zoneFichierEAN13Valmag),$P436,3) = "",msgCodeValmagVide, INDEX(INDIRECT(zoneFichierEAN13Valmag),$P436,3)))</f>
        <v xml:space="preserve"> </v>
      </c>
      <c r="C437" s="54" t="str">
        <f t="shared" ref="C437:C489" ca="1" si="1651">AA436</f>
        <v xml:space="preserve"> </v>
      </c>
      <c r="D437" s="19" t="str">
        <f ca="1">IFERROR(INDEX(INDIRECT(zoneFichierEAN13Valmag),$P436,4),"")</f>
        <v xml:space="preserve"> </v>
      </c>
      <c r="E437" s="58" t="str">
        <f ca="1">IFERROR(INDEX(INDIRECT(zoneFichierFiltreCatalogue),AC436,3),"")</f>
        <v>p041-2-01</v>
      </c>
      <c r="F437" s="19"/>
      <c r="G437" s="18"/>
      <c r="H437" s="32" t="str">
        <f ca="1">IFERROR(INDEX(INDIRECT(zoneFichierFiltreCatalogue),AC436,6),"")</f>
        <v>fall 2019 presentation_/catalogo fall 19.txt</v>
      </c>
      <c r="S437" s="1"/>
      <c r="T437" s="21"/>
      <c r="U437" s="21"/>
      <c r="V437" s="21"/>
      <c r="W437" s="21"/>
      <c r="X437" s="21"/>
      <c r="Y437" s="21"/>
      <c r="Z437" s="21"/>
      <c r="AA437" s="21"/>
      <c r="AB437" s="21"/>
      <c r="AC437" s="21"/>
    </row>
    <row r="438" spans="1:30" ht="39" customHeight="1" thickBot="1" x14ac:dyDescent="0.65">
      <c r="A438" s="9" t="str">
        <f ca="1">INDEX(INDIRECT(zoneFichierTraite),$J438+offsetInitialFichierTraite,6)</f>
        <v>UNICA</v>
      </c>
      <c r="B438" s="5" t="str">
        <f ca="1">INDEX(INDIRECT(zoneFichierTraite),$J438+offsetInitialFichierTraite,4)</f>
        <v>SHOUX001-ECS03-615</v>
      </c>
      <c r="C438" s="26" t="str">
        <f ca="1">INDEX(INDIRECT(zoneFichierTraite),$J438+offsetInitialFichierTraite,5)</f>
        <v>BANDOULIÃˆRE EXTRASLIM 110 + CLIP EN FAUX CUIR SUÃˆDE</v>
      </c>
      <c r="D438" s="27" t="str">
        <f ca="1">INDEX(INDIRECT(zoneFichierTraite),$J438+offsetInitialFichierTraite,13)</f>
        <v>military</v>
      </c>
      <c r="E438" s="30">
        <f ca="1">INDEX(INDIRECT(zoneFichierTraite),$J438+offsetInitialFichierTraite,7)</f>
        <v>2</v>
      </c>
      <c r="F438" s="28">
        <f ca="1">INDEX(INDIRECT(zoneFichierTraite),$J438+offsetInitialFichierTraite,8)</f>
        <v>10</v>
      </c>
      <c r="G438" s="29">
        <f t="shared" ref="G438:G489" ca="1" si="1652">ROUNDUP(F438*3,0)</f>
        <v>30</v>
      </c>
      <c r="H438" s="31" t="str">
        <f ca="1">IF(ISNUMBER(N438),codeEAN13(INT(N438/10)),"")</f>
        <v>8APASOG*ajcdba+</v>
      </c>
      <c r="I438" s="1" t="b">
        <f t="shared" ref="I438:I489" ca="1" si="1653">AND(A441&lt;&gt;0,A439=A441)</f>
        <v>0</v>
      </c>
      <c r="J438" s="15">
        <f t="shared" si="1477"/>
        <v>215</v>
      </c>
      <c r="K438" s="1">
        <f t="shared" ref="K438:K489" ca="1" si="1654">A439</f>
        <v>220</v>
      </c>
      <c r="L438" s="5" t="str">
        <f ca="1">INDEX(INDIRECT(zoneFichierTraite),$J438+offsetInitialFichierTraite,1)</f>
        <v>'215</v>
      </c>
      <c r="M438" s="11">
        <f ca="1">INDEX(INDIRECT(zoneFichierTraite),$J438+offsetInitialFichierTraite,9)</f>
        <v>20</v>
      </c>
      <c r="N438" s="14">
        <f ca="1">INDEX(INDIRECT(zoneFichierTraite),$J438+offsetInitialFichierTraite,3)</f>
        <v>8050846092310</v>
      </c>
      <c r="O438" s="14"/>
      <c r="P438" s="56">
        <f ca="1">MATCH(N438,INDIRECT(nomFichierEAN13Valmag &amp; "!A:A"),0)</f>
        <v>877</v>
      </c>
      <c r="R438" s="50" t="str">
        <f t="shared" ref="R438:R469" ca="1" si="1655">LEFT(B438,14)</f>
        <v>SHOUX001-ECS03</v>
      </c>
      <c r="S438" s="52">
        <f ca="1">MATCH($R438,INDIRECT(nomFichierEAN13ValmagUniq &amp; "!A:A"),0)</f>
        <v>375</v>
      </c>
      <c r="T438" s="49" t="str">
        <f ca="1">IFERROR(INDEX(INDIRECT(zoneFichierEAN13ValmagUniq),S438,2),"")</f>
        <v xml:space="preserve"> </v>
      </c>
      <c r="U438" s="52" t="e">
        <f ca="1">MATCH($R438,INDIRECT(nomFichierEAN13ValmagUniq &amp; "!A" &amp; (S438+1) &amp; ":A" &amp;  (S438+10)),0)</f>
        <v>#N/A</v>
      </c>
      <c r="V438" s="51" t="e">
        <f t="shared" ref="V438:V489" ca="1" si="1656">U438+S438</f>
        <v>#N/A</v>
      </c>
      <c r="W438" s="49" t="str">
        <f ca="1">IFERROR(INDEX(INDIRECT(zoneFichierEAN13ValmagUniq),V438,2),"")</f>
        <v/>
      </c>
      <c r="X438" s="52" t="e">
        <f ca="1">MATCH($R438,INDIRECT(nomFichierEAN13ValmagUniq &amp; "!A" &amp; (V438+1) &amp; ":A" &amp;  (V438+10)),0)</f>
        <v>#N/A</v>
      </c>
      <c r="Y438" s="51" t="e">
        <f t="shared" ref="Y438:Y489" ca="1" si="1657">X438+V438</f>
        <v>#N/A</v>
      </c>
      <c r="Z438" s="49" t="str">
        <f ca="1">IFERROR(INDEX(INDIRECT(zoneFichierEAN13ValmagUniq),Y438,2),"")</f>
        <v/>
      </c>
      <c r="AA438" s="53" t="str">
        <f t="shared" ref="AA438:AA489" ca="1" si="1658">T438 &amp; IF(W438="","", " | " &amp; W438) &amp; IF(Z438="","", " | " &amp;Z438)</f>
        <v xml:space="preserve"> </v>
      </c>
      <c r="AC438" s="55">
        <f ca="1">MATCH(B438,INDIRECT(nomFichierFiltreCatalogue &amp; "!B:B"),0)</f>
        <v>225</v>
      </c>
      <c r="AD438" s="14"/>
    </row>
    <row r="439" spans="1:30" s="20" customFormat="1" ht="15.75" customHeight="1" x14ac:dyDescent="0.25">
      <c r="A439" s="25">
        <f ca="1">INDEX(INDIRECT(zoneFichierTraite),$J438+offsetInitialFichierTraite,2)</f>
        <v>220</v>
      </c>
      <c r="B439" s="57" t="str">
        <f ca="1">IF(ISERROR($P438),msgRefValmagAcreer,IF(INDEX(INDIRECT(zoneFichierEAN13Valmag),$P438,3) = "",msgCodeValmagVide, INDEX(INDIRECT(zoneFichierEAN13Valmag),$P438,3)))</f>
        <v xml:space="preserve"> </v>
      </c>
      <c r="C439" s="54" t="str">
        <f t="shared" ref="C439:C489" ca="1" si="1659">AA438</f>
        <v xml:space="preserve"> </v>
      </c>
      <c r="D439" s="19" t="str">
        <f ca="1">IFERROR(INDEX(INDIRECT(zoneFichierEAN13Valmag),$P438,4),"")</f>
        <v xml:space="preserve"> </v>
      </c>
      <c r="E439" s="58" t="str">
        <f ca="1">IFERROR(INDEX(INDIRECT(zoneFichierFiltreCatalogue),AC438,3),"")</f>
        <v>p044-1-02</v>
      </c>
      <c r="F439" s="19"/>
      <c r="G439" s="18"/>
      <c r="H439" s="32" t="str">
        <f ca="1">IFERROR(INDEX(INDIRECT(zoneFichierFiltreCatalogue),AC438,6),"")</f>
        <v>fall 2019 presentation_/catalogo fall 19.txt</v>
      </c>
      <c r="S439" s="1"/>
      <c r="T439" s="21"/>
      <c r="U439" s="21"/>
      <c r="V439" s="21"/>
      <c r="W439" s="21"/>
      <c r="X439" s="21"/>
      <c r="Y439" s="21"/>
      <c r="Z439" s="21"/>
      <c r="AA439" s="21"/>
      <c r="AB439" s="21"/>
      <c r="AC439" s="21"/>
    </row>
    <row r="440" spans="1:30" ht="39" customHeight="1" thickBot="1" x14ac:dyDescent="0.65">
      <c r="A440" s="9" t="str">
        <f ca="1">INDEX(INDIRECT(zoneFichierTraite),$J440+offsetInitialFichierTraite,6)</f>
        <v>UNICA</v>
      </c>
      <c r="B440" s="5" t="str">
        <f ca="1">INDEX(INDIRECT(zoneFichierTraite),$J440+offsetInitialFichierTraite,4)</f>
        <v>SHOUX001-ECS29-017</v>
      </c>
      <c r="C440" s="26" t="str">
        <f ca="1">INDEX(INDIRECT(zoneFichierTraite),$J440+offsetInitialFichierTraite,5)</f>
        <v>BANDOULIÃˆRE EXTRASLIM 110 + CLIP EN FAUX CUIR IMPRIME COCO</v>
      </c>
      <c r="D440" s="27" t="str">
        <f ca="1">INDEX(INDIRECT(zoneFichierTraite),$J440+offsetInitialFichierTraite,13)</f>
        <v>blu navy</v>
      </c>
      <c r="E440" s="30">
        <f ca="1">INDEX(INDIRECT(zoneFichierTraite),$J440+offsetInitialFichierTraite,7)</f>
        <v>2</v>
      </c>
      <c r="F440" s="28">
        <f ca="1">INDEX(INDIRECT(zoneFichierTraite),$J440+offsetInitialFichierTraite,8)</f>
        <v>10</v>
      </c>
      <c r="G440" s="29">
        <f t="shared" ref="G440:G489" ca="1" si="1660">ROUNDUP(F440*3,0)</f>
        <v>30</v>
      </c>
      <c r="H440" s="31" t="str">
        <f ca="1">IF(ISNUMBER(N440),codeEAN13(INT(N440/10)),"")</f>
        <v>8APASOG*ajcdeb+</v>
      </c>
      <c r="I440" s="1" t="b">
        <f t="shared" ref="I440:I489" ca="1" si="1661">AND(A443&lt;&gt;0,A441=A443)</f>
        <v>0</v>
      </c>
      <c r="J440" s="15">
        <f t="shared" si="1477"/>
        <v>216</v>
      </c>
      <c r="K440" s="1">
        <f t="shared" ref="K440:K489" ca="1" si="1662">A441</f>
        <v>118</v>
      </c>
      <c r="L440" s="5" t="str">
        <f ca="1">INDEX(INDIRECT(zoneFichierTraite),$J440+offsetInitialFichierTraite,1)</f>
        <v>'216</v>
      </c>
      <c r="M440" s="11">
        <f ca="1">INDEX(INDIRECT(zoneFichierTraite),$J440+offsetInitialFichierTraite,9)</f>
        <v>20</v>
      </c>
      <c r="N440" s="14">
        <f ca="1">INDEX(INDIRECT(zoneFichierTraite),$J440+offsetInitialFichierTraite,3)</f>
        <v>8050846092341</v>
      </c>
      <c r="O440" s="14"/>
      <c r="P440" s="56">
        <f ca="1">MATCH(N440,INDIRECT(nomFichierEAN13Valmag &amp; "!A:A"),0)</f>
        <v>879</v>
      </c>
      <c r="R440" s="50" t="str">
        <f t="shared" ref="R440:R471" ca="1" si="1663">LEFT(B440,14)</f>
        <v>SHOUX001-ECS29</v>
      </c>
      <c r="S440" s="52">
        <f ca="1">MATCH($R440,INDIRECT(nomFichierEAN13ValmagUniq &amp; "!A:A"),0)</f>
        <v>376</v>
      </c>
      <c r="T440" s="49" t="str">
        <f ca="1">IFERROR(INDEX(INDIRECT(zoneFichierEAN13ValmagUniq),S440,2),"")</f>
        <v xml:space="preserve"> </v>
      </c>
      <c r="U440" s="52" t="e">
        <f ca="1">MATCH($R440,INDIRECT(nomFichierEAN13ValmagUniq &amp; "!A" &amp; (S440+1) &amp; ":A" &amp;  (S440+10)),0)</f>
        <v>#N/A</v>
      </c>
      <c r="V440" s="51" t="e">
        <f t="shared" ref="V440:V489" ca="1" si="1664">U440+S440</f>
        <v>#N/A</v>
      </c>
      <c r="W440" s="49" t="str">
        <f ca="1">IFERROR(INDEX(INDIRECT(zoneFichierEAN13ValmagUniq),V440,2),"")</f>
        <v/>
      </c>
      <c r="X440" s="52" t="e">
        <f ca="1">MATCH($R440,INDIRECT(nomFichierEAN13ValmagUniq &amp; "!A" &amp; (V440+1) &amp; ":A" &amp;  (V440+10)),0)</f>
        <v>#N/A</v>
      </c>
      <c r="Y440" s="51" t="e">
        <f t="shared" ref="Y440:Y489" ca="1" si="1665">X440+V440</f>
        <v>#N/A</v>
      </c>
      <c r="Z440" s="49" t="str">
        <f ca="1">IFERROR(INDEX(INDIRECT(zoneFichierEAN13ValmagUniq),Y440,2),"")</f>
        <v/>
      </c>
      <c r="AA440" s="53" t="str">
        <f t="shared" ref="AA440:AA489" ca="1" si="1666">T440 &amp; IF(W440="","", " | " &amp; W440) &amp; IF(Z440="","", " | " &amp;Z440)</f>
        <v xml:space="preserve"> </v>
      </c>
      <c r="AC440" s="55">
        <f ca="1">MATCH(B440,INDIRECT(nomFichierFiltreCatalogue &amp; "!B:B"),0)</f>
        <v>217</v>
      </c>
      <c r="AD440" s="14"/>
    </row>
    <row r="441" spans="1:30" s="20" customFormat="1" ht="15.75" customHeight="1" x14ac:dyDescent="0.25">
      <c r="A441" s="25">
        <f ca="1">INDEX(INDIRECT(zoneFichierTraite),$J440+offsetInitialFichierTraite,2)</f>
        <v>118</v>
      </c>
      <c r="B441" s="57" t="str">
        <f ca="1">IF(ISERROR($P440),msgRefValmagAcreer,IF(INDEX(INDIRECT(zoneFichierEAN13Valmag),$P440,3) = "",msgCodeValmagVide, INDEX(INDIRECT(zoneFichierEAN13Valmag),$P440,3)))</f>
        <v xml:space="preserve"> </v>
      </c>
      <c r="C441" s="54" t="str">
        <f t="shared" ref="C441:C489" ca="1" si="1667">AA440</f>
        <v xml:space="preserve"> </v>
      </c>
      <c r="D441" s="19" t="str">
        <f ca="1">IFERROR(INDEX(INDIRECT(zoneFichierEAN13Valmag),$P440,4),"")</f>
        <v xml:space="preserve"> </v>
      </c>
      <c r="E441" s="58" t="str">
        <f ca="1">IFERROR(INDEX(INDIRECT(zoneFichierFiltreCatalogue),AC440,3),"")</f>
        <v>p043-1-01</v>
      </c>
      <c r="F441" s="19"/>
      <c r="G441" s="18"/>
      <c r="H441" s="32" t="str">
        <f ca="1">IFERROR(INDEX(INDIRECT(zoneFichierFiltreCatalogue),AC440,6),"")</f>
        <v>fall 2019 presentation_/catalogo fall 19.txt</v>
      </c>
      <c r="S441" s="1"/>
      <c r="T441" s="21"/>
      <c r="U441" s="21"/>
      <c r="V441" s="21"/>
      <c r="W441" s="21"/>
      <c r="X441" s="21"/>
      <c r="Y441" s="21"/>
      <c r="Z441" s="21"/>
      <c r="AA441" s="21"/>
      <c r="AB441" s="21"/>
      <c r="AC441" s="21"/>
    </row>
    <row r="442" spans="1:30" ht="39" customHeight="1" thickBot="1" x14ac:dyDescent="0.65">
      <c r="A442" s="9" t="str">
        <f ca="1">INDEX(INDIRECT(zoneFichierTraite),$J442+offsetInitialFichierTraite,6)</f>
        <v>UNICA</v>
      </c>
      <c r="B442" s="5" t="str">
        <f ca="1">INDEX(INDIRECT(zoneFichierTraite),$J442+offsetInitialFichierTraite,4)</f>
        <v>SHOUX001-ECS29-084</v>
      </c>
      <c r="C442" s="26" t="str">
        <f ca="1">INDEX(INDIRECT(zoneFichierTraite),$J442+offsetInitialFichierTraite,5)</f>
        <v>BANDOULIÃˆRE EXTRASLIM 110 + CLIP EN FAUX CUIR IMPRIME COCO</v>
      </c>
      <c r="D442" s="27" t="str">
        <f ca="1">INDEX(INDIRECT(zoneFichierTraite),$J442+offsetInitialFichierTraite,13)</f>
        <v>testa di moro</v>
      </c>
      <c r="E442" s="30">
        <f ca="1">INDEX(INDIRECT(zoneFichierTraite),$J442+offsetInitialFichierTraite,7)</f>
        <v>2</v>
      </c>
      <c r="F442" s="28">
        <f ca="1">INDEX(INDIRECT(zoneFichierTraite),$J442+offsetInitialFichierTraite,8)</f>
        <v>10</v>
      </c>
      <c r="G442" s="29">
        <f t="shared" ref="G442:G489" ca="1" si="1668">ROUNDUP(F442*3,0)</f>
        <v>30</v>
      </c>
      <c r="H442" s="31" t="str">
        <f ca="1">IF(ISNUMBER(N442),codeEAN13(INT(N442/10)),"")</f>
        <v>8APASOG*ajcdfi+</v>
      </c>
      <c r="I442" s="1" t="b">
        <f t="shared" ref="I442:I489" ca="1" si="1669">AND(A445&lt;&gt;0,A443=A445)</f>
        <v>0</v>
      </c>
      <c r="J442" s="15">
        <f t="shared" si="1477"/>
        <v>217</v>
      </c>
      <c r="K442" s="1">
        <f t="shared" ref="K442:K489" ca="1" si="1670">A443</f>
        <v>109</v>
      </c>
      <c r="L442" s="5" t="str">
        <f ca="1">INDEX(INDIRECT(zoneFichierTraite),$J442+offsetInitialFichierTraite,1)</f>
        <v>'217</v>
      </c>
      <c r="M442" s="11">
        <f ca="1">INDEX(INDIRECT(zoneFichierTraite),$J442+offsetInitialFichierTraite,9)</f>
        <v>20</v>
      </c>
      <c r="N442" s="14">
        <f ca="1">INDEX(INDIRECT(zoneFichierTraite),$J442+offsetInitialFichierTraite,3)</f>
        <v>8050846092358</v>
      </c>
      <c r="O442" s="14"/>
      <c r="P442" s="56">
        <f ca="1">MATCH(N442,INDIRECT(nomFichierEAN13Valmag &amp; "!A:A"),0)</f>
        <v>880</v>
      </c>
      <c r="R442" s="50" t="str">
        <f t="shared" ref="R442:R489" ca="1" si="1671">LEFT(B442,14)</f>
        <v>SHOUX001-ECS29</v>
      </c>
      <c r="S442" s="52">
        <f ca="1">MATCH($R442,INDIRECT(nomFichierEAN13ValmagUniq &amp; "!A:A"),0)</f>
        <v>376</v>
      </c>
      <c r="T442" s="49" t="str">
        <f ca="1">IFERROR(INDEX(INDIRECT(zoneFichierEAN13ValmagUniq),S442,2),"")</f>
        <v xml:space="preserve"> </v>
      </c>
      <c r="U442" s="52" t="e">
        <f ca="1">MATCH($R442,INDIRECT(nomFichierEAN13ValmagUniq &amp; "!A" &amp; (S442+1) &amp; ":A" &amp;  (S442+10)),0)</f>
        <v>#N/A</v>
      </c>
      <c r="V442" s="51" t="e">
        <f t="shared" ref="V442:V489" ca="1" si="1672">U442+S442</f>
        <v>#N/A</v>
      </c>
      <c r="W442" s="49" t="str">
        <f ca="1">IFERROR(INDEX(INDIRECT(zoneFichierEAN13ValmagUniq),V442,2),"")</f>
        <v/>
      </c>
      <c r="X442" s="52" t="e">
        <f ca="1">MATCH($R442,INDIRECT(nomFichierEAN13ValmagUniq &amp; "!A" &amp; (V442+1) &amp; ":A" &amp;  (V442+10)),0)</f>
        <v>#N/A</v>
      </c>
      <c r="Y442" s="51" t="e">
        <f t="shared" ref="Y442:Y489" ca="1" si="1673">X442+V442</f>
        <v>#N/A</v>
      </c>
      <c r="Z442" s="49" t="str">
        <f ca="1">IFERROR(INDEX(INDIRECT(zoneFichierEAN13ValmagUniq),Y442,2),"")</f>
        <v/>
      </c>
      <c r="AA442" s="53" t="str">
        <f t="shared" ref="AA442:AA489" ca="1" si="1674">T442 &amp; IF(W442="","", " | " &amp; W442) &amp; IF(Z442="","", " | " &amp;Z442)</f>
        <v xml:space="preserve"> </v>
      </c>
      <c r="AC442" s="55">
        <f ca="1">MATCH(B442,INDIRECT(nomFichierFiltreCatalogue &amp; "!B:B"),0)</f>
        <v>218</v>
      </c>
      <c r="AD442" s="14"/>
    </row>
    <row r="443" spans="1:30" s="20" customFormat="1" ht="15.75" customHeight="1" x14ac:dyDescent="0.25">
      <c r="A443" s="25">
        <f ca="1">INDEX(INDIRECT(zoneFichierTraite),$J442+offsetInitialFichierTraite,2)</f>
        <v>109</v>
      </c>
      <c r="B443" s="57" t="str">
        <f ca="1">IF(ISERROR($P442),msgRefValmagAcreer,IF(INDEX(INDIRECT(zoneFichierEAN13Valmag),$P442,3) = "",msgCodeValmagVide, INDEX(INDIRECT(zoneFichierEAN13Valmag),$P442,3)))</f>
        <v xml:space="preserve"> </v>
      </c>
      <c r="C443" s="54" t="str">
        <f t="shared" ref="C443:C489" ca="1" si="1675">AA442</f>
        <v xml:space="preserve"> </v>
      </c>
      <c r="D443" s="19" t="str">
        <f ca="1">IFERROR(INDEX(INDIRECT(zoneFichierEAN13Valmag),$P442,4),"")</f>
        <v xml:space="preserve"> </v>
      </c>
      <c r="E443" s="58" t="str">
        <f ca="1">IFERROR(INDEX(INDIRECT(zoneFichierFiltreCatalogue),AC442,3),"")</f>
        <v>p043-1-02</v>
      </c>
      <c r="F443" s="19"/>
      <c r="G443" s="18"/>
      <c r="H443" s="32" t="str">
        <f ca="1">IFERROR(INDEX(INDIRECT(zoneFichierFiltreCatalogue),AC442,6),"")</f>
        <v>fall 2019 presentation_/catalogo fall 19.txt</v>
      </c>
      <c r="S443" s="1"/>
      <c r="T443" s="21"/>
      <c r="U443" s="21"/>
      <c r="V443" s="21"/>
      <c r="W443" s="21"/>
      <c r="X443" s="21"/>
      <c r="Y443" s="21"/>
      <c r="Z443" s="21"/>
      <c r="AA443" s="21"/>
      <c r="AB443" s="21"/>
      <c r="AC443" s="21"/>
    </row>
    <row r="444" spans="1:30" ht="39" customHeight="1" thickBot="1" x14ac:dyDescent="0.65">
      <c r="A444" s="9" t="str">
        <f ca="1">INDEX(INDIRECT(zoneFichierTraite),$J444+offsetInitialFichierTraite,6)</f>
        <v>UNICA</v>
      </c>
      <c r="B444" s="5" t="str">
        <f ca="1">INDEX(INDIRECT(zoneFichierTraite),$J444+offsetInitialFichierTraite,4)</f>
        <v>SHOUX101-ECS00-017</v>
      </c>
      <c r="C444" s="26" t="str">
        <f ca="1">INDEX(INDIRECT(zoneFichierTraite),$J444+offsetInitialFichierTraite,5)</f>
        <v>BANDOULIÃˆRE EXTRASLIM 110 + ANSES TUBULAIRES + CLIP FAUX CUIR</v>
      </c>
      <c r="D444" s="27" t="str">
        <f ca="1">INDEX(INDIRECT(zoneFichierTraite),$J444+offsetInitialFichierTraite,13)</f>
        <v>blu navy</v>
      </c>
      <c r="E444" s="30">
        <f ca="1">INDEX(INDIRECT(zoneFichierTraite),$J444+offsetInitialFichierTraite,7)</f>
        <v>2</v>
      </c>
      <c r="F444" s="28">
        <f ca="1">INDEX(INDIRECT(zoneFichierTraite),$J444+offsetInitialFichierTraite,8)</f>
        <v>18.96</v>
      </c>
      <c r="G444" s="29">
        <f t="shared" ref="G444:G489" ca="1" si="1676">ROUNDUP(F444*3,0)</f>
        <v>57</v>
      </c>
      <c r="H444" s="31" t="str">
        <f ca="1">IF(ISNUMBER(N444),codeEAN13(INT(N444/10)),"")</f>
        <v>8APASOG*adfbii+</v>
      </c>
      <c r="I444" s="1" t="b">
        <f t="shared" ref="I444:I489" ca="1" si="1677">AND(A447&lt;&gt;0,A445=A447)</f>
        <v>0</v>
      </c>
      <c r="J444" s="15">
        <f t="shared" si="1477"/>
        <v>218</v>
      </c>
      <c r="K444" s="1">
        <f t="shared" ref="K444:K489" ca="1" si="1678">A445</f>
        <v>85</v>
      </c>
      <c r="L444" s="5" t="str">
        <f ca="1">INDEX(INDIRECT(zoneFichierTraite),$J444+offsetInitialFichierTraite,1)</f>
        <v>'218</v>
      </c>
      <c r="M444" s="11">
        <f ca="1">INDEX(INDIRECT(zoneFichierTraite),$J444+offsetInitialFichierTraite,9)</f>
        <v>37.92</v>
      </c>
      <c r="N444" s="14">
        <f ca="1">INDEX(INDIRECT(zoneFichierTraite),$J444+offsetInitialFichierTraite,3)</f>
        <v>8050846035188</v>
      </c>
      <c r="O444" s="14"/>
      <c r="P444" s="56">
        <f ca="1">MATCH(N444,INDIRECT(nomFichierEAN13Valmag &amp; "!A:A"),0)</f>
        <v>194</v>
      </c>
      <c r="R444" s="50" t="str">
        <f t="shared" ref="R444:R489" ca="1" si="1679">LEFT(B444,14)</f>
        <v>SHOUX101-ECS00</v>
      </c>
      <c r="S444" s="52">
        <f ca="1">MATCH($R444,INDIRECT(nomFichierEAN13ValmagUniq &amp; "!A:A"),0)</f>
        <v>377</v>
      </c>
      <c r="T444" s="49" t="str">
        <f ca="1">IFERROR(INDEX(INDIRECT(zoneFichierEAN13ValmagUniq),S444,2),"")</f>
        <v>ANSESTUB/BANDOUL</v>
      </c>
      <c r="U444" s="52" t="e">
        <f ca="1">MATCH($R444,INDIRECT(nomFichierEAN13ValmagUniq &amp; "!A" &amp; (S444+1) &amp; ":A" &amp;  (S444+10)),0)</f>
        <v>#N/A</v>
      </c>
      <c r="V444" s="51" t="e">
        <f t="shared" ref="V444:V489" ca="1" si="1680">U444+S444</f>
        <v>#N/A</v>
      </c>
      <c r="W444" s="49" t="str">
        <f ca="1">IFERROR(INDEX(INDIRECT(zoneFichierEAN13ValmagUniq),V444,2),"")</f>
        <v/>
      </c>
      <c r="X444" s="52" t="e">
        <f ca="1">MATCH($R444,INDIRECT(nomFichierEAN13ValmagUniq &amp; "!A" &amp; (V444+1) &amp; ":A" &amp;  (V444+10)),0)</f>
        <v>#N/A</v>
      </c>
      <c r="Y444" s="51" t="e">
        <f t="shared" ref="Y444:Y489" ca="1" si="1681">X444+V444</f>
        <v>#N/A</v>
      </c>
      <c r="Z444" s="49" t="str">
        <f ca="1">IFERROR(INDEX(INDIRECT(zoneFichierEAN13ValmagUniq),Y444,2),"")</f>
        <v/>
      </c>
      <c r="AA444" s="53" t="str">
        <f t="shared" ref="AA444:AA489" ca="1" si="1682">T444 &amp; IF(W444="","", " | " &amp; W444) &amp; IF(Z444="","", " | " &amp;Z444)</f>
        <v>ANSESTUB/BANDOUL</v>
      </c>
      <c r="AC444" s="55">
        <f ca="1">MATCH(B444,INDIRECT(nomFichierFiltreCatalogue &amp; "!B:B"),0)</f>
        <v>226</v>
      </c>
      <c r="AD444" s="14"/>
    </row>
    <row r="445" spans="1:30" s="20" customFormat="1" ht="15.75" customHeight="1" x14ac:dyDescent="0.25">
      <c r="A445" s="25">
        <f ca="1">INDEX(INDIRECT(zoneFichierTraite),$J444+offsetInitialFichierTraite,2)</f>
        <v>85</v>
      </c>
      <c r="B445" s="57" t="str">
        <f ca="1">IF(ISERROR($P444),msgRefValmagAcreer,IF(INDEX(INDIRECT(zoneFichierEAN13Valmag),$P444,3) = "",msgCodeValmagVide, INDEX(INDIRECT(zoneFichierEAN13Valmag),$P444,3)))</f>
        <v>ANSESTUB/BANDOUL</v>
      </c>
      <c r="C445" s="54" t="str">
        <f t="shared" ref="C445:C489" ca="1" si="1683">AA444</f>
        <v>ANSESTUB/BANDOUL</v>
      </c>
      <c r="D445" s="19" t="str">
        <f ca="1">IFERROR(INDEX(INDIRECT(zoneFichierEAN13Valmag),$P444,4),"")</f>
        <v xml:space="preserve">NAVY </v>
      </c>
      <c r="E445" s="58" t="str">
        <f ca="1">IFERROR(INDEX(INDIRECT(zoneFichierFiltreCatalogue),AC444,3),"")</f>
        <v>p044-2-01</v>
      </c>
      <c r="F445" s="19"/>
      <c r="G445" s="18"/>
      <c r="H445" s="32" t="str">
        <f ca="1">IFERROR(INDEX(INDIRECT(zoneFichierFiltreCatalogue),AC444,6),"")</f>
        <v>fall 2019 presentation_/catalogo fall 19.txt</v>
      </c>
      <c r="S445" s="1"/>
      <c r="T445" s="21"/>
      <c r="U445" s="21"/>
      <c r="V445" s="21"/>
      <c r="W445" s="21"/>
      <c r="X445" s="21"/>
      <c r="Y445" s="21"/>
      <c r="Z445" s="21"/>
      <c r="AA445" s="21"/>
      <c r="AB445" s="21"/>
      <c r="AC445" s="21"/>
    </row>
    <row r="446" spans="1:30" ht="39" customHeight="1" thickBot="1" x14ac:dyDescent="0.65">
      <c r="A446" s="9" t="str">
        <f ca="1">INDEX(INDIRECT(zoneFichierTraite),$J446+offsetInitialFichierTraite,6)</f>
        <v>UNICA</v>
      </c>
      <c r="B446" s="5" t="str">
        <f ca="1">INDEX(INDIRECT(zoneFichierTraite),$J446+offsetInitialFichierTraite,4)</f>
        <v>SHOUX101-ECS00-055</v>
      </c>
      <c r="C446" s="26" t="str">
        <f ca="1">INDEX(INDIRECT(zoneFichierTraite),$J446+offsetInitialFichierTraite,5)</f>
        <v>BANDOULIÃˆRE EXTRASLIM 110 + ANSES TUBULAIRES + CLIP FAUX CUIR</v>
      </c>
      <c r="D446" s="27" t="str">
        <f ca="1">INDEX(INDIRECT(zoneFichierTraite),$J446+offsetInitialFichierTraite,13)</f>
        <v>nero</v>
      </c>
      <c r="E446" s="30">
        <f ca="1">INDEX(INDIRECT(zoneFichierTraite),$J446+offsetInitialFichierTraite,7)</f>
        <v>3</v>
      </c>
      <c r="F446" s="28">
        <f ca="1">INDEX(INDIRECT(zoneFichierTraite),$J446+offsetInitialFichierTraite,8)</f>
        <v>18.96</v>
      </c>
      <c r="G446" s="29">
        <f t="shared" ref="G446:G489" ca="1" si="1684">ROUNDUP(F446*3,0)</f>
        <v>57</v>
      </c>
      <c r="H446" s="31" t="str">
        <f ca="1">IF(ISNUMBER(N446),codeEAN13(INT(N446/10)),"")</f>
        <v>8APASOG*adfcab+</v>
      </c>
      <c r="I446" s="1" t="b">
        <f t="shared" ref="I446:I489" ca="1" si="1685">AND(A449&lt;&gt;0,A447=A449)</f>
        <v>0</v>
      </c>
      <c r="J446" s="15">
        <f t="shared" si="1477"/>
        <v>219</v>
      </c>
      <c r="K446" s="1">
        <f t="shared" ref="K446:K489" ca="1" si="1686">A447</f>
        <v>102</v>
      </c>
      <c r="L446" s="5" t="str">
        <f ca="1">INDEX(INDIRECT(zoneFichierTraite),$J446+offsetInitialFichierTraite,1)</f>
        <v>'219</v>
      </c>
      <c r="M446" s="11">
        <f ca="1">INDEX(INDIRECT(zoneFichierTraite),$J446+offsetInitialFichierTraite,9)</f>
        <v>56.88</v>
      </c>
      <c r="N446" s="14">
        <f ca="1">INDEX(INDIRECT(zoneFichierTraite),$J446+offsetInitialFichierTraite,3)</f>
        <v>8050846035201</v>
      </c>
      <c r="O446" s="14"/>
      <c r="P446" s="56">
        <f ca="1">MATCH(N446,INDIRECT(nomFichierEAN13Valmag &amp; "!A:A"),0)</f>
        <v>195</v>
      </c>
      <c r="R446" s="50" t="str">
        <f t="shared" ref="R446:R489" ca="1" si="1687">LEFT(B446,14)</f>
        <v>SHOUX101-ECS00</v>
      </c>
      <c r="S446" s="52">
        <f ca="1">MATCH($R446,INDIRECT(nomFichierEAN13ValmagUniq &amp; "!A:A"),0)</f>
        <v>377</v>
      </c>
      <c r="T446" s="49" t="str">
        <f ca="1">IFERROR(INDEX(INDIRECT(zoneFichierEAN13ValmagUniq),S446,2),"")</f>
        <v>ANSESTUB/BANDOUL</v>
      </c>
      <c r="U446" s="52" t="e">
        <f ca="1">MATCH($R446,INDIRECT(nomFichierEAN13ValmagUniq &amp; "!A" &amp; (S446+1) &amp; ":A" &amp;  (S446+10)),0)</f>
        <v>#N/A</v>
      </c>
      <c r="V446" s="51" t="e">
        <f t="shared" ref="V446:V489" ca="1" si="1688">U446+S446</f>
        <v>#N/A</v>
      </c>
      <c r="W446" s="49" t="str">
        <f ca="1">IFERROR(INDEX(INDIRECT(zoneFichierEAN13ValmagUniq),V446,2),"")</f>
        <v/>
      </c>
      <c r="X446" s="52" t="e">
        <f ca="1">MATCH($R446,INDIRECT(nomFichierEAN13ValmagUniq &amp; "!A" &amp; (V446+1) &amp; ":A" &amp;  (V446+10)),0)</f>
        <v>#N/A</v>
      </c>
      <c r="Y446" s="51" t="e">
        <f t="shared" ref="Y446:Y489" ca="1" si="1689">X446+V446</f>
        <v>#N/A</v>
      </c>
      <c r="Z446" s="49" t="str">
        <f ca="1">IFERROR(INDEX(INDIRECT(zoneFichierEAN13ValmagUniq),Y446,2),"")</f>
        <v/>
      </c>
      <c r="AA446" s="53" t="str">
        <f t="shared" ref="AA446:AA489" ca="1" si="1690">T446 &amp; IF(W446="","", " | " &amp; W446) &amp; IF(Z446="","", " | " &amp;Z446)</f>
        <v>ANSESTUB/BANDOUL</v>
      </c>
      <c r="AC446" s="55">
        <f ca="1">MATCH(B446,INDIRECT(nomFichierFiltreCatalogue &amp; "!B:B"),0)</f>
        <v>228</v>
      </c>
      <c r="AD446" s="14"/>
    </row>
    <row r="447" spans="1:30" s="20" customFormat="1" ht="15.75" customHeight="1" x14ac:dyDescent="0.25">
      <c r="A447" s="25">
        <f ca="1">INDEX(INDIRECT(zoneFichierTraite),$J446+offsetInitialFichierTraite,2)</f>
        <v>102</v>
      </c>
      <c r="B447" s="57" t="str">
        <f ca="1">IF(ISERROR($P446),msgRefValmagAcreer,IF(INDEX(INDIRECT(zoneFichierEAN13Valmag),$P446,3) = "",msgCodeValmagVide, INDEX(INDIRECT(zoneFichierEAN13Valmag),$P446,3)))</f>
        <v>ANSESTUB/BANDOUL</v>
      </c>
      <c r="C447" s="54" t="str">
        <f t="shared" ref="C447:C489" ca="1" si="1691">AA446</f>
        <v>ANSESTUB/BANDOUL</v>
      </c>
      <c r="D447" s="19" t="str">
        <f ca="1">IFERROR(INDEX(INDIRECT(zoneFichierEAN13Valmag),$P446,4),"")</f>
        <v>BLACK</v>
      </c>
      <c r="E447" s="58" t="str">
        <f ca="1">IFERROR(INDEX(INDIRECT(zoneFichierFiltreCatalogue),AC446,3),"")</f>
        <v>p044-2-03</v>
      </c>
      <c r="F447" s="19"/>
      <c r="G447" s="18"/>
      <c r="H447" s="32" t="str">
        <f ca="1">IFERROR(INDEX(INDIRECT(zoneFichierFiltreCatalogue),AC446,6),"")</f>
        <v>fall 2019 presentation_/catalogo fall 19.txt</v>
      </c>
      <c r="S447" s="1"/>
      <c r="T447" s="21"/>
      <c r="U447" s="21"/>
      <c r="V447" s="21"/>
      <c r="W447" s="21"/>
      <c r="X447" s="21"/>
      <c r="Y447" s="21"/>
      <c r="Z447" s="21"/>
      <c r="AA447" s="21"/>
      <c r="AB447" s="21"/>
      <c r="AC447" s="21"/>
    </row>
    <row r="448" spans="1:30" ht="39" customHeight="1" thickBot="1" x14ac:dyDescent="0.65">
      <c r="A448" s="9" t="str">
        <f ca="1">INDEX(INDIRECT(zoneFichierTraite),$J448+offsetInitialFichierTraite,6)</f>
        <v>UNICA</v>
      </c>
      <c r="B448" s="5" t="str">
        <f ca="1">INDEX(INDIRECT(zoneFichierTraite),$J448+offsetInitialFichierTraite,4)</f>
        <v>SHOUX101-ECS00-634</v>
      </c>
      <c r="C448" s="26" t="str">
        <f ca="1">INDEX(INDIRECT(zoneFichierTraite),$J448+offsetInitialFichierTraite,5)</f>
        <v>BANDOULIÃˆRE EXTRASLIM 110 + ANSES TUBULAIRES + CLIP FAUX CUIR</v>
      </c>
      <c r="D448" s="27" t="str">
        <f ca="1">INDEX(INDIRECT(zoneFichierTraite),$J448+offsetInitialFichierTraite,13)</f>
        <v>rosso + argento</v>
      </c>
      <c r="E448" s="30">
        <f ca="1">INDEX(INDIRECT(zoneFichierTraite),$J448+offsetInitialFichierTraite,7)</f>
        <v>2</v>
      </c>
      <c r="F448" s="28">
        <f ca="1">INDEX(INDIRECT(zoneFichierTraite),$J448+offsetInitialFichierTraite,8)</f>
        <v>18.96</v>
      </c>
      <c r="G448" s="29">
        <f t="shared" ref="G448:G489" ca="1" si="1692">ROUNDUP(F448*3,0)</f>
        <v>57</v>
      </c>
      <c r="H448" s="31" t="str">
        <f ca="1">IF(ISNUMBER(N448),codeEAN13(INT(N448/10)),"")</f>
        <v>8APASOG*aejbjc+</v>
      </c>
      <c r="I448" s="1" t="b">
        <f t="shared" ref="I448:I489" ca="1" si="1693">AND(A451&lt;&gt;0,A449=A451)</f>
        <v>0</v>
      </c>
      <c r="J448" s="15">
        <f t="shared" si="1477"/>
        <v>220</v>
      </c>
      <c r="K448" s="1">
        <f t="shared" ref="K448:K489" ca="1" si="1694">A449</f>
        <v>14</v>
      </c>
      <c r="L448" s="5" t="str">
        <f ca="1">INDEX(INDIRECT(zoneFichierTraite),$J448+offsetInitialFichierTraite,1)</f>
        <v>'220</v>
      </c>
      <c r="M448" s="11">
        <f ca="1">INDEX(INDIRECT(zoneFichierTraite),$J448+offsetInitialFichierTraite,9)</f>
        <v>37.92</v>
      </c>
      <c r="N448" s="14">
        <f ca="1">INDEX(INDIRECT(zoneFichierTraite),$J448+offsetInitialFichierTraite,3)</f>
        <v>8050846049192</v>
      </c>
      <c r="O448" s="14"/>
      <c r="P448" s="56">
        <f ca="1">MATCH(N448,INDIRECT(nomFichierEAN13Valmag &amp; "!A:A"),0)</f>
        <v>310</v>
      </c>
      <c r="R448" s="50" t="str">
        <f t="shared" ref="R448:R489" ca="1" si="1695">LEFT(B448,14)</f>
        <v>SHOUX101-ECS00</v>
      </c>
      <c r="S448" s="52">
        <f ca="1">MATCH($R448,INDIRECT(nomFichierEAN13ValmagUniq &amp; "!A:A"),0)</f>
        <v>377</v>
      </c>
      <c r="T448" s="49" t="str">
        <f ca="1">IFERROR(INDEX(INDIRECT(zoneFichierEAN13ValmagUniq),S448,2),"")</f>
        <v>ANSESTUB/BANDOUL</v>
      </c>
      <c r="U448" s="52" t="e">
        <f ca="1">MATCH($R448,INDIRECT(nomFichierEAN13ValmagUniq &amp; "!A" &amp; (S448+1) &amp; ":A" &amp;  (S448+10)),0)</f>
        <v>#N/A</v>
      </c>
      <c r="V448" s="51" t="e">
        <f t="shared" ref="V448:V489" ca="1" si="1696">U448+S448</f>
        <v>#N/A</v>
      </c>
      <c r="W448" s="49" t="str">
        <f ca="1">IFERROR(INDEX(INDIRECT(zoneFichierEAN13ValmagUniq),V448,2),"")</f>
        <v/>
      </c>
      <c r="X448" s="52" t="e">
        <f ca="1">MATCH($R448,INDIRECT(nomFichierEAN13ValmagUniq &amp; "!A" &amp; (V448+1) &amp; ":A" &amp;  (V448+10)),0)</f>
        <v>#N/A</v>
      </c>
      <c r="Y448" s="51" t="e">
        <f t="shared" ref="Y448:Y489" ca="1" si="1697">X448+V448</f>
        <v>#N/A</v>
      </c>
      <c r="Z448" s="49" t="str">
        <f ca="1">IFERROR(INDEX(INDIRECT(zoneFichierEAN13ValmagUniq),Y448,2),"")</f>
        <v/>
      </c>
      <c r="AA448" s="53" t="str">
        <f t="shared" ref="AA448:AA489" ca="1" si="1698">T448 &amp; IF(W448="","", " | " &amp; W448) &amp; IF(Z448="","", " | " &amp;Z448)</f>
        <v>ANSESTUB/BANDOUL</v>
      </c>
      <c r="AC448" s="55">
        <f ca="1">MATCH(B448,INDIRECT(nomFichierFiltreCatalogue &amp; "!B:B"),0)</f>
        <v>230</v>
      </c>
      <c r="AD448" s="14"/>
    </row>
    <row r="449" spans="1:30" s="20" customFormat="1" ht="15.75" customHeight="1" x14ac:dyDescent="0.25">
      <c r="A449" s="25">
        <f ca="1">INDEX(INDIRECT(zoneFichierTraite),$J448+offsetInitialFichierTraite,2)</f>
        <v>14</v>
      </c>
      <c r="B449" s="57" t="str">
        <f ca="1">IF(ISERROR($P448),msgRefValmagAcreer,IF(INDEX(INDIRECT(zoneFichierEAN13Valmag),$P448,3) = "",msgCodeValmagVide, INDEX(INDIRECT(zoneFichierEAN13Valmag),$P448,3)))</f>
        <v>ANSESTUB/BANDOUL</v>
      </c>
      <c r="C449" s="54" t="str">
        <f t="shared" ref="C449:C489" ca="1" si="1699">AA448</f>
        <v>ANSESTUB/BANDOUL</v>
      </c>
      <c r="D449" s="19" t="str">
        <f ca="1">IFERROR(INDEX(INDIRECT(zoneFichierEAN13Valmag),$P448,4),"")</f>
        <v xml:space="preserve">RED  </v>
      </c>
      <c r="E449" s="58" t="str">
        <f ca="1">IFERROR(INDEX(INDIRECT(zoneFichierFiltreCatalogue),AC448,3),"")</f>
        <v>p044-2-05</v>
      </c>
      <c r="F449" s="19"/>
      <c r="G449" s="18"/>
      <c r="H449" s="32" t="str">
        <f ca="1">IFERROR(INDEX(INDIRECT(zoneFichierFiltreCatalogue),AC448,6),"")</f>
        <v>fall 2019 presentation_/catalogo fall 19.txt</v>
      </c>
      <c r="S449" s="1"/>
      <c r="T449" s="21"/>
      <c r="U449" s="21"/>
      <c r="V449" s="21"/>
      <c r="W449" s="21"/>
      <c r="X449" s="21"/>
      <c r="Y449" s="21"/>
      <c r="Z449" s="21"/>
      <c r="AA449" s="21"/>
      <c r="AB449" s="21"/>
      <c r="AC449" s="21"/>
    </row>
    <row r="450" spans="1:30" ht="39" customHeight="1" thickBot="1" x14ac:dyDescent="0.65">
      <c r="A450" s="9" t="str">
        <f ca="1">INDEX(INDIRECT(zoneFichierTraite),$J450+offsetInitialFichierTraite,6)</f>
        <v>UNICA</v>
      </c>
      <c r="B450" s="5" t="str">
        <f ca="1">INDEX(INDIRECT(zoneFichierTraite),$J450+offsetInitialFichierTraite,4)</f>
        <v>SHOUX101-ECS00-635</v>
      </c>
      <c r="C450" s="26" t="str">
        <f ca="1">INDEX(INDIRECT(zoneFichierTraite),$J450+offsetInitialFichierTraite,5)</f>
        <v>BANDOULIÃˆRE EXTRASLIM 110 + ANSES TUBULAIRES + CLIP FAUX CUIR</v>
      </c>
      <c r="D450" s="27" t="str">
        <f ca="1">INDEX(INDIRECT(zoneFichierTraite),$J450+offsetInitialFichierTraite,13)</f>
        <v>bluette + argento</v>
      </c>
      <c r="E450" s="30">
        <f ca="1">INDEX(INDIRECT(zoneFichierTraite),$J450+offsetInitialFichierTraite,7)</f>
        <v>2</v>
      </c>
      <c r="F450" s="28">
        <f ca="1">INDEX(INDIRECT(zoneFichierTraite),$J450+offsetInitialFichierTraite,8)</f>
        <v>18.96</v>
      </c>
      <c r="G450" s="29">
        <f t="shared" ref="G450:G489" ca="1" si="1700">ROUNDUP(F450*3,0)</f>
        <v>57</v>
      </c>
      <c r="H450" s="31" t="str">
        <f ca="1">IF(ISNUMBER(N450),codeEAN13(INT(N450/10)),"")</f>
        <v>8APASOG*adfcfg+</v>
      </c>
      <c r="I450" s="1" t="b">
        <f t="shared" ref="I450:I489" ca="1" si="1701">AND(A453&lt;&gt;0,A451=A453)</f>
        <v>0</v>
      </c>
      <c r="J450" s="15">
        <f t="shared" si="1477"/>
        <v>221</v>
      </c>
      <c r="K450" s="1">
        <f t="shared" ref="K450:K489" ca="1" si="1702">A451</f>
        <v>75</v>
      </c>
      <c r="L450" s="5" t="str">
        <f ca="1">INDEX(INDIRECT(zoneFichierTraite),$J450+offsetInitialFichierTraite,1)</f>
        <v>'221</v>
      </c>
      <c r="M450" s="11">
        <f ca="1">INDEX(INDIRECT(zoneFichierTraite),$J450+offsetInitialFichierTraite,9)</f>
        <v>37.92</v>
      </c>
      <c r="N450" s="14">
        <f ca="1">INDEX(INDIRECT(zoneFichierTraite),$J450+offsetInitialFichierTraite,3)</f>
        <v>8050846035256</v>
      </c>
      <c r="O450" s="14"/>
      <c r="P450" s="56">
        <f ca="1">MATCH(N450,INDIRECT(nomFichierEAN13Valmag &amp; "!A:A"),0)</f>
        <v>197</v>
      </c>
      <c r="R450" s="50" t="str">
        <f t="shared" ref="R450:R489" ca="1" si="1703">LEFT(B450,14)</f>
        <v>SHOUX101-ECS00</v>
      </c>
      <c r="S450" s="52">
        <f ca="1">MATCH($R450,INDIRECT(nomFichierEAN13ValmagUniq &amp; "!A:A"),0)</f>
        <v>377</v>
      </c>
      <c r="T450" s="49" t="str">
        <f ca="1">IFERROR(INDEX(INDIRECT(zoneFichierEAN13ValmagUniq),S450,2),"")</f>
        <v>ANSESTUB/BANDOUL</v>
      </c>
      <c r="U450" s="52" t="e">
        <f ca="1">MATCH($R450,INDIRECT(nomFichierEAN13ValmagUniq &amp; "!A" &amp; (S450+1) &amp; ":A" &amp;  (S450+10)),0)</f>
        <v>#N/A</v>
      </c>
      <c r="V450" s="51" t="e">
        <f t="shared" ref="V450:V489" ca="1" si="1704">U450+S450</f>
        <v>#N/A</v>
      </c>
      <c r="W450" s="49" t="str">
        <f ca="1">IFERROR(INDEX(INDIRECT(zoneFichierEAN13ValmagUniq),V450,2),"")</f>
        <v/>
      </c>
      <c r="X450" s="52" t="e">
        <f ca="1">MATCH($R450,INDIRECT(nomFichierEAN13ValmagUniq &amp; "!A" &amp; (V450+1) &amp; ":A" &amp;  (V450+10)),0)</f>
        <v>#N/A</v>
      </c>
      <c r="Y450" s="51" t="e">
        <f t="shared" ref="Y450:Y489" ca="1" si="1705">X450+V450</f>
        <v>#N/A</v>
      </c>
      <c r="Z450" s="49" t="str">
        <f ca="1">IFERROR(INDEX(INDIRECT(zoneFichierEAN13ValmagUniq),Y450,2),"")</f>
        <v/>
      </c>
      <c r="AA450" s="53" t="str">
        <f t="shared" ref="AA450:AA489" ca="1" si="1706">T450 &amp; IF(W450="","", " | " &amp; W450) &amp; IF(Z450="","", " | " &amp;Z450)</f>
        <v>ANSESTUB/BANDOUL</v>
      </c>
      <c r="AC450" s="55">
        <f ca="1">MATCH(B450,INDIRECT(nomFichierFiltreCatalogue &amp; "!B:B"),0)</f>
        <v>231</v>
      </c>
      <c r="AD450" s="14"/>
    </row>
    <row r="451" spans="1:30" s="20" customFormat="1" ht="15.75" customHeight="1" x14ac:dyDescent="0.25">
      <c r="A451" s="25">
        <f ca="1">INDEX(INDIRECT(zoneFichierTraite),$J450+offsetInitialFichierTraite,2)</f>
        <v>75</v>
      </c>
      <c r="B451" s="57" t="str">
        <f ca="1">IF(ISERROR($P450),msgRefValmagAcreer,IF(INDEX(INDIRECT(zoneFichierEAN13Valmag),$P450,3) = "",msgCodeValmagVide, INDEX(INDIRECT(zoneFichierEAN13Valmag),$P450,3)))</f>
        <v>ANSESTUB/BANDOUL</v>
      </c>
      <c r="C451" s="54" t="str">
        <f t="shared" ref="C451:C489" ca="1" si="1707">AA450</f>
        <v>ANSESTUB/BANDOUL</v>
      </c>
      <c r="D451" s="19" t="str">
        <f ca="1">IFERROR(INDEX(INDIRECT(zoneFichierEAN13Valmag),$P450,4),"")</f>
        <v>BLUET</v>
      </c>
      <c r="E451" s="58" t="str">
        <f ca="1">IFERROR(INDEX(INDIRECT(zoneFichierFiltreCatalogue),AC450,3),"")</f>
        <v>p044-2-06</v>
      </c>
      <c r="F451" s="19"/>
      <c r="G451" s="18"/>
      <c r="H451" s="32" t="str">
        <f ca="1">IFERROR(INDEX(INDIRECT(zoneFichierFiltreCatalogue),AC450,6),"")</f>
        <v>fall 2019 presentation_/catalogo fall 19.txt</v>
      </c>
      <c r="S451" s="1"/>
      <c r="T451" s="21"/>
      <c r="U451" s="21"/>
      <c r="V451" s="21"/>
      <c r="W451" s="21"/>
      <c r="X451" s="21"/>
      <c r="Y451" s="21"/>
      <c r="Z451" s="21"/>
      <c r="AA451" s="21"/>
      <c r="AB451" s="21"/>
      <c r="AC451" s="21"/>
    </row>
    <row r="452" spans="1:30" ht="39" customHeight="1" thickBot="1" x14ac:dyDescent="0.65">
      <c r="A452" s="9">
        <f ca="1">INDEX(INDIRECT(zoneFichierTraite),$J452+offsetInitialFichierTraite,6)</f>
        <v>0</v>
      </c>
      <c r="B452" s="5">
        <f ca="1">INDEX(INDIRECT(zoneFichierTraite),$J452+offsetInitialFichierTraite,4)</f>
        <v>0</v>
      </c>
      <c r="C452" s="26">
        <f ca="1">INDEX(INDIRECT(zoneFichierTraite),$J452+offsetInitialFichierTraite,5)</f>
        <v>0</v>
      </c>
      <c r="D452" s="27">
        <f ca="1">INDEX(INDIRECT(zoneFichierTraite),$J452+offsetInitialFichierTraite,13)</f>
        <v>0</v>
      </c>
      <c r="E452" s="30">
        <f ca="1">INDEX(INDIRECT(zoneFichierTraite),$J452+offsetInitialFichierTraite,7)</f>
        <v>0</v>
      </c>
      <c r="F452" s="28">
        <f ca="1">INDEX(INDIRECT(zoneFichierTraite),$J452+offsetInitialFichierTraite,8)</f>
        <v>0</v>
      </c>
      <c r="G452" s="29">
        <f t="shared" ref="G452:G489" ca="1" si="1708">ROUNDUP(F452*3,0)</f>
        <v>0</v>
      </c>
      <c r="H452" s="31" t="str">
        <f ca="1">IF(ISNUMBER(N452),codeEAN13(INT(N452/10)),"")</f>
        <v/>
      </c>
      <c r="I452" s="1" t="b">
        <f t="shared" ref="I452:I489" ca="1" si="1709">AND(A455&lt;&gt;0,A453=A455)</f>
        <v>0</v>
      </c>
      <c r="J452" s="15">
        <f t="shared" si="1477"/>
        <v>222</v>
      </c>
      <c r="K452" s="1">
        <f t="shared" ref="K452:K489" ca="1" si="1710">A453</f>
        <v>0</v>
      </c>
      <c r="L452" s="5">
        <f ca="1">INDEX(INDIRECT(zoneFichierTraite),$J452+offsetInitialFichierTraite,1)</f>
        <v>0</v>
      </c>
      <c r="M452" s="11">
        <f ca="1">INDEX(INDIRECT(zoneFichierTraite),$J452+offsetInitialFichierTraite,9)</f>
        <v>0</v>
      </c>
      <c r="N452" s="14">
        <f ca="1">INDEX(INDIRECT(zoneFichierTraite),$J452+offsetInitialFichierTraite,3)</f>
        <v>0</v>
      </c>
      <c r="O452" s="14"/>
      <c r="P452" s="56" t="e">
        <f ca="1">MATCH(N452,INDIRECT(nomFichierEAN13Valmag &amp; "!A:A"),0)</f>
        <v>#N/A</v>
      </c>
      <c r="R452" s="50" t="str">
        <f t="shared" ref="R452:R489" ca="1" si="1711">LEFT(B452,14)</f>
        <v>0</v>
      </c>
      <c r="S452" s="52" t="e">
        <f ca="1">MATCH($R452,INDIRECT(nomFichierEAN13ValmagUniq &amp; "!A:A"),0)</f>
        <v>#N/A</v>
      </c>
      <c r="T452" s="49" t="str">
        <f ca="1">IFERROR(INDEX(INDIRECT(zoneFichierEAN13ValmagUniq),S452,2),"")</f>
        <v/>
      </c>
      <c r="U452" s="52" t="e">
        <f ca="1">MATCH($R452,INDIRECT(nomFichierEAN13ValmagUniq &amp; "!A" &amp; (S452+1) &amp; ":A" &amp;  (S452+10)),0)</f>
        <v>#N/A</v>
      </c>
      <c r="V452" s="51" t="e">
        <f t="shared" ref="V452:V489" ca="1" si="1712">U452+S452</f>
        <v>#N/A</v>
      </c>
      <c r="W452" s="49" t="str">
        <f ca="1">IFERROR(INDEX(INDIRECT(zoneFichierEAN13ValmagUniq),V452,2),"")</f>
        <v/>
      </c>
      <c r="X452" s="52" t="e">
        <f ca="1">MATCH($R452,INDIRECT(nomFichierEAN13ValmagUniq &amp; "!A" &amp; (V452+1) &amp; ":A" &amp;  (V452+10)),0)</f>
        <v>#N/A</v>
      </c>
      <c r="Y452" s="51" t="e">
        <f t="shared" ref="Y452:Y489" ca="1" si="1713">X452+V452</f>
        <v>#N/A</v>
      </c>
      <c r="Z452" s="49" t="str">
        <f ca="1">IFERROR(INDEX(INDIRECT(zoneFichierEAN13ValmagUniq),Y452,2),"")</f>
        <v/>
      </c>
      <c r="AA452" s="53" t="str">
        <f t="shared" ref="AA452:AA489" ca="1" si="1714">T452 &amp; IF(W452="","", " | " &amp; W452) &amp; IF(Z452="","", " | " &amp;Z452)</f>
        <v/>
      </c>
      <c r="AC452" s="55" t="e">
        <f ca="1">MATCH(B452,INDIRECT(nomFichierFiltreCatalogue &amp; "!B:B"),0)</f>
        <v>#N/A</v>
      </c>
      <c r="AD452" s="14"/>
    </row>
    <row r="453" spans="1:30" s="20" customFormat="1" ht="15.75" customHeight="1" x14ac:dyDescent="0.25">
      <c r="A453" s="25">
        <f ca="1">INDEX(INDIRECT(zoneFichierTraite),$J452+offsetInitialFichierTraite,2)</f>
        <v>0</v>
      </c>
      <c r="B453" s="57" t="str">
        <f ca="1">IF(ISERROR($P452),msgRefValmagAcreer,IF(INDEX(INDIRECT(zoneFichierEAN13Valmag),$P452,3) = "",msgCodeValmagVide, INDEX(INDIRECT(zoneFichierEAN13Valmag),$P452,3)))</f>
        <v>&gt; Référence à créer</v>
      </c>
      <c r="C453" s="54" t="str">
        <f t="shared" ref="C453:C489" ca="1" si="1715">AA452</f>
        <v/>
      </c>
      <c r="D453" s="19" t="str">
        <f ca="1">IFERROR(INDEX(INDIRECT(zoneFichierEAN13Valmag),$P452,4),"")</f>
        <v/>
      </c>
      <c r="E453" s="58" t="str">
        <f ca="1">IFERROR(INDEX(INDIRECT(zoneFichierFiltreCatalogue),AC452,3),"")</f>
        <v/>
      </c>
      <c r="F453" s="19"/>
      <c r="G453" s="18"/>
      <c r="H453" s="32" t="str">
        <f ca="1">IFERROR(INDEX(INDIRECT(zoneFichierFiltreCatalogue),AC452,6),"")</f>
        <v/>
      </c>
      <c r="S453" s="1"/>
      <c r="T453" s="21"/>
      <c r="U453" s="21"/>
      <c r="V453" s="21"/>
      <c r="W453" s="21"/>
      <c r="X453" s="21"/>
      <c r="Y453" s="21"/>
      <c r="Z453" s="21"/>
      <c r="AA453" s="21"/>
      <c r="AB453" s="21"/>
      <c r="AC453" s="21"/>
    </row>
    <row r="454" spans="1:30" ht="39" customHeight="1" thickBot="1" x14ac:dyDescent="0.65">
      <c r="A454" s="9">
        <f ca="1">INDEX(INDIRECT(zoneFichierTraite),$J454+offsetInitialFichierTraite,6)</f>
        <v>0</v>
      </c>
      <c r="B454" s="5">
        <f ca="1">INDEX(INDIRECT(zoneFichierTraite),$J454+offsetInitialFichierTraite,4)</f>
        <v>0</v>
      </c>
      <c r="C454" s="26">
        <f ca="1">INDEX(INDIRECT(zoneFichierTraite),$J454+offsetInitialFichierTraite,5)</f>
        <v>0</v>
      </c>
      <c r="D454" s="27">
        <f ca="1">INDEX(INDIRECT(zoneFichierTraite),$J454+offsetInitialFichierTraite,13)</f>
        <v>0</v>
      </c>
      <c r="E454" s="30">
        <f ca="1">INDEX(INDIRECT(zoneFichierTraite),$J454+offsetInitialFichierTraite,7)</f>
        <v>0</v>
      </c>
      <c r="F454" s="28">
        <f ca="1">INDEX(INDIRECT(zoneFichierTraite),$J454+offsetInitialFichierTraite,8)</f>
        <v>0</v>
      </c>
      <c r="G454" s="29">
        <f t="shared" ref="G454:G489" ca="1" si="1716">ROUNDUP(F454*3,0)</f>
        <v>0</v>
      </c>
      <c r="H454" s="31" t="str">
        <f ca="1">IF(ISNUMBER(N454),codeEAN13(INT(N454/10)),"")</f>
        <v/>
      </c>
      <c r="I454" s="1" t="b">
        <f t="shared" ref="I454:I489" ca="1" si="1717">AND(A457&lt;&gt;0,A455=A457)</f>
        <v>0</v>
      </c>
      <c r="J454" s="15">
        <f t="shared" si="1477"/>
        <v>223</v>
      </c>
      <c r="K454" s="1">
        <f t="shared" ref="K454:K489" ca="1" si="1718">A455</f>
        <v>0</v>
      </c>
      <c r="L454" s="5">
        <f ca="1">INDEX(INDIRECT(zoneFichierTraite),$J454+offsetInitialFichierTraite,1)</f>
        <v>0</v>
      </c>
      <c r="M454" s="11">
        <f ca="1">INDEX(INDIRECT(zoneFichierTraite),$J454+offsetInitialFichierTraite,9)</f>
        <v>0</v>
      </c>
      <c r="N454" s="14">
        <f ca="1">INDEX(INDIRECT(zoneFichierTraite),$J454+offsetInitialFichierTraite,3)</f>
        <v>0</v>
      </c>
      <c r="O454" s="14"/>
      <c r="P454" s="56" t="e">
        <f ca="1">MATCH(N454,INDIRECT(nomFichierEAN13Valmag &amp; "!A:A"),0)</f>
        <v>#N/A</v>
      </c>
      <c r="R454" s="50" t="str">
        <f t="shared" ref="R454:R489" ca="1" si="1719">LEFT(B454,14)</f>
        <v>0</v>
      </c>
      <c r="S454" s="52" t="e">
        <f ca="1">MATCH($R454,INDIRECT(nomFichierEAN13ValmagUniq &amp; "!A:A"),0)</f>
        <v>#N/A</v>
      </c>
      <c r="T454" s="49" t="str">
        <f ca="1">IFERROR(INDEX(INDIRECT(zoneFichierEAN13ValmagUniq),S454,2),"")</f>
        <v/>
      </c>
      <c r="U454" s="52" t="e">
        <f ca="1">MATCH($R454,INDIRECT(nomFichierEAN13ValmagUniq &amp; "!A" &amp; (S454+1) &amp; ":A" &amp;  (S454+10)),0)</f>
        <v>#N/A</v>
      </c>
      <c r="V454" s="51" t="e">
        <f t="shared" ref="V454:V489" ca="1" si="1720">U454+S454</f>
        <v>#N/A</v>
      </c>
      <c r="W454" s="49" t="str">
        <f ca="1">IFERROR(INDEX(INDIRECT(zoneFichierEAN13ValmagUniq),V454,2),"")</f>
        <v/>
      </c>
      <c r="X454" s="52" t="e">
        <f ca="1">MATCH($R454,INDIRECT(nomFichierEAN13ValmagUniq &amp; "!A" &amp; (V454+1) &amp; ":A" &amp;  (V454+10)),0)</f>
        <v>#N/A</v>
      </c>
      <c r="Y454" s="51" t="e">
        <f t="shared" ref="Y454:Y489" ca="1" si="1721">X454+V454</f>
        <v>#N/A</v>
      </c>
      <c r="Z454" s="49" t="str">
        <f ca="1">IFERROR(INDEX(INDIRECT(zoneFichierEAN13ValmagUniq),Y454,2),"")</f>
        <v/>
      </c>
      <c r="AA454" s="53" t="str">
        <f t="shared" ref="AA454:AA489" ca="1" si="1722">T454 &amp; IF(W454="","", " | " &amp; W454) &amp; IF(Z454="","", " | " &amp;Z454)</f>
        <v/>
      </c>
      <c r="AC454" s="55" t="e">
        <f ca="1">MATCH(B454,INDIRECT(nomFichierFiltreCatalogue &amp; "!B:B"),0)</f>
        <v>#N/A</v>
      </c>
      <c r="AD454" s="14"/>
    </row>
    <row r="455" spans="1:30" s="20" customFormat="1" ht="15.75" customHeight="1" x14ac:dyDescent="0.25">
      <c r="A455" s="25">
        <f ca="1">INDEX(INDIRECT(zoneFichierTraite),$J454+offsetInitialFichierTraite,2)</f>
        <v>0</v>
      </c>
      <c r="B455" s="57" t="str">
        <f ca="1">IF(ISERROR($P454),msgRefValmagAcreer,IF(INDEX(INDIRECT(zoneFichierEAN13Valmag),$P454,3) = "",msgCodeValmagVide, INDEX(INDIRECT(zoneFichierEAN13Valmag),$P454,3)))</f>
        <v>&gt; Référence à créer</v>
      </c>
      <c r="C455" s="54" t="str">
        <f t="shared" ref="C455:C489" ca="1" si="1723">AA454</f>
        <v/>
      </c>
      <c r="D455" s="19" t="str">
        <f ca="1">IFERROR(INDEX(INDIRECT(zoneFichierEAN13Valmag),$P454,4),"")</f>
        <v/>
      </c>
      <c r="E455" s="58" t="str">
        <f ca="1">IFERROR(INDEX(INDIRECT(zoneFichierFiltreCatalogue),AC454,3),"")</f>
        <v/>
      </c>
      <c r="F455" s="19"/>
      <c r="G455" s="18"/>
      <c r="H455" s="32" t="str">
        <f ca="1">IFERROR(INDEX(INDIRECT(zoneFichierFiltreCatalogue),AC454,6),"")</f>
        <v/>
      </c>
      <c r="S455" s="1"/>
      <c r="T455" s="21"/>
      <c r="U455" s="21"/>
      <c r="V455" s="21"/>
      <c r="W455" s="21"/>
      <c r="X455" s="21"/>
      <c r="Y455" s="21"/>
      <c r="Z455" s="21"/>
      <c r="AA455" s="21"/>
      <c r="AB455" s="21"/>
      <c r="AC455" s="21"/>
    </row>
    <row r="456" spans="1:30" ht="39" customHeight="1" thickBot="1" x14ac:dyDescent="0.65">
      <c r="A456" s="9">
        <f ca="1">INDEX(INDIRECT(zoneFichierTraite),$J456+offsetInitialFichierTraite,6)</f>
        <v>0</v>
      </c>
      <c r="B456" s="5">
        <f ca="1">INDEX(INDIRECT(zoneFichierTraite),$J456+offsetInitialFichierTraite,4)</f>
        <v>0</v>
      </c>
      <c r="C456" s="26">
        <f ca="1">INDEX(INDIRECT(zoneFichierTraite),$J456+offsetInitialFichierTraite,5)</f>
        <v>0</v>
      </c>
      <c r="D456" s="27">
        <f ca="1">INDEX(INDIRECT(zoneFichierTraite),$J456+offsetInitialFichierTraite,13)</f>
        <v>0</v>
      </c>
      <c r="E456" s="30">
        <f ca="1">INDEX(INDIRECT(zoneFichierTraite),$J456+offsetInitialFichierTraite,7)</f>
        <v>0</v>
      </c>
      <c r="F456" s="28">
        <f ca="1">INDEX(INDIRECT(zoneFichierTraite),$J456+offsetInitialFichierTraite,8)</f>
        <v>0</v>
      </c>
      <c r="G456" s="29">
        <f t="shared" ref="G456:G489" ca="1" si="1724">ROUNDUP(F456*3,0)</f>
        <v>0</v>
      </c>
      <c r="H456" s="31" t="str">
        <f ca="1">IF(ISNUMBER(N456),codeEAN13(INT(N456/10)),"")</f>
        <v/>
      </c>
      <c r="I456" s="1" t="b">
        <f t="shared" ref="I456:I489" ca="1" si="1725">AND(A459&lt;&gt;0,A457=A459)</f>
        <v>0</v>
      </c>
      <c r="J456" s="15">
        <f t="shared" si="1477"/>
        <v>224</v>
      </c>
      <c r="K456" s="1">
        <f t="shared" ref="K456:K489" ca="1" si="1726">A457</f>
        <v>0</v>
      </c>
      <c r="L456" s="5">
        <f ca="1">INDEX(INDIRECT(zoneFichierTraite),$J456+offsetInitialFichierTraite,1)</f>
        <v>0</v>
      </c>
      <c r="M456" s="11">
        <f ca="1">INDEX(INDIRECT(zoneFichierTraite),$J456+offsetInitialFichierTraite,9)</f>
        <v>0</v>
      </c>
      <c r="N456" s="14">
        <f ca="1">INDEX(INDIRECT(zoneFichierTraite),$J456+offsetInitialFichierTraite,3)</f>
        <v>0</v>
      </c>
      <c r="O456" s="14"/>
      <c r="P456" s="56" t="e">
        <f ca="1">MATCH(N456,INDIRECT(nomFichierEAN13Valmag &amp; "!A:A"),0)</f>
        <v>#N/A</v>
      </c>
      <c r="R456" s="50" t="str">
        <f t="shared" ref="R456:R489" ca="1" si="1727">LEFT(B456,14)</f>
        <v>0</v>
      </c>
      <c r="S456" s="52" t="e">
        <f ca="1">MATCH($R456,INDIRECT(nomFichierEAN13ValmagUniq &amp; "!A:A"),0)</f>
        <v>#N/A</v>
      </c>
      <c r="T456" s="49" t="str">
        <f ca="1">IFERROR(INDEX(INDIRECT(zoneFichierEAN13ValmagUniq),S456,2),"")</f>
        <v/>
      </c>
      <c r="U456" s="52" t="e">
        <f ca="1">MATCH($R456,INDIRECT(nomFichierEAN13ValmagUniq &amp; "!A" &amp; (S456+1) &amp; ":A" &amp;  (S456+10)),0)</f>
        <v>#N/A</v>
      </c>
      <c r="V456" s="51" t="e">
        <f t="shared" ref="V456:V489" ca="1" si="1728">U456+S456</f>
        <v>#N/A</v>
      </c>
      <c r="W456" s="49" t="str">
        <f ca="1">IFERROR(INDEX(INDIRECT(zoneFichierEAN13ValmagUniq),V456,2),"")</f>
        <v/>
      </c>
      <c r="X456" s="52" t="e">
        <f ca="1">MATCH($R456,INDIRECT(nomFichierEAN13ValmagUniq &amp; "!A" &amp; (V456+1) &amp; ":A" &amp;  (V456+10)),0)</f>
        <v>#N/A</v>
      </c>
      <c r="Y456" s="51" t="e">
        <f t="shared" ref="Y456:Y489" ca="1" si="1729">X456+V456</f>
        <v>#N/A</v>
      </c>
      <c r="Z456" s="49" t="str">
        <f ca="1">IFERROR(INDEX(INDIRECT(zoneFichierEAN13ValmagUniq),Y456,2),"")</f>
        <v/>
      </c>
      <c r="AA456" s="53" t="str">
        <f t="shared" ref="AA456:AA489" ca="1" si="1730">T456 &amp; IF(W456="","", " | " &amp; W456) &amp; IF(Z456="","", " | " &amp;Z456)</f>
        <v/>
      </c>
      <c r="AC456" s="55" t="e">
        <f ca="1">MATCH(B456,INDIRECT(nomFichierFiltreCatalogue &amp; "!B:B"),0)</f>
        <v>#N/A</v>
      </c>
      <c r="AD456" s="14"/>
    </row>
    <row r="457" spans="1:30" s="20" customFormat="1" ht="15.75" customHeight="1" x14ac:dyDescent="0.25">
      <c r="A457" s="25">
        <f ca="1">INDEX(INDIRECT(zoneFichierTraite),$J456+offsetInitialFichierTraite,2)</f>
        <v>0</v>
      </c>
      <c r="B457" s="57" t="str">
        <f ca="1">IF(ISERROR($P456),msgRefValmagAcreer,IF(INDEX(INDIRECT(zoneFichierEAN13Valmag),$P456,3) = "",msgCodeValmagVide, INDEX(INDIRECT(zoneFichierEAN13Valmag),$P456,3)))</f>
        <v>&gt; Référence à créer</v>
      </c>
      <c r="C457" s="54" t="str">
        <f t="shared" ref="C457:C489" ca="1" si="1731">AA456</f>
        <v/>
      </c>
      <c r="D457" s="19" t="str">
        <f ca="1">IFERROR(INDEX(INDIRECT(zoneFichierEAN13Valmag),$P456,4),"")</f>
        <v/>
      </c>
      <c r="E457" s="58" t="str">
        <f ca="1">IFERROR(INDEX(INDIRECT(zoneFichierFiltreCatalogue),AC456,3),"")</f>
        <v/>
      </c>
      <c r="F457" s="19"/>
      <c r="G457" s="18"/>
      <c r="H457" s="32" t="str">
        <f ca="1">IFERROR(INDEX(INDIRECT(zoneFichierFiltreCatalogue),AC456,6),"")</f>
        <v/>
      </c>
      <c r="S457" s="1"/>
      <c r="T457" s="21"/>
      <c r="U457" s="21"/>
      <c r="V457" s="21"/>
      <c r="W457" s="21"/>
      <c r="X457" s="21"/>
      <c r="Y457" s="21"/>
      <c r="Z457" s="21"/>
      <c r="AA457" s="21"/>
      <c r="AB457" s="21"/>
      <c r="AC457" s="21"/>
    </row>
    <row r="458" spans="1:30" ht="39" customHeight="1" thickBot="1" x14ac:dyDescent="0.65">
      <c r="A458" s="9">
        <f ca="1">INDEX(INDIRECT(zoneFichierTraite),$J458+offsetInitialFichierTraite,6)</f>
        <v>0</v>
      </c>
      <c r="B458" s="5">
        <f ca="1">INDEX(INDIRECT(zoneFichierTraite),$J458+offsetInitialFichierTraite,4)</f>
        <v>0</v>
      </c>
      <c r="C458" s="26">
        <f ca="1">INDEX(INDIRECT(zoneFichierTraite),$J458+offsetInitialFichierTraite,5)</f>
        <v>0</v>
      </c>
      <c r="D458" s="27">
        <f ca="1">INDEX(INDIRECT(zoneFichierTraite),$J458+offsetInitialFichierTraite,13)</f>
        <v>0</v>
      </c>
      <c r="E458" s="30">
        <f ca="1">INDEX(INDIRECT(zoneFichierTraite),$J458+offsetInitialFichierTraite,7)</f>
        <v>0</v>
      </c>
      <c r="F458" s="28">
        <f ca="1">INDEX(INDIRECT(zoneFichierTraite),$J458+offsetInitialFichierTraite,8)</f>
        <v>0</v>
      </c>
      <c r="G458" s="29">
        <f t="shared" ref="G458:G489" ca="1" si="1732">ROUNDUP(F458*3,0)</f>
        <v>0</v>
      </c>
      <c r="H458" s="31" t="str">
        <f ca="1">IF(ISNUMBER(N458),codeEAN13(INT(N458/10)),"")</f>
        <v/>
      </c>
      <c r="I458" s="1" t="b">
        <f t="shared" ref="I458:I489" ca="1" si="1733">AND(A461&lt;&gt;0,A459=A461)</f>
        <v>0</v>
      </c>
      <c r="J458" s="15">
        <f t="shared" ref="J458:J488" si="1734">J456+1</f>
        <v>225</v>
      </c>
      <c r="K458" s="1">
        <f t="shared" ref="K458:K489" ca="1" si="1735">A459</f>
        <v>0</v>
      </c>
      <c r="L458" s="5">
        <f ca="1">INDEX(INDIRECT(zoneFichierTraite),$J458+offsetInitialFichierTraite,1)</f>
        <v>0</v>
      </c>
      <c r="M458" s="11">
        <f ca="1">INDEX(INDIRECT(zoneFichierTraite),$J458+offsetInitialFichierTraite,9)</f>
        <v>0</v>
      </c>
      <c r="N458" s="14">
        <f ca="1">INDEX(INDIRECT(zoneFichierTraite),$J458+offsetInitialFichierTraite,3)</f>
        <v>0</v>
      </c>
      <c r="O458" s="14"/>
      <c r="P458" s="56" t="e">
        <f ca="1">MATCH(N458,INDIRECT(nomFichierEAN13Valmag &amp; "!A:A"),0)</f>
        <v>#N/A</v>
      </c>
      <c r="R458" s="50" t="str">
        <f t="shared" ref="R458:R489" ca="1" si="1736">LEFT(B458,14)</f>
        <v>0</v>
      </c>
      <c r="S458" s="52" t="e">
        <f ca="1">MATCH($R458,INDIRECT(nomFichierEAN13ValmagUniq &amp; "!A:A"),0)</f>
        <v>#N/A</v>
      </c>
      <c r="T458" s="49" t="str">
        <f ca="1">IFERROR(INDEX(INDIRECT(zoneFichierEAN13ValmagUniq),S458,2),"")</f>
        <v/>
      </c>
      <c r="U458" s="52" t="e">
        <f ca="1">MATCH($R458,INDIRECT(nomFichierEAN13ValmagUniq &amp; "!A" &amp; (S458+1) &amp; ":A" &amp;  (S458+10)),0)</f>
        <v>#N/A</v>
      </c>
      <c r="V458" s="51" t="e">
        <f t="shared" ref="V458:V489" ca="1" si="1737">U458+S458</f>
        <v>#N/A</v>
      </c>
      <c r="W458" s="49" t="str">
        <f ca="1">IFERROR(INDEX(INDIRECT(zoneFichierEAN13ValmagUniq),V458,2),"")</f>
        <v/>
      </c>
      <c r="X458" s="52" t="e">
        <f ca="1">MATCH($R458,INDIRECT(nomFichierEAN13ValmagUniq &amp; "!A" &amp; (V458+1) &amp; ":A" &amp;  (V458+10)),0)</f>
        <v>#N/A</v>
      </c>
      <c r="Y458" s="51" t="e">
        <f t="shared" ref="Y458:Y489" ca="1" si="1738">X458+V458</f>
        <v>#N/A</v>
      </c>
      <c r="Z458" s="49" t="str">
        <f ca="1">IFERROR(INDEX(INDIRECT(zoneFichierEAN13ValmagUniq),Y458,2),"")</f>
        <v/>
      </c>
      <c r="AA458" s="53" t="str">
        <f t="shared" ref="AA458:AA489" ca="1" si="1739">T458 &amp; IF(W458="","", " | " &amp; W458) &amp; IF(Z458="","", " | " &amp;Z458)</f>
        <v/>
      </c>
      <c r="AC458" s="55" t="e">
        <f ca="1">MATCH(B458,INDIRECT(nomFichierFiltreCatalogue &amp; "!B:B"),0)</f>
        <v>#N/A</v>
      </c>
      <c r="AD458" s="14"/>
    </row>
    <row r="459" spans="1:30" s="20" customFormat="1" ht="15.75" customHeight="1" x14ac:dyDescent="0.25">
      <c r="A459" s="25">
        <f ca="1">INDEX(INDIRECT(zoneFichierTraite),$J458+offsetInitialFichierTraite,2)</f>
        <v>0</v>
      </c>
      <c r="B459" s="57" t="str">
        <f ca="1">IF(ISERROR($P458),msgRefValmagAcreer,IF(INDEX(INDIRECT(zoneFichierEAN13Valmag),$P458,3) = "",msgCodeValmagVide, INDEX(INDIRECT(zoneFichierEAN13Valmag),$P458,3)))</f>
        <v>&gt; Référence à créer</v>
      </c>
      <c r="C459" s="54" t="str">
        <f t="shared" ref="C459:C489" ca="1" si="1740">AA458</f>
        <v/>
      </c>
      <c r="D459" s="19" t="str">
        <f ca="1">IFERROR(INDEX(INDIRECT(zoneFichierEAN13Valmag),$P458,4),"")</f>
        <v/>
      </c>
      <c r="E459" s="58" t="str">
        <f ca="1">IFERROR(INDEX(INDIRECT(zoneFichierFiltreCatalogue),AC458,3),"")</f>
        <v/>
      </c>
      <c r="F459" s="19"/>
      <c r="G459" s="18"/>
      <c r="H459" s="32" t="str">
        <f ca="1">IFERROR(INDEX(INDIRECT(zoneFichierFiltreCatalogue),AC458,6),"")</f>
        <v/>
      </c>
      <c r="S459" s="1"/>
      <c r="T459" s="21"/>
      <c r="U459" s="21"/>
      <c r="V459" s="21"/>
      <c r="W459" s="21"/>
      <c r="X459" s="21"/>
      <c r="Y459" s="21"/>
      <c r="Z459" s="21"/>
      <c r="AA459" s="21"/>
      <c r="AB459" s="21"/>
      <c r="AC459" s="21"/>
    </row>
    <row r="460" spans="1:30" ht="39" customHeight="1" thickBot="1" x14ac:dyDescent="0.65">
      <c r="A460" s="9">
        <f ca="1">INDEX(INDIRECT(zoneFichierTraite),$J460+offsetInitialFichierTraite,6)</f>
        <v>0</v>
      </c>
      <c r="B460" s="5">
        <f ca="1">INDEX(INDIRECT(zoneFichierTraite),$J460+offsetInitialFichierTraite,4)</f>
        <v>0</v>
      </c>
      <c r="C460" s="26">
        <f ca="1">INDEX(INDIRECT(zoneFichierTraite),$J460+offsetInitialFichierTraite,5)</f>
        <v>0</v>
      </c>
      <c r="D460" s="27">
        <f ca="1">INDEX(INDIRECT(zoneFichierTraite),$J460+offsetInitialFichierTraite,13)</f>
        <v>0</v>
      </c>
      <c r="E460" s="30">
        <f ca="1">INDEX(INDIRECT(zoneFichierTraite),$J460+offsetInitialFichierTraite,7)</f>
        <v>0</v>
      </c>
      <c r="F460" s="28">
        <f ca="1">INDEX(INDIRECT(zoneFichierTraite),$J460+offsetInitialFichierTraite,8)</f>
        <v>0</v>
      </c>
      <c r="G460" s="29">
        <f t="shared" ref="G460:G489" ca="1" si="1741">ROUNDUP(F460*3,0)</f>
        <v>0</v>
      </c>
      <c r="H460" s="31" t="str">
        <f ca="1">IF(ISNUMBER(N460),codeEAN13(INT(N460/10)),"")</f>
        <v/>
      </c>
      <c r="I460" s="1" t="b">
        <f t="shared" ref="I460:I489" ca="1" si="1742">AND(A463&lt;&gt;0,A461=A463)</f>
        <v>0</v>
      </c>
      <c r="J460" s="15">
        <f t="shared" si="1734"/>
        <v>226</v>
      </c>
      <c r="K460" s="1">
        <f t="shared" ref="K460:K489" ca="1" si="1743">A461</f>
        <v>0</v>
      </c>
      <c r="L460" s="5">
        <f ca="1">INDEX(INDIRECT(zoneFichierTraite),$J460+offsetInitialFichierTraite,1)</f>
        <v>0</v>
      </c>
      <c r="M460" s="11">
        <f ca="1">INDEX(INDIRECT(zoneFichierTraite),$J460+offsetInitialFichierTraite,9)</f>
        <v>0</v>
      </c>
      <c r="N460" s="14">
        <f ca="1">INDEX(INDIRECT(zoneFichierTraite),$J460+offsetInitialFichierTraite,3)</f>
        <v>0</v>
      </c>
      <c r="O460" s="14"/>
      <c r="P460" s="56" t="e">
        <f ca="1">MATCH(N460,INDIRECT(nomFichierEAN13Valmag &amp; "!A:A"),0)</f>
        <v>#N/A</v>
      </c>
      <c r="R460" s="50" t="str">
        <f t="shared" ref="R460:R489" ca="1" si="1744">LEFT(B460,14)</f>
        <v>0</v>
      </c>
      <c r="S460" s="52" t="e">
        <f ca="1">MATCH($R460,INDIRECT(nomFichierEAN13ValmagUniq &amp; "!A:A"),0)</f>
        <v>#N/A</v>
      </c>
      <c r="T460" s="49" t="str">
        <f ca="1">IFERROR(INDEX(INDIRECT(zoneFichierEAN13ValmagUniq),S460,2),"")</f>
        <v/>
      </c>
      <c r="U460" s="52" t="e">
        <f ca="1">MATCH($R460,INDIRECT(nomFichierEAN13ValmagUniq &amp; "!A" &amp; (S460+1) &amp; ":A" &amp;  (S460+10)),0)</f>
        <v>#N/A</v>
      </c>
      <c r="V460" s="51" t="e">
        <f t="shared" ref="V460:V489" ca="1" si="1745">U460+S460</f>
        <v>#N/A</v>
      </c>
      <c r="W460" s="49" t="str">
        <f ca="1">IFERROR(INDEX(INDIRECT(zoneFichierEAN13ValmagUniq),V460,2),"")</f>
        <v/>
      </c>
      <c r="X460" s="52" t="e">
        <f ca="1">MATCH($R460,INDIRECT(nomFichierEAN13ValmagUniq &amp; "!A" &amp; (V460+1) &amp; ":A" &amp;  (V460+10)),0)</f>
        <v>#N/A</v>
      </c>
      <c r="Y460" s="51" t="e">
        <f t="shared" ref="Y460:Y489" ca="1" si="1746">X460+V460</f>
        <v>#N/A</v>
      </c>
      <c r="Z460" s="49" t="str">
        <f ca="1">IFERROR(INDEX(INDIRECT(zoneFichierEAN13ValmagUniq),Y460,2),"")</f>
        <v/>
      </c>
      <c r="AA460" s="53" t="str">
        <f t="shared" ref="AA460:AA489" ca="1" si="1747">T460 &amp; IF(W460="","", " | " &amp; W460) &amp; IF(Z460="","", " | " &amp;Z460)</f>
        <v/>
      </c>
      <c r="AC460" s="55" t="e">
        <f ca="1">MATCH(B460,INDIRECT(nomFichierFiltreCatalogue &amp; "!B:B"),0)</f>
        <v>#N/A</v>
      </c>
      <c r="AD460" s="14"/>
    </row>
    <row r="461" spans="1:30" s="20" customFormat="1" ht="15.75" customHeight="1" x14ac:dyDescent="0.25">
      <c r="A461" s="25">
        <f ca="1">INDEX(INDIRECT(zoneFichierTraite),$J460+offsetInitialFichierTraite,2)</f>
        <v>0</v>
      </c>
      <c r="B461" s="57" t="str">
        <f ca="1">IF(ISERROR($P460),msgRefValmagAcreer,IF(INDEX(INDIRECT(zoneFichierEAN13Valmag),$P460,3) = "",msgCodeValmagVide, INDEX(INDIRECT(zoneFichierEAN13Valmag),$P460,3)))</f>
        <v>&gt; Référence à créer</v>
      </c>
      <c r="C461" s="54" t="str">
        <f t="shared" ref="C461:C489" ca="1" si="1748">AA460</f>
        <v/>
      </c>
      <c r="D461" s="19" t="str">
        <f ca="1">IFERROR(INDEX(INDIRECT(zoneFichierEAN13Valmag),$P460,4),"")</f>
        <v/>
      </c>
      <c r="E461" s="58" t="str">
        <f ca="1">IFERROR(INDEX(INDIRECT(zoneFichierFiltreCatalogue),AC460,3),"")</f>
        <v/>
      </c>
      <c r="F461" s="19"/>
      <c r="G461" s="18"/>
      <c r="H461" s="32" t="str">
        <f ca="1">IFERROR(INDEX(INDIRECT(zoneFichierFiltreCatalogue),AC460,6),"")</f>
        <v/>
      </c>
      <c r="S461" s="1"/>
      <c r="T461" s="21"/>
      <c r="U461" s="21"/>
      <c r="V461" s="21"/>
      <c r="W461" s="21"/>
      <c r="X461" s="21"/>
      <c r="Y461" s="21"/>
      <c r="Z461" s="21"/>
      <c r="AA461" s="21"/>
      <c r="AB461" s="21"/>
      <c r="AC461" s="21"/>
    </row>
    <row r="462" spans="1:30" ht="39" customHeight="1" thickBot="1" x14ac:dyDescent="0.65">
      <c r="A462" s="9">
        <f ca="1">INDEX(INDIRECT(zoneFichierTraite),$J462+offsetInitialFichierTraite,6)</f>
        <v>0</v>
      </c>
      <c r="B462" s="5">
        <f ca="1">INDEX(INDIRECT(zoneFichierTraite),$J462+offsetInitialFichierTraite,4)</f>
        <v>0</v>
      </c>
      <c r="C462" s="26">
        <f ca="1">INDEX(INDIRECT(zoneFichierTraite),$J462+offsetInitialFichierTraite,5)</f>
        <v>0</v>
      </c>
      <c r="D462" s="27">
        <f ca="1">INDEX(INDIRECT(zoneFichierTraite),$J462+offsetInitialFichierTraite,13)</f>
        <v>0</v>
      </c>
      <c r="E462" s="30">
        <f ca="1">INDEX(INDIRECT(zoneFichierTraite),$J462+offsetInitialFichierTraite,7)</f>
        <v>0</v>
      </c>
      <c r="F462" s="28">
        <f ca="1">INDEX(INDIRECT(zoneFichierTraite),$J462+offsetInitialFichierTraite,8)</f>
        <v>0</v>
      </c>
      <c r="G462" s="29">
        <f t="shared" ref="G462:G489" ca="1" si="1749">ROUNDUP(F462*3,0)</f>
        <v>0</v>
      </c>
      <c r="H462" s="31" t="str">
        <f ca="1">IF(ISNUMBER(N462),codeEAN13(INT(N462/10)),"")</f>
        <v/>
      </c>
      <c r="I462" s="1" t="b">
        <f t="shared" ref="I462:I489" ca="1" si="1750">AND(A465&lt;&gt;0,A463=A465)</f>
        <v>0</v>
      </c>
      <c r="J462" s="15">
        <f t="shared" si="1734"/>
        <v>227</v>
      </c>
      <c r="K462" s="1">
        <f t="shared" ref="K462:K489" ca="1" si="1751">A463</f>
        <v>0</v>
      </c>
      <c r="L462" s="5">
        <f ca="1">INDEX(INDIRECT(zoneFichierTraite),$J462+offsetInitialFichierTraite,1)</f>
        <v>0</v>
      </c>
      <c r="M462" s="11">
        <f ca="1">INDEX(INDIRECT(zoneFichierTraite),$J462+offsetInitialFichierTraite,9)</f>
        <v>0</v>
      </c>
      <c r="N462" s="14">
        <f ca="1">INDEX(INDIRECT(zoneFichierTraite),$J462+offsetInitialFichierTraite,3)</f>
        <v>0</v>
      </c>
      <c r="O462" s="14"/>
      <c r="P462" s="56" t="e">
        <f ca="1">MATCH(N462,INDIRECT(nomFichierEAN13Valmag &amp; "!A:A"),0)</f>
        <v>#N/A</v>
      </c>
      <c r="R462" s="50" t="str">
        <f t="shared" ref="R462:R489" ca="1" si="1752">LEFT(B462,14)</f>
        <v>0</v>
      </c>
      <c r="S462" s="52" t="e">
        <f ca="1">MATCH($R462,INDIRECT(nomFichierEAN13ValmagUniq &amp; "!A:A"),0)</f>
        <v>#N/A</v>
      </c>
      <c r="T462" s="49" t="str">
        <f ca="1">IFERROR(INDEX(INDIRECT(zoneFichierEAN13ValmagUniq),S462,2),"")</f>
        <v/>
      </c>
      <c r="U462" s="52" t="e">
        <f ca="1">MATCH($R462,INDIRECT(nomFichierEAN13ValmagUniq &amp; "!A" &amp; (S462+1) &amp; ":A" &amp;  (S462+10)),0)</f>
        <v>#N/A</v>
      </c>
      <c r="V462" s="51" t="e">
        <f t="shared" ref="V462:V489" ca="1" si="1753">U462+S462</f>
        <v>#N/A</v>
      </c>
      <c r="W462" s="49" t="str">
        <f ca="1">IFERROR(INDEX(INDIRECT(zoneFichierEAN13ValmagUniq),V462,2),"")</f>
        <v/>
      </c>
      <c r="X462" s="52" t="e">
        <f ca="1">MATCH($R462,INDIRECT(nomFichierEAN13ValmagUniq &amp; "!A" &amp; (V462+1) &amp; ":A" &amp;  (V462+10)),0)</f>
        <v>#N/A</v>
      </c>
      <c r="Y462" s="51" t="e">
        <f t="shared" ref="Y462:Y489" ca="1" si="1754">X462+V462</f>
        <v>#N/A</v>
      </c>
      <c r="Z462" s="49" t="str">
        <f ca="1">IFERROR(INDEX(INDIRECT(zoneFichierEAN13ValmagUniq),Y462,2),"")</f>
        <v/>
      </c>
      <c r="AA462" s="53" t="str">
        <f t="shared" ref="AA462:AA489" ca="1" si="1755">T462 &amp; IF(W462="","", " | " &amp; W462) &amp; IF(Z462="","", " | " &amp;Z462)</f>
        <v/>
      </c>
      <c r="AC462" s="55" t="e">
        <f ca="1">MATCH(B462,INDIRECT(nomFichierFiltreCatalogue &amp; "!B:B"),0)</f>
        <v>#N/A</v>
      </c>
      <c r="AD462" s="14"/>
    </row>
    <row r="463" spans="1:30" s="20" customFormat="1" ht="15.75" customHeight="1" x14ac:dyDescent="0.25">
      <c r="A463" s="25">
        <f ca="1">INDEX(INDIRECT(zoneFichierTraite),$J462+offsetInitialFichierTraite,2)</f>
        <v>0</v>
      </c>
      <c r="B463" s="57" t="str">
        <f ca="1">IF(ISERROR($P462),msgRefValmagAcreer,IF(INDEX(INDIRECT(zoneFichierEAN13Valmag),$P462,3) = "",msgCodeValmagVide, INDEX(INDIRECT(zoneFichierEAN13Valmag),$P462,3)))</f>
        <v>&gt; Référence à créer</v>
      </c>
      <c r="C463" s="54" t="str">
        <f t="shared" ref="C463:C489" ca="1" si="1756">AA462</f>
        <v/>
      </c>
      <c r="D463" s="19" t="str">
        <f ca="1">IFERROR(INDEX(INDIRECT(zoneFichierEAN13Valmag),$P462,4),"")</f>
        <v/>
      </c>
      <c r="E463" s="58" t="str">
        <f ca="1">IFERROR(INDEX(INDIRECT(zoneFichierFiltreCatalogue),AC462,3),"")</f>
        <v/>
      </c>
      <c r="F463" s="19"/>
      <c r="G463" s="18"/>
      <c r="H463" s="32" t="str">
        <f ca="1">IFERROR(INDEX(INDIRECT(zoneFichierFiltreCatalogue),AC462,6),"")</f>
        <v/>
      </c>
      <c r="S463" s="1"/>
      <c r="T463" s="21"/>
      <c r="U463" s="21"/>
      <c r="V463" s="21"/>
      <c r="W463" s="21"/>
      <c r="X463" s="21"/>
      <c r="Y463" s="21"/>
      <c r="Z463" s="21"/>
      <c r="AA463" s="21"/>
      <c r="AB463" s="21"/>
      <c r="AC463" s="21"/>
    </row>
    <row r="464" spans="1:30" ht="39" customHeight="1" thickBot="1" x14ac:dyDescent="0.65">
      <c r="A464" s="9">
        <f ca="1">INDEX(INDIRECT(zoneFichierTraite),$J464+offsetInitialFichierTraite,6)</f>
        <v>0</v>
      </c>
      <c r="B464" s="5">
        <f ca="1">INDEX(INDIRECT(zoneFichierTraite),$J464+offsetInitialFichierTraite,4)</f>
        <v>0</v>
      </c>
      <c r="C464" s="26">
        <f ca="1">INDEX(INDIRECT(zoneFichierTraite),$J464+offsetInitialFichierTraite,5)</f>
        <v>0</v>
      </c>
      <c r="D464" s="27">
        <f ca="1">INDEX(INDIRECT(zoneFichierTraite),$J464+offsetInitialFichierTraite,13)</f>
        <v>0</v>
      </c>
      <c r="E464" s="30">
        <f ca="1">INDEX(INDIRECT(zoneFichierTraite),$J464+offsetInitialFichierTraite,7)</f>
        <v>0</v>
      </c>
      <c r="F464" s="28">
        <f ca="1">INDEX(INDIRECT(zoneFichierTraite),$J464+offsetInitialFichierTraite,8)</f>
        <v>0</v>
      </c>
      <c r="G464" s="29">
        <f t="shared" ref="G464:G489" ca="1" si="1757">ROUNDUP(F464*3,0)</f>
        <v>0</v>
      </c>
      <c r="H464" s="31" t="str">
        <f ca="1">IF(ISNUMBER(N464),codeEAN13(INT(N464/10)),"")</f>
        <v/>
      </c>
      <c r="I464" s="1" t="b">
        <f t="shared" ref="I464:I489" ca="1" si="1758">AND(A467&lt;&gt;0,A465=A467)</f>
        <v>0</v>
      </c>
      <c r="J464" s="15">
        <f t="shared" si="1734"/>
        <v>228</v>
      </c>
      <c r="K464" s="1">
        <f t="shared" ref="K464:K489" ca="1" si="1759">A465</f>
        <v>0</v>
      </c>
      <c r="L464" s="5">
        <f ca="1">INDEX(INDIRECT(zoneFichierTraite),$J464+offsetInitialFichierTraite,1)</f>
        <v>0</v>
      </c>
      <c r="M464" s="11">
        <f ca="1">INDEX(INDIRECT(zoneFichierTraite),$J464+offsetInitialFichierTraite,9)</f>
        <v>0</v>
      </c>
      <c r="N464" s="14">
        <f ca="1">INDEX(INDIRECT(zoneFichierTraite),$J464+offsetInitialFichierTraite,3)</f>
        <v>0</v>
      </c>
      <c r="O464" s="14"/>
      <c r="P464" s="56" t="e">
        <f ca="1">MATCH(N464,INDIRECT(nomFichierEAN13Valmag &amp; "!A:A"),0)</f>
        <v>#N/A</v>
      </c>
      <c r="R464" s="50" t="str">
        <f t="shared" ref="R464:R489" ca="1" si="1760">LEFT(B464,14)</f>
        <v>0</v>
      </c>
      <c r="S464" s="52" t="e">
        <f ca="1">MATCH($R464,INDIRECT(nomFichierEAN13ValmagUniq &amp; "!A:A"),0)</f>
        <v>#N/A</v>
      </c>
      <c r="T464" s="49" t="str">
        <f ca="1">IFERROR(INDEX(INDIRECT(zoneFichierEAN13ValmagUniq),S464,2),"")</f>
        <v/>
      </c>
      <c r="U464" s="52" t="e">
        <f ca="1">MATCH($R464,INDIRECT(nomFichierEAN13ValmagUniq &amp; "!A" &amp; (S464+1) &amp; ":A" &amp;  (S464+10)),0)</f>
        <v>#N/A</v>
      </c>
      <c r="V464" s="51" t="e">
        <f t="shared" ref="V464:V489" ca="1" si="1761">U464+S464</f>
        <v>#N/A</v>
      </c>
      <c r="W464" s="49" t="str">
        <f ca="1">IFERROR(INDEX(INDIRECT(zoneFichierEAN13ValmagUniq),V464,2),"")</f>
        <v/>
      </c>
      <c r="X464" s="52" t="e">
        <f ca="1">MATCH($R464,INDIRECT(nomFichierEAN13ValmagUniq &amp; "!A" &amp; (V464+1) &amp; ":A" &amp;  (V464+10)),0)</f>
        <v>#N/A</v>
      </c>
      <c r="Y464" s="51" t="e">
        <f t="shared" ref="Y464:Y489" ca="1" si="1762">X464+V464</f>
        <v>#N/A</v>
      </c>
      <c r="Z464" s="49" t="str">
        <f ca="1">IFERROR(INDEX(INDIRECT(zoneFichierEAN13ValmagUniq),Y464,2),"")</f>
        <v/>
      </c>
      <c r="AA464" s="53" t="str">
        <f t="shared" ref="AA464:AA489" ca="1" si="1763">T464 &amp; IF(W464="","", " | " &amp; W464) &amp; IF(Z464="","", " | " &amp;Z464)</f>
        <v/>
      </c>
      <c r="AC464" s="55" t="e">
        <f ca="1">MATCH(B464,INDIRECT(nomFichierFiltreCatalogue &amp; "!B:B"),0)</f>
        <v>#N/A</v>
      </c>
      <c r="AD464" s="14"/>
    </row>
    <row r="465" spans="1:30" s="20" customFormat="1" ht="15.75" customHeight="1" x14ac:dyDescent="0.25">
      <c r="A465" s="25">
        <f ca="1">INDEX(INDIRECT(zoneFichierTraite),$J464+offsetInitialFichierTraite,2)</f>
        <v>0</v>
      </c>
      <c r="B465" s="57" t="str">
        <f ca="1">IF(ISERROR($P464),msgRefValmagAcreer,IF(INDEX(INDIRECT(zoneFichierEAN13Valmag),$P464,3) = "",msgCodeValmagVide, INDEX(INDIRECT(zoneFichierEAN13Valmag),$P464,3)))</f>
        <v>&gt; Référence à créer</v>
      </c>
      <c r="C465" s="54" t="str">
        <f t="shared" ref="C465:C489" ca="1" si="1764">AA464</f>
        <v/>
      </c>
      <c r="D465" s="19" t="str">
        <f ca="1">IFERROR(INDEX(INDIRECT(zoneFichierEAN13Valmag),$P464,4),"")</f>
        <v/>
      </c>
      <c r="E465" s="58" t="str">
        <f ca="1">IFERROR(INDEX(INDIRECT(zoneFichierFiltreCatalogue),AC464,3),"")</f>
        <v/>
      </c>
      <c r="F465" s="19"/>
      <c r="G465" s="18"/>
      <c r="H465" s="32" t="str">
        <f ca="1">IFERROR(INDEX(INDIRECT(zoneFichierFiltreCatalogue),AC464,6),"")</f>
        <v/>
      </c>
      <c r="S465" s="1"/>
      <c r="T465" s="21"/>
      <c r="U465" s="21"/>
      <c r="V465" s="21"/>
      <c r="W465" s="21"/>
      <c r="X465" s="21"/>
      <c r="Y465" s="21"/>
      <c r="Z465" s="21"/>
      <c r="AA465" s="21"/>
      <c r="AB465" s="21"/>
      <c r="AC465" s="21"/>
    </row>
    <row r="466" spans="1:30" ht="39" customHeight="1" thickBot="1" x14ac:dyDescent="0.65">
      <c r="A466" s="9">
        <f ca="1">INDEX(INDIRECT(zoneFichierTraite),$J466+offsetInitialFichierTraite,6)</f>
        <v>0</v>
      </c>
      <c r="B466" s="5">
        <f ca="1">INDEX(INDIRECT(zoneFichierTraite),$J466+offsetInitialFichierTraite,4)</f>
        <v>0</v>
      </c>
      <c r="C466" s="26">
        <f ca="1">INDEX(INDIRECT(zoneFichierTraite),$J466+offsetInitialFichierTraite,5)</f>
        <v>0</v>
      </c>
      <c r="D466" s="27">
        <f ca="1">INDEX(INDIRECT(zoneFichierTraite),$J466+offsetInitialFichierTraite,13)</f>
        <v>0</v>
      </c>
      <c r="E466" s="30">
        <f ca="1">INDEX(INDIRECT(zoneFichierTraite),$J466+offsetInitialFichierTraite,7)</f>
        <v>0</v>
      </c>
      <c r="F466" s="28">
        <f ca="1">INDEX(INDIRECT(zoneFichierTraite),$J466+offsetInitialFichierTraite,8)</f>
        <v>0</v>
      </c>
      <c r="G466" s="29">
        <f t="shared" ref="G466:G489" ca="1" si="1765">ROUNDUP(F466*3,0)</f>
        <v>0</v>
      </c>
      <c r="H466" s="31" t="str">
        <f ca="1">IF(ISNUMBER(N466),codeEAN13(INT(N466/10)),"")</f>
        <v/>
      </c>
      <c r="I466" s="1" t="b">
        <f t="shared" ref="I466:I489" ca="1" si="1766">AND(A469&lt;&gt;0,A467=A469)</f>
        <v>0</v>
      </c>
      <c r="J466" s="15">
        <f t="shared" si="1734"/>
        <v>229</v>
      </c>
      <c r="K466" s="1">
        <f t="shared" ref="K466:K489" ca="1" si="1767">A467</f>
        <v>0</v>
      </c>
      <c r="L466" s="5">
        <f ca="1">INDEX(INDIRECT(zoneFichierTraite),$J466+offsetInitialFichierTraite,1)</f>
        <v>0</v>
      </c>
      <c r="M466" s="11">
        <f ca="1">INDEX(INDIRECT(zoneFichierTraite),$J466+offsetInitialFichierTraite,9)</f>
        <v>0</v>
      </c>
      <c r="N466" s="14">
        <f ca="1">INDEX(INDIRECT(zoneFichierTraite),$J466+offsetInitialFichierTraite,3)</f>
        <v>0</v>
      </c>
      <c r="O466" s="14"/>
      <c r="P466" s="56" t="e">
        <f ca="1">MATCH(N466,INDIRECT(nomFichierEAN13Valmag &amp; "!A:A"),0)</f>
        <v>#N/A</v>
      </c>
      <c r="R466" s="50" t="str">
        <f t="shared" ref="R466:R489" ca="1" si="1768">LEFT(B466,14)</f>
        <v>0</v>
      </c>
      <c r="S466" s="52" t="e">
        <f ca="1">MATCH($R466,INDIRECT(nomFichierEAN13ValmagUniq &amp; "!A:A"),0)</f>
        <v>#N/A</v>
      </c>
      <c r="T466" s="49" t="str">
        <f ca="1">IFERROR(INDEX(INDIRECT(zoneFichierEAN13ValmagUniq),S466,2),"")</f>
        <v/>
      </c>
      <c r="U466" s="52" t="e">
        <f ca="1">MATCH($R466,INDIRECT(nomFichierEAN13ValmagUniq &amp; "!A" &amp; (S466+1) &amp; ":A" &amp;  (S466+10)),0)</f>
        <v>#N/A</v>
      </c>
      <c r="V466" s="51" t="e">
        <f t="shared" ref="V466:V489" ca="1" si="1769">U466+S466</f>
        <v>#N/A</v>
      </c>
      <c r="W466" s="49" t="str">
        <f ca="1">IFERROR(INDEX(INDIRECT(zoneFichierEAN13ValmagUniq),V466,2),"")</f>
        <v/>
      </c>
      <c r="X466" s="52" t="e">
        <f ca="1">MATCH($R466,INDIRECT(nomFichierEAN13ValmagUniq &amp; "!A" &amp; (V466+1) &amp; ":A" &amp;  (V466+10)),0)</f>
        <v>#N/A</v>
      </c>
      <c r="Y466" s="51" t="e">
        <f t="shared" ref="Y466:Y489" ca="1" si="1770">X466+V466</f>
        <v>#N/A</v>
      </c>
      <c r="Z466" s="49" t="str">
        <f ca="1">IFERROR(INDEX(INDIRECT(zoneFichierEAN13ValmagUniq),Y466,2),"")</f>
        <v/>
      </c>
      <c r="AA466" s="53" t="str">
        <f t="shared" ref="AA466:AA489" ca="1" si="1771">T466 &amp; IF(W466="","", " | " &amp; W466) &amp; IF(Z466="","", " | " &amp;Z466)</f>
        <v/>
      </c>
      <c r="AC466" s="55" t="e">
        <f ca="1">MATCH(B466,INDIRECT(nomFichierFiltreCatalogue &amp; "!B:B"),0)</f>
        <v>#N/A</v>
      </c>
      <c r="AD466" s="14"/>
    </row>
    <row r="467" spans="1:30" s="20" customFormat="1" ht="15.75" customHeight="1" x14ac:dyDescent="0.25">
      <c r="A467" s="25">
        <f ca="1">INDEX(INDIRECT(zoneFichierTraite),$J466+offsetInitialFichierTraite,2)</f>
        <v>0</v>
      </c>
      <c r="B467" s="57" t="str">
        <f ca="1">IF(ISERROR($P466),msgRefValmagAcreer,IF(INDEX(INDIRECT(zoneFichierEAN13Valmag),$P466,3) = "",msgCodeValmagVide, INDEX(INDIRECT(zoneFichierEAN13Valmag),$P466,3)))</f>
        <v>&gt; Référence à créer</v>
      </c>
      <c r="C467" s="54" t="str">
        <f t="shared" ref="C467:C489" ca="1" si="1772">AA466</f>
        <v/>
      </c>
      <c r="D467" s="19" t="str">
        <f ca="1">IFERROR(INDEX(INDIRECT(zoneFichierEAN13Valmag),$P466,4),"")</f>
        <v/>
      </c>
      <c r="E467" s="58" t="str">
        <f ca="1">IFERROR(INDEX(INDIRECT(zoneFichierFiltreCatalogue),AC466,3),"")</f>
        <v/>
      </c>
      <c r="F467" s="19"/>
      <c r="G467" s="18"/>
      <c r="H467" s="32" t="str">
        <f ca="1">IFERROR(INDEX(INDIRECT(zoneFichierFiltreCatalogue),AC466,6),"")</f>
        <v/>
      </c>
      <c r="S467" s="1"/>
      <c r="T467" s="21"/>
      <c r="U467" s="21"/>
      <c r="V467" s="21"/>
      <c r="W467" s="21"/>
      <c r="X467" s="21"/>
      <c r="Y467" s="21"/>
      <c r="Z467" s="21"/>
      <c r="AA467" s="21"/>
      <c r="AB467" s="21"/>
      <c r="AC467" s="21"/>
    </row>
    <row r="468" spans="1:30" ht="39" customHeight="1" thickBot="1" x14ac:dyDescent="0.65">
      <c r="A468" s="9">
        <f ca="1">INDEX(INDIRECT(zoneFichierTraite),$J468+offsetInitialFichierTraite,6)</f>
        <v>0</v>
      </c>
      <c r="B468" s="5">
        <f ca="1">INDEX(INDIRECT(zoneFichierTraite),$J468+offsetInitialFichierTraite,4)</f>
        <v>0</v>
      </c>
      <c r="C468" s="26">
        <f ca="1">INDEX(INDIRECT(zoneFichierTraite),$J468+offsetInitialFichierTraite,5)</f>
        <v>0</v>
      </c>
      <c r="D468" s="27">
        <f ca="1">INDEX(INDIRECT(zoneFichierTraite),$J468+offsetInitialFichierTraite,13)</f>
        <v>0</v>
      </c>
      <c r="E468" s="30">
        <f ca="1">INDEX(INDIRECT(zoneFichierTraite),$J468+offsetInitialFichierTraite,7)</f>
        <v>0</v>
      </c>
      <c r="F468" s="28">
        <f ca="1">INDEX(INDIRECT(zoneFichierTraite),$J468+offsetInitialFichierTraite,8)</f>
        <v>0</v>
      </c>
      <c r="G468" s="29">
        <f t="shared" ref="G468:G489" ca="1" si="1773">ROUNDUP(F468*3,0)</f>
        <v>0</v>
      </c>
      <c r="H468" s="31" t="str">
        <f ca="1">IF(ISNUMBER(N468),codeEAN13(INT(N468/10)),"")</f>
        <v/>
      </c>
      <c r="I468" s="1" t="b">
        <f t="shared" ref="I468:I489" ca="1" si="1774">AND(A471&lt;&gt;0,A469=A471)</f>
        <v>0</v>
      </c>
      <c r="J468" s="15">
        <f t="shared" si="1734"/>
        <v>230</v>
      </c>
      <c r="K468" s="1">
        <f t="shared" ref="K468:K489" ca="1" si="1775">A469</f>
        <v>0</v>
      </c>
      <c r="L468" s="5">
        <f ca="1">INDEX(INDIRECT(zoneFichierTraite),$J468+offsetInitialFichierTraite,1)</f>
        <v>0</v>
      </c>
      <c r="M468" s="11">
        <f ca="1">INDEX(INDIRECT(zoneFichierTraite),$J468+offsetInitialFichierTraite,9)</f>
        <v>0</v>
      </c>
      <c r="N468" s="14">
        <f ca="1">INDEX(INDIRECT(zoneFichierTraite),$J468+offsetInitialFichierTraite,3)</f>
        <v>0</v>
      </c>
      <c r="O468" s="14"/>
      <c r="P468" s="56" t="e">
        <f ca="1">MATCH(N468,INDIRECT(nomFichierEAN13Valmag &amp; "!A:A"),0)</f>
        <v>#N/A</v>
      </c>
      <c r="R468" s="50" t="str">
        <f t="shared" ref="R468:R489" ca="1" si="1776">LEFT(B468,14)</f>
        <v>0</v>
      </c>
      <c r="S468" s="52" t="e">
        <f ca="1">MATCH($R468,INDIRECT(nomFichierEAN13ValmagUniq &amp; "!A:A"),0)</f>
        <v>#N/A</v>
      </c>
      <c r="T468" s="49" t="str">
        <f ca="1">IFERROR(INDEX(INDIRECT(zoneFichierEAN13ValmagUniq),S468,2),"")</f>
        <v/>
      </c>
      <c r="U468" s="52" t="e">
        <f ca="1">MATCH($R468,INDIRECT(nomFichierEAN13ValmagUniq &amp; "!A" &amp; (S468+1) &amp; ":A" &amp;  (S468+10)),0)</f>
        <v>#N/A</v>
      </c>
      <c r="V468" s="51" t="e">
        <f t="shared" ref="V468:V489" ca="1" si="1777">U468+S468</f>
        <v>#N/A</v>
      </c>
      <c r="W468" s="49" t="str">
        <f ca="1">IFERROR(INDEX(INDIRECT(zoneFichierEAN13ValmagUniq),V468,2),"")</f>
        <v/>
      </c>
      <c r="X468" s="52" t="e">
        <f ca="1">MATCH($R468,INDIRECT(nomFichierEAN13ValmagUniq &amp; "!A" &amp; (V468+1) &amp; ":A" &amp;  (V468+10)),0)</f>
        <v>#N/A</v>
      </c>
      <c r="Y468" s="51" t="e">
        <f t="shared" ref="Y468:Y489" ca="1" si="1778">X468+V468</f>
        <v>#N/A</v>
      </c>
      <c r="Z468" s="49" t="str">
        <f ca="1">IFERROR(INDEX(INDIRECT(zoneFichierEAN13ValmagUniq),Y468,2),"")</f>
        <v/>
      </c>
      <c r="AA468" s="53" t="str">
        <f t="shared" ref="AA468:AA489" ca="1" si="1779">T468 &amp; IF(W468="","", " | " &amp; W468) &amp; IF(Z468="","", " | " &amp;Z468)</f>
        <v/>
      </c>
      <c r="AC468" s="55" t="e">
        <f ca="1">MATCH(B468,INDIRECT(nomFichierFiltreCatalogue &amp; "!B:B"),0)</f>
        <v>#N/A</v>
      </c>
      <c r="AD468" s="14"/>
    </row>
    <row r="469" spans="1:30" s="20" customFormat="1" ht="15.75" customHeight="1" x14ac:dyDescent="0.25">
      <c r="A469" s="25">
        <f ca="1">INDEX(INDIRECT(zoneFichierTraite),$J468+offsetInitialFichierTraite,2)</f>
        <v>0</v>
      </c>
      <c r="B469" s="57" t="str">
        <f ca="1">IF(ISERROR($P468),msgRefValmagAcreer,IF(INDEX(INDIRECT(zoneFichierEAN13Valmag),$P468,3) = "",msgCodeValmagVide, INDEX(INDIRECT(zoneFichierEAN13Valmag),$P468,3)))</f>
        <v>&gt; Référence à créer</v>
      </c>
      <c r="C469" s="54" t="str">
        <f t="shared" ref="C469:C489" ca="1" si="1780">AA468</f>
        <v/>
      </c>
      <c r="D469" s="19" t="str">
        <f ca="1">IFERROR(INDEX(INDIRECT(zoneFichierEAN13Valmag),$P468,4),"")</f>
        <v/>
      </c>
      <c r="E469" s="58" t="str">
        <f ca="1">IFERROR(INDEX(INDIRECT(zoneFichierFiltreCatalogue),AC468,3),"")</f>
        <v/>
      </c>
      <c r="F469" s="19"/>
      <c r="G469" s="18"/>
      <c r="H469" s="32" t="str">
        <f ca="1">IFERROR(INDEX(INDIRECT(zoneFichierFiltreCatalogue),AC468,6),"")</f>
        <v/>
      </c>
      <c r="S469" s="1"/>
      <c r="T469" s="21"/>
      <c r="U469" s="21"/>
      <c r="V469" s="21"/>
      <c r="W469" s="21"/>
      <c r="X469" s="21"/>
      <c r="Y469" s="21"/>
      <c r="Z469" s="21"/>
      <c r="AA469" s="21"/>
      <c r="AB469" s="21"/>
      <c r="AC469" s="21"/>
    </row>
    <row r="470" spans="1:30" ht="39" customHeight="1" thickBot="1" x14ac:dyDescent="0.65">
      <c r="A470" s="9">
        <f ca="1">INDEX(INDIRECT(zoneFichierTraite),$J470+offsetInitialFichierTraite,6)</f>
        <v>0</v>
      </c>
      <c r="B470" s="5">
        <f ca="1">INDEX(INDIRECT(zoneFichierTraite),$J470+offsetInitialFichierTraite,4)</f>
        <v>0</v>
      </c>
      <c r="C470" s="26">
        <f ca="1">INDEX(INDIRECT(zoneFichierTraite),$J470+offsetInitialFichierTraite,5)</f>
        <v>0</v>
      </c>
      <c r="D470" s="27">
        <f ca="1">INDEX(INDIRECT(zoneFichierTraite),$J470+offsetInitialFichierTraite,13)</f>
        <v>0</v>
      </c>
      <c r="E470" s="30">
        <f ca="1">INDEX(INDIRECT(zoneFichierTraite),$J470+offsetInitialFichierTraite,7)</f>
        <v>0</v>
      </c>
      <c r="F470" s="28">
        <f ca="1">INDEX(INDIRECT(zoneFichierTraite),$J470+offsetInitialFichierTraite,8)</f>
        <v>0</v>
      </c>
      <c r="G470" s="29">
        <f t="shared" ref="G470:G489" ca="1" si="1781">ROUNDUP(F470*3,0)</f>
        <v>0</v>
      </c>
      <c r="H470" s="31" t="str">
        <f ca="1">IF(ISNUMBER(N470),codeEAN13(INT(N470/10)),"")</f>
        <v/>
      </c>
      <c r="I470" s="1" t="b">
        <f t="shared" ref="I470:I489" ca="1" si="1782">AND(A473&lt;&gt;0,A471=A473)</f>
        <v>0</v>
      </c>
      <c r="J470" s="15">
        <f t="shared" si="1734"/>
        <v>231</v>
      </c>
      <c r="K470" s="1">
        <f t="shared" ref="K470:K489" ca="1" si="1783">A471</f>
        <v>0</v>
      </c>
      <c r="L470" s="5">
        <f ca="1">INDEX(INDIRECT(zoneFichierTraite),$J470+offsetInitialFichierTraite,1)</f>
        <v>0</v>
      </c>
      <c r="M470" s="11">
        <f ca="1">INDEX(INDIRECT(zoneFichierTraite),$J470+offsetInitialFichierTraite,9)</f>
        <v>0</v>
      </c>
      <c r="N470" s="14">
        <f ca="1">INDEX(INDIRECT(zoneFichierTraite),$J470+offsetInitialFichierTraite,3)</f>
        <v>0</v>
      </c>
      <c r="O470" s="14"/>
      <c r="P470" s="56" t="e">
        <f ca="1">MATCH(N470,INDIRECT(nomFichierEAN13Valmag &amp; "!A:A"),0)</f>
        <v>#N/A</v>
      </c>
      <c r="R470" s="50" t="str">
        <f t="shared" ref="R470:R489" ca="1" si="1784">LEFT(B470,14)</f>
        <v>0</v>
      </c>
      <c r="S470" s="52" t="e">
        <f ca="1">MATCH($R470,INDIRECT(nomFichierEAN13ValmagUniq &amp; "!A:A"),0)</f>
        <v>#N/A</v>
      </c>
      <c r="T470" s="49" t="str">
        <f ca="1">IFERROR(INDEX(INDIRECT(zoneFichierEAN13ValmagUniq),S470,2),"")</f>
        <v/>
      </c>
      <c r="U470" s="52" t="e">
        <f ca="1">MATCH($R470,INDIRECT(nomFichierEAN13ValmagUniq &amp; "!A" &amp; (S470+1) &amp; ":A" &amp;  (S470+10)),0)</f>
        <v>#N/A</v>
      </c>
      <c r="V470" s="51" t="e">
        <f t="shared" ref="V470:V489" ca="1" si="1785">U470+S470</f>
        <v>#N/A</v>
      </c>
      <c r="W470" s="49" t="str">
        <f ca="1">IFERROR(INDEX(INDIRECT(zoneFichierEAN13ValmagUniq),V470,2),"")</f>
        <v/>
      </c>
      <c r="X470" s="52" t="e">
        <f ca="1">MATCH($R470,INDIRECT(nomFichierEAN13ValmagUniq &amp; "!A" &amp; (V470+1) &amp; ":A" &amp;  (V470+10)),0)</f>
        <v>#N/A</v>
      </c>
      <c r="Y470" s="51" t="e">
        <f t="shared" ref="Y470:Y489" ca="1" si="1786">X470+V470</f>
        <v>#N/A</v>
      </c>
      <c r="Z470" s="49" t="str">
        <f ca="1">IFERROR(INDEX(INDIRECT(zoneFichierEAN13ValmagUniq),Y470,2),"")</f>
        <v/>
      </c>
      <c r="AA470" s="53" t="str">
        <f t="shared" ref="AA470:AA489" ca="1" si="1787">T470 &amp; IF(W470="","", " | " &amp; W470) &amp; IF(Z470="","", " | " &amp;Z470)</f>
        <v/>
      </c>
      <c r="AC470" s="55" t="e">
        <f ca="1">MATCH(B470,INDIRECT(nomFichierFiltreCatalogue &amp; "!B:B"),0)</f>
        <v>#N/A</v>
      </c>
      <c r="AD470" s="14"/>
    </row>
    <row r="471" spans="1:30" s="20" customFormat="1" ht="15.75" customHeight="1" x14ac:dyDescent="0.25">
      <c r="A471" s="25">
        <f ca="1">INDEX(INDIRECT(zoneFichierTraite),$J470+offsetInitialFichierTraite,2)</f>
        <v>0</v>
      </c>
      <c r="B471" s="57" t="str">
        <f ca="1">IF(ISERROR($P470),msgRefValmagAcreer,IF(INDEX(INDIRECT(zoneFichierEAN13Valmag),$P470,3) = "",msgCodeValmagVide, INDEX(INDIRECT(zoneFichierEAN13Valmag),$P470,3)))</f>
        <v>&gt; Référence à créer</v>
      </c>
      <c r="C471" s="54" t="str">
        <f t="shared" ref="C471:C489" ca="1" si="1788">AA470</f>
        <v/>
      </c>
      <c r="D471" s="19" t="str">
        <f ca="1">IFERROR(INDEX(INDIRECT(zoneFichierEAN13Valmag),$P470,4),"")</f>
        <v/>
      </c>
      <c r="E471" s="58" t="str">
        <f ca="1">IFERROR(INDEX(INDIRECT(zoneFichierFiltreCatalogue),AC470,3),"")</f>
        <v/>
      </c>
      <c r="F471" s="19"/>
      <c r="G471" s="18"/>
      <c r="H471" s="32" t="str">
        <f ca="1">IFERROR(INDEX(INDIRECT(zoneFichierFiltreCatalogue),AC470,6),"")</f>
        <v/>
      </c>
      <c r="S471" s="1"/>
      <c r="T471" s="21"/>
      <c r="U471" s="21"/>
      <c r="V471" s="21"/>
      <c r="W471" s="21"/>
      <c r="X471" s="21"/>
      <c r="Y471" s="21"/>
      <c r="Z471" s="21"/>
      <c r="AA471" s="21"/>
      <c r="AB471" s="21"/>
      <c r="AC471" s="21"/>
    </row>
    <row r="472" spans="1:30" ht="39" customHeight="1" thickBot="1" x14ac:dyDescent="0.65">
      <c r="A472" s="9">
        <f ca="1">INDEX(INDIRECT(zoneFichierTraite),$J472+offsetInitialFichierTraite,6)</f>
        <v>0</v>
      </c>
      <c r="B472" s="5">
        <f ca="1">INDEX(INDIRECT(zoneFichierTraite),$J472+offsetInitialFichierTraite,4)</f>
        <v>0</v>
      </c>
      <c r="C472" s="26">
        <f ca="1">INDEX(INDIRECT(zoneFichierTraite),$J472+offsetInitialFichierTraite,5)</f>
        <v>0</v>
      </c>
      <c r="D472" s="27">
        <f ca="1">INDEX(INDIRECT(zoneFichierTraite),$J472+offsetInitialFichierTraite,13)</f>
        <v>0</v>
      </c>
      <c r="E472" s="30">
        <f ca="1">INDEX(INDIRECT(zoneFichierTraite),$J472+offsetInitialFichierTraite,7)</f>
        <v>0</v>
      </c>
      <c r="F472" s="28">
        <f ca="1">INDEX(INDIRECT(zoneFichierTraite),$J472+offsetInitialFichierTraite,8)</f>
        <v>0</v>
      </c>
      <c r="G472" s="29">
        <f t="shared" ref="G472:G489" ca="1" si="1789">ROUNDUP(F472*3,0)</f>
        <v>0</v>
      </c>
      <c r="H472" s="31" t="str">
        <f ca="1">IF(ISNUMBER(N472),codeEAN13(INT(N472/10)),"")</f>
        <v/>
      </c>
      <c r="I472" s="1" t="b">
        <f t="shared" ref="I472:I489" ca="1" si="1790">AND(A475&lt;&gt;0,A473=A475)</f>
        <v>0</v>
      </c>
      <c r="J472" s="15">
        <f t="shared" si="1734"/>
        <v>232</v>
      </c>
      <c r="K472" s="1">
        <f t="shared" ref="K472:K489" ca="1" si="1791">A473</f>
        <v>0</v>
      </c>
      <c r="L472" s="5">
        <f ca="1">INDEX(INDIRECT(zoneFichierTraite),$J472+offsetInitialFichierTraite,1)</f>
        <v>0</v>
      </c>
      <c r="M472" s="11">
        <f ca="1">INDEX(INDIRECT(zoneFichierTraite),$J472+offsetInitialFichierTraite,9)</f>
        <v>0</v>
      </c>
      <c r="N472" s="14">
        <f ca="1">INDEX(INDIRECT(zoneFichierTraite),$J472+offsetInitialFichierTraite,3)</f>
        <v>0</v>
      </c>
      <c r="O472" s="14"/>
      <c r="P472" s="56" t="e">
        <f ca="1">MATCH(N472,INDIRECT(nomFichierEAN13Valmag &amp; "!A:A"),0)</f>
        <v>#N/A</v>
      </c>
      <c r="R472" s="50" t="str">
        <f t="shared" ref="R472:R489" ca="1" si="1792">LEFT(B472,14)</f>
        <v>0</v>
      </c>
      <c r="S472" s="52" t="e">
        <f ca="1">MATCH($R472,INDIRECT(nomFichierEAN13ValmagUniq &amp; "!A:A"),0)</f>
        <v>#N/A</v>
      </c>
      <c r="T472" s="49" t="str">
        <f ca="1">IFERROR(INDEX(INDIRECT(zoneFichierEAN13ValmagUniq),S472,2),"")</f>
        <v/>
      </c>
      <c r="U472" s="52" t="e">
        <f ca="1">MATCH($R472,INDIRECT(nomFichierEAN13ValmagUniq &amp; "!A" &amp; (S472+1) &amp; ":A" &amp;  (S472+10)),0)</f>
        <v>#N/A</v>
      </c>
      <c r="V472" s="51" t="e">
        <f t="shared" ref="V472:V489" ca="1" si="1793">U472+S472</f>
        <v>#N/A</v>
      </c>
      <c r="W472" s="49" t="str">
        <f ca="1">IFERROR(INDEX(INDIRECT(zoneFichierEAN13ValmagUniq),V472,2),"")</f>
        <v/>
      </c>
      <c r="X472" s="52" t="e">
        <f ca="1">MATCH($R472,INDIRECT(nomFichierEAN13ValmagUniq &amp; "!A" &amp; (V472+1) &amp; ":A" &amp;  (V472+10)),0)</f>
        <v>#N/A</v>
      </c>
      <c r="Y472" s="51" t="e">
        <f t="shared" ref="Y472:Y489" ca="1" si="1794">X472+V472</f>
        <v>#N/A</v>
      </c>
      <c r="Z472" s="49" t="str">
        <f ca="1">IFERROR(INDEX(INDIRECT(zoneFichierEAN13ValmagUniq),Y472,2),"")</f>
        <v/>
      </c>
      <c r="AA472" s="53" t="str">
        <f t="shared" ref="AA472:AA489" ca="1" si="1795">T472 &amp; IF(W472="","", " | " &amp; W472) &amp; IF(Z472="","", " | " &amp;Z472)</f>
        <v/>
      </c>
      <c r="AC472" s="55" t="e">
        <f ca="1">MATCH(B472,INDIRECT(nomFichierFiltreCatalogue &amp; "!B:B"),0)</f>
        <v>#N/A</v>
      </c>
      <c r="AD472" s="14"/>
    </row>
    <row r="473" spans="1:30" s="20" customFormat="1" ht="15.75" customHeight="1" x14ac:dyDescent="0.25">
      <c r="A473" s="25">
        <f ca="1">INDEX(INDIRECT(zoneFichierTraite),$J472+offsetInitialFichierTraite,2)</f>
        <v>0</v>
      </c>
      <c r="B473" s="57" t="str">
        <f ca="1">IF(ISERROR($P472),msgRefValmagAcreer,IF(INDEX(INDIRECT(zoneFichierEAN13Valmag),$P472,3) = "",msgCodeValmagVide, INDEX(INDIRECT(zoneFichierEAN13Valmag),$P472,3)))</f>
        <v>&gt; Référence à créer</v>
      </c>
      <c r="C473" s="54" t="str">
        <f t="shared" ref="C473:C489" ca="1" si="1796">AA472</f>
        <v/>
      </c>
      <c r="D473" s="19" t="str">
        <f ca="1">IFERROR(INDEX(INDIRECT(zoneFichierEAN13Valmag),$P472,4),"")</f>
        <v/>
      </c>
      <c r="E473" s="58" t="str">
        <f ca="1">IFERROR(INDEX(INDIRECT(zoneFichierFiltreCatalogue),AC472,3),"")</f>
        <v/>
      </c>
      <c r="F473" s="19"/>
      <c r="G473" s="18"/>
      <c r="H473" s="32" t="str">
        <f ca="1">IFERROR(INDEX(INDIRECT(zoneFichierFiltreCatalogue),AC472,6),"")</f>
        <v/>
      </c>
      <c r="S473" s="1"/>
      <c r="T473" s="21"/>
      <c r="U473" s="21"/>
      <c r="V473" s="21"/>
      <c r="W473" s="21"/>
      <c r="X473" s="21"/>
      <c r="Y473" s="21"/>
      <c r="Z473" s="21"/>
      <c r="AA473" s="21"/>
      <c r="AB473" s="21"/>
      <c r="AC473" s="21"/>
    </row>
    <row r="474" spans="1:30" ht="39" customHeight="1" thickBot="1" x14ac:dyDescent="0.65">
      <c r="A474" s="9">
        <f ca="1">INDEX(INDIRECT(zoneFichierTraite),$J474+offsetInitialFichierTraite,6)</f>
        <v>0</v>
      </c>
      <c r="B474" s="5">
        <f ca="1">INDEX(INDIRECT(zoneFichierTraite),$J474+offsetInitialFichierTraite,4)</f>
        <v>0</v>
      </c>
      <c r="C474" s="26">
        <f ca="1">INDEX(INDIRECT(zoneFichierTraite),$J474+offsetInitialFichierTraite,5)</f>
        <v>0</v>
      </c>
      <c r="D474" s="27">
        <f ca="1">INDEX(INDIRECT(zoneFichierTraite),$J474+offsetInitialFichierTraite,13)</f>
        <v>0</v>
      </c>
      <c r="E474" s="30">
        <f ca="1">INDEX(INDIRECT(zoneFichierTraite),$J474+offsetInitialFichierTraite,7)</f>
        <v>0</v>
      </c>
      <c r="F474" s="28">
        <f ca="1">INDEX(INDIRECT(zoneFichierTraite),$J474+offsetInitialFichierTraite,8)</f>
        <v>0</v>
      </c>
      <c r="G474" s="29">
        <f t="shared" ref="G474:G489" ca="1" si="1797">ROUNDUP(F474*3,0)</f>
        <v>0</v>
      </c>
      <c r="H474" s="31" t="str">
        <f ca="1">IF(ISNUMBER(N474),codeEAN13(INT(N474/10)),"")</f>
        <v/>
      </c>
      <c r="I474" s="1" t="b">
        <f t="shared" ref="I474:I489" ca="1" si="1798">AND(A477&lt;&gt;0,A475=A477)</f>
        <v>0</v>
      </c>
      <c r="J474" s="15">
        <f t="shared" si="1734"/>
        <v>233</v>
      </c>
      <c r="K474" s="1">
        <f t="shared" ref="K474:K489" ca="1" si="1799">A475</f>
        <v>0</v>
      </c>
      <c r="L474" s="5">
        <f ca="1">INDEX(INDIRECT(zoneFichierTraite),$J474+offsetInitialFichierTraite,1)</f>
        <v>0</v>
      </c>
      <c r="M474" s="11">
        <f ca="1">INDEX(INDIRECT(zoneFichierTraite),$J474+offsetInitialFichierTraite,9)</f>
        <v>0</v>
      </c>
      <c r="N474" s="14">
        <f ca="1">INDEX(INDIRECT(zoneFichierTraite),$J474+offsetInitialFichierTraite,3)</f>
        <v>0</v>
      </c>
      <c r="O474" s="14"/>
      <c r="P474" s="56" t="e">
        <f ca="1">MATCH(N474,INDIRECT(nomFichierEAN13Valmag &amp; "!A:A"),0)</f>
        <v>#N/A</v>
      </c>
      <c r="R474" s="50" t="str">
        <f t="shared" ref="R474:R489" ca="1" si="1800">LEFT(B474,14)</f>
        <v>0</v>
      </c>
      <c r="S474" s="52" t="e">
        <f ca="1">MATCH($R474,INDIRECT(nomFichierEAN13ValmagUniq &amp; "!A:A"),0)</f>
        <v>#N/A</v>
      </c>
      <c r="T474" s="49" t="str">
        <f ca="1">IFERROR(INDEX(INDIRECT(zoneFichierEAN13ValmagUniq),S474,2),"")</f>
        <v/>
      </c>
      <c r="U474" s="52" t="e">
        <f ca="1">MATCH($R474,INDIRECT(nomFichierEAN13ValmagUniq &amp; "!A" &amp; (S474+1) &amp; ":A" &amp;  (S474+10)),0)</f>
        <v>#N/A</v>
      </c>
      <c r="V474" s="51" t="e">
        <f t="shared" ref="V474:V489" ca="1" si="1801">U474+S474</f>
        <v>#N/A</v>
      </c>
      <c r="W474" s="49" t="str">
        <f ca="1">IFERROR(INDEX(INDIRECT(zoneFichierEAN13ValmagUniq),V474,2),"")</f>
        <v/>
      </c>
      <c r="X474" s="52" t="e">
        <f ca="1">MATCH($R474,INDIRECT(nomFichierEAN13ValmagUniq &amp; "!A" &amp; (V474+1) &amp; ":A" &amp;  (V474+10)),0)</f>
        <v>#N/A</v>
      </c>
      <c r="Y474" s="51" t="e">
        <f t="shared" ref="Y474:Y489" ca="1" si="1802">X474+V474</f>
        <v>#N/A</v>
      </c>
      <c r="Z474" s="49" t="str">
        <f ca="1">IFERROR(INDEX(INDIRECT(zoneFichierEAN13ValmagUniq),Y474,2),"")</f>
        <v/>
      </c>
      <c r="AA474" s="53" t="str">
        <f t="shared" ref="AA474:AA489" ca="1" si="1803">T474 &amp; IF(W474="","", " | " &amp; W474) &amp; IF(Z474="","", " | " &amp;Z474)</f>
        <v/>
      </c>
      <c r="AC474" s="55" t="e">
        <f ca="1">MATCH(B474,INDIRECT(nomFichierFiltreCatalogue &amp; "!B:B"),0)</f>
        <v>#N/A</v>
      </c>
      <c r="AD474" s="14"/>
    </row>
    <row r="475" spans="1:30" s="20" customFormat="1" ht="15.75" customHeight="1" x14ac:dyDescent="0.25">
      <c r="A475" s="25">
        <f ca="1">INDEX(INDIRECT(zoneFichierTraite),$J474+offsetInitialFichierTraite,2)</f>
        <v>0</v>
      </c>
      <c r="B475" s="57" t="str">
        <f ca="1">IF(ISERROR($P474),msgRefValmagAcreer,IF(INDEX(INDIRECT(zoneFichierEAN13Valmag),$P474,3) = "",msgCodeValmagVide, INDEX(INDIRECT(zoneFichierEAN13Valmag),$P474,3)))</f>
        <v>&gt; Référence à créer</v>
      </c>
      <c r="C475" s="54" t="str">
        <f t="shared" ref="C475:C489" ca="1" si="1804">AA474</f>
        <v/>
      </c>
      <c r="D475" s="19" t="str">
        <f ca="1">IFERROR(INDEX(INDIRECT(zoneFichierEAN13Valmag),$P474,4),"")</f>
        <v/>
      </c>
      <c r="E475" s="58" t="str">
        <f ca="1">IFERROR(INDEX(INDIRECT(zoneFichierFiltreCatalogue),AC474,3),"")</f>
        <v/>
      </c>
      <c r="F475" s="19"/>
      <c r="G475" s="18"/>
      <c r="H475" s="32" t="str">
        <f ca="1">IFERROR(INDEX(INDIRECT(zoneFichierFiltreCatalogue),AC474,6),"")</f>
        <v/>
      </c>
      <c r="S475" s="1"/>
      <c r="T475" s="21"/>
      <c r="U475" s="21"/>
      <c r="V475" s="21"/>
      <c r="W475" s="21"/>
      <c r="X475" s="21"/>
      <c r="Y475" s="21"/>
      <c r="Z475" s="21"/>
      <c r="AA475" s="21"/>
      <c r="AB475" s="21"/>
      <c r="AC475" s="21"/>
    </row>
    <row r="476" spans="1:30" ht="39" customHeight="1" thickBot="1" x14ac:dyDescent="0.65">
      <c r="A476" s="9">
        <f ca="1">INDEX(INDIRECT(zoneFichierTraite),$J476+offsetInitialFichierTraite,6)</f>
        <v>0</v>
      </c>
      <c r="B476" s="5">
        <f ca="1">INDEX(INDIRECT(zoneFichierTraite),$J476+offsetInitialFichierTraite,4)</f>
        <v>0</v>
      </c>
      <c r="C476" s="26">
        <f ca="1">INDEX(INDIRECT(zoneFichierTraite),$J476+offsetInitialFichierTraite,5)</f>
        <v>0</v>
      </c>
      <c r="D476" s="27">
        <f ca="1">INDEX(INDIRECT(zoneFichierTraite),$J476+offsetInitialFichierTraite,13)</f>
        <v>0</v>
      </c>
      <c r="E476" s="30">
        <f ca="1">INDEX(INDIRECT(zoneFichierTraite),$J476+offsetInitialFichierTraite,7)</f>
        <v>0</v>
      </c>
      <c r="F476" s="28">
        <f ca="1">INDEX(INDIRECT(zoneFichierTraite),$J476+offsetInitialFichierTraite,8)</f>
        <v>0</v>
      </c>
      <c r="G476" s="29">
        <f t="shared" ref="G476:G489" ca="1" si="1805">ROUNDUP(F476*3,0)</f>
        <v>0</v>
      </c>
      <c r="H476" s="31" t="str">
        <f ca="1">IF(ISNUMBER(N476),codeEAN13(INT(N476/10)),"")</f>
        <v/>
      </c>
      <c r="I476" s="1" t="b">
        <f t="shared" ref="I476:I489" ca="1" si="1806">AND(A479&lt;&gt;0,A477=A479)</f>
        <v>0</v>
      </c>
      <c r="J476" s="15">
        <f t="shared" si="1734"/>
        <v>234</v>
      </c>
      <c r="K476" s="1">
        <f t="shared" ref="K476:K489" ca="1" si="1807">A477</f>
        <v>0</v>
      </c>
      <c r="L476" s="5">
        <f ca="1">INDEX(INDIRECT(zoneFichierTraite),$J476+offsetInitialFichierTraite,1)</f>
        <v>0</v>
      </c>
      <c r="M476" s="11">
        <f ca="1">INDEX(INDIRECT(zoneFichierTraite),$J476+offsetInitialFichierTraite,9)</f>
        <v>0</v>
      </c>
      <c r="N476" s="14">
        <f ca="1">INDEX(INDIRECT(zoneFichierTraite),$J476+offsetInitialFichierTraite,3)</f>
        <v>0</v>
      </c>
      <c r="O476" s="14"/>
      <c r="P476" s="56" t="e">
        <f ca="1">MATCH(N476,INDIRECT(nomFichierEAN13Valmag &amp; "!A:A"),0)</f>
        <v>#N/A</v>
      </c>
      <c r="R476" s="50" t="str">
        <f t="shared" ref="R476:R489" ca="1" si="1808">LEFT(B476,14)</f>
        <v>0</v>
      </c>
      <c r="S476" s="52" t="e">
        <f ca="1">MATCH($R476,INDIRECT(nomFichierEAN13ValmagUniq &amp; "!A:A"),0)</f>
        <v>#N/A</v>
      </c>
      <c r="T476" s="49" t="str">
        <f ca="1">IFERROR(INDEX(INDIRECT(zoneFichierEAN13ValmagUniq),S476,2),"")</f>
        <v/>
      </c>
      <c r="U476" s="52" t="e">
        <f ca="1">MATCH($R476,INDIRECT(nomFichierEAN13ValmagUniq &amp; "!A" &amp; (S476+1) &amp; ":A" &amp;  (S476+10)),0)</f>
        <v>#N/A</v>
      </c>
      <c r="V476" s="51" t="e">
        <f t="shared" ref="V476:V489" ca="1" si="1809">U476+S476</f>
        <v>#N/A</v>
      </c>
      <c r="W476" s="49" t="str">
        <f ca="1">IFERROR(INDEX(INDIRECT(zoneFichierEAN13ValmagUniq),V476,2),"")</f>
        <v/>
      </c>
      <c r="X476" s="52" t="e">
        <f ca="1">MATCH($R476,INDIRECT(nomFichierEAN13ValmagUniq &amp; "!A" &amp; (V476+1) &amp; ":A" &amp;  (V476+10)),0)</f>
        <v>#N/A</v>
      </c>
      <c r="Y476" s="51" t="e">
        <f t="shared" ref="Y476:Y489" ca="1" si="1810">X476+V476</f>
        <v>#N/A</v>
      </c>
      <c r="Z476" s="49" t="str">
        <f ca="1">IFERROR(INDEX(INDIRECT(zoneFichierEAN13ValmagUniq),Y476,2),"")</f>
        <v/>
      </c>
      <c r="AA476" s="53" t="str">
        <f t="shared" ref="AA476:AA489" ca="1" si="1811">T476 &amp; IF(W476="","", " | " &amp; W476) &amp; IF(Z476="","", " | " &amp;Z476)</f>
        <v/>
      </c>
      <c r="AC476" s="55" t="e">
        <f ca="1">MATCH(B476,INDIRECT(nomFichierFiltreCatalogue &amp; "!B:B"),0)</f>
        <v>#N/A</v>
      </c>
      <c r="AD476" s="14"/>
    </row>
    <row r="477" spans="1:30" s="20" customFormat="1" ht="15.75" customHeight="1" x14ac:dyDescent="0.25">
      <c r="A477" s="25">
        <f ca="1">INDEX(INDIRECT(zoneFichierTraite),$J476+offsetInitialFichierTraite,2)</f>
        <v>0</v>
      </c>
      <c r="B477" s="57" t="str">
        <f ca="1">IF(ISERROR($P476),msgRefValmagAcreer,IF(INDEX(INDIRECT(zoneFichierEAN13Valmag),$P476,3) = "",msgCodeValmagVide, INDEX(INDIRECT(zoneFichierEAN13Valmag),$P476,3)))</f>
        <v>&gt; Référence à créer</v>
      </c>
      <c r="C477" s="54" t="str">
        <f t="shared" ref="C477:C489" ca="1" si="1812">AA476</f>
        <v/>
      </c>
      <c r="D477" s="19" t="str">
        <f ca="1">IFERROR(INDEX(INDIRECT(zoneFichierEAN13Valmag),$P476,4),"")</f>
        <v/>
      </c>
      <c r="E477" s="58" t="str">
        <f ca="1">IFERROR(INDEX(INDIRECT(zoneFichierFiltreCatalogue),AC476,3),"")</f>
        <v/>
      </c>
      <c r="F477" s="19"/>
      <c r="G477" s="18"/>
      <c r="H477" s="32" t="str">
        <f ca="1">IFERROR(INDEX(INDIRECT(zoneFichierFiltreCatalogue),AC476,6),"")</f>
        <v/>
      </c>
      <c r="S477" s="1"/>
      <c r="T477" s="21"/>
      <c r="U477" s="21"/>
      <c r="V477" s="21"/>
      <c r="W477" s="21"/>
      <c r="X477" s="21"/>
      <c r="Y477" s="21"/>
      <c r="Z477" s="21"/>
      <c r="AA477" s="21"/>
      <c r="AB477" s="21"/>
      <c r="AC477" s="21"/>
    </row>
    <row r="478" spans="1:30" ht="39" customHeight="1" thickBot="1" x14ac:dyDescent="0.65">
      <c r="A478" s="9">
        <f ca="1">INDEX(INDIRECT(zoneFichierTraite),$J478+offsetInitialFichierTraite,6)</f>
        <v>0</v>
      </c>
      <c r="B478" s="5">
        <f ca="1">INDEX(INDIRECT(zoneFichierTraite),$J478+offsetInitialFichierTraite,4)</f>
        <v>0</v>
      </c>
      <c r="C478" s="26">
        <f ca="1">INDEX(INDIRECT(zoneFichierTraite),$J478+offsetInitialFichierTraite,5)</f>
        <v>0</v>
      </c>
      <c r="D478" s="27">
        <f ca="1">INDEX(INDIRECT(zoneFichierTraite),$J478+offsetInitialFichierTraite,13)</f>
        <v>0</v>
      </c>
      <c r="E478" s="30">
        <f ca="1">INDEX(INDIRECT(zoneFichierTraite),$J478+offsetInitialFichierTraite,7)</f>
        <v>0</v>
      </c>
      <c r="F478" s="28">
        <f ca="1">INDEX(INDIRECT(zoneFichierTraite),$J478+offsetInitialFichierTraite,8)</f>
        <v>0</v>
      </c>
      <c r="G478" s="29">
        <f t="shared" ref="G478:G489" ca="1" si="1813">ROUNDUP(F478*3,0)</f>
        <v>0</v>
      </c>
      <c r="H478" s="31" t="str">
        <f ca="1">IF(ISNUMBER(N478),codeEAN13(INT(N478/10)),"")</f>
        <v/>
      </c>
      <c r="I478" s="1" t="b">
        <f t="shared" ref="I478:I489" ca="1" si="1814">AND(A481&lt;&gt;0,A479=A481)</f>
        <v>0</v>
      </c>
      <c r="J478" s="15">
        <f t="shared" si="1734"/>
        <v>235</v>
      </c>
      <c r="K478" s="1">
        <f t="shared" ref="K478:K489" ca="1" si="1815">A479</f>
        <v>0</v>
      </c>
      <c r="L478" s="5">
        <f ca="1">INDEX(INDIRECT(zoneFichierTraite),$J478+offsetInitialFichierTraite,1)</f>
        <v>0</v>
      </c>
      <c r="M478" s="11">
        <f ca="1">INDEX(INDIRECT(zoneFichierTraite),$J478+offsetInitialFichierTraite,9)</f>
        <v>0</v>
      </c>
      <c r="N478" s="14">
        <f ca="1">INDEX(INDIRECT(zoneFichierTraite),$J478+offsetInitialFichierTraite,3)</f>
        <v>0</v>
      </c>
      <c r="O478" s="14"/>
      <c r="P478" s="56" t="e">
        <f ca="1">MATCH(N478,INDIRECT(nomFichierEAN13Valmag &amp; "!A:A"),0)</f>
        <v>#N/A</v>
      </c>
      <c r="R478" s="50" t="str">
        <f t="shared" ref="R478:R489" ca="1" si="1816">LEFT(B478,14)</f>
        <v>0</v>
      </c>
      <c r="S478" s="52" t="e">
        <f ca="1">MATCH($R478,INDIRECT(nomFichierEAN13ValmagUniq &amp; "!A:A"),0)</f>
        <v>#N/A</v>
      </c>
      <c r="T478" s="49" t="str">
        <f ca="1">IFERROR(INDEX(INDIRECT(zoneFichierEAN13ValmagUniq),S478,2),"")</f>
        <v/>
      </c>
      <c r="U478" s="52" t="e">
        <f ca="1">MATCH($R478,INDIRECT(nomFichierEAN13ValmagUniq &amp; "!A" &amp; (S478+1) &amp; ":A" &amp;  (S478+10)),0)</f>
        <v>#N/A</v>
      </c>
      <c r="V478" s="51" t="e">
        <f t="shared" ref="V478:V489" ca="1" si="1817">U478+S478</f>
        <v>#N/A</v>
      </c>
      <c r="W478" s="49" t="str">
        <f ca="1">IFERROR(INDEX(INDIRECT(zoneFichierEAN13ValmagUniq),V478,2),"")</f>
        <v/>
      </c>
      <c r="X478" s="52" t="e">
        <f ca="1">MATCH($R478,INDIRECT(nomFichierEAN13ValmagUniq &amp; "!A" &amp; (V478+1) &amp; ":A" &amp;  (V478+10)),0)</f>
        <v>#N/A</v>
      </c>
      <c r="Y478" s="51" t="e">
        <f t="shared" ref="Y478:Y489" ca="1" si="1818">X478+V478</f>
        <v>#N/A</v>
      </c>
      <c r="Z478" s="49" t="str">
        <f ca="1">IFERROR(INDEX(INDIRECT(zoneFichierEAN13ValmagUniq),Y478,2),"")</f>
        <v/>
      </c>
      <c r="AA478" s="53" t="str">
        <f t="shared" ref="AA478:AA489" ca="1" si="1819">T478 &amp; IF(W478="","", " | " &amp; W478) &amp; IF(Z478="","", " | " &amp;Z478)</f>
        <v/>
      </c>
      <c r="AC478" s="55" t="e">
        <f ca="1">MATCH(B478,INDIRECT(nomFichierFiltreCatalogue &amp; "!B:B"),0)</f>
        <v>#N/A</v>
      </c>
      <c r="AD478" s="14"/>
    </row>
    <row r="479" spans="1:30" s="20" customFormat="1" ht="15.75" customHeight="1" x14ac:dyDescent="0.25">
      <c r="A479" s="25">
        <f ca="1">INDEX(INDIRECT(zoneFichierTraite),$J478+offsetInitialFichierTraite,2)</f>
        <v>0</v>
      </c>
      <c r="B479" s="57" t="str">
        <f ca="1">IF(ISERROR($P478),msgRefValmagAcreer,IF(INDEX(INDIRECT(zoneFichierEAN13Valmag),$P478,3) = "",msgCodeValmagVide, INDEX(INDIRECT(zoneFichierEAN13Valmag),$P478,3)))</f>
        <v>&gt; Référence à créer</v>
      </c>
      <c r="C479" s="54" t="str">
        <f t="shared" ref="C479:C489" ca="1" si="1820">AA478</f>
        <v/>
      </c>
      <c r="D479" s="19" t="str">
        <f ca="1">IFERROR(INDEX(INDIRECT(zoneFichierEAN13Valmag),$P478,4),"")</f>
        <v/>
      </c>
      <c r="E479" s="58" t="str">
        <f ca="1">IFERROR(INDEX(INDIRECT(zoneFichierFiltreCatalogue),AC478,3),"")</f>
        <v/>
      </c>
      <c r="F479" s="19"/>
      <c r="G479" s="18"/>
      <c r="H479" s="32" t="str">
        <f ca="1">IFERROR(INDEX(INDIRECT(zoneFichierFiltreCatalogue),AC478,6),"")</f>
        <v/>
      </c>
      <c r="S479" s="1"/>
      <c r="T479" s="21"/>
      <c r="U479" s="21"/>
      <c r="V479" s="21"/>
      <c r="W479" s="21"/>
      <c r="X479" s="21"/>
      <c r="Y479" s="21"/>
      <c r="Z479" s="21"/>
      <c r="AA479" s="21"/>
      <c r="AB479" s="21"/>
      <c r="AC479" s="21"/>
    </row>
    <row r="480" spans="1:30" ht="39" customHeight="1" thickBot="1" x14ac:dyDescent="0.65">
      <c r="A480" s="9">
        <f ca="1">INDEX(INDIRECT(zoneFichierTraite),$J480+offsetInitialFichierTraite,6)</f>
        <v>0</v>
      </c>
      <c r="B480" s="5">
        <f ca="1">INDEX(INDIRECT(zoneFichierTraite),$J480+offsetInitialFichierTraite,4)</f>
        <v>0</v>
      </c>
      <c r="C480" s="26">
        <f ca="1">INDEX(INDIRECT(zoneFichierTraite),$J480+offsetInitialFichierTraite,5)</f>
        <v>0</v>
      </c>
      <c r="D480" s="27">
        <f ca="1">INDEX(INDIRECT(zoneFichierTraite),$J480+offsetInitialFichierTraite,13)</f>
        <v>0</v>
      </c>
      <c r="E480" s="30">
        <f ca="1">INDEX(INDIRECT(zoneFichierTraite),$J480+offsetInitialFichierTraite,7)</f>
        <v>0</v>
      </c>
      <c r="F480" s="28">
        <f ca="1">INDEX(INDIRECT(zoneFichierTraite),$J480+offsetInitialFichierTraite,8)</f>
        <v>0</v>
      </c>
      <c r="G480" s="29">
        <f t="shared" ref="G480:G489" ca="1" si="1821">ROUNDUP(F480*3,0)</f>
        <v>0</v>
      </c>
      <c r="H480" s="31" t="str">
        <f ca="1">IF(ISNUMBER(N480),codeEAN13(INT(N480/10)),"")</f>
        <v/>
      </c>
      <c r="I480" s="1" t="b">
        <f t="shared" ref="I480:I489" ca="1" si="1822">AND(A483&lt;&gt;0,A481=A483)</f>
        <v>0</v>
      </c>
      <c r="J480" s="15">
        <f t="shared" si="1734"/>
        <v>236</v>
      </c>
      <c r="K480" s="1">
        <f t="shared" ref="K480:K489" ca="1" si="1823">A481</f>
        <v>0</v>
      </c>
      <c r="L480" s="5">
        <f ca="1">INDEX(INDIRECT(zoneFichierTraite),$J480+offsetInitialFichierTraite,1)</f>
        <v>0</v>
      </c>
      <c r="M480" s="11">
        <f ca="1">INDEX(INDIRECT(zoneFichierTraite),$J480+offsetInitialFichierTraite,9)</f>
        <v>0</v>
      </c>
      <c r="N480" s="14">
        <f ca="1">INDEX(INDIRECT(zoneFichierTraite),$J480+offsetInitialFichierTraite,3)</f>
        <v>0</v>
      </c>
      <c r="O480" s="14"/>
      <c r="P480" s="56" t="e">
        <f ca="1">MATCH(N480,INDIRECT(nomFichierEAN13Valmag &amp; "!A:A"),0)</f>
        <v>#N/A</v>
      </c>
      <c r="R480" s="50" t="str">
        <f t="shared" ref="R480:R489" ca="1" si="1824">LEFT(B480,14)</f>
        <v>0</v>
      </c>
      <c r="S480" s="52" t="e">
        <f ca="1">MATCH($R480,INDIRECT(nomFichierEAN13ValmagUniq &amp; "!A:A"),0)</f>
        <v>#N/A</v>
      </c>
      <c r="T480" s="49" t="str">
        <f ca="1">IFERROR(INDEX(INDIRECT(zoneFichierEAN13ValmagUniq),S480,2),"")</f>
        <v/>
      </c>
      <c r="U480" s="52" t="e">
        <f ca="1">MATCH($R480,INDIRECT(nomFichierEAN13ValmagUniq &amp; "!A" &amp; (S480+1) &amp; ":A" &amp;  (S480+10)),0)</f>
        <v>#N/A</v>
      </c>
      <c r="V480" s="51" t="e">
        <f t="shared" ref="V480:V489" ca="1" si="1825">U480+S480</f>
        <v>#N/A</v>
      </c>
      <c r="W480" s="49" t="str">
        <f ca="1">IFERROR(INDEX(INDIRECT(zoneFichierEAN13ValmagUniq),V480,2),"")</f>
        <v/>
      </c>
      <c r="X480" s="52" t="e">
        <f ca="1">MATCH($R480,INDIRECT(nomFichierEAN13ValmagUniq &amp; "!A" &amp; (V480+1) &amp; ":A" &amp;  (V480+10)),0)</f>
        <v>#N/A</v>
      </c>
      <c r="Y480" s="51" t="e">
        <f t="shared" ref="Y480:Y489" ca="1" si="1826">X480+V480</f>
        <v>#N/A</v>
      </c>
      <c r="Z480" s="49" t="str">
        <f ca="1">IFERROR(INDEX(INDIRECT(zoneFichierEAN13ValmagUniq),Y480,2),"")</f>
        <v/>
      </c>
      <c r="AA480" s="53" t="str">
        <f t="shared" ref="AA480:AA489" ca="1" si="1827">T480 &amp; IF(W480="","", " | " &amp; W480) &amp; IF(Z480="","", " | " &amp;Z480)</f>
        <v/>
      </c>
      <c r="AC480" s="55" t="e">
        <f ca="1">MATCH(B480,INDIRECT(nomFichierFiltreCatalogue &amp; "!B:B"),0)</f>
        <v>#N/A</v>
      </c>
      <c r="AD480" s="14"/>
    </row>
    <row r="481" spans="1:30" s="20" customFormat="1" ht="15.75" customHeight="1" x14ac:dyDescent="0.25">
      <c r="A481" s="25">
        <f ca="1">INDEX(INDIRECT(zoneFichierTraite),$J480+offsetInitialFichierTraite,2)</f>
        <v>0</v>
      </c>
      <c r="B481" s="57" t="str">
        <f ca="1">IF(ISERROR($P480),msgRefValmagAcreer,IF(INDEX(INDIRECT(zoneFichierEAN13Valmag),$P480,3) = "",msgCodeValmagVide, INDEX(INDIRECT(zoneFichierEAN13Valmag),$P480,3)))</f>
        <v>&gt; Référence à créer</v>
      </c>
      <c r="C481" s="54" t="str">
        <f t="shared" ref="C481:C489" ca="1" si="1828">AA480</f>
        <v/>
      </c>
      <c r="D481" s="19" t="str">
        <f ca="1">IFERROR(INDEX(INDIRECT(zoneFichierEAN13Valmag),$P480,4),"")</f>
        <v/>
      </c>
      <c r="E481" s="58" t="str">
        <f ca="1">IFERROR(INDEX(INDIRECT(zoneFichierFiltreCatalogue),AC480,3),"")</f>
        <v/>
      </c>
      <c r="F481" s="19"/>
      <c r="G481" s="18"/>
      <c r="H481" s="32" t="str">
        <f ca="1">IFERROR(INDEX(INDIRECT(zoneFichierFiltreCatalogue),AC480,6),"")</f>
        <v/>
      </c>
      <c r="S481" s="1"/>
      <c r="T481" s="21"/>
      <c r="U481" s="21"/>
      <c r="V481" s="21"/>
      <c r="W481" s="21"/>
      <c r="X481" s="21"/>
      <c r="Y481" s="21"/>
      <c r="Z481" s="21"/>
      <c r="AA481" s="21"/>
      <c r="AB481" s="21"/>
      <c r="AC481" s="21"/>
    </row>
    <row r="482" spans="1:30" ht="39" customHeight="1" thickBot="1" x14ac:dyDescent="0.65">
      <c r="A482" s="9">
        <f ca="1">INDEX(INDIRECT(zoneFichierTraite),$J482+offsetInitialFichierTraite,6)</f>
        <v>0</v>
      </c>
      <c r="B482" s="5">
        <f ca="1">INDEX(INDIRECT(zoneFichierTraite),$J482+offsetInitialFichierTraite,4)</f>
        <v>0</v>
      </c>
      <c r="C482" s="26">
        <f ca="1">INDEX(INDIRECT(zoneFichierTraite),$J482+offsetInitialFichierTraite,5)</f>
        <v>0</v>
      </c>
      <c r="D482" s="27">
        <f ca="1">INDEX(INDIRECT(zoneFichierTraite),$J482+offsetInitialFichierTraite,13)</f>
        <v>0</v>
      </c>
      <c r="E482" s="30">
        <f ca="1">INDEX(INDIRECT(zoneFichierTraite),$J482+offsetInitialFichierTraite,7)</f>
        <v>0</v>
      </c>
      <c r="F482" s="28">
        <f ca="1">INDEX(INDIRECT(zoneFichierTraite),$J482+offsetInitialFichierTraite,8)</f>
        <v>0</v>
      </c>
      <c r="G482" s="29">
        <f t="shared" ref="G482:G489" ca="1" si="1829">ROUNDUP(F482*3,0)</f>
        <v>0</v>
      </c>
      <c r="H482" s="31" t="str">
        <f ca="1">IF(ISNUMBER(N482),codeEAN13(INT(N482/10)),"")</f>
        <v/>
      </c>
      <c r="I482" s="1" t="b">
        <f t="shared" ref="I482:I489" ca="1" si="1830">AND(A485&lt;&gt;0,A483=A485)</f>
        <v>0</v>
      </c>
      <c r="J482" s="15">
        <f t="shared" si="1734"/>
        <v>237</v>
      </c>
      <c r="K482" s="1">
        <f t="shared" ref="K482:K489" ca="1" si="1831">A483</f>
        <v>0</v>
      </c>
      <c r="L482" s="5">
        <f ca="1">INDEX(INDIRECT(zoneFichierTraite),$J482+offsetInitialFichierTraite,1)</f>
        <v>0</v>
      </c>
      <c r="M482" s="11">
        <f ca="1">INDEX(INDIRECT(zoneFichierTraite),$J482+offsetInitialFichierTraite,9)</f>
        <v>0</v>
      </c>
      <c r="N482" s="14">
        <f ca="1">INDEX(INDIRECT(zoneFichierTraite),$J482+offsetInitialFichierTraite,3)</f>
        <v>0</v>
      </c>
      <c r="O482" s="14"/>
      <c r="P482" s="56" t="e">
        <f ca="1">MATCH(N482,INDIRECT(nomFichierEAN13Valmag &amp; "!A:A"),0)</f>
        <v>#N/A</v>
      </c>
      <c r="R482" s="50" t="str">
        <f t="shared" ref="R482:R489" ca="1" si="1832">LEFT(B482,14)</f>
        <v>0</v>
      </c>
      <c r="S482" s="52" t="e">
        <f ca="1">MATCH($R482,INDIRECT(nomFichierEAN13ValmagUniq &amp; "!A:A"),0)</f>
        <v>#N/A</v>
      </c>
      <c r="T482" s="49" t="str">
        <f ca="1">IFERROR(INDEX(INDIRECT(zoneFichierEAN13ValmagUniq),S482,2),"")</f>
        <v/>
      </c>
      <c r="U482" s="52" t="e">
        <f ca="1">MATCH($R482,INDIRECT(nomFichierEAN13ValmagUniq &amp; "!A" &amp; (S482+1) &amp; ":A" &amp;  (S482+10)),0)</f>
        <v>#N/A</v>
      </c>
      <c r="V482" s="51" t="e">
        <f t="shared" ref="V482:V489" ca="1" si="1833">U482+S482</f>
        <v>#N/A</v>
      </c>
      <c r="W482" s="49" t="str">
        <f ca="1">IFERROR(INDEX(INDIRECT(zoneFichierEAN13ValmagUniq),V482,2),"")</f>
        <v/>
      </c>
      <c r="X482" s="52" t="e">
        <f ca="1">MATCH($R482,INDIRECT(nomFichierEAN13ValmagUniq &amp; "!A" &amp; (V482+1) &amp; ":A" &amp;  (V482+10)),0)</f>
        <v>#N/A</v>
      </c>
      <c r="Y482" s="51" t="e">
        <f t="shared" ref="Y482:Y489" ca="1" si="1834">X482+V482</f>
        <v>#N/A</v>
      </c>
      <c r="Z482" s="49" t="str">
        <f ca="1">IFERROR(INDEX(INDIRECT(zoneFichierEAN13ValmagUniq),Y482,2),"")</f>
        <v/>
      </c>
      <c r="AA482" s="53" t="str">
        <f t="shared" ref="AA482:AA489" ca="1" si="1835">T482 &amp; IF(W482="","", " | " &amp; W482) &amp; IF(Z482="","", " | " &amp;Z482)</f>
        <v/>
      </c>
      <c r="AC482" s="55" t="e">
        <f ca="1">MATCH(B482,INDIRECT(nomFichierFiltreCatalogue &amp; "!B:B"),0)</f>
        <v>#N/A</v>
      </c>
      <c r="AD482" s="14"/>
    </row>
    <row r="483" spans="1:30" s="20" customFormat="1" ht="15.75" customHeight="1" x14ac:dyDescent="0.25">
      <c r="A483" s="25">
        <f ca="1">INDEX(INDIRECT(zoneFichierTraite),$J482+offsetInitialFichierTraite,2)</f>
        <v>0</v>
      </c>
      <c r="B483" s="57" t="str">
        <f ca="1">IF(ISERROR($P482),msgRefValmagAcreer,IF(INDEX(INDIRECT(zoneFichierEAN13Valmag),$P482,3) = "",msgCodeValmagVide, INDEX(INDIRECT(zoneFichierEAN13Valmag),$P482,3)))</f>
        <v>&gt; Référence à créer</v>
      </c>
      <c r="C483" s="54" t="str">
        <f t="shared" ref="C483:C489" ca="1" si="1836">AA482</f>
        <v/>
      </c>
      <c r="D483" s="19" t="str">
        <f ca="1">IFERROR(INDEX(INDIRECT(zoneFichierEAN13Valmag),$P482,4),"")</f>
        <v/>
      </c>
      <c r="E483" s="58" t="str">
        <f ca="1">IFERROR(INDEX(INDIRECT(zoneFichierFiltreCatalogue),AC482,3),"")</f>
        <v/>
      </c>
      <c r="F483" s="19"/>
      <c r="G483" s="18"/>
      <c r="H483" s="32" t="str">
        <f ca="1">IFERROR(INDEX(INDIRECT(zoneFichierFiltreCatalogue),AC482,6),"")</f>
        <v/>
      </c>
      <c r="S483" s="1"/>
      <c r="T483" s="21"/>
      <c r="U483" s="21"/>
      <c r="V483" s="21"/>
      <c r="W483" s="21"/>
      <c r="X483" s="21"/>
      <c r="Y483" s="21"/>
      <c r="Z483" s="21"/>
      <c r="AA483" s="21"/>
      <c r="AB483" s="21"/>
      <c r="AC483" s="21"/>
    </row>
    <row r="484" spans="1:30" ht="39" customHeight="1" thickBot="1" x14ac:dyDescent="0.65">
      <c r="A484" s="9">
        <f ca="1">INDEX(INDIRECT(zoneFichierTraite),$J484+offsetInitialFichierTraite,6)</f>
        <v>0</v>
      </c>
      <c r="B484" s="5">
        <f ca="1">INDEX(INDIRECT(zoneFichierTraite),$J484+offsetInitialFichierTraite,4)</f>
        <v>0</v>
      </c>
      <c r="C484" s="26">
        <f ca="1">INDEX(INDIRECT(zoneFichierTraite),$J484+offsetInitialFichierTraite,5)</f>
        <v>0</v>
      </c>
      <c r="D484" s="27">
        <f ca="1">INDEX(INDIRECT(zoneFichierTraite),$J484+offsetInitialFichierTraite,13)</f>
        <v>0</v>
      </c>
      <c r="E484" s="30">
        <f ca="1">INDEX(INDIRECT(zoneFichierTraite),$J484+offsetInitialFichierTraite,7)</f>
        <v>0</v>
      </c>
      <c r="F484" s="28">
        <f ca="1">INDEX(INDIRECT(zoneFichierTraite),$J484+offsetInitialFichierTraite,8)</f>
        <v>0</v>
      </c>
      <c r="G484" s="29">
        <f t="shared" ref="G484:G489" ca="1" si="1837">ROUNDUP(F484*3,0)</f>
        <v>0</v>
      </c>
      <c r="H484" s="31" t="str">
        <f ca="1">IF(ISNUMBER(N484),codeEAN13(INT(N484/10)),"")</f>
        <v/>
      </c>
      <c r="I484" s="1" t="b">
        <f t="shared" ref="I484:I489" ca="1" si="1838">AND(A487&lt;&gt;0,A485=A487)</f>
        <v>0</v>
      </c>
      <c r="J484" s="15">
        <f t="shared" si="1734"/>
        <v>238</v>
      </c>
      <c r="K484" s="1">
        <f t="shared" ref="K484:K489" ca="1" si="1839">A485</f>
        <v>0</v>
      </c>
      <c r="L484" s="5">
        <f ca="1">INDEX(INDIRECT(zoneFichierTraite),$J484+offsetInitialFichierTraite,1)</f>
        <v>0</v>
      </c>
      <c r="M484" s="11">
        <f ca="1">INDEX(INDIRECT(zoneFichierTraite),$J484+offsetInitialFichierTraite,9)</f>
        <v>0</v>
      </c>
      <c r="N484" s="14">
        <f ca="1">INDEX(INDIRECT(zoneFichierTraite),$J484+offsetInitialFichierTraite,3)</f>
        <v>0</v>
      </c>
      <c r="O484" s="14"/>
      <c r="P484" s="56" t="e">
        <f ca="1">MATCH(N484,INDIRECT(nomFichierEAN13Valmag &amp; "!A:A"),0)</f>
        <v>#N/A</v>
      </c>
      <c r="R484" s="50" t="str">
        <f t="shared" ref="R484:R489" ca="1" si="1840">LEFT(B484,14)</f>
        <v>0</v>
      </c>
      <c r="S484" s="52" t="e">
        <f ca="1">MATCH($R484,INDIRECT(nomFichierEAN13ValmagUniq &amp; "!A:A"),0)</f>
        <v>#N/A</v>
      </c>
      <c r="T484" s="49" t="str">
        <f ca="1">IFERROR(INDEX(INDIRECT(zoneFichierEAN13ValmagUniq),S484,2),"")</f>
        <v/>
      </c>
      <c r="U484" s="52" t="e">
        <f ca="1">MATCH($R484,INDIRECT(nomFichierEAN13ValmagUniq &amp; "!A" &amp; (S484+1) &amp; ":A" &amp;  (S484+10)),0)</f>
        <v>#N/A</v>
      </c>
      <c r="V484" s="51" t="e">
        <f t="shared" ref="V484:V489" ca="1" si="1841">U484+S484</f>
        <v>#N/A</v>
      </c>
      <c r="W484" s="49" t="str">
        <f ca="1">IFERROR(INDEX(INDIRECT(zoneFichierEAN13ValmagUniq),V484,2),"")</f>
        <v/>
      </c>
      <c r="X484" s="52" t="e">
        <f ca="1">MATCH($R484,INDIRECT(nomFichierEAN13ValmagUniq &amp; "!A" &amp; (V484+1) &amp; ":A" &amp;  (V484+10)),0)</f>
        <v>#N/A</v>
      </c>
      <c r="Y484" s="51" t="e">
        <f t="shared" ref="Y484:Y489" ca="1" si="1842">X484+V484</f>
        <v>#N/A</v>
      </c>
      <c r="Z484" s="49" t="str">
        <f ca="1">IFERROR(INDEX(INDIRECT(zoneFichierEAN13ValmagUniq),Y484,2),"")</f>
        <v/>
      </c>
      <c r="AA484" s="53" t="str">
        <f t="shared" ref="AA484:AA489" ca="1" si="1843">T484 &amp; IF(W484="","", " | " &amp; W484) &amp; IF(Z484="","", " | " &amp;Z484)</f>
        <v/>
      </c>
      <c r="AC484" s="55" t="e">
        <f ca="1">MATCH(B484,INDIRECT(nomFichierFiltreCatalogue &amp; "!B:B"),0)</f>
        <v>#N/A</v>
      </c>
      <c r="AD484" s="14"/>
    </row>
    <row r="485" spans="1:30" s="20" customFormat="1" ht="15.75" customHeight="1" x14ac:dyDescent="0.25">
      <c r="A485" s="25">
        <f ca="1">INDEX(INDIRECT(zoneFichierTraite),$J484+offsetInitialFichierTraite,2)</f>
        <v>0</v>
      </c>
      <c r="B485" s="57" t="str">
        <f ca="1">IF(ISERROR($P484),msgRefValmagAcreer,IF(INDEX(INDIRECT(zoneFichierEAN13Valmag),$P484,3) = "",msgCodeValmagVide, INDEX(INDIRECT(zoneFichierEAN13Valmag),$P484,3)))</f>
        <v>&gt; Référence à créer</v>
      </c>
      <c r="C485" s="54" t="str">
        <f t="shared" ref="C485:C489" ca="1" si="1844">AA484</f>
        <v/>
      </c>
      <c r="D485" s="19" t="str">
        <f ca="1">IFERROR(INDEX(INDIRECT(zoneFichierEAN13Valmag),$P484,4),"")</f>
        <v/>
      </c>
      <c r="E485" s="58" t="str">
        <f ca="1">IFERROR(INDEX(INDIRECT(zoneFichierFiltreCatalogue),AC484,3),"")</f>
        <v/>
      </c>
      <c r="F485" s="19"/>
      <c r="G485" s="18"/>
      <c r="H485" s="32" t="str">
        <f ca="1">IFERROR(INDEX(INDIRECT(zoneFichierFiltreCatalogue),AC484,6),"")</f>
        <v/>
      </c>
      <c r="S485" s="1"/>
      <c r="T485" s="21"/>
      <c r="U485" s="21"/>
      <c r="V485" s="21"/>
      <c r="W485" s="21"/>
      <c r="X485" s="21"/>
      <c r="Y485" s="21"/>
      <c r="Z485" s="21"/>
      <c r="AA485" s="21"/>
      <c r="AB485" s="21"/>
      <c r="AC485" s="21"/>
    </row>
    <row r="486" spans="1:30" ht="39" customHeight="1" thickBot="1" x14ac:dyDescent="0.65">
      <c r="A486" s="9">
        <f ca="1">INDEX(INDIRECT(zoneFichierTraite),$J486+offsetInitialFichierTraite,6)</f>
        <v>0</v>
      </c>
      <c r="B486" s="5">
        <f ca="1">INDEX(INDIRECT(zoneFichierTraite),$J486+offsetInitialFichierTraite,4)</f>
        <v>0</v>
      </c>
      <c r="C486" s="26">
        <f ca="1">INDEX(INDIRECT(zoneFichierTraite),$J486+offsetInitialFichierTraite,5)</f>
        <v>0</v>
      </c>
      <c r="D486" s="27">
        <f ca="1">INDEX(INDIRECT(zoneFichierTraite),$J486+offsetInitialFichierTraite,13)</f>
        <v>0</v>
      </c>
      <c r="E486" s="30">
        <f ca="1">INDEX(INDIRECT(zoneFichierTraite),$J486+offsetInitialFichierTraite,7)</f>
        <v>0</v>
      </c>
      <c r="F486" s="28">
        <f ca="1">INDEX(INDIRECT(zoneFichierTraite),$J486+offsetInitialFichierTraite,8)</f>
        <v>0</v>
      </c>
      <c r="G486" s="29">
        <f t="shared" ref="G486:G489" ca="1" si="1845">ROUNDUP(F486*3,0)</f>
        <v>0</v>
      </c>
      <c r="H486" s="31" t="str">
        <f ca="1">IF(ISNUMBER(N486),codeEAN13(INT(N486/10)),"")</f>
        <v/>
      </c>
      <c r="I486" s="1" t="b">
        <f t="shared" ref="I486:I489" ca="1" si="1846">AND(A489&lt;&gt;0,A487=A489)</f>
        <v>0</v>
      </c>
      <c r="J486" s="15">
        <f t="shared" si="1734"/>
        <v>239</v>
      </c>
      <c r="K486" s="1">
        <f t="shared" ref="K486:K489" ca="1" si="1847">A487</f>
        <v>0</v>
      </c>
      <c r="L486" s="5">
        <f ca="1">INDEX(INDIRECT(zoneFichierTraite),$J486+offsetInitialFichierTraite,1)</f>
        <v>0</v>
      </c>
      <c r="M486" s="11">
        <f ca="1">INDEX(INDIRECT(zoneFichierTraite),$J486+offsetInitialFichierTraite,9)</f>
        <v>0</v>
      </c>
      <c r="N486" s="14">
        <f ca="1">INDEX(INDIRECT(zoneFichierTraite),$J486+offsetInitialFichierTraite,3)</f>
        <v>0</v>
      </c>
      <c r="O486" s="14"/>
      <c r="P486" s="56" t="e">
        <f ca="1">MATCH(N486,INDIRECT(nomFichierEAN13Valmag &amp; "!A:A"),0)</f>
        <v>#N/A</v>
      </c>
      <c r="R486" s="50" t="str">
        <f t="shared" ref="R486:R489" ca="1" si="1848">LEFT(B486,14)</f>
        <v>0</v>
      </c>
      <c r="S486" s="52" t="e">
        <f ca="1">MATCH($R486,INDIRECT(nomFichierEAN13ValmagUniq &amp; "!A:A"),0)</f>
        <v>#N/A</v>
      </c>
      <c r="T486" s="49" t="str">
        <f ca="1">IFERROR(INDEX(INDIRECT(zoneFichierEAN13ValmagUniq),S486,2),"")</f>
        <v/>
      </c>
      <c r="U486" s="52" t="e">
        <f ca="1">MATCH($R486,INDIRECT(nomFichierEAN13ValmagUniq &amp; "!A" &amp; (S486+1) &amp; ":A" &amp;  (S486+10)),0)</f>
        <v>#N/A</v>
      </c>
      <c r="V486" s="51" t="e">
        <f t="shared" ref="V486:V489" ca="1" si="1849">U486+S486</f>
        <v>#N/A</v>
      </c>
      <c r="W486" s="49" t="str">
        <f ca="1">IFERROR(INDEX(INDIRECT(zoneFichierEAN13ValmagUniq),V486,2),"")</f>
        <v/>
      </c>
      <c r="X486" s="52" t="e">
        <f ca="1">MATCH($R486,INDIRECT(nomFichierEAN13ValmagUniq &amp; "!A" &amp; (V486+1) &amp; ":A" &amp;  (V486+10)),0)</f>
        <v>#N/A</v>
      </c>
      <c r="Y486" s="51" t="e">
        <f t="shared" ref="Y486:Y489" ca="1" si="1850">X486+V486</f>
        <v>#N/A</v>
      </c>
      <c r="Z486" s="49" t="str">
        <f ca="1">IFERROR(INDEX(INDIRECT(zoneFichierEAN13ValmagUniq),Y486,2),"")</f>
        <v/>
      </c>
      <c r="AA486" s="53" t="str">
        <f t="shared" ref="AA486:AA489" ca="1" si="1851">T486 &amp; IF(W486="","", " | " &amp; W486) &amp; IF(Z486="","", " | " &amp;Z486)</f>
        <v/>
      </c>
      <c r="AC486" s="55" t="e">
        <f ca="1">MATCH(B486,INDIRECT(nomFichierFiltreCatalogue &amp; "!B:B"),0)</f>
        <v>#N/A</v>
      </c>
      <c r="AD486" s="14"/>
    </row>
    <row r="487" spans="1:30" s="20" customFormat="1" ht="15.75" customHeight="1" x14ac:dyDescent="0.25">
      <c r="A487" s="25">
        <f ca="1">INDEX(INDIRECT(zoneFichierTraite),$J486+offsetInitialFichierTraite,2)</f>
        <v>0</v>
      </c>
      <c r="B487" s="57" t="str">
        <f ca="1">IF(ISERROR($P486),msgRefValmagAcreer,IF(INDEX(INDIRECT(zoneFichierEAN13Valmag),$P486,3) = "",msgCodeValmagVide, INDEX(INDIRECT(zoneFichierEAN13Valmag),$P486,3)))</f>
        <v>&gt; Référence à créer</v>
      </c>
      <c r="C487" s="54" t="str">
        <f t="shared" ref="C487:C489" ca="1" si="1852">AA486</f>
        <v/>
      </c>
      <c r="D487" s="19" t="str">
        <f ca="1">IFERROR(INDEX(INDIRECT(zoneFichierEAN13Valmag),$P486,4),"")</f>
        <v/>
      </c>
      <c r="E487" s="58" t="str">
        <f ca="1">IFERROR(INDEX(INDIRECT(zoneFichierFiltreCatalogue),AC486,3),"")</f>
        <v/>
      </c>
      <c r="F487" s="19"/>
      <c r="G487" s="18"/>
      <c r="H487" s="32" t="str">
        <f ca="1">IFERROR(INDEX(INDIRECT(zoneFichierFiltreCatalogue),AC486,6),"")</f>
        <v/>
      </c>
      <c r="S487" s="1"/>
      <c r="T487" s="21"/>
      <c r="U487" s="21"/>
      <c r="V487" s="21"/>
      <c r="W487" s="21"/>
      <c r="X487" s="21"/>
      <c r="Y487" s="21"/>
      <c r="Z487" s="21"/>
      <c r="AA487" s="21"/>
      <c r="AB487" s="21"/>
      <c r="AC487" s="21"/>
    </row>
    <row r="488" spans="1:30" ht="39" customHeight="1" thickBot="1" x14ac:dyDescent="0.65">
      <c r="A488" s="9">
        <f ca="1">INDEX(INDIRECT(zoneFichierTraite),$J488+offsetInitialFichierTraite,6)</f>
        <v>0</v>
      </c>
      <c r="B488" s="5">
        <f ca="1">INDEX(INDIRECT(zoneFichierTraite),$J488+offsetInitialFichierTraite,4)</f>
        <v>0</v>
      </c>
      <c r="C488" s="26">
        <f ca="1">INDEX(INDIRECT(zoneFichierTraite),$J488+offsetInitialFichierTraite,5)</f>
        <v>0</v>
      </c>
      <c r="D488" s="27">
        <f ca="1">INDEX(INDIRECT(zoneFichierTraite),$J488+offsetInitialFichierTraite,13)</f>
        <v>0</v>
      </c>
      <c r="E488" s="30">
        <f ca="1">INDEX(INDIRECT(zoneFichierTraite),$J488+offsetInitialFichierTraite,7)</f>
        <v>0</v>
      </c>
      <c r="F488" s="28">
        <f ca="1">INDEX(INDIRECT(zoneFichierTraite),$J488+offsetInitialFichierTraite,8)</f>
        <v>0</v>
      </c>
      <c r="G488" s="29">
        <f t="shared" ref="G488:G489" ca="1" si="1853">ROUNDUP(F488*3,0)</f>
        <v>0</v>
      </c>
      <c r="H488" s="31" t="str">
        <f ca="1">IF(ISNUMBER(N488),codeEAN13(INT(N488/10)),"")</f>
        <v/>
      </c>
      <c r="I488" s="1" t="b">
        <f t="shared" ref="I488:I489" ca="1" si="1854">AND(A491&lt;&gt;0,A489=A491)</f>
        <v>0</v>
      </c>
      <c r="J488" s="15">
        <f t="shared" si="1734"/>
        <v>240</v>
      </c>
      <c r="K488" s="1">
        <f t="shared" ref="K488:K489" ca="1" si="1855">A489</f>
        <v>0</v>
      </c>
      <c r="L488" s="5">
        <f ca="1">INDEX(INDIRECT(zoneFichierTraite),$J488+offsetInitialFichierTraite,1)</f>
        <v>0</v>
      </c>
      <c r="M488" s="11">
        <f ca="1">INDEX(INDIRECT(zoneFichierTraite),$J488+offsetInitialFichierTraite,9)</f>
        <v>0</v>
      </c>
      <c r="N488" s="14">
        <f ca="1">INDEX(INDIRECT(zoneFichierTraite),$J488+offsetInitialFichierTraite,3)</f>
        <v>0</v>
      </c>
      <c r="O488" s="14"/>
      <c r="P488" s="56" t="e">
        <f ca="1">MATCH(N488,INDIRECT(nomFichierEAN13Valmag &amp; "!A:A"),0)</f>
        <v>#N/A</v>
      </c>
      <c r="R488" s="50" t="str">
        <f t="shared" ref="R488:R489" ca="1" si="1856">LEFT(B488,14)</f>
        <v>0</v>
      </c>
      <c r="S488" s="52" t="e">
        <f ca="1">MATCH($R488,INDIRECT(nomFichierEAN13ValmagUniq &amp; "!A:A"),0)</f>
        <v>#N/A</v>
      </c>
      <c r="T488" s="49" t="str">
        <f ca="1">IFERROR(INDEX(INDIRECT(zoneFichierEAN13ValmagUniq),S488,2),"")</f>
        <v/>
      </c>
      <c r="U488" s="52" t="e">
        <f ca="1">MATCH($R488,INDIRECT(nomFichierEAN13ValmagUniq &amp; "!A" &amp; (S488+1) &amp; ":A" &amp;  (S488+10)),0)</f>
        <v>#N/A</v>
      </c>
      <c r="V488" s="51" t="e">
        <f t="shared" ref="V488:V489" ca="1" si="1857">U488+S488</f>
        <v>#N/A</v>
      </c>
      <c r="W488" s="49" t="str">
        <f ca="1">IFERROR(INDEX(INDIRECT(zoneFichierEAN13ValmagUniq),V488,2),"")</f>
        <v/>
      </c>
      <c r="X488" s="52" t="e">
        <f ca="1">MATCH($R488,INDIRECT(nomFichierEAN13ValmagUniq &amp; "!A" &amp; (V488+1) &amp; ":A" &amp;  (V488+10)),0)</f>
        <v>#N/A</v>
      </c>
      <c r="Y488" s="51" t="e">
        <f t="shared" ref="Y488:Y489" ca="1" si="1858">X488+V488</f>
        <v>#N/A</v>
      </c>
      <c r="Z488" s="49" t="str">
        <f ca="1">IFERROR(INDEX(INDIRECT(zoneFichierEAN13ValmagUniq),Y488,2),"")</f>
        <v/>
      </c>
      <c r="AA488" s="53" t="str">
        <f t="shared" ref="AA488:AA489" ca="1" si="1859">T488 &amp; IF(W488="","", " | " &amp; W488) &amp; IF(Z488="","", " | " &amp;Z488)</f>
        <v/>
      </c>
      <c r="AC488" s="55" t="e">
        <f ca="1">MATCH(B488,INDIRECT(nomFichierFiltreCatalogue &amp; "!B:B"),0)</f>
        <v>#N/A</v>
      </c>
      <c r="AD488" s="14"/>
    </row>
    <row r="489" spans="1:30" s="20" customFormat="1" ht="15.75" customHeight="1" x14ac:dyDescent="0.25">
      <c r="A489" s="25">
        <f ca="1">INDEX(INDIRECT(zoneFichierTraite),$J488+offsetInitialFichierTraite,2)</f>
        <v>0</v>
      </c>
      <c r="B489" s="57" t="str">
        <f ca="1">IF(ISERROR($P488),msgRefValmagAcreer,IF(INDEX(INDIRECT(zoneFichierEAN13Valmag),$P488,3) = "",msgCodeValmagVide, INDEX(INDIRECT(zoneFichierEAN13Valmag),$P488,3)))</f>
        <v>&gt; Référence à créer</v>
      </c>
      <c r="C489" s="54" t="str">
        <f t="shared" ref="C489" ca="1" si="1860">AA488</f>
        <v/>
      </c>
      <c r="D489" s="19" t="str">
        <f ca="1">IFERROR(INDEX(INDIRECT(zoneFichierEAN13Valmag),$P488,4),"")</f>
        <v/>
      </c>
      <c r="E489" s="58" t="str">
        <f ca="1">IFERROR(INDEX(INDIRECT(zoneFichierFiltreCatalogue),AC488,3),"")</f>
        <v/>
      </c>
      <c r="F489" s="19"/>
      <c r="G489" s="18"/>
      <c r="H489" s="32" t="str">
        <f ca="1">IFERROR(INDEX(INDIRECT(zoneFichierFiltreCatalogue),AC488,6),"")</f>
        <v/>
      </c>
      <c r="S489" s="1"/>
      <c r="T489" s="21"/>
      <c r="U489" s="21"/>
      <c r="V489" s="21"/>
      <c r="W489" s="21"/>
      <c r="X489" s="21"/>
      <c r="Y489" s="21"/>
      <c r="Z489" s="21"/>
      <c r="AA489" s="21"/>
      <c r="AB489" s="21"/>
      <c r="AC489" s="21"/>
    </row>
  </sheetData>
  <conditionalFormatting sqref="I1:I5 I7:I1048576">
    <cfRule type="expression" dxfId="3" priority="2">
      <formula>I1</formula>
    </cfRule>
  </conditionalFormatting>
  <conditionalFormatting sqref="I144:I145">
    <cfRule type="expression" dxfId="2" priority="1">
      <formula>I144</formula>
    </cfRule>
  </conditionalFormatting>
  <pageMargins left="0.39370078740157483" right="0.39370078740157483" top="0.39370078740157483" bottom="0.39370078740157483" header="0.31496062992125984" footer="0.31496062992125984"/>
  <pageSetup paperSize="9" scale="65" fitToHeight="0" orientation="landscape" horizontalDpi="0" verticalDpi="0" r:id="rId1"/>
  <headerFooter>
    <oddFooter>&amp;L&amp;A&amp;C&amp;P / &amp;N&amp;R&amp;D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C13"/>
  <sheetViews>
    <sheetView workbookViewId="0">
      <selection activeCell="A12" sqref="A12"/>
    </sheetView>
  </sheetViews>
  <sheetFormatPr baseColWidth="10" defaultRowHeight="15" x14ac:dyDescent="0.25"/>
  <cols>
    <col min="1" max="1" width="21.7109375" bestFit="1" customWidth="1"/>
    <col min="2" max="2" width="18.140625" bestFit="1" customWidth="1"/>
  </cols>
  <sheetData>
    <row r="1" spans="1:3" ht="19.5" x14ac:dyDescent="0.3">
      <c r="A1" s="59" t="s">
        <v>30</v>
      </c>
    </row>
    <row r="2" spans="1:3" x14ac:dyDescent="0.25">
      <c r="A2" s="16" t="s">
        <v>3</v>
      </c>
      <c r="B2" s="1" t="s">
        <v>8</v>
      </c>
      <c r="C2" s="1"/>
    </row>
    <row r="3" spans="1:3" x14ac:dyDescent="0.25">
      <c r="A3" s="2" t="s">
        <v>0</v>
      </c>
      <c r="B3" s="6">
        <v>7</v>
      </c>
      <c r="C3" s="1" t="str">
        <f>nomFichierTraite &amp; "!A:Z"</f>
        <v>EAN13_traite.csv!A:Z</v>
      </c>
    </row>
    <row r="4" spans="1:3" x14ac:dyDescent="0.25">
      <c r="A4" s="16" t="s">
        <v>12</v>
      </c>
      <c r="B4" s="1"/>
      <c r="C4" s="1"/>
    </row>
    <row r="5" spans="1:3" x14ac:dyDescent="0.25">
      <c r="A5" s="2" t="s">
        <v>6</v>
      </c>
      <c r="B5" s="1"/>
      <c r="C5" s="1" t="str">
        <f>nomFichierBaseCatalogue &amp; "!A:Z"</f>
        <v>base.EAN13.csv!A:Z</v>
      </c>
    </row>
    <row r="6" spans="1:3" x14ac:dyDescent="0.25">
      <c r="A6" s="16" t="s">
        <v>9</v>
      </c>
      <c r="B6" s="12"/>
      <c r="C6" s="1"/>
    </row>
    <row r="7" spans="1:3" x14ac:dyDescent="0.25">
      <c r="A7" s="2" t="s">
        <v>20</v>
      </c>
      <c r="B7" s="13"/>
      <c r="C7" s="1" t="str">
        <f>nomFichierEAN13Valmag &amp; "!A:Z"</f>
        <v>base.ValmagEAN13.csv!A:Z</v>
      </c>
    </row>
    <row r="8" spans="1:3" x14ac:dyDescent="0.25">
      <c r="A8" s="2" t="s">
        <v>24</v>
      </c>
      <c r="B8" s="13"/>
      <c r="C8" s="1" t="str">
        <f>nomFichierEAN13ValmagUniq &amp; "!A:Z"</f>
        <v>base.ValmagEAN13.code.uniq.csv!A:Z</v>
      </c>
    </row>
    <row r="11" spans="1:3" ht="19.5" x14ac:dyDescent="0.3">
      <c r="A11" s="59" t="s">
        <v>31</v>
      </c>
    </row>
    <row r="12" spans="1:3" x14ac:dyDescent="0.25">
      <c r="A12" t="s">
        <v>32</v>
      </c>
      <c r="B12" s="60" t="s">
        <v>33</v>
      </c>
    </row>
    <row r="13" spans="1:3" x14ac:dyDescent="0.25">
      <c r="A13" t="s">
        <v>34</v>
      </c>
      <c r="B13" s="61" t="s">
        <v>35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R42"/>
  <sheetViews>
    <sheetView workbookViewId="0">
      <selection activeCell="G3" sqref="G3"/>
    </sheetView>
  </sheetViews>
  <sheetFormatPr baseColWidth="10" defaultRowHeight="15" x14ac:dyDescent="0.25"/>
  <cols>
    <col min="1" max="1" width="23" customWidth="1"/>
    <col min="3" max="3" width="54.85546875" bestFit="1" customWidth="1"/>
    <col min="7" max="7" width="40.28515625" bestFit="1" customWidth="1"/>
    <col min="12" max="12" width="21.7109375" bestFit="1" customWidth="1"/>
    <col min="13" max="13" width="45.42578125" bestFit="1" customWidth="1"/>
    <col min="14" max="14" width="21.7109375" customWidth="1"/>
  </cols>
  <sheetData>
    <row r="1" spans="1:18" x14ac:dyDescent="0.25">
      <c r="A1" s="5" t="s">
        <v>19</v>
      </c>
      <c r="G1" s="42" t="s">
        <v>19</v>
      </c>
    </row>
    <row r="2" spans="1:18" x14ac:dyDescent="0.25">
      <c r="A2" s="17" t="str">
        <f>"    Catalogue / " &amp; nomFichierBaseCatalogue</f>
        <v xml:space="preserve">    Catalogue / base.EAN13.csv</v>
      </c>
      <c r="G2" s="48" t="str">
        <f>"-  Catalogues / " &amp; nomFichierBaseCatalogue</f>
        <v>-  Catalogues / base.EAN13.csv</v>
      </c>
    </row>
    <row r="3" spans="1:18" x14ac:dyDescent="0.25">
      <c r="A3" s="17" t="str">
        <f>"    ValmagEAN13 / " &amp; nomFichierEAN13Valmag</f>
        <v xml:space="preserve">    ValmagEAN13 / base.ValmagEAN13.csv</v>
      </c>
    </row>
    <row r="4" spans="1:18" x14ac:dyDescent="0.25">
      <c r="A4" s="17"/>
    </row>
    <row r="5" spans="1:18" x14ac:dyDescent="0.25">
      <c r="A5" s="17"/>
    </row>
    <row r="6" spans="1:18" x14ac:dyDescent="0.25">
      <c r="A6" s="17"/>
    </row>
    <row r="7" spans="1:18" x14ac:dyDescent="0.25">
      <c r="A7" s="1" t="s">
        <v>1</v>
      </c>
      <c r="B7" s="1"/>
      <c r="C7" s="1"/>
      <c r="D7" s="1"/>
      <c r="E7" s="1"/>
      <c r="G7" s="1" t="s">
        <v>4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</row>
    <row r="8" spans="1:18" x14ac:dyDescent="0.25">
      <c r="A8" s="10" t="s">
        <v>21</v>
      </c>
      <c r="B8" s="1" t="s">
        <v>7</v>
      </c>
      <c r="C8" s="1"/>
      <c r="D8" s="1"/>
      <c r="E8" s="1"/>
      <c r="G8" s="8"/>
      <c r="H8" s="1" t="s">
        <v>5</v>
      </c>
      <c r="I8" s="1"/>
      <c r="J8" s="1"/>
      <c r="K8" s="1"/>
      <c r="L8" s="1"/>
      <c r="M8" s="1"/>
      <c r="N8" s="1"/>
      <c r="O8" s="1"/>
      <c r="P8" s="1"/>
      <c r="Q8" s="1"/>
      <c r="R8" s="1"/>
    </row>
    <row r="9" spans="1:18" x14ac:dyDescent="0.25">
      <c r="A9" s="8">
        <v>0</v>
      </c>
      <c r="B9" s="1" t="s">
        <v>2</v>
      </c>
      <c r="C9" s="1"/>
      <c r="D9" s="1"/>
      <c r="E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 x14ac:dyDescent="0.25">
      <c r="A10" s="7" t="str">
        <f ca="1">INDEX(INDIRECT(nomFichierTraite &amp; "!D:D"),SUM($E$9:$E10))</f>
        <v>HLESGC00-ECSC4-055</v>
      </c>
      <c r="B10" s="3">
        <f ca="1">INDEX(INDIRECT(nomFichierTraite &amp; "!H:H"),SUM($E$9:$E10))</f>
        <v>16.670000000000002</v>
      </c>
      <c r="C10" s="7" t="str">
        <f ca="1">INDEX(INDIRECT(nomFichierTraite &amp; "!E:E"),SUM($E$9:$E10))</f>
        <v>ANSES COURTES EN FAUX CUIR EFFET GRIFFE + CLOUS</v>
      </c>
      <c r="D10" s="1"/>
      <c r="E10" s="4">
        <f ca="1">MATCH($A$8&amp;"*-*"&amp;$A$9&amp;"*",INDIRECT(nomFichierTraite &amp; "!D" &amp; (SUM(E$9:E9)+1) &amp; ":D" &amp;SUM(E$9:E9)+500),0)</f>
        <v>22</v>
      </c>
      <c r="G10" s="7" t="str">
        <f ca="1">INDEX(M:M,SUM($J$9:$J10))</f>
        <v>summer 2018 presentation/catalogo summer 2018 continuativo.txt</v>
      </c>
      <c r="H10" s="3" t="str">
        <f ca="1">INDEX(N:N,SUM($J$9:$J10))</f>
        <v>p020-1-07</v>
      </c>
      <c r="I10" s="1"/>
      <c r="J10" s="4">
        <f ca="1">MATCH("*" &amp; $G$8 &amp; "*",INDIRECT("M" &amp; (SUM(J$9:J9)+1) &amp; ":M" &amp;SUM(J$9:J9)+500),0)</f>
        <v>10</v>
      </c>
      <c r="K10" s="1"/>
      <c r="L10" s="7" t="str">
        <f ca="1">INDEX(INDIRECT(nomFichierBaseCatalogue &amp; "!B:B"),SUM($P$9:$P10))</f>
        <v>HLESGC00-ECS01-008</v>
      </c>
      <c r="M10" s="3" t="str">
        <f ca="1">INDEX(INDIRECT(nomFichierBaseCatalogue &amp; "!F:F"),SUM($P$9:$P10))</f>
        <v>summer 2018 presentation/catalogo summer 2018 continuativo.txt</v>
      </c>
      <c r="N10" s="7" t="str">
        <f ca="1">INDEX(INDIRECT(nomFichierBaseCatalogue &amp; "!C:C"),SUM($P$9:$P10))</f>
        <v>p020-1-07</v>
      </c>
      <c r="O10" s="1"/>
      <c r="P10" s="4">
        <f ca="1">MATCH($A$8&amp;"*-*"&amp;$A$9&amp;"*",INDIRECT(nomFichierBaseCatalogue &amp; "!B" &amp; (SUM(P$9:P9)+1) &amp; ":B" &amp;SUM(P$9:P9)+10000),0)</f>
        <v>144</v>
      </c>
      <c r="Q10" s="1"/>
      <c r="R10" s="1"/>
    </row>
    <row r="11" spans="1:18" x14ac:dyDescent="0.25">
      <c r="A11" s="7" t="e">
        <f ca="1">INDEX(INDIRECT(nomFichierTraite &amp; "!D:D"),SUM($E$9:$E11))</f>
        <v>#N/A</v>
      </c>
      <c r="B11" s="3" t="e">
        <f ca="1">INDEX(INDIRECT(nomFichierTraite &amp; "!H:H"),SUM($E$9:$E11))</f>
        <v>#N/A</v>
      </c>
      <c r="C11" s="7" t="e">
        <f ca="1">INDEX(INDIRECT(nomFichierTraite &amp; "!E:E"),SUM($E$9:$E11))</f>
        <v>#N/A</v>
      </c>
      <c r="D11" s="1"/>
      <c r="E11" s="4" t="e">
        <f ca="1">MATCH($A$8&amp;"*-*"&amp;$A$9&amp;"*",INDIRECT(nomFichierTraite &amp; "!D" &amp; (SUM(E$9:E10)+1) &amp; ":D" &amp;SUM(E$9:E10)+500),0)</f>
        <v>#N/A</v>
      </c>
      <c r="G11" s="7" t="str">
        <f ca="1">INDEX(M:M,SUM($J$9:$J11))</f>
        <v>summer 2018 presentation/catalogo summer 2018 continuativo.txt</v>
      </c>
      <c r="H11" s="3" t="str">
        <f ca="1">INDEX(N:N,SUM($J$9:$J11))</f>
        <v>p020-1-08</v>
      </c>
      <c r="I11" s="1"/>
      <c r="J11" s="4">
        <f ca="1">MATCH("*" &amp; $G$8 &amp; "*",INDIRECT("M" &amp; (SUM(J$9:J10)+1) &amp; ":M" &amp;SUM(J$9:J10)+500),0)</f>
        <v>1</v>
      </c>
      <c r="K11" s="1"/>
      <c r="L11" s="7" t="str">
        <f ca="1">INDEX(INDIRECT(nomFichierBaseCatalogue &amp; "!B:B"),SUM($P$9:$P11))</f>
        <v>HLESGC00-ECS01-055</v>
      </c>
      <c r="M11" s="3" t="str">
        <f ca="1">INDEX(INDIRECT(nomFichierBaseCatalogue &amp; "!F:F"),SUM($P$9:$P11))</f>
        <v>summer 2018 presentation/catalogo summer 2018 continuativo.txt</v>
      </c>
      <c r="N11" s="7" t="str">
        <f ca="1">INDEX(INDIRECT(nomFichierBaseCatalogue &amp; "!C:C"),SUM($P$9:$P11))</f>
        <v>p020-1-08</v>
      </c>
      <c r="O11" s="1"/>
      <c r="P11" s="4">
        <f ca="1">MATCH($A$8&amp;"*-*"&amp;$A$9&amp;"*",INDIRECT(nomFichierBaseCatalogue &amp; "!B" &amp; (SUM(P$9:P10)+1) &amp; ":B" &amp;SUM(P$9:P10)+10000),0)</f>
        <v>1</v>
      </c>
      <c r="Q11" s="1"/>
      <c r="R11" s="1"/>
    </row>
    <row r="12" spans="1:18" x14ac:dyDescent="0.25">
      <c r="A12" s="7" t="e">
        <f ca="1">INDEX(INDIRECT(nomFichierTraite &amp; "!D:D"),SUM($E$9:$E12))</f>
        <v>#N/A</v>
      </c>
      <c r="B12" s="3" t="e">
        <f ca="1">INDEX(INDIRECT(nomFichierTraite &amp; "!H:H"),SUM($E$9:$E12))</f>
        <v>#N/A</v>
      </c>
      <c r="C12" s="7" t="e">
        <f ca="1">INDEX(INDIRECT(nomFichierTraite &amp; "!E:E"),SUM($E$9:$E12))</f>
        <v>#N/A</v>
      </c>
      <c r="D12" s="1"/>
      <c r="E12" s="4" t="e">
        <f ca="1">MATCH($A$8&amp;"*-*"&amp;$A$9&amp;"*",INDIRECT(nomFichierTraite &amp; "!D" &amp; (SUM(E$9:E11)+1) &amp; ":D" &amp;SUM(E$9:E11)+500),0)</f>
        <v>#N/A</v>
      </c>
      <c r="G12" s="7" t="str">
        <f ca="1">INDEX(M:M,SUM($J$9:$J12))</f>
        <v>summer 2018 presentation/catalogo summer 2018 continuativo.txt</v>
      </c>
      <c r="H12" s="3" t="str">
        <f ca="1">INDEX(N:N,SUM($J$9:$J12))</f>
        <v>p020-1-10</v>
      </c>
      <c r="I12" s="1"/>
      <c r="J12" s="4">
        <f ca="1">MATCH("*" &amp; $G$8 &amp; "*",INDIRECT("M" &amp; (SUM(J$9:J11)+1) &amp; ":M" &amp;SUM(J$9:J11)+500),0)</f>
        <v>1</v>
      </c>
      <c r="K12" s="1"/>
      <c r="L12" s="7" t="str">
        <f ca="1">INDEX(INDIRECT(nomFichierBaseCatalogue &amp; "!B:B"),SUM($P$9:$P12))</f>
        <v>HLESGC00-ECS01-084</v>
      </c>
      <c r="M12" s="3" t="str">
        <f ca="1">INDEX(INDIRECT(nomFichierBaseCatalogue &amp; "!F:F"),SUM($P$9:$P12))</f>
        <v>summer 2018 presentation/catalogo summer 2018 continuativo.txt</v>
      </c>
      <c r="N12" s="7" t="str">
        <f ca="1">INDEX(INDIRECT(nomFichierBaseCatalogue &amp; "!C:C"),SUM($P$9:$P12))</f>
        <v>p020-1-10</v>
      </c>
      <c r="O12" s="1"/>
      <c r="P12" s="4">
        <f ca="1">MATCH($A$8&amp;"*-*"&amp;$A$9&amp;"*",INDIRECT(nomFichierBaseCatalogue &amp; "!B" &amp; (SUM(P$9:P11)+1) &amp; ":B" &amp;SUM(P$9:P11)+10000),0)</f>
        <v>1</v>
      </c>
      <c r="Q12" s="1"/>
      <c r="R12" s="1"/>
    </row>
    <row r="13" spans="1:18" x14ac:dyDescent="0.25">
      <c r="A13" s="7" t="e">
        <f ca="1">INDEX(INDIRECT(nomFichierTraite &amp; "!D:D"),SUM($E$9:$E13))</f>
        <v>#N/A</v>
      </c>
      <c r="B13" s="3" t="e">
        <f ca="1">INDEX(INDIRECT(nomFichierTraite &amp; "!H:H"),SUM($E$9:$E13))</f>
        <v>#N/A</v>
      </c>
      <c r="C13" s="7" t="e">
        <f ca="1">INDEX(INDIRECT(nomFichierTraite &amp; "!E:E"),SUM($E$9:$E13))</f>
        <v>#N/A</v>
      </c>
      <c r="D13" s="1"/>
      <c r="E13" s="4" t="e">
        <f ca="1">MATCH($A$8&amp;"*-*"&amp;$A$9&amp;"*",INDIRECT(nomFichierTraite &amp; "!D" &amp; (SUM(E$9:E12)+1) &amp; ":D" &amp;SUM(E$9:E12)+500),0)</f>
        <v>#N/A</v>
      </c>
      <c r="G13" s="7" t="str">
        <f ca="1">INDEX(M:M,SUM($J$9:$J13))</f>
        <v>summer 2018 presentation/catalogo summer 2018 continuativo.txt</v>
      </c>
      <c r="H13" s="3" t="str">
        <f ca="1">INDEX(N:N,SUM($J$9:$J13))</f>
        <v>p020-1-09</v>
      </c>
      <c r="I13" s="1"/>
      <c r="J13" s="4">
        <f ca="1">MATCH("*" &amp; $G$8 &amp; "*",INDIRECT("M" &amp; (SUM(J$9:J12)+1) &amp; ":M" &amp;SUM(J$9:J12)+500),0)</f>
        <v>1</v>
      </c>
      <c r="K13" s="1"/>
      <c r="L13" s="7" t="str">
        <f ca="1">INDEX(INDIRECT(nomFichierBaseCatalogue &amp; "!B:B"),SUM($P$9:$P13))</f>
        <v>HLESGC00-ECS01-086</v>
      </c>
      <c r="M13" s="3" t="str">
        <f ca="1">INDEX(INDIRECT(nomFichierBaseCatalogue &amp; "!F:F"),SUM($P$9:$P13))</f>
        <v>summer 2018 presentation/catalogo summer 2018 continuativo.txt</v>
      </c>
      <c r="N13" s="7" t="str">
        <f ca="1">INDEX(INDIRECT(nomFichierBaseCatalogue &amp; "!C:C"),SUM($P$9:$P13))</f>
        <v>p020-1-09</v>
      </c>
      <c r="O13" s="1"/>
      <c r="P13" s="4">
        <f ca="1">MATCH($A$8&amp;"*-*"&amp;$A$9&amp;"*",INDIRECT(nomFichierBaseCatalogue &amp; "!B" &amp; (SUM(P$9:P12)+1) &amp; ":B" &amp;SUM(P$9:P12)+10000),0)</f>
        <v>1</v>
      </c>
      <c r="Q13" s="1"/>
      <c r="R13" s="1"/>
    </row>
    <row r="14" spans="1:18" x14ac:dyDescent="0.25">
      <c r="A14" s="7" t="e">
        <f ca="1">INDEX(INDIRECT(nomFichierTraite &amp; "!D:D"),SUM($E$9:$E14))</f>
        <v>#N/A</v>
      </c>
      <c r="B14" s="3" t="e">
        <f ca="1">INDEX(INDIRECT(nomFichierTraite &amp; "!H:H"),SUM($E$9:$E14))</f>
        <v>#N/A</v>
      </c>
      <c r="C14" s="7" t="e">
        <f ca="1">INDEX(INDIRECT(nomFichierTraite &amp; "!E:E"),SUM($E$9:$E14))</f>
        <v>#N/A</v>
      </c>
      <c r="D14" s="1"/>
      <c r="E14" s="4" t="e">
        <f ca="1">MATCH($A$8&amp;"*-*"&amp;$A$9&amp;"*",INDIRECT(nomFichierTraite &amp; "!D" &amp; (SUM(E$9:E13)+1) &amp; ":D" &amp;SUM(E$9:E13)+500),0)</f>
        <v>#N/A</v>
      </c>
      <c r="G14" s="7" t="str">
        <f ca="1">INDEX(M:M,SUM($J$9:$J14))</f>
        <v>fall 2018 presentation/catalogo fall 2018.txt</v>
      </c>
      <c r="H14" s="3" t="str">
        <f ca="1">INDEX(N:N,SUM($J$9:$J14))</f>
        <v>p030-1-01</v>
      </c>
      <c r="I14" s="1"/>
      <c r="J14" s="4">
        <f ca="1">MATCH("*" &amp; $G$8 &amp; "*",INDIRECT("M" &amp; (SUM(J$9:J13)+1) &amp; ":M" &amp;SUM(J$9:J13)+500),0)</f>
        <v>1</v>
      </c>
      <c r="K14" s="1"/>
      <c r="L14" s="7" t="str">
        <f ca="1">INDEX(INDIRECT(nomFichierBaseCatalogue &amp; "!B:B"),SUM($P$9:$P14))</f>
        <v>HLESGC00-ECS29-017</v>
      </c>
      <c r="M14" s="3" t="str">
        <f ca="1">INDEX(INDIRECT(nomFichierBaseCatalogue &amp; "!F:F"),SUM($P$9:$P14))</f>
        <v>fall 2018 presentation/catalogo fall 2018.txt</v>
      </c>
      <c r="N14" s="7" t="str">
        <f ca="1">INDEX(INDIRECT(nomFichierBaseCatalogue &amp; "!C:C"),SUM($P$9:$P14))</f>
        <v>p030-1-01</v>
      </c>
      <c r="O14" s="1"/>
      <c r="P14" s="4">
        <f ca="1">MATCH($A$8&amp;"*-*"&amp;$A$9&amp;"*",INDIRECT(nomFichierBaseCatalogue &amp; "!B" &amp; (SUM(P$9:P13)+1) &amp; ":B" &amp;SUM(P$9:P13)+10000),0)</f>
        <v>1</v>
      </c>
      <c r="Q14" s="1"/>
      <c r="R14" s="1"/>
    </row>
    <row r="15" spans="1:18" x14ac:dyDescent="0.25">
      <c r="A15" s="7" t="e">
        <f ca="1">INDEX(INDIRECT(nomFichierTraite &amp; "!D:D"),SUM($E$9:$E15))</f>
        <v>#N/A</v>
      </c>
      <c r="B15" s="3" t="e">
        <f ca="1">INDEX(INDIRECT(nomFichierTraite &amp; "!H:H"),SUM($E$9:$E15))</f>
        <v>#N/A</v>
      </c>
      <c r="C15" s="7" t="e">
        <f ca="1">INDEX(INDIRECT(nomFichierTraite &amp; "!E:E"),SUM($E$9:$E15))</f>
        <v>#N/A</v>
      </c>
      <c r="D15" s="1"/>
      <c r="E15" s="4" t="e">
        <f ca="1">MATCH($A$8&amp;"*-*"&amp;$A$9&amp;"*",INDIRECT(nomFichierTraite &amp; "!D" &amp; (SUM(E$9:E14)+1) &amp; ":D" &amp;SUM(E$9:E14)+500),0)</f>
        <v>#N/A</v>
      </c>
      <c r="G15" s="7" t="str">
        <f ca="1">INDEX(M:M,SUM($J$9:$J15))</f>
        <v>fall 2018 presentation/catalogo fall 2018.txt</v>
      </c>
      <c r="H15" s="3" t="str">
        <f ca="1">INDEX(N:N,SUM($J$9:$J15))</f>
        <v>p030-1-03</v>
      </c>
      <c r="I15" s="1"/>
      <c r="J15" s="4">
        <f ca="1">MATCH("*" &amp; $G$8 &amp; "*",INDIRECT("M" &amp; (SUM(J$9:J14)+1) &amp; ":M" &amp;SUM(J$9:J14)+500),0)</f>
        <v>1</v>
      </c>
      <c r="K15" s="1"/>
      <c r="L15" s="7" t="str">
        <f ca="1">INDEX(INDIRECT(nomFichierBaseCatalogue &amp; "!B:B"),SUM($P$9:$P15))</f>
        <v>HLESGC00-ECS29-018</v>
      </c>
      <c r="M15" s="3" t="str">
        <f ca="1">INDEX(INDIRECT(nomFichierBaseCatalogue &amp; "!F:F"),SUM($P$9:$P15))</f>
        <v>fall 2018 presentation/catalogo fall 2018.txt</v>
      </c>
      <c r="N15" s="7" t="str">
        <f ca="1">INDEX(INDIRECT(nomFichierBaseCatalogue &amp; "!C:C"),SUM($P$9:$P15))</f>
        <v>p030-1-03</v>
      </c>
      <c r="O15" s="1"/>
      <c r="P15" s="4">
        <f ca="1">MATCH($A$8&amp;"*-*"&amp;$A$9&amp;"*",INDIRECT(nomFichierBaseCatalogue &amp; "!B" &amp; (SUM(P$9:P14)+1) &amp; ":B" &amp;SUM(P$9:P14)+10000),0)</f>
        <v>1</v>
      </c>
      <c r="Q15" s="1"/>
      <c r="R15" s="1"/>
    </row>
    <row r="16" spans="1:18" x14ac:dyDescent="0.25">
      <c r="A16" s="7" t="e">
        <f ca="1">INDEX(INDIRECT(nomFichierTraite &amp; "!D:D"),SUM($E$9:$E16))</f>
        <v>#N/A</v>
      </c>
      <c r="B16" s="3" t="e">
        <f ca="1">INDEX(INDIRECT(nomFichierTraite &amp; "!H:H"),SUM($E$9:$E16))</f>
        <v>#N/A</v>
      </c>
      <c r="C16" s="7" t="e">
        <f ca="1">INDEX(INDIRECT(nomFichierTraite &amp; "!E:E"),SUM($E$9:$E16))</f>
        <v>#N/A</v>
      </c>
      <c r="D16" s="1"/>
      <c r="E16" s="4" t="e">
        <f ca="1">MATCH($A$8&amp;"*-*"&amp;$A$9&amp;"*",INDIRECT(nomFichierTraite &amp; "!D" &amp; (SUM(E$9:E15)+1) &amp; ":D" &amp;SUM(E$9:E15)+500),0)</f>
        <v>#N/A</v>
      </c>
      <c r="G16" s="7" t="str">
        <f ca="1">INDEX(M:M,SUM($J$9:$J16))</f>
        <v>fall 2018 presentation/catalogo fall 2018.txt</v>
      </c>
      <c r="H16" s="3" t="str">
        <f ca="1">INDEX(N:N,SUM($J$9:$J16))</f>
        <v>p030-1-07</v>
      </c>
      <c r="I16" s="1"/>
      <c r="J16" s="4">
        <f ca="1">MATCH("*" &amp; $G$8 &amp; "*",INDIRECT("M" &amp; (SUM(J$9:J15)+1) &amp; ":M" &amp;SUM(J$9:J15)+500),0)</f>
        <v>1</v>
      </c>
      <c r="K16" s="1"/>
      <c r="L16" s="7" t="str">
        <f ca="1">INDEX(INDIRECT(nomFichierBaseCatalogue &amp; "!B:B"),SUM($P$9:$P16))</f>
        <v>HLESGC00-ECS29-050</v>
      </c>
      <c r="M16" s="3" t="str">
        <f ca="1">INDEX(INDIRECT(nomFichierBaseCatalogue &amp; "!F:F"),SUM($P$9:$P16))</f>
        <v>fall 2018 presentation/catalogo fall 2018.txt</v>
      </c>
      <c r="N16" s="7" t="str">
        <f ca="1">INDEX(INDIRECT(nomFichierBaseCatalogue &amp; "!C:C"),SUM($P$9:$P16))</f>
        <v>p030-1-07</v>
      </c>
      <c r="O16" s="1"/>
      <c r="P16" s="4">
        <f ca="1">MATCH($A$8&amp;"*-*"&amp;$A$9&amp;"*",INDIRECT(nomFichierBaseCatalogue &amp; "!B" &amp; (SUM(P$9:P15)+1) &amp; ":B" &amp;SUM(P$9:P15)+10000),0)</f>
        <v>1</v>
      </c>
      <c r="Q16" s="1"/>
      <c r="R16" s="1"/>
    </row>
    <row r="17" spans="1:18" x14ac:dyDescent="0.25">
      <c r="A17" s="7" t="e">
        <f ca="1">INDEX(INDIRECT(nomFichierTraite &amp; "!D:D"),SUM($E$9:$E17))</f>
        <v>#N/A</v>
      </c>
      <c r="B17" s="3" t="e">
        <f ca="1">INDEX(INDIRECT(nomFichierTraite &amp; "!H:H"),SUM($E$9:$E17))</f>
        <v>#N/A</v>
      </c>
      <c r="C17" s="7" t="e">
        <f ca="1">INDEX(INDIRECT(nomFichierTraite &amp; "!E:E"),SUM($E$9:$E17))</f>
        <v>#N/A</v>
      </c>
      <c r="D17" s="1"/>
      <c r="E17" s="4" t="e">
        <f ca="1">MATCH($A$8&amp;"*-*"&amp;$A$9&amp;"*",INDIRECT(nomFichierTraite &amp; "!D" &amp; (SUM(E$9:E16)+1) &amp; ":D" &amp;SUM(E$9:E16)+500),0)</f>
        <v>#N/A</v>
      </c>
      <c r="G17" s="7" t="str">
        <f ca="1">INDEX(M:M,SUM($J$9:$J17))</f>
        <v>fall 2018 presentation/catalogo fall 2018.txt</v>
      </c>
      <c r="H17" s="3" t="str">
        <f ca="1">INDEX(N:N,SUM($J$9:$J17))</f>
        <v>p030-1-06</v>
      </c>
      <c r="I17" s="1"/>
      <c r="J17" s="4">
        <f ca="1">MATCH("*" &amp; $G$8 &amp; "*",INDIRECT("M" &amp; (SUM(J$9:J16)+1) &amp; ":M" &amp;SUM(J$9:J16)+500),0)</f>
        <v>1</v>
      </c>
      <c r="K17" s="1"/>
      <c r="L17" s="7" t="str">
        <f ca="1">INDEX(INDIRECT(nomFichierBaseCatalogue &amp; "!B:B"),SUM($P$9:$P17))</f>
        <v>HLESGC00-ECS29-055</v>
      </c>
      <c r="M17" s="3" t="str">
        <f ca="1">INDEX(INDIRECT(nomFichierBaseCatalogue &amp; "!F:F"),SUM($P$9:$P17))</f>
        <v>fall 2018 presentation/catalogo fall 2018.txt</v>
      </c>
      <c r="N17" s="7" t="str">
        <f ca="1">INDEX(INDIRECT(nomFichierBaseCatalogue &amp; "!C:C"),SUM($P$9:$P17))</f>
        <v>p030-1-06</v>
      </c>
      <c r="O17" s="1"/>
      <c r="P17" s="4">
        <f ca="1">MATCH($A$8&amp;"*-*"&amp;$A$9&amp;"*",INDIRECT(nomFichierBaseCatalogue &amp; "!B" &amp; (SUM(P$9:P16)+1) &amp; ":B" &amp;SUM(P$9:P16)+10000),0)</f>
        <v>1</v>
      </c>
      <c r="Q17" s="1"/>
      <c r="R17" s="1"/>
    </row>
    <row r="18" spans="1:18" x14ac:dyDescent="0.25">
      <c r="A18" s="7" t="e">
        <f ca="1">INDEX(INDIRECT(nomFichierTraite &amp; "!D:D"),SUM($E$9:$E18))</f>
        <v>#N/A</v>
      </c>
      <c r="B18" s="3" t="e">
        <f ca="1">INDEX(INDIRECT(nomFichierTraite &amp; "!H:H"),SUM($E$9:$E18))</f>
        <v>#N/A</v>
      </c>
      <c r="C18" s="7" t="e">
        <f ca="1">INDEX(INDIRECT(nomFichierTraite &amp; "!E:E"),SUM($E$9:$E18))</f>
        <v>#N/A</v>
      </c>
      <c r="D18" s="1"/>
      <c r="E18" s="4" t="e">
        <f ca="1">MATCH($A$8&amp;"*-*"&amp;$A$9&amp;"*",INDIRECT(nomFichierTraite &amp; "!D" &amp; (SUM(E$9:E17)+1) &amp; ":D" &amp;SUM(E$9:E17)+500),0)</f>
        <v>#N/A</v>
      </c>
      <c r="G18" s="7" t="str">
        <f ca="1">INDEX(M:M,SUM($J$9:$J18))</f>
        <v>fall 2018 presentation/catalogo fall 2018.txt</v>
      </c>
      <c r="H18" s="3" t="str">
        <f ca="1">INDEX(N:N,SUM($J$9:$J18))</f>
        <v>p029-1-02</v>
      </c>
      <c r="I18" s="1"/>
      <c r="J18" s="4">
        <f ca="1">MATCH("*" &amp; $G$8 &amp; "*",INDIRECT("M" &amp; (SUM(J$9:J17)+1) &amp; ":M" &amp;SUM(J$9:J17)+500),0)</f>
        <v>1</v>
      </c>
      <c r="K18" s="1"/>
      <c r="L18" s="7" t="str">
        <f ca="1">INDEX(INDIRECT(nomFichierBaseCatalogue &amp; "!B:B"),SUM($P$9:$P18))</f>
        <v>HLESGC00-ECS83-017</v>
      </c>
      <c r="M18" s="3" t="str">
        <f ca="1">INDEX(INDIRECT(nomFichierBaseCatalogue &amp; "!F:F"),SUM($P$9:$P18))</f>
        <v>fall 2018 presentation/catalogo fall 2018.txt</v>
      </c>
      <c r="N18" s="7" t="str">
        <f ca="1">INDEX(INDIRECT(nomFichierBaseCatalogue &amp; "!C:C"),SUM($P$9:$P18))</f>
        <v>p029-1-02</v>
      </c>
      <c r="O18" s="1"/>
      <c r="P18" s="4">
        <f ca="1">MATCH($A$8&amp;"*-*"&amp;$A$9&amp;"*",INDIRECT(nomFichierBaseCatalogue &amp; "!B" &amp; (SUM(P$9:P17)+1) &amp; ":B" &amp;SUM(P$9:P17)+10000),0)</f>
        <v>1</v>
      </c>
      <c r="Q18" s="1"/>
      <c r="R18" s="1"/>
    </row>
    <row r="19" spans="1:18" x14ac:dyDescent="0.25">
      <c r="A19" s="7" t="e">
        <f ca="1">INDEX(INDIRECT(nomFichierTraite &amp; "!D:D"),SUM($E$9:$E19))</f>
        <v>#N/A</v>
      </c>
      <c r="B19" s="3" t="e">
        <f ca="1">INDEX(INDIRECT(nomFichierTraite &amp; "!H:H"),SUM($E$9:$E19))</f>
        <v>#N/A</v>
      </c>
      <c r="C19" s="7" t="e">
        <f ca="1">INDEX(INDIRECT(nomFichierTraite &amp; "!E:E"),SUM($E$9:$E19))</f>
        <v>#N/A</v>
      </c>
      <c r="D19" s="1"/>
      <c r="E19" s="4" t="e">
        <f ca="1">MATCH($A$8&amp;"*-*"&amp;$A$9&amp;"*",INDIRECT(nomFichierTraite &amp; "!D" &amp; (SUM(E$9:E18)+1) &amp; ":D" &amp;SUM(E$9:E18)+500),0)</f>
        <v>#N/A</v>
      </c>
      <c r="G19" s="7" t="str">
        <f ca="1">INDEX(M:M,SUM($J$9:$J19))</f>
        <v>fall 2018 presentation/catalogo fall 2018.txt</v>
      </c>
      <c r="H19" s="3" t="str">
        <f ca="1">INDEX(N:N,SUM($J$9:$J19))</f>
        <v>p029-1-01</v>
      </c>
      <c r="I19" s="1"/>
      <c r="J19" s="4">
        <f ca="1">MATCH("*" &amp; $G$8 &amp; "*",INDIRECT("M" &amp; (SUM(J$9:J18)+1) &amp; ":M" &amp;SUM(J$9:J18)+500),0)</f>
        <v>1</v>
      </c>
      <c r="K19" s="1"/>
      <c r="L19" s="7" t="str">
        <f ca="1">INDEX(INDIRECT(nomFichierBaseCatalogue &amp; "!B:B"),SUM($P$9:$P19))</f>
        <v>HLESGC00-ECS83-018</v>
      </c>
      <c r="M19" s="3" t="str">
        <f ca="1">INDEX(INDIRECT(nomFichierBaseCatalogue &amp; "!F:F"),SUM($P$9:$P19))</f>
        <v>fall 2018 presentation/catalogo fall 2018.txt</v>
      </c>
      <c r="N19" s="7" t="str">
        <f ca="1">INDEX(INDIRECT(nomFichierBaseCatalogue &amp; "!C:C"),SUM($P$9:$P19))</f>
        <v>p029-1-01</v>
      </c>
      <c r="O19" s="1"/>
      <c r="P19" s="4">
        <f ca="1">MATCH($A$8&amp;"*-*"&amp;$A$9&amp;"*",INDIRECT(nomFichierBaseCatalogue &amp; "!B" &amp; (SUM(P$9:P18)+1) &amp; ":B" &amp;SUM(P$9:P18)+10000),0)</f>
        <v>1</v>
      </c>
      <c r="Q19" s="1"/>
      <c r="R19" s="1"/>
    </row>
    <row r="20" spans="1:18" x14ac:dyDescent="0.25">
      <c r="A20" s="7" t="e">
        <f ca="1">INDEX(INDIRECT(nomFichierTraite &amp; "!D:D"),SUM($E$9:$E20))</f>
        <v>#N/A</v>
      </c>
      <c r="B20" s="3" t="e">
        <f ca="1">INDEX(INDIRECT(nomFichierTraite &amp; "!H:H"),SUM($E$9:$E20))</f>
        <v>#N/A</v>
      </c>
      <c r="C20" s="7" t="e">
        <f ca="1">INDEX(INDIRECT(nomFichierTraite &amp; "!E:E"),SUM($E$9:$E20))</f>
        <v>#N/A</v>
      </c>
      <c r="D20" s="1"/>
      <c r="E20" s="4" t="e">
        <f ca="1">MATCH($A$8&amp;"*-*"&amp;$A$9&amp;"*",INDIRECT(nomFichierTraite &amp; "!D" &amp; (SUM(E$9:E19)+1) &amp; ":D" &amp;SUM(E$9:E19)+500),0)</f>
        <v>#N/A</v>
      </c>
      <c r="G20" s="7" t="str">
        <f ca="1">INDEX(M:M,SUM($J$9:$J20))</f>
        <v>fall 2019 presentation_/catalogo fall 19.txt</v>
      </c>
      <c r="H20" s="3" t="str">
        <f ca="1">INDEX(N:N,SUM($J$9:$J20))</f>
        <v>p034-1-01</v>
      </c>
      <c r="I20" s="1"/>
      <c r="J20" s="4">
        <f ca="1">MATCH("*" &amp; $G$8 &amp; "*",INDIRECT("M" &amp; (SUM(J$9:J19)+1) &amp; ":M" &amp;SUM(J$9:J19)+500),0)</f>
        <v>1</v>
      </c>
      <c r="K20" s="1"/>
      <c r="L20" s="7" t="str">
        <f ca="1">INDEX(INDIRECT(nomFichierBaseCatalogue &amp; "!B:B"),SUM($P$9:$P20))</f>
        <v>HLESGC00-ECSC4-055</v>
      </c>
      <c r="M20" s="3" t="str">
        <f ca="1">INDEX(INDIRECT(nomFichierBaseCatalogue &amp; "!F:F"),SUM($P$9:$P20))</f>
        <v>fall 2019 presentation_/catalogo fall 19.txt</v>
      </c>
      <c r="N20" s="7" t="str">
        <f ca="1">INDEX(INDIRECT(nomFichierBaseCatalogue &amp; "!C:C"),SUM($P$9:$P20))</f>
        <v>p034-1-01</v>
      </c>
      <c r="O20" s="1"/>
      <c r="P20" s="4">
        <f ca="1">MATCH($A$8&amp;"*-*"&amp;$A$9&amp;"*",INDIRECT(nomFichierBaseCatalogue &amp; "!B" &amp; (SUM(P$9:P19)+1) &amp; ":B" &amp;SUM(P$9:P19)+10000),0)</f>
        <v>1</v>
      </c>
      <c r="Q20" s="1"/>
      <c r="R20" s="1"/>
    </row>
    <row r="21" spans="1:18" x14ac:dyDescent="0.25">
      <c r="A21" s="7" t="e">
        <f ca="1">INDEX(INDIRECT(nomFichierTraite &amp; "!D:D"),SUM($E$9:$E21))</f>
        <v>#N/A</v>
      </c>
      <c r="B21" s="3" t="e">
        <f ca="1">INDEX(INDIRECT(nomFichierTraite &amp; "!H:H"),SUM($E$9:$E21))</f>
        <v>#N/A</v>
      </c>
      <c r="C21" s="7" t="e">
        <f ca="1">INDEX(INDIRECT(nomFichierTraite &amp; "!E:E"),SUM($E$9:$E21))</f>
        <v>#N/A</v>
      </c>
      <c r="D21" s="1"/>
      <c r="E21" s="4" t="e">
        <f ca="1">MATCH($A$8&amp;"*-*"&amp;$A$9&amp;"*",INDIRECT(nomFichierTraite &amp; "!D" &amp; (SUM(E$9:E20)+1) &amp; ":D" &amp;SUM(E$9:E20)+500),0)</f>
        <v>#N/A</v>
      </c>
      <c r="G21" s="7" t="str">
        <f ca="1">INDEX(M:M,SUM($J$9:$J21))</f>
        <v>catalogo Spring 19.txt</v>
      </c>
      <c r="H21" s="3" t="str">
        <f ca="1">INDEX(N:N,SUM($J$9:$J21))</f>
        <v>p027-3-01</v>
      </c>
      <c r="I21" s="1"/>
      <c r="J21" s="4">
        <f ca="1">MATCH("*" &amp; $G$8 &amp; "*",INDIRECT("M" &amp; (SUM(J$9:J20)+1) &amp; ":M" &amp;SUM(J$9:J20)+500),0)</f>
        <v>1</v>
      </c>
      <c r="K21" s="1"/>
      <c r="L21" s="7" t="str">
        <f ca="1">INDEX(INDIRECT(nomFichierBaseCatalogue &amp; "!B:B"),SUM($P$9:$P21))</f>
        <v>HLESGC00-PLS00-017</v>
      </c>
      <c r="M21" s="3" t="str">
        <f ca="1">INDEX(INDIRECT(nomFichierBaseCatalogue &amp; "!F:F"),SUM($P$9:$P21))</f>
        <v>catalogo Spring 19.txt</v>
      </c>
      <c r="N21" s="7" t="str">
        <f ca="1">INDEX(INDIRECT(nomFichierBaseCatalogue &amp; "!C:C"),SUM($P$9:$P21))</f>
        <v>p027-3-01</v>
      </c>
      <c r="O21" s="1"/>
      <c r="P21" s="4">
        <f ca="1">MATCH($A$8&amp;"*-*"&amp;$A$9&amp;"*",INDIRECT(nomFichierBaseCatalogue &amp; "!B" &amp; (SUM(P$9:P20)+1) &amp; ":B" &amp;SUM(P$9:P20)+10000),0)</f>
        <v>2</v>
      </c>
      <c r="Q21" s="1"/>
      <c r="R21" s="1"/>
    </row>
    <row r="22" spans="1:18" x14ac:dyDescent="0.25">
      <c r="A22" s="7" t="e">
        <f ca="1">INDEX(INDIRECT(nomFichierTraite &amp; "!D:D"),SUM($E$9:$E22))</f>
        <v>#N/A</v>
      </c>
      <c r="B22" s="3" t="e">
        <f ca="1">INDEX(INDIRECT(nomFichierTraite &amp; "!H:H"),SUM($E$9:$E22))</f>
        <v>#N/A</v>
      </c>
      <c r="C22" s="7" t="e">
        <f ca="1">INDEX(INDIRECT(nomFichierTraite &amp; "!E:E"),SUM($E$9:$E22))</f>
        <v>#N/A</v>
      </c>
      <c r="D22" s="1"/>
      <c r="E22" s="4" t="e">
        <f ca="1">MATCH($A$8&amp;"*-*"&amp;$A$9&amp;"*",INDIRECT(nomFichierTraite &amp; "!D" &amp; (SUM(E$9:E21)+1) &amp; ":D" &amp;SUM(E$9:E21)+500),0)</f>
        <v>#N/A</v>
      </c>
      <c r="G22" s="7" t="str">
        <f ca="1">INDEX(M:M,SUM($J$9:$J22))</f>
        <v>catalogo Spring 19.txt</v>
      </c>
      <c r="H22" s="3" t="str">
        <f ca="1">INDEX(N:N,SUM($J$9:$J22))</f>
        <v>p027-3-02</v>
      </c>
      <c r="I22" s="1"/>
      <c r="J22" s="4">
        <f ca="1">MATCH("*" &amp; $G$8 &amp; "*",INDIRECT("M" &amp; (SUM(J$9:J21)+1) &amp; ":M" &amp;SUM(J$9:J21)+500),0)</f>
        <v>1</v>
      </c>
      <c r="K22" s="1"/>
      <c r="L22" s="7" t="str">
        <f ca="1">INDEX(INDIRECT(nomFichierBaseCatalogue &amp; "!B:B"),SUM($P$9:$P22))</f>
        <v>HLESGC00-PLS00-026</v>
      </c>
      <c r="M22" s="3" t="str">
        <f ca="1">INDEX(INDIRECT(nomFichierBaseCatalogue &amp; "!F:F"),SUM($P$9:$P22))</f>
        <v>catalogo Spring 19.txt</v>
      </c>
      <c r="N22" s="7" t="str">
        <f ca="1">INDEX(INDIRECT(nomFichierBaseCatalogue &amp; "!C:C"),SUM($P$9:$P22))</f>
        <v>p027-3-02</v>
      </c>
      <c r="O22" s="1"/>
      <c r="P22" s="4">
        <f ca="1">MATCH($A$8&amp;"*-*"&amp;$A$9&amp;"*",INDIRECT(nomFichierBaseCatalogue &amp; "!B" &amp; (SUM(P$9:P21)+1) &amp; ":B" &amp;SUM(P$9:P21)+10000),0)</f>
        <v>1</v>
      </c>
      <c r="Q22" s="1"/>
      <c r="R22" s="1"/>
    </row>
    <row r="23" spans="1:18" x14ac:dyDescent="0.25">
      <c r="G23" s="1"/>
      <c r="H23" s="1"/>
      <c r="I23" s="1"/>
      <c r="J23" s="1"/>
      <c r="K23" s="1"/>
      <c r="L23" s="7" t="str">
        <f ca="1">INDEX(INDIRECT(nomFichierBaseCatalogue &amp; "!B:B"),SUM($P$9:$P23))</f>
        <v>HLESGC00-PLS00-048</v>
      </c>
      <c r="M23" s="3" t="str">
        <f ca="1">INDEX(INDIRECT(nomFichierBaseCatalogue &amp; "!F:F"),SUM($P$9:$P23))</f>
        <v>catalogo Spring 19.txt</v>
      </c>
      <c r="N23" s="7" t="str">
        <f ca="1">INDEX(INDIRECT(nomFichierBaseCatalogue &amp; "!C:C"),SUM($P$9:$P23))</f>
        <v>p027-3-04</v>
      </c>
      <c r="O23" s="1"/>
      <c r="P23" s="4">
        <f ca="1">MATCH($A$8&amp;"*-*"&amp;$A$9&amp;"*",INDIRECT(nomFichierBaseCatalogue &amp; "!B" &amp; (SUM(P$9:P22)+1) &amp; ":B" &amp;SUM(P$9:P22)+10000),0)</f>
        <v>1</v>
      </c>
    </row>
    <row r="24" spans="1:18" x14ac:dyDescent="0.25">
      <c r="G24" s="1"/>
      <c r="H24" s="1"/>
      <c r="I24" s="1"/>
      <c r="J24" s="1"/>
      <c r="K24" s="1"/>
      <c r="L24" s="7" t="str">
        <f ca="1">INDEX(INDIRECT(nomFichierBaseCatalogue &amp; "!B:B"),SUM($P$9:$P24))</f>
        <v>HLESGC00-PLS00-088</v>
      </c>
      <c r="M24" s="3" t="str">
        <f ca="1">INDEX(INDIRECT(nomFichierBaseCatalogue &amp; "!F:F"),SUM($P$9:$P24))</f>
        <v>catalogo Spring 19.txt</v>
      </c>
      <c r="N24" s="7" t="str">
        <f ca="1">INDEX(INDIRECT(nomFichierBaseCatalogue &amp; "!C:C"),SUM($P$9:$P24))</f>
        <v>p027-3-03</v>
      </c>
      <c r="O24" s="1"/>
      <c r="P24" s="4">
        <f ca="1">MATCH($A$8&amp;"*-*"&amp;$A$9&amp;"*",INDIRECT(nomFichierBaseCatalogue &amp; "!B" &amp; (SUM(P$9:P23)+1) &amp; ":B" &amp;SUM(P$9:P23)+10000),0)</f>
        <v>1</v>
      </c>
    </row>
    <row r="25" spans="1:18" x14ac:dyDescent="0.25">
      <c r="G25" s="1"/>
      <c r="H25" s="1"/>
      <c r="I25" s="1"/>
      <c r="J25" s="1"/>
      <c r="K25" s="1"/>
      <c r="L25" s="7" t="str">
        <f ca="1">INDEX(INDIRECT(nomFichierBaseCatalogue &amp; "!B:B"),SUM($P$9:$P25))</f>
        <v>HLESGC00-PLS00-347</v>
      </c>
      <c r="M25" s="3" t="str">
        <f ca="1">INDEX(INDIRECT(nomFichierBaseCatalogue &amp; "!F:F"),SUM($P$9:$P25))</f>
        <v>catalogo Spring 19.txt</v>
      </c>
      <c r="N25" s="7" t="str">
        <f ca="1">INDEX(INDIRECT(nomFichierBaseCatalogue &amp; "!C:C"),SUM($P$9:$P25))</f>
        <v>p027-3-05</v>
      </c>
      <c r="O25" s="1"/>
      <c r="P25" s="4">
        <f ca="1">MATCH($A$8&amp;"*-*"&amp;$A$9&amp;"*",INDIRECT(nomFichierBaseCatalogue &amp; "!B" &amp; (SUM(P$9:P24)+1) &amp; ":B" &amp;SUM(P$9:P24)+10000),0)</f>
        <v>1</v>
      </c>
    </row>
    <row r="26" spans="1:18" x14ac:dyDescent="0.25">
      <c r="G26" s="1"/>
      <c r="H26" s="1"/>
      <c r="I26" s="1"/>
      <c r="J26" s="1"/>
      <c r="K26" s="1"/>
      <c r="L26" s="7" t="str">
        <f ca="1">INDEX(INDIRECT(nomFichierBaseCatalogue &amp; "!B:B"),SUM($P$9:$P26))</f>
        <v>HLESGC00-PLS00-371</v>
      </c>
      <c r="M26" s="3" t="str">
        <f ca="1">INDEX(INDIRECT(nomFichierBaseCatalogue &amp; "!F:F"),SUM($P$9:$P26))</f>
        <v>catalogo Spring 19.txt</v>
      </c>
      <c r="N26" s="7" t="str">
        <f ca="1">INDEX(INDIRECT(nomFichierBaseCatalogue &amp; "!C:C"),SUM($P$9:$P26))</f>
        <v>p027-3-06</v>
      </c>
      <c r="O26" s="1"/>
      <c r="P26" s="4">
        <f ca="1">MATCH($A$8&amp;"*-*"&amp;$A$9&amp;"*",INDIRECT(nomFichierBaseCatalogue &amp; "!B" &amp; (SUM(P$9:P25)+1) &amp; ":B" &amp;SUM(P$9:P25)+10000),0)</f>
        <v>1</v>
      </c>
    </row>
    <row r="27" spans="1:18" x14ac:dyDescent="0.25">
      <c r="A27" s="1" t="s">
        <v>18</v>
      </c>
      <c r="G27" s="1"/>
      <c r="H27" s="1"/>
      <c r="I27" s="1"/>
      <c r="J27" s="1"/>
      <c r="K27" s="1"/>
      <c r="L27" s="7" t="str">
        <f ca="1">INDEX(INDIRECT(nomFichierBaseCatalogue &amp; "!B:B"),SUM($P$9:$P27))</f>
        <v>HLESGC00-PLS00-422</v>
      </c>
      <c r="M27" s="3" t="str">
        <f ca="1">INDEX(INDIRECT(nomFichierBaseCatalogue &amp; "!F:F"),SUM($P$9:$P27))</f>
        <v>catalogo Spring 19.txt</v>
      </c>
      <c r="N27" s="7" t="str">
        <f ca="1">INDEX(INDIRECT(nomFichierBaseCatalogue &amp; "!C:C"),SUM($P$9:$P27))</f>
        <v>p027-3-08</v>
      </c>
      <c r="O27" s="1"/>
      <c r="P27" s="4">
        <f ca="1">MATCH($A$8&amp;"*-*"&amp;$A$9&amp;"*",INDIRECT(nomFichierBaseCatalogue &amp; "!B" &amp; (SUM(P$9:P26)+1) &amp; ":B" &amp;SUM(P$9:P26)+10000),0)</f>
        <v>1</v>
      </c>
    </row>
    <row r="28" spans="1:18" x14ac:dyDescent="0.25">
      <c r="G28" s="1"/>
      <c r="H28" s="1"/>
      <c r="I28" s="1"/>
      <c r="J28" s="1"/>
      <c r="K28" s="1"/>
      <c r="L28" s="7" t="str">
        <f ca="1">INDEX(INDIRECT(nomFichierBaseCatalogue &amp; "!B:B"),SUM($P$9:$P28))</f>
        <v>HLESGC00-PLS00-588</v>
      </c>
      <c r="M28" s="3" t="str">
        <f ca="1">INDEX(INDIRECT(nomFichierBaseCatalogue &amp; "!F:F"),SUM($P$9:$P28))</f>
        <v>catalogo Spring 19.txt</v>
      </c>
      <c r="N28" s="7" t="str">
        <f ca="1">INDEX(INDIRECT(nomFichierBaseCatalogue &amp; "!C:C"),SUM($P$9:$P28))</f>
        <v>p027-3-09</v>
      </c>
      <c r="O28" s="1"/>
      <c r="P28" s="4">
        <f ca="1">MATCH($A$8&amp;"*-*"&amp;$A$9&amp;"*",INDIRECT(nomFichierBaseCatalogue &amp; "!B" &amp; (SUM(P$9:P27)+1) &amp; ":B" &amp;SUM(P$9:P27)+10000),0)</f>
        <v>1</v>
      </c>
    </row>
    <row r="29" spans="1:18" x14ac:dyDescent="0.25">
      <c r="G29" s="1"/>
      <c r="H29" s="1"/>
      <c r="I29" s="1"/>
      <c r="J29" s="1"/>
      <c r="K29" s="1"/>
      <c r="L29" s="7" t="str">
        <f ca="1">INDEX(INDIRECT(nomFichierBaseCatalogue &amp; "!B:B"),SUM($P$9:$P29))</f>
        <v>HLESGC00-PLS00-589</v>
      </c>
      <c r="M29" s="3" t="str">
        <f ca="1">INDEX(INDIRECT(nomFichierBaseCatalogue &amp; "!F:F"),SUM($P$9:$P29))</f>
        <v>catalogo Spring 19.txt</v>
      </c>
      <c r="N29" s="7" t="str">
        <f ca="1">INDEX(INDIRECT(nomFichierBaseCatalogue &amp; "!C:C"),SUM($P$9:$P29))</f>
        <v>p027-3-07</v>
      </c>
      <c r="O29" s="1"/>
      <c r="P29" s="4">
        <f ca="1">MATCH($A$8&amp;"*-*"&amp;$A$9&amp;"*",INDIRECT(nomFichierBaseCatalogue &amp; "!B" &amp; (SUM(P$9:P28)+1) &amp; ":B" &amp;SUM(P$9:P28)+10000),0)</f>
        <v>1</v>
      </c>
    </row>
    <row r="30" spans="1:18" x14ac:dyDescent="0.25">
      <c r="G30" s="1"/>
      <c r="H30" s="1"/>
      <c r="I30" s="1"/>
      <c r="J30" s="1"/>
      <c r="K30" s="1"/>
      <c r="L30" s="7" t="str">
        <f ca="1">INDEX(INDIRECT(nomFichierBaseCatalogue &amp; "!B:B"),SUM($P$9:$P30))</f>
        <v>HLESGC00-PLS14-055</v>
      </c>
      <c r="M30" s="3" t="str">
        <f ca="1">INDEX(INDIRECT(nomFichierBaseCatalogue &amp; "!F:F"),SUM($P$9:$P30))</f>
        <v>summer 2019 presentation/catalogo summer_beach 2019.txt</v>
      </c>
      <c r="N30" s="7" t="str">
        <f ca="1">INDEX(INDIRECT(nomFichierBaseCatalogue &amp; "!C:C"),SUM($P$9:$P30))</f>
        <v>p051-1-01</v>
      </c>
      <c r="O30" s="1"/>
      <c r="P30" s="4">
        <f ca="1">MATCH($A$8&amp;"*-*"&amp;$A$9&amp;"*",INDIRECT(nomFichierBaseCatalogue &amp; "!B" &amp; (SUM(P$9:P29)+1) &amp; ":B" &amp;SUM(P$9:P29)+10000),0)</f>
        <v>1</v>
      </c>
    </row>
    <row r="31" spans="1:18" x14ac:dyDescent="0.25">
      <c r="G31" s="1"/>
      <c r="H31" s="1"/>
      <c r="I31" s="1"/>
      <c r="J31" s="1"/>
      <c r="K31" s="1"/>
      <c r="L31" s="7" t="str">
        <f ca="1">INDEX(INDIRECT(nomFichierBaseCatalogue &amp; "!B:B"),SUM($P$9:$P31))</f>
        <v>HLESGC00-ROS10-017</v>
      </c>
      <c r="M31" s="3" t="str">
        <f ca="1">INDEX(INDIRECT(nomFichierBaseCatalogue &amp; "!F:F"),SUM($P$9:$P31))</f>
        <v>summer 2019 presentation/catalogo summer_beach 2019.txt</v>
      </c>
      <c r="N31" s="7" t="str">
        <f ca="1">INDEX(INDIRECT(nomFichierBaseCatalogue &amp; "!C:C"),SUM($P$9:$P31))</f>
        <v>p052-2-03</v>
      </c>
      <c r="O31" s="1"/>
      <c r="P31" s="4">
        <f ca="1">MATCH($A$8&amp;"*-*"&amp;$A$9&amp;"*",INDIRECT(nomFichierBaseCatalogue &amp; "!B" &amp; (SUM(P$9:P30)+1) &amp; ":B" &amp;SUM(P$9:P30)+10000),0)</f>
        <v>2</v>
      </c>
    </row>
    <row r="32" spans="1:18" x14ac:dyDescent="0.25">
      <c r="G32" s="1"/>
      <c r="H32" s="1"/>
      <c r="I32" s="1"/>
      <c r="J32" s="1"/>
      <c r="K32" s="1"/>
      <c r="L32" s="7" t="str">
        <f ca="1">INDEX(INDIRECT(nomFichierBaseCatalogue &amp; "!B:B"),SUM($P$9:$P32))</f>
        <v>HLESGC00-ROS10-026</v>
      </c>
      <c r="M32" s="3" t="str">
        <f ca="1">INDEX(INDIRECT(nomFichierBaseCatalogue &amp; "!F:F"),SUM($P$9:$P32))</f>
        <v>summer 2019 presentation/catalogo summer_beach 2019.txt</v>
      </c>
      <c r="N32" s="7" t="str">
        <f ca="1">INDEX(INDIRECT(nomFichierBaseCatalogue &amp; "!C:C"),SUM($P$9:$P32))</f>
        <v>p052-2-05</v>
      </c>
      <c r="O32" s="1"/>
      <c r="P32" s="4">
        <f ca="1">MATCH($A$8&amp;"*-*"&amp;$A$9&amp;"*",INDIRECT(nomFichierBaseCatalogue &amp; "!B" &amp; (SUM(P$9:P31)+1) &amp; ":B" &amp;SUM(P$9:P31)+10000),0)</f>
        <v>1</v>
      </c>
    </row>
    <row r="33" spans="7:16" x14ac:dyDescent="0.25">
      <c r="G33" s="1"/>
      <c r="H33" s="1"/>
      <c r="I33" s="1"/>
      <c r="J33" s="1"/>
      <c r="K33" s="1"/>
      <c r="L33" s="7" t="str">
        <f ca="1">INDEX(INDIRECT(nomFichierBaseCatalogue &amp; "!B:B"),SUM($P$9:$P33))</f>
        <v>HLESGC00-ROS10-371</v>
      </c>
      <c r="M33" s="3" t="str">
        <f ca="1">INDEX(INDIRECT(nomFichierBaseCatalogue &amp; "!F:F"),SUM($P$9:$P33))</f>
        <v>summer 2019 presentation/catalogo summer_beach 2019.txt</v>
      </c>
      <c r="N33" s="7" t="str">
        <f ca="1">INDEX(INDIRECT(nomFichierBaseCatalogue &amp; "!C:C"),SUM($P$9:$P33))</f>
        <v>p052-2-07</v>
      </c>
      <c r="O33" s="1"/>
      <c r="P33" s="4">
        <f ca="1">MATCH($A$8&amp;"*-*"&amp;$A$9&amp;"*",INDIRECT(nomFichierBaseCatalogue &amp; "!B" &amp; (SUM(P$9:P32)+1) &amp; ":B" &amp;SUM(P$9:P32)+10000),0)</f>
        <v>1</v>
      </c>
    </row>
    <row r="34" spans="7:16" x14ac:dyDescent="0.25">
      <c r="G34" s="1"/>
      <c r="H34" s="1"/>
      <c r="I34" s="1"/>
      <c r="J34" s="1"/>
      <c r="K34" s="1"/>
      <c r="L34" s="7" t="str">
        <f ca="1">INDEX(INDIRECT(nomFichierBaseCatalogue &amp; "!B:B"),SUM($P$9:$P34))</f>
        <v>HLESGC00-ROS10-422</v>
      </c>
      <c r="M34" s="3" t="str">
        <f ca="1">INDEX(INDIRECT(nomFichierBaseCatalogue &amp; "!F:F"),SUM($P$9:$P34))</f>
        <v>summer 2019 presentation/catalogo summer_beach 2019.txt</v>
      </c>
      <c r="N34" s="7" t="str">
        <f ca="1">INDEX(INDIRECT(nomFichierBaseCatalogue &amp; "!C:C"),SUM($P$9:$P34))</f>
        <v>p052-2-04</v>
      </c>
      <c r="O34" s="1"/>
      <c r="P34" s="4">
        <f ca="1">MATCH($A$8&amp;"*-*"&amp;$A$9&amp;"*",INDIRECT(nomFichierBaseCatalogue &amp; "!B" &amp; (SUM(P$9:P33)+1) &amp; ":B" &amp;SUM(P$9:P33)+10000),0)</f>
        <v>1</v>
      </c>
    </row>
    <row r="35" spans="7:16" x14ac:dyDescent="0.25">
      <c r="G35" s="1"/>
      <c r="H35" s="1"/>
      <c r="I35" s="1"/>
      <c r="J35" s="1"/>
      <c r="K35" s="1"/>
      <c r="L35" s="7" t="str">
        <f ca="1">INDEX(INDIRECT(nomFichierBaseCatalogue &amp; "!B:B"),SUM($P$9:$P35))</f>
        <v>HLESGC00-ROS10-484</v>
      </c>
      <c r="M35" s="3" t="str">
        <f ca="1">INDEX(INDIRECT(nomFichierBaseCatalogue &amp; "!F:F"),SUM($P$9:$P35))</f>
        <v>summer 2019 presentation/catalogo summer_beach 2019.txt</v>
      </c>
      <c r="N35" s="7" t="str">
        <f ca="1">INDEX(INDIRECT(nomFichierBaseCatalogue &amp; "!C:C"),SUM($P$9:$P35))</f>
        <v>p052-2-06</v>
      </c>
      <c r="O35" s="1"/>
      <c r="P35" s="4">
        <f ca="1">MATCH($A$8&amp;"*-*"&amp;$A$9&amp;"*",INDIRECT(nomFichierBaseCatalogue &amp; "!B" &amp; (SUM(P$9:P34)+1) &amp; ":B" &amp;SUM(P$9:P34)+10000),0)</f>
        <v>1</v>
      </c>
    </row>
    <row r="36" spans="7:16" x14ac:dyDescent="0.25">
      <c r="G36" s="1"/>
      <c r="H36" s="1"/>
      <c r="I36" s="1"/>
      <c r="J36" s="1"/>
      <c r="K36" s="1"/>
      <c r="L36" s="7" t="str">
        <f ca="1">INDEX(INDIRECT(nomFichierBaseCatalogue &amp; "!B:B"),SUM($P$9:$P36))</f>
        <v>HLESGC00-ROS10-486</v>
      </c>
      <c r="M36" s="3" t="str">
        <f ca="1">INDEX(INDIRECT(nomFichierBaseCatalogue &amp; "!F:F"),SUM($P$9:$P36))</f>
        <v>summer 2019 presentation/catalogo summer_beach 2019.txt</v>
      </c>
      <c r="N36" s="7" t="str">
        <f ca="1">INDEX(INDIRECT(nomFichierBaseCatalogue &amp; "!C:C"),SUM($P$9:$P36))</f>
        <v>p052-2-08</v>
      </c>
      <c r="O36" s="1"/>
      <c r="P36" s="4">
        <f ca="1">MATCH($A$8&amp;"*-*"&amp;$A$9&amp;"*",INDIRECT(nomFichierBaseCatalogue &amp; "!B" &amp; (SUM(P$9:P35)+1) &amp; ":B" &amp;SUM(P$9:P35)+10000),0)</f>
        <v>1</v>
      </c>
    </row>
    <row r="37" spans="7:16" x14ac:dyDescent="0.25">
      <c r="G37" s="1"/>
      <c r="H37" s="1"/>
      <c r="I37" s="1"/>
      <c r="J37" s="1"/>
      <c r="K37" s="1"/>
      <c r="L37" s="7" t="e">
        <f ca="1">INDEX(INDIRECT(nomFichierBaseCatalogue &amp; "!B:B"),SUM($P$9:$P37))</f>
        <v>#N/A</v>
      </c>
      <c r="M37" s="3" t="e">
        <f ca="1">INDEX(INDIRECT(nomFichierBaseCatalogue &amp; "!F:F"),SUM($P$9:$P37))</f>
        <v>#N/A</v>
      </c>
      <c r="N37" s="7" t="e">
        <f ca="1">INDEX(INDIRECT(nomFichierBaseCatalogue &amp; "!C:C"),SUM($P$9:$P37))</f>
        <v>#N/A</v>
      </c>
      <c r="O37" s="1"/>
      <c r="P37" s="4" t="e">
        <f ca="1">MATCH($A$8&amp;"*-*"&amp;$A$9&amp;"*",INDIRECT(nomFichierBaseCatalogue &amp; "!B" &amp; (SUM(P$9:P36)+1) &amp; ":B" &amp;SUM(P$9:P36)+10000),0)</f>
        <v>#N/A</v>
      </c>
    </row>
    <row r="38" spans="7:16" x14ac:dyDescent="0.25">
      <c r="G38" s="1"/>
      <c r="H38" s="1"/>
      <c r="I38" s="1"/>
      <c r="J38" s="1"/>
      <c r="K38" s="1"/>
      <c r="L38" s="7" t="e">
        <f ca="1">INDEX(INDIRECT(nomFichierBaseCatalogue &amp; "!B:B"),SUM($P$9:$P38))</f>
        <v>#N/A</v>
      </c>
      <c r="M38" s="3" t="e">
        <f ca="1">INDEX(INDIRECT(nomFichierBaseCatalogue &amp; "!F:F"),SUM($P$9:$P38))</f>
        <v>#N/A</v>
      </c>
      <c r="N38" s="7" t="e">
        <f ca="1">INDEX(INDIRECT(nomFichierBaseCatalogue &amp; "!C:C"),SUM($P$9:$P38))</f>
        <v>#N/A</v>
      </c>
      <c r="O38" s="1"/>
      <c r="P38" s="4" t="e">
        <f ca="1">MATCH($A$8&amp;"*-*"&amp;$A$9&amp;"*",INDIRECT(nomFichierBaseCatalogue &amp; "!B" &amp; (SUM(P$9:P37)+1) &amp; ":B" &amp;SUM(P$9:P37)+10000),0)</f>
        <v>#N/A</v>
      </c>
    </row>
    <row r="39" spans="7:16" x14ac:dyDescent="0.25">
      <c r="G39" s="1"/>
      <c r="H39" s="1"/>
      <c r="I39" s="1"/>
      <c r="J39" s="1"/>
      <c r="K39" s="1"/>
      <c r="L39" s="7" t="e">
        <f ca="1">INDEX(INDIRECT(nomFichierBaseCatalogue &amp; "!B:B"),SUM($P$9:$P39))</f>
        <v>#N/A</v>
      </c>
      <c r="M39" s="3" t="e">
        <f ca="1">INDEX(INDIRECT(nomFichierBaseCatalogue &amp; "!F:F"),SUM($P$9:$P39))</f>
        <v>#N/A</v>
      </c>
      <c r="N39" s="7" t="e">
        <f ca="1">INDEX(INDIRECT(nomFichierBaseCatalogue &amp; "!C:C"),SUM($P$9:$P39))</f>
        <v>#N/A</v>
      </c>
      <c r="O39" s="1"/>
      <c r="P39" s="4" t="e">
        <f ca="1">MATCH($A$8&amp;"*-*"&amp;$A$9&amp;"*",INDIRECT(nomFichierBaseCatalogue &amp; "!B" &amp; (SUM(P$9:P38)+1) &amp; ":B" &amp;SUM(P$9:P38)+10000),0)</f>
        <v>#N/A</v>
      </c>
    </row>
    <row r="40" spans="7:16" x14ac:dyDescent="0.25">
      <c r="G40" s="1"/>
      <c r="H40" s="1"/>
      <c r="I40" s="1"/>
      <c r="J40" s="1"/>
      <c r="K40" s="1"/>
      <c r="L40" s="7" t="e">
        <f ca="1">INDEX(INDIRECT(nomFichierBaseCatalogue &amp; "!B:B"),SUM($P$9:$P40))</f>
        <v>#N/A</v>
      </c>
      <c r="M40" s="3" t="e">
        <f ca="1">INDEX(INDIRECT(nomFichierBaseCatalogue &amp; "!F:F"),SUM($P$9:$P40))</f>
        <v>#N/A</v>
      </c>
      <c r="N40" s="7" t="e">
        <f ca="1">INDEX(INDIRECT(nomFichierBaseCatalogue &amp; "!C:C"),SUM($P$9:$P40))</f>
        <v>#N/A</v>
      </c>
      <c r="O40" s="1"/>
      <c r="P40" s="4" t="e">
        <f ca="1">MATCH($A$8&amp;"*-*"&amp;$A$9&amp;"*",INDIRECT(nomFichierBaseCatalogue &amp; "!B" &amp; (SUM(P$9:P39)+1) &amp; ":B" &amp;SUM(P$9:P39)+10000),0)</f>
        <v>#N/A</v>
      </c>
    </row>
    <row r="41" spans="7:16" x14ac:dyDescent="0.25">
      <c r="G41" s="1"/>
      <c r="H41" s="1"/>
      <c r="I41" s="1"/>
      <c r="J41" s="1"/>
      <c r="K41" s="1"/>
      <c r="L41" s="7" t="e">
        <f ca="1">INDEX(INDIRECT(nomFichierBaseCatalogue &amp; "!B:B"),SUM($P$9:$P41))</f>
        <v>#N/A</v>
      </c>
      <c r="M41" s="3" t="e">
        <f ca="1">INDEX(INDIRECT(nomFichierBaseCatalogue &amp; "!F:F"),SUM($P$9:$P41))</f>
        <v>#N/A</v>
      </c>
      <c r="N41" s="7" t="e">
        <f ca="1">INDEX(INDIRECT(nomFichierBaseCatalogue &amp; "!C:C"),SUM($P$9:$P41))</f>
        <v>#N/A</v>
      </c>
      <c r="O41" s="1"/>
      <c r="P41" s="4" t="e">
        <f ca="1">MATCH($A$8&amp;"*-*"&amp;$A$9&amp;"*",INDIRECT(nomFichierBaseCatalogue &amp; "!B" &amp; (SUM(P$9:P40)+1) &amp; ":B" &amp;SUM(P$9:P40)+10000),0)</f>
        <v>#N/A</v>
      </c>
    </row>
    <row r="42" spans="7:16" x14ac:dyDescent="0.25">
      <c r="G42" s="1"/>
      <c r="H42" s="1"/>
      <c r="I42" s="1"/>
      <c r="J42" s="1"/>
      <c r="K42" s="1"/>
      <c r="L42" s="7" t="e">
        <f ca="1">INDEX(INDIRECT(nomFichierBaseCatalogue &amp; "!B:B"),SUM($P$9:$P42))</f>
        <v>#N/A</v>
      </c>
      <c r="M42" s="3" t="e">
        <f ca="1">INDEX(INDIRECT(nomFichierBaseCatalogue &amp; "!F:F"),SUM($P$9:$P42))</f>
        <v>#N/A</v>
      </c>
      <c r="N42" s="7" t="e">
        <f ca="1">INDEX(INDIRECT(nomFichierBaseCatalogue &amp; "!C:C"),SUM($P$9:$P42))</f>
        <v>#N/A</v>
      </c>
      <c r="O42" s="1"/>
      <c r="P42" s="4" t="e">
        <f ca="1">MATCH($A$8&amp;"*-*"&amp;$A$9&amp;"*",INDIRECT(nomFichierBaseCatalogue &amp; "!B" &amp; (SUM(P$9:P41)+1) &amp; ":B" &amp;SUM(P$9:P41)+10000),0)</f>
        <v>#N/A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15</vt:i4>
      </vt:variant>
    </vt:vector>
  </HeadingPairs>
  <TitlesOfParts>
    <vt:vector size="18" baseType="lpstr">
      <vt:lpstr>Synthèse Proforma</vt:lpstr>
      <vt:lpstr>Paramètres</vt:lpstr>
      <vt:lpstr>Requêteur</vt:lpstr>
      <vt:lpstr>listeFichierPDF</vt:lpstr>
      <vt:lpstr>msgCodeValmagVide</vt:lpstr>
      <vt:lpstr>msgRefValmagAcreer</vt:lpstr>
      <vt:lpstr>nomFichierBaseCatalogue</vt:lpstr>
      <vt:lpstr>nomFichierEAN13Valmag</vt:lpstr>
      <vt:lpstr>nomFichierEAN13ValmagUniq</vt:lpstr>
      <vt:lpstr>nomFichierFiltreCatalogue</vt:lpstr>
      <vt:lpstr>nomFichierTraite</vt:lpstr>
      <vt:lpstr>offsetInitialFichierTraite</vt:lpstr>
      <vt:lpstr>'Synthèse Proforma'!Zone_d_impression</vt:lpstr>
      <vt:lpstr>zoneFichierBaseCatalogue</vt:lpstr>
      <vt:lpstr>zoneFichierEAN13Valmag</vt:lpstr>
      <vt:lpstr>zoneFichierEAN13ValmagUniq</vt:lpstr>
      <vt:lpstr>zoneFichierFiltreCatalogue</vt:lpstr>
      <vt:lpstr>zoneFichierTraite</vt:lpstr>
    </vt:vector>
  </TitlesOfParts>
  <Company>Air France KLM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Lestang, Jean (DI NH RC) - AF</dc:creator>
  <cp:lastModifiedBy>Lestang, Jean (DI NH RC) - AF</cp:lastModifiedBy>
  <cp:lastPrinted>2019-10-06T07:36:35Z</cp:lastPrinted>
  <dcterms:created xsi:type="dcterms:W3CDTF">2019-10-04T18:50:53Z</dcterms:created>
  <dcterms:modified xsi:type="dcterms:W3CDTF">2019-10-06T10:04:04Z</dcterms:modified>
</cp:coreProperties>
</file>