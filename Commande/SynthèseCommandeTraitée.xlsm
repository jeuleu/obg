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m312742\Documents\Perso\obg\Commande\"/>
    </mc:Choice>
  </mc:AlternateContent>
  <bookViews>
    <workbookView xWindow="0" yWindow="0" windowWidth="28800" windowHeight="12435" activeTab="1"/>
  </bookViews>
  <sheets>
    <sheet name="Requêteur" sheetId="1" r:id="rId1"/>
    <sheet name="Synthèse Proforma" sheetId="2" r:id="rId2"/>
    <sheet name="Paramètres" sheetId="3" r:id="rId3"/>
  </sheets>
  <functionGroups builtInGroupCount="18"/>
  <definedNames>
    <definedName name="listeFichierPDF">Requêteur!$A:$A</definedName>
    <definedName name="nomFichierBaseCatalogue">Paramètres!$A$6</definedName>
    <definedName name="nomFichierEAN13Valmag">Paramètres!$A$4</definedName>
    <definedName name="nomFichierFiltreCatalogue">'Synthèse Proforma'!$I$6</definedName>
    <definedName name="nomFichierTraite">Paramètres!$A$2</definedName>
    <definedName name="offsetInitialFichierTraite">Paramètres!$B$2</definedName>
    <definedName name="_xlnm.Print_Area" localSheetId="1">'Synthèse Proforma'!$A:$H</definedName>
    <definedName name="zoneFichierBaseCatalogue">Paramètres!$C$6</definedName>
    <definedName name="zoneFichierEAN13Valmag">Paramètres!$C$4</definedName>
    <definedName name="zoneFichierFiltreCatalogue">'Synthèse Proforma'!$K$7</definedName>
    <definedName name="zoneFichierTraite">Paramètres!$C$2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50" i="2" l="1"/>
  <c r="J48" i="2"/>
  <c r="J46" i="2"/>
  <c r="A48" i="2"/>
  <c r="A47" i="2"/>
  <c r="C46" i="2"/>
  <c r="N48" i="2"/>
  <c r="M46" i="2"/>
  <c r="D48" i="2"/>
  <c r="E48" i="2"/>
  <c r="N46" i="2"/>
  <c r="E50" i="2"/>
  <c r="D46" i="2"/>
  <c r="J52" i="2" l="1"/>
  <c r="I4" i="2"/>
  <c r="I3" i="2"/>
  <c r="J12" i="2"/>
  <c r="J10" i="2"/>
  <c r="O46" i="2"/>
  <c r="C50" i="2"/>
  <c r="B50" i="2"/>
  <c r="L48" i="2"/>
  <c r="A46" i="2"/>
  <c r="L46" i="2"/>
  <c r="A51" i="2"/>
  <c r="F48" i="2"/>
  <c r="E46" i="2"/>
  <c r="H46" i="2"/>
  <c r="N50" i="2"/>
  <c r="M48" i="2"/>
  <c r="O48" i="2"/>
  <c r="D50" i="2"/>
  <c r="L50" i="2"/>
  <c r="C48" i="2"/>
  <c r="B48" i="2"/>
  <c r="B46" i="2"/>
  <c r="H48" i="2"/>
  <c r="M50" i="2"/>
  <c r="F50" i="2"/>
  <c r="A49" i="2"/>
  <c r="A50" i="2"/>
  <c r="F46" i="2"/>
  <c r="D10" i="2"/>
  <c r="N12" i="2"/>
  <c r="N10" i="2"/>
  <c r="M10" i="2"/>
  <c r="G46" i="2" l="1"/>
  <c r="G50" i="2"/>
  <c r="G48" i="2"/>
  <c r="J54" i="2"/>
  <c r="J14" i="2"/>
  <c r="A3" i="1"/>
  <c r="A2" i="1"/>
  <c r="I2" i="2"/>
  <c r="C6" i="3"/>
  <c r="C4" i="3"/>
  <c r="C2" i="3"/>
  <c r="Q48" i="2"/>
  <c r="H50" i="2"/>
  <c r="S50" i="2"/>
  <c r="A52" i="2"/>
  <c r="M52" i="2"/>
  <c r="A53" i="2"/>
  <c r="E52" i="2"/>
  <c r="F52" i="2"/>
  <c r="S48" i="2"/>
  <c r="O50" i="2"/>
  <c r="D47" i="2"/>
  <c r="C52" i="2"/>
  <c r="B52" i="2"/>
  <c r="N52" i="2"/>
  <c r="Q46" i="2"/>
  <c r="D52" i="2"/>
  <c r="S46" i="2"/>
  <c r="D49" i="2"/>
  <c r="C47" i="2"/>
  <c r="L52" i="2"/>
  <c r="C49" i="2"/>
  <c r="Q50" i="2"/>
  <c r="A12" i="2"/>
  <c r="D12" i="2"/>
  <c r="B12" i="2"/>
  <c r="L10" i="2"/>
  <c r="H10" i="2"/>
  <c r="E10" i="1"/>
  <c r="C3" i="2"/>
  <c r="A13" i="2"/>
  <c r="E10" i="2"/>
  <c r="F10" i="2"/>
  <c r="E12" i="2"/>
  <c r="A10" i="2"/>
  <c r="B6" i="2"/>
  <c r="C4" i="2"/>
  <c r="B10" i="2"/>
  <c r="A11" i="2"/>
  <c r="M12" i="2"/>
  <c r="O10" i="2"/>
  <c r="L12" i="2"/>
  <c r="C7" i="2"/>
  <c r="H1" i="2"/>
  <c r="H12" i="2"/>
  <c r="C12" i="2"/>
  <c r="O12" i="2"/>
  <c r="F12" i="2"/>
  <c r="C10" i="2"/>
  <c r="P10" i="1"/>
  <c r="C6" i="2"/>
  <c r="N10" i="1"/>
  <c r="M10" i="1"/>
  <c r="L10" i="1"/>
  <c r="B49" i="2" l="1"/>
  <c r="B47" i="2"/>
  <c r="G52" i="2"/>
  <c r="J56" i="2"/>
  <c r="G12" i="2"/>
  <c r="G10" i="2"/>
  <c r="J16" i="2"/>
  <c r="I6" i="2"/>
  <c r="K7" i="2" s="1"/>
  <c r="R50" i="2"/>
  <c r="H47" i="2"/>
  <c r="S52" i="2"/>
  <c r="H49" i="2"/>
  <c r="E51" i="2"/>
  <c r="F54" i="2"/>
  <c r="M54" i="2"/>
  <c r="E49" i="2"/>
  <c r="R48" i="2"/>
  <c r="B54" i="2"/>
  <c r="C51" i="2"/>
  <c r="D54" i="2"/>
  <c r="E47" i="2"/>
  <c r="H52" i="2"/>
  <c r="L54" i="2"/>
  <c r="C54" i="2"/>
  <c r="R46" i="2"/>
  <c r="Q52" i="2"/>
  <c r="N54" i="2"/>
  <c r="O52" i="2"/>
  <c r="A55" i="2"/>
  <c r="E54" i="2"/>
  <c r="D51" i="2"/>
  <c r="H51" i="2"/>
  <c r="A54" i="2"/>
  <c r="E11" i="1"/>
  <c r="L14" i="2"/>
  <c r="C14" i="2"/>
  <c r="F14" i="2"/>
  <c r="E14" i="2"/>
  <c r="C10" i="1"/>
  <c r="P11" i="1"/>
  <c r="A15" i="2"/>
  <c r="N11" i="1"/>
  <c r="D11" i="2"/>
  <c r="B14" i="2"/>
  <c r="C11" i="2"/>
  <c r="N14" i="2"/>
  <c r="D14" i="2"/>
  <c r="B10" i="1"/>
  <c r="L11" i="1"/>
  <c r="S12" i="2"/>
  <c r="D13" i="2"/>
  <c r="Q12" i="2"/>
  <c r="C13" i="2"/>
  <c r="A14" i="2"/>
  <c r="A10" i="1"/>
  <c r="Q10" i="2"/>
  <c r="S10" i="2"/>
  <c r="M14" i="2"/>
  <c r="C11" i="1"/>
  <c r="A11" i="1"/>
  <c r="B11" i="1"/>
  <c r="M11" i="1"/>
  <c r="B51" i="2" l="1"/>
  <c r="G54" i="2"/>
  <c r="J58" i="2"/>
  <c r="G14" i="2"/>
  <c r="J18" i="2"/>
  <c r="D53" i="2"/>
  <c r="R52" i="2"/>
  <c r="Q54" i="2"/>
  <c r="E53" i="2"/>
  <c r="A57" i="2"/>
  <c r="E56" i="2"/>
  <c r="O54" i="2"/>
  <c r="F56" i="2"/>
  <c r="H54" i="2"/>
  <c r="D56" i="2"/>
  <c r="C53" i="2"/>
  <c r="P46" i="2"/>
  <c r="P48" i="2"/>
  <c r="P50" i="2"/>
  <c r="L56" i="2"/>
  <c r="A56" i="2"/>
  <c r="M56" i="2"/>
  <c r="N56" i="2"/>
  <c r="S54" i="2"/>
  <c r="H53" i="2"/>
  <c r="C56" i="2"/>
  <c r="B56" i="2"/>
  <c r="Q14" i="2"/>
  <c r="O14" i="2"/>
  <c r="L16" i="2"/>
  <c r="R10" i="2"/>
  <c r="H13" i="2"/>
  <c r="S14" i="2"/>
  <c r="F16" i="2"/>
  <c r="E16" i="2"/>
  <c r="C16" i="2"/>
  <c r="E12" i="1"/>
  <c r="E13" i="2"/>
  <c r="E11" i="2"/>
  <c r="A16" i="2"/>
  <c r="N16" i="2"/>
  <c r="D16" i="2"/>
  <c r="P12" i="1"/>
  <c r="M16" i="2"/>
  <c r="H14" i="2"/>
  <c r="H11" i="2"/>
  <c r="A17" i="2"/>
  <c r="R12" i="2"/>
  <c r="B16" i="2"/>
  <c r="C12" i="1"/>
  <c r="B12" i="1"/>
  <c r="A12" i="1"/>
  <c r="L12" i="1"/>
  <c r="N12" i="1"/>
  <c r="M12" i="1"/>
  <c r="B53" i="2" l="1"/>
  <c r="G56" i="2"/>
  <c r="J60" i="2"/>
  <c r="G16" i="2"/>
  <c r="J20" i="2"/>
  <c r="Q56" i="2"/>
  <c r="O56" i="2"/>
  <c r="D55" i="2"/>
  <c r="C58" i="2"/>
  <c r="B58" i="2"/>
  <c r="S56" i="2"/>
  <c r="H56" i="2"/>
  <c r="C55" i="2"/>
  <c r="N58" i="2"/>
  <c r="A59" i="2"/>
  <c r="E58" i="2"/>
  <c r="E55" i="2"/>
  <c r="R54" i="2"/>
  <c r="D58" i="2"/>
  <c r="L58" i="2"/>
  <c r="A58" i="2"/>
  <c r="H55" i="2"/>
  <c r="P52" i="2"/>
  <c r="M58" i="2"/>
  <c r="F58" i="2"/>
  <c r="P13" i="1"/>
  <c r="E15" i="2"/>
  <c r="S16" i="2"/>
  <c r="L18" i="2"/>
  <c r="F18" i="2"/>
  <c r="R14" i="2"/>
  <c r="A19" i="2"/>
  <c r="O16" i="2"/>
  <c r="A18" i="2"/>
  <c r="H15" i="2"/>
  <c r="E18" i="2"/>
  <c r="P10" i="2"/>
  <c r="C18" i="2"/>
  <c r="B18" i="2"/>
  <c r="N18" i="2"/>
  <c r="D18" i="2"/>
  <c r="D15" i="2"/>
  <c r="H16" i="2"/>
  <c r="M18" i="2"/>
  <c r="C15" i="2"/>
  <c r="Q16" i="2"/>
  <c r="P12" i="2"/>
  <c r="E13" i="1"/>
  <c r="L13" i="1"/>
  <c r="M13" i="1"/>
  <c r="N13" i="1"/>
  <c r="B13" i="1"/>
  <c r="A13" i="1"/>
  <c r="C13" i="1"/>
  <c r="G58" i="2" l="1"/>
  <c r="B55" i="2"/>
  <c r="J62" i="2"/>
  <c r="B13" i="2"/>
  <c r="B11" i="2"/>
  <c r="G18" i="2"/>
  <c r="J22" i="2"/>
  <c r="S58" i="2"/>
  <c r="E60" i="2"/>
  <c r="D60" i="2"/>
  <c r="L60" i="2"/>
  <c r="P54" i="2"/>
  <c r="D57" i="2"/>
  <c r="A60" i="2"/>
  <c r="M60" i="2"/>
  <c r="B60" i="2"/>
  <c r="H58" i="2"/>
  <c r="Q58" i="2"/>
  <c r="H57" i="2"/>
  <c r="E57" i="2"/>
  <c r="C57" i="2"/>
  <c r="C60" i="2"/>
  <c r="F60" i="2"/>
  <c r="O58" i="2"/>
  <c r="R56" i="2"/>
  <c r="N60" i="2"/>
  <c r="A61" i="2"/>
  <c r="E14" i="1"/>
  <c r="P14" i="1"/>
  <c r="B20" i="2"/>
  <c r="S18" i="2"/>
  <c r="M20" i="2"/>
  <c r="C20" i="2"/>
  <c r="H17" i="2"/>
  <c r="O18" i="2"/>
  <c r="N20" i="2"/>
  <c r="F20" i="2"/>
  <c r="Q18" i="2"/>
  <c r="D17" i="2"/>
  <c r="H18" i="2"/>
  <c r="E17" i="2"/>
  <c r="A20" i="2"/>
  <c r="C17" i="2"/>
  <c r="P14" i="2"/>
  <c r="R16" i="2"/>
  <c r="A21" i="2"/>
  <c r="L20" i="2"/>
  <c r="E20" i="2"/>
  <c r="D20" i="2"/>
  <c r="B22" i="1"/>
  <c r="B15" i="1"/>
  <c r="A20" i="1"/>
  <c r="B19" i="1"/>
  <c r="B16" i="1"/>
  <c r="C16" i="1"/>
  <c r="C14" i="1"/>
  <c r="C22" i="1"/>
  <c r="A21" i="1"/>
  <c r="C20" i="1"/>
  <c r="C19" i="1"/>
  <c r="B18" i="1"/>
  <c r="A15" i="1"/>
  <c r="B17" i="1"/>
  <c r="C17" i="1"/>
  <c r="A14" i="1"/>
  <c r="B21" i="1"/>
  <c r="A18" i="1"/>
  <c r="C15" i="1"/>
  <c r="A22" i="1"/>
  <c r="B20" i="1"/>
  <c r="C21" i="1"/>
  <c r="C18" i="1"/>
  <c r="A19" i="1"/>
  <c r="A17" i="1"/>
  <c r="A16" i="1"/>
  <c r="B14" i="1"/>
  <c r="L14" i="1"/>
  <c r="M14" i="1"/>
  <c r="N14" i="1"/>
  <c r="H60" i="2" l="1"/>
  <c r="G60" i="2"/>
  <c r="B57" i="2"/>
  <c r="J64" i="2"/>
  <c r="B15" i="2"/>
  <c r="G20" i="2"/>
  <c r="J24" i="2"/>
  <c r="O60" i="2"/>
  <c r="D59" i="2"/>
  <c r="S60" i="2"/>
  <c r="A63" i="2"/>
  <c r="E62" i="2"/>
  <c r="D62" i="2"/>
  <c r="Q60" i="2"/>
  <c r="L62" i="2"/>
  <c r="A62" i="2"/>
  <c r="C62" i="2"/>
  <c r="B62" i="2"/>
  <c r="P56" i="2"/>
  <c r="H59" i="2"/>
  <c r="F62" i="2"/>
  <c r="M62" i="2"/>
  <c r="C59" i="2"/>
  <c r="R58" i="2"/>
  <c r="E59" i="2"/>
  <c r="N62" i="2"/>
  <c r="E20" i="1"/>
  <c r="E16" i="1"/>
  <c r="P16" i="2"/>
  <c r="R18" i="2"/>
  <c r="D19" i="2"/>
  <c r="S20" i="2"/>
  <c r="E22" i="2"/>
  <c r="E15" i="1"/>
  <c r="E17" i="1"/>
  <c r="E19" i="2"/>
  <c r="A22" i="2"/>
  <c r="M22" i="2"/>
  <c r="C19" i="2"/>
  <c r="A23" i="2"/>
  <c r="F22" i="2"/>
  <c r="C22" i="2"/>
  <c r="P15" i="1"/>
  <c r="E22" i="1"/>
  <c r="E18" i="1"/>
  <c r="Q20" i="2"/>
  <c r="L22" i="2"/>
  <c r="D22" i="2"/>
  <c r="E21" i="1"/>
  <c r="E19" i="1"/>
  <c r="H20" i="2"/>
  <c r="O20" i="2"/>
  <c r="N22" i="2"/>
  <c r="H19" i="2"/>
  <c r="B22" i="2"/>
  <c r="L15" i="1"/>
  <c r="M15" i="1"/>
  <c r="N15" i="1"/>
  <c r="B59" i="2" l="1"/>
  <c r="G62" i="2"/>
  <c r="J66" i="2"/>
  <c r="B17" i="2"/>
  <c r="G22" i="2"/>
  <c r="J26" i="2"/>
  <c r="O62" i="2"/>
  <c r="H61" i="2"/>
  <c r="M64" i="2"/>
  <c r="F64" i="2"/>
  <c r="N64" i="2"/>
  <c r="Q62" i="2"/>
  <c r="E64" i="2"/>
  <c r="D64" i="2"/>
  <c r="R60" i="2"/>
  <c r="C61" i="2"/>
  <c r="L64" i="2"/>
  <c r="A64" i="2"/>
  <c r="H62" i="2"/>
  <c r="S62" i="2"/>
  <c r="E61" i="2"/>
  <c r="C64" i="2"/>
  <c r="B64" i="2"/>
  <c r="P58" i="2"/>
  <c r="D61" i="2"/>
  <c r="A65" i="2"/>
  <c r="H21" i="2"/>
  <c r="O22" i="2"/>
  <c r="Q22" i="2"/>
  <c r="A24" i="2"/>
  <c r="R20" i="2"/>
  <c r="P18" i="2"/>
  <c r="F24" i="2"/>
  <c r="C21" i="2"/>
  <c r="D21" i="2"/>
  <c r="B24" i="2"/>
  <c r="D24" i="2"/>
  <c r="P16" i="1"/>
  <c r="A25" i="2"/>
  <c r="E24" i="2"/>
  <c r="L24" i="2"/>
  <c r="M24" i="2"/>
  <c r="S22" i="2"/>
  <c r="C24" i="2"/>
  <c r="H22" i="2"/>
  <c r="N24" i="2"/>
  <c r="E21" i="2"/>
  <c r="L16" i="1"/>
  <c r="N16" i="1"/>
  <c r="M16" i="1"/>
  <c r="G64" i="2" l="1"/>
  <c r="J68" i="2"/>
  <c r="B19" i="2"/>
  <c r="G24" i="2"/>
  <c r="J28" i="2"/>
  <c r="B21" i="2"/>
  <c r="Q64" i="2"/>
  <c r="H64" i="2"/>
  <c r="C66" i="2"/>
  <c r="S64" i="2"/>
  <c r="P60" i="2"/>
  <c r="B61" i="2" s="1"/>
  <c r="N66" i="2"/>
  <c r="A67" i="2"/>
  <c r="E66" i="2"/>
  <c r="H63" i="2"/>
  <c r="O64" i="2"/>
  <c r="C63" i="2"/>
  <c r="F66" i="2"/>
  <c r="B66" i="2"/>
  <c r="E63" i="2"/>
  <c r="R62" i="2"/>
  <c r="D63" i="2"/>
  <c r="D66" i="2"/>
  <c r="L66" i="2"/>
  <c r="A66" i="2"/>
  <c r="M66" i="2"/>
  <c r="P17" i="1"/>
  <c r="Q24" i="2"/>
  <c r="F26" i="2"/>
  <c r="S24" i="2"/>
  <c r="N26" i="2"/>
  <c r="D26" i="2"/>
  <c r="A27" i="2"/>
  <c r="O24" i="2"/>
  <c r="P20" i="2"/>
  <c r="E23" i="2"/>
  <c r="D23" i="2"/>
  <c r="E26" i="2"/>
  <c r="C23" i="2"/>
  <c r="R22" i="2"/>
  <c r="A26" i="2"/>
  <c r="H24" i="2"/>
  <c r="M26" i="2"/>
  <c r="B26" i="2"/>
  <c r="C26" i="2"/>
  <c r="H23" i="2"/>
  <c r="L26" i="2"/>
  <c r="M17" i="1"/>
  <c r="L17" i="1"/>
  <c r="N17" i="1"/>
  <c r="L18" i="1"/>
  <c r="L26" i="1"/>
  <c r="L34" i="1"/>
  <c r="L42" i="1"/>
  <c r="M21" i="1"/>
  <c r="M25" i="1"/>
  <c r="M29" i="1"/>
  <c r="M33" i="1"/>
  <c r="M37" i="1"/>
  <c r="M41" i="1"/>
  <c r="L23" i="1"/>
  <c r="L31" i="1"/>
  <c r="L39" i="1"/>
  <c r="N20" i="1"/>
  <c r="N24" i="1"/>
  <c r="N28" i="1"/>
  <c r="N32" i="1"/>
  <c r="N36" i="1"/>
  <c r="N40" i="1"/>
  <c r="N41" i="1"/>
  <c r="L30" i="1"/>
  <c r="M19" i="1"/>
  <c r="M27" i="1"/>
  <c r="M35" i="1"/>
  <c r="L27" i="1"/>
  <c r="N22" i="1"/>
  <c r="N34" i="1"/>
  <c r="M24" i="1"/>
  <c r="M36" i="1"/>
  <c r="L29" i="1"/>
  <c r="N23" i="1"/>
  <c r="N35" i="1"/>
  <c r="L20" i="1"/>
  <c r="L28" i="1"/>
  <c r="L36" i="1"/>
  <c r="M18" i="1"/>
  <c r="M22" i="1"/>
  <c r="M26" i="1"/>
  <c r="M30" i="1"/>
  <c r="M34" i="1"/>
  <c r="M38" i="1"/>
  <c r="M42" i="1"/>
  <c r="L25" i="1"/>
  <c r="L33" i="1"/>
  <c r="L41" i="1"/>
  <c r="N21" i="1"/>
  <c r="N25" i="1"/>
  <c r="N29" i="1"/>
  <c r="N33" i="1"/>
  <c r="N37" i="1"/>
  <c r="N39" i="1"/>
  <c r="N31" i="1"/>
  <c r="N27" i="1"/>
  <c r="N19" i="1"/>
  <c r="L37" i="1"/>
  <c r="L21" i="1"/>
  <c r="M40" i="1"/>
  <c r="M32" i="1"/>
  <c r="M28" i="1"/>
  <c r="M20" i="1"/>
  <c r="L40" i="1"/>
  <c r="L32" i="1"/>
  <c r="L24" i="1"/>
  <c r="N42" i="1"/>
  <c r="N38" i="1"/>
  <c r="N30" i="1"/>
  <c r="N26" i="1"/>
  <c r="N18" i="1"/>
  <c r="L35" i="1"/>
  <c r="L19" i="1"/>
  <c r="M39" i="1"/>
  <c r="M31" i="1"/>
  <c r="M23" i="1"/>
  <c r="L38" i="1"/>
  <c r="L22" i="1"/>
  <c r="G66" i="2" l="1"/>
  <c r="B63" i="2"/>
  <c r="J70" i="2"/>
  <c r="G26" i="2"/>
  <c r="J30" i="2"/>
  <c r="P62" i="2"/>
  <c r="O66" i="2"/>
  <c r="E68" i="2"/>
  <c r="D68" i="2"/>
  <c r="B68" i="2"/>
  <c r="R64" i="2"/>
  <c r="N68" i="2"/>
  <c r="A69" i="2"/>
  <c r="Q66" i="2"/>
  <c r="D65" i="2"/>
  <c r="H65" i="2"/>
  <c r="A68" i="2"/>
  <c r="M68" i="2"/>
  <c r="F68" i="2"/>
  <c r="L68" i="2"/>
  <c r="H66" i="2"/>
  <c r="S66" i="2"/>
  <c r="C65" i="2"/>
  <c r="E65" i="2"/>
  <c r="C68" i="2"/>
  <c r="J10" i="1"/>
  <c r="P18" i="1"/>
  <c r="E25" i="2"/>
  <c r="O26" i="2"/>
  <c r="F28" i="2"/>
  <c r="M28" i="2"/>
  <c r="B28" i="2"/>
  <c r="H26" i="2"/>
  <c r="P19" i="1"/>
  <c r="P21" i="1"/>
  <c r="L28" i="2"/>
  <c r="H25" i="2"/>
  <c r="C28" i="2"/>
  <c r="E28" i="2"/>
  <c r="S26" i="2"/>
  <c r="D25" i="2"/>
  <c r="Q26" i="2"/>
  <c r="P20" i="1"/>
  <c r="P23" i="1"/>
  <c r="A28" i="2"/>
  <c r="C25" i="2"/>
  <c r="R24" i="2"/>
  <c r="P22" i="1"/>
  <c r="P22" i="2"/>
  <c r="A29" i="2"/>
  <c r="N28" i="2"/>
  <c r="D28" i="2"/>
  <c r="P24" i="1"/>
  <c r="B65" i="2" l="1"/>
  <c r="G68" i="2"/>
  <c r="J72" i="2"/>
  <c r="B23" i="2"/>
  <c r="G10" i="1"/>
  <c r="H10" i="1"/>
  <c r="G28" i="2"/>
  <c r="J32" i="2"/>
  <c r="B25" i="2"/>
  <c r="R66" i="2"/>
  <c r="S68" i="2"/>
  <c r="A71" i="2"/>
  <c r="E70" i="2"/>
  <c r="D70" i="2"/>
  <c r="H68" i="2"/>
  <c r="D67" i="2"/>
  <c r="B70" i="2"/>
  <c r="H67" i="2"/>
  <c r="O68" i="2"/>
  <c r="Q68" i="2"/>
  <c r="L70" i="2"/>
  <c r="A70" i="2"/>
  <c r="M70" i="2"/>
  <c r="E67" i="2"/>
  <c r="C67" i="2"/>
  <c r="F70" i="2"/>
  <c r="C70" i="2"/>
  <c r="P64" i="2"/>
  <c r="N70" i="2"/>
  <c r="O28" i="2"/>
  <c r="H27" i="2"/>
  <c r="L30" i="2"/>
  <c r="F30" i="2"/>
  <c r="C27" i="2"/>
  <c r="E27" i="2"/>
  <c r="C30" i="2"/>
  <c r="J11" i="1"/>
  <c r="E30" i="2"/>
  <c r="R26" i="2"/>
  <c r="D30" i="2"/>
  <c r="B30" i="2"/>
  <c r="P24" i="2"/>
  <c r="A31" i="2"/>
  <c r="D27" i="2"/>
  <c r="S28" i="2"/>
  <c r="Q28" i="2"/>
  <c r="N30" i="2"/>
  <c r="A30" i="2"/>
  <c r="M30" i="2"/>
  <c r="H28" i="2"/>
  <c r="P25" i="1"/>
  <c r="G70" i="2" l="1"/>
  <c r="B67" i="2"/>
  <c r="J74" i="2"/>
  <c r="H11" i="1"/>
  <c r="G11" i="1"/>
  <c r="G30" i="2"/>
  <c r="J34" i="2"/>
  <c r="O70" i="2"/>
  <c r="R68" i="2"/>
  <c r="Q70" i="2"/>
  <c r="M72" i="2"/>
  <c r="F72" i="2"/>
  <c r="D72" i="2"/>
  <c r="E69" i="2"/>
  <c r="E72" i="2"/>
  <c r="L72" i="2"/>
  <c r="H70" i="2"/>
  <c r="D69" i="2"/>
  <c r="H69" i="2"/>
  <c r="C72" i="2"/>
  <c r="B72" i="2"/>
  <c r="C69" i="2"/>
  <c r="A73" i="2"/>
  <c r="N72" i="2"/>
  <c r="S70" i="2"/>
  <c r="P66" i="2"/>
  <c r="A72" i="2"/>
  <c r="J12" i="1"/>
  <c r="A33" i="2"/>
  <c r="P26" i="2"/>
  <c r="L34" i="2"/>
  <c r="D34" i="2"/>
  <c r="A34" i="2"/>
  <c r="C29" i="2"/>
  <c r="S30" i="2"/>
  <c r="N32" i="2"/>
  <c r="D29" i="2"/>
  <c r="N34" i="2"/>
  <c r="A35" i="2"/>
  <c r="O30" i="2"/>
  <c r="L32" i="2"/>
  <c r="R28" i="2"/>
  <c r="H29" i="2"/>
  <c r="E32" i="2"/>
  <c r="F32" i="2"/>
  <c r="F34" i="2"/>
  <c r="C34" i="2"/>
  <c r="C32" i="2"/>
  <c r="D32" i="2"/>
  <c r="B32" i="2"/>
  <c r="P26" i="1"/>
  <c r="H30" i="2"/>
  <c r="A32" i="2"/>
  <c r="E34" i="2"/>
  <c r="B34" i="2"/>
  <c r="M34" i="2"/>
  <c r="Q30" i="2"/>
  <c r="M32" i="2"/>
  <c r="E29" i="2"/>
  <c r="B69" i="2" l="1"/>
  <c r="G72" i="2"/>
  <c r="J76" i="2"/>
  <c r="B27" i="2"/>
  <c r="H12" i="1"/>
  <c r="G12" i="1"/>
  <c r="G34" i="2"/>
  <c r="G32" i="2"/>
  <c r="J36" i="2"/>
  <c r="E71" i="2"/>
  <c r="R70" i="2"/>
  <c r="C74" i="2"/>
  <c r="B74" i="2"/>
  <c r="O72" i="2"/>
  <c r="S72" i="2"/>
  <c r="D74" i="2"/>
  <c r="M74" i="2"/>
  <c r="H71" i="2"/>
  <c r="Q72" i="2"/>
  <c r="P68" i="2"/>
  <c r="N74" i="2"/>
  <c r="A75" i="2"/>
  <c r="A74" i="2"/>
  <c r="D71" i="2"/>
  <c r="L74" i="2"/>
  <c r="E74" i="2"/>
  <c r="H72" i="2"/>
  <c r="C71" i="2"/>
  <c r="F74" i="2"/>
  <c r="S34" i="2"/>
  <c r="R30" i="2"/>
  <c r="H32" i="2"/>
  <c r="H31" i="2"/>
  <c r="E31" i="2"/>
  <c r="P27" i="1"/>
  <c r="Q34" i="2"/>
  <c r="J13" i="1"/>
  <c r="P28" i="2"/>
  <c r="C31" i="2"/>
  <c r="H34" i="2"/>
  <c r="S32" i="2"/>
  <c r="O34" i="2"/>
  <c r="Q32" i="2"/>
  <c r="D31" i="2"/>
  <c r="O32" i="2"/>
  <c r="G74" i="2" l="1"/>
  <c r="B71" i="2"/>
  <c r="J78" i="2"/>
  <c r="B29" i="2"/>
  <c r="H13" i="1"/>
  <c r="G13" i="1"/>
  <c r="J38" i="2"/>
  <c r="R72" i="2"/>
  <c r="C73" i="2"/>
  <c r="E76" i="2"/>
  <c r="D76" i="2"/>
  <c r="A77" i="2"/>
  <c r="H74" i="2"/>
  <c r="D73" i="2"/>
  <c r="P70" i="2"/>
  <c r="H73" i="2"/>
  <c r="Q74" i="2"/>
  <c r="A76" i="2"/>
  <c r="M76" i="2"/>
  <c r="B76" i="2"/>
  <c r="E73" i="2"/>
  <c r="S74" i="2"/>
  <c r="C76" i="2"/>
  <c r="L76" i="2"/>
  <c r="O74" i="2"/>
  <c r="N76" i="2"/>
  <c r="F76" i="2"/>
  <c r="C35" i="2"/>
  <c r="R34" i="2"/>
  <c r="C36" i="2"/>
  <c r="A37" i="2"/>
  <c r="L36" i="2"/>
  <c r="E33" i="2"/>
  <c r="E35" i="2"/>
  <c r="R32" i="2"/>
  <c r="D33" i="2"/>
  <c r="H35" i="2"/>
  <c r="F36" i="2"/>
  <c r="P30" i="2"/>
  <c r="D35" i="2"/>
  <c r="N36" i="2"/>
  <c r="M36" i="2"/>
  <c r="C33" i="2"/>
  <c r="A36" i="2"/>
  <c r="P28" i="1"/>
  <c r="J14" i="1"/>
  <c r="H33" i="2"/>
  <c r="E36" i="2"/>
  <c r="B36" i="2"/>
  <c r="D36" i="2"/>
  <c r="G76" i="2" l="1"/>
  <c r="B73" i="2"/>
  <c r="J80" i="2"/>
  <c r="H14" i="1"/>
  <c r="G14" i="1"/>
  <c r="B31" i="2"/>
  <c r="B35" i="2"/>
  <c r="G36" i="2"/>
  <c r="J40" i="2"/>
  <c r="D75" i="2"/>
  <c r="Q76" i="2"/>
  <c r="A79" i="2"/>
  <c r="E78" i="2"/>
  <c r="D78" i="2"/>
  <c r="F78" i="2"/>
  <c r="C78" i="2"/>
  <c r="B78" i="2"/>
  <c r="O76" i="2"/>
  <c r="H75" i="2"/>
  <c r="R74" i="2"/>
  <c r="L78" i="2"/>
  <c r="A78" i="2"/>
  <c r="M78" i="2"/>
  <c r="H76" i="2"/>
  <c r="E75" i="2"/>
  <c r="C75" i="2"/>
  <c r="S76" i="2"/>
  <c r="P72" i="2"/>
  <c r="N78" i="2"/>
  <c r="H36" i="2"/>
  <c r="F38" i="2"/>
  <c r="A38" i="2"/>
  <c r="P32" i="2"/>
  <c r="S36" i="2"/>
  <c r="J15" i="1"/>
  <c r="Q36" i="2"/>
  <c r="P34" i="2"/>
  <c r="O36" i="2"/>
  <c r="M38" i="2"/>
  <c r="D38" i="2"/>
  <c r="E38" i="2"/>
  <c r="N38" i="2"/>
  <c r="B38" i="2"/>
  <c r="C38" i="2"/>
  <c r="A39" i="2"/>
  <c r="L38" i="2"/>
  <c r="P29" i="1"/>
  <c r="B75" i="2" l="1"/>
  <c r="G78" i="2"/>
  <c r="J82" i="2"/>
  <c r="H15" i="1"/>
  <c r="H17" i="1"/>
  <c r="G20" i="1"/>
  <c r="G15" i="1"/>
  <c r="H18" i="1"/>
  <c r="H20" i="1"/>
  <c r="G19" i="1"/>
  <c r="G18" i="1"/>
  <c r="H21" i="1"/>
  <c r="G17" i="1"/>
  <c r="H19" i="1"/>
  <c r="G21" i="1"/>
  <c r="B33" i="2"/>
  <c r="G38" i="2"/>
  <c r="J42" i="2"/>
  <c r="G22" i="1"/>
  <c r="H22" i="1"/>
  <c r="O78" i="2"/>
  <c r="S78" i="2"/>
  <c r="M80" i="2"/>
  <c r="F80" i="2"/>
  <c r="D80" i="2"/>
  <c r="A81" i="2"/>
  <c r="E80" i="2"/>
  <c r="C77" i="2"/>
  <c r="L80" i="2"/>
  <c r="H78" i="2"/>
  <c r="P74" i="2"/>
  <c r="Q78" i="2"/>
  <c r="C80" i="2"/>
  <c r="B80" i="2"/>
  <c r="H77" i="2"/>
  <c r="D77" i="2"/>
  <c r="N80" i="2"/>
  <c r="E77" i="2"/>
  <c r="R76" i="2"/>
  <c r="A80" i="2"/>
  <c r="J21" i="1"/>
  <c r="J16" i="1"/>
  <c r="C37" i="2"/>
  <c r="R36" i="2"/>
  <c r="E37" i="2"/>
  <c r="H38" i="2"/>
  <c r="D37" i="2"/>
  <c r="P32" i="1"/>
  <c r="P36" i="1"/>
  <c r="P40" i="1"/>
  <c r="J22" i="1"/>
  <c r="M40" i="2"/>
  <c r="C40" i="2"/>
  <c r="A40" i="2"/>
  <c r="H37" i="2"/>
  <c r="L40" i="2"/>
  <c r="P33" i="1"/>
  <c r="P37" i="1"/>
  <c r="P41" i="1"/>
  <c r="J18" i="1"/>
  <c r="F40" i="2"/>
  <c r="B40" i="2"/>
  <c r="D40" i="2"/>
  <c r="E40" i="2"/>
  <c r="P30" i="1"/>
  <c r="P34" i="1"/>
  <c r="P38" i="1"/>
  <c r="P42" i="1"/>
  <c r="J20" i="1"/>
  <c r="J19" i="1"/>
  <c r="S38" i="2"/>
  <c r="N40" i="2"/>
  <c r="O38" i="2"/>
  <c r="Q38" i="2"/>
  <c r="A41" i="2"/>
  <c r="P31" i="1"/>
  <c r="P35" i="1"/>
  <c r="P39" i="1"/>
  <c r="B77" i="2" l="1"/>
  <c r="G80" i="2"/>
  <c r="J84" i="2"/>
  <c r="G16" i="1"/>
  <c r="H16" i="1"/>
  <c r="G40" i="2"/>
  <c r="J44" i="2"/>
  <c r="B37" i="2"/>
  <c r="P76" i="2"/>
  <c r="S80" i="2"/>
  <c r="E79" i="2"/>
  <c r="C82" i="2"/>
  <c r="B82" i="2"/>
  <c r="H80" i="2"/>
  <c r="D79" i="2"/>
  <c r="D82" i="2"/>
  <c r="L82" i="2"/>
  <c r="E82" i="2"/>
  <c r="C79" i="2"/>
  <c r="M82" i="2"/>
  <c r="F82" i="2"/>
  <c r="O80" i="2"/>
  <c r="R78" i="2"/>
  <c r="H79" i="2"/>
  <c r="N82" i="2"/>
  <c r="A83" i="2"/>
  <c r="A82" i="2"/>
  <c r="Q80" i="2"/>
  <c r="C42" i="2"/>
  <c r="P36" i="2"/>
  <c r="E42" i="2"/>
  <c r="F42" i="2"/>
  <c r="H40" i="2"/>
  <c r="D39" i="2"/>
  <c r="B42" i="2"/>
  <c r="R38" i="2"/>
  <c r="H39" i="2"/>
  <c r="D42" i="2"/>
  <c r="J17" i="1"/>
  <c r="Q40" i="2"/>
  <c r="M42" i="2"/>
  <c r="L42" i="2"/>
  <c r="O40" i="2"/>
  <c r="A43" i="2"/>
  <c r="C39" i="2"/>
  <c r="N42" i="2"/>
  <c r="E39" i="2"/>
  <c r="S40" i="2"/>
  <c r="A42" i="2"/>
  <c r="G82" i="2" l="1"/>
  <c r="B79" i="2"/>
  <c r="J86" i="2"/>
  <c r="G42" i="2"/>
  <c r="R80" i="2"/>
  <c r="D81" i="2"/>
  <c r="Q82" i="2"/>
  <c r="E84" i="2"/>
  <c r="D84" i="2"/>
  <c r="F84" i="2"/>
  <c r="A85" i="2"/>
  <c r="C84" i="2"/>
  <c r="H82" i="2"/>
  <c r="C81" i="2"/>
  <c r="S82" i="2"/>
  <c r="A84" i="2"/>
  <c r="M84" i="2"/>
  <c r="P78" i="2"/>
  <c r="L84" i="2"/>
  <c r="O82" i="2"/>
  <c r="H81" i="2"/>
  <c r="B84" i="2"/>
  <c r="E81" i="2"/>
  <c r="N84" i="2"/>
  <c r="A44" i="2"/>
  <c r="N44" i="2"/>
  <c r="C41" i="2"/>
  <c r="E41" i="2"/>
  <c r="A45" i="2"/>
  <c r="M44" i="2"/>
  <c r="Q42" i="2"/>
  <c r="B44" i="2"/>
  <c r="C44" i="2"/>
  <c r="O42" i="2"/>
  <c r="S42" i="2"/>
  <c r="F44" i="2"/>
  <c r="D44" i="2"/>
  <c r="R40" i="2"/>
  <c r="H42" i="2"/>
  <c r="P38" i="2"/>
  <c r="D41" i="2"/>
  <c r="H41" i="2"/>
  <c r="L44" i="2"/>
  <c r="E44" i="2"/>
  <c r="B81" i="2" l="1"/>
  <c r="G84" i="2"/>
  <c r="J88" i="2"/>
  <c r="B39" i="2"/>
  <c r="G44" i="2"/>
  <c r="O84" i="2"/>
  <c r="C83" i="2"/>
  <c r="A87" i="2"/>
  <c r="E86" i="2"/>
  <c r="D86" i="2"/>
  <c r="H84" i="2"/>
  <c r="D83" i="2"/>
  <c r="L86" i="2"/>
  <c r="A86" i="2"/>
  <c r="C86" i="2"/>
  <c r="S84" i="2"/>
  <c r="H83" i="2"/>
  <c r="R82" i="2"/>
  <c r="F86" i="2"/>
  <c r="M86" i="2"/>
  <c r="Q84" i="2"/>
  <c r="E83" i="2"/>
  <c r="P80" i="2"/>
  <c r="B86" i="2"/>
  <c r="N86" i="2"/>
  <c r="H43" i="2"/>
  <c r="R42" i="2"/>
  <c r="C43" i="2"/>
  <c r="H44" i="2"/>
  <c r="D43" i="2"/>
  <c r="O44" i="2"/>
  <c r="S44" i="2"/>
  <c r="P40" i="2"/>
  <c r="Q44" i="2"/>
  <c r="E43" i="2"/>
  <c r="G86" i="2" l="1"/>
  <c r="B83" i="2"/>
  <c r="J90" i="2"/>
  <c r="B41" i="2"/>
  <c r="O86" i="2"/>
  <c r="R84" i="2"/>
  <c r="H85" i="2"/>
  <c r="C85" i="2"/>
  <c r="L88" i="2"/>
  <c r="A88" i="2"/>
  <c r="N88" i="2"/>
  <c r="D85" i="2"/>
  <c r="E88" i="2"/>
  <c r="H86" i="2"/>
  <c r="E85" i="2"/>
  <c r="M88" i="2"/>
  <c r="F88" i="2"/>
  <c r="Q86" i="2"/>
  <c r="S86" i="2"/>
  <c r="C88" i="2"/>
  <c r="B88" i="2"/>
  <c r="P82" i="2"/>
  <c r="A89" i="2"/>
  <c r="D88" i="2"/>
  <c r="R44" i="2"/>
  <c r="D45" i="2"/>
  <c r="C45" i="2"/>
  <c r="E45" i="2"/>
  <c r="P42" i="2"/>
  <c r="H45" i="2"/>
  <c r="G88" i="2" l="1"/>
  <c r="B85" i="2"/>
  <c r="J92" i="2"/>
  <c r="B43" i="2"/>
  <c r="Q88" i="2"/>
  <c r="R86" i="2"/>
  <c r="H88" i="2"/>
  <c r="C87" i="2"/>
  <c r="M90" i="2"/>
  <c r="F90" i="2"/>
  <c r="B90" i="2"/>
  <c r="D87" i="2"/>
  <c r="D90" i="2"/>
  <c r="S88" i="2"/>
  <c r="C90" i="2"/>
  <c r="E87" i="2"/>
  <c r="P84" i="2"/>
  <c r="N90" i="2"/>
  <c r="A91" i="2"/>
  <c r="E90" i="2"/>
  <c r="H87" i="2"/>
  <c r="O88" i="2"/>
  <c r="L90" i="2"/>
  <c r="A90" i="2"/>
  <c r="P44" i="2"/>
  <c r="G90" i="2" l="1"/>
  <c r="B87" i="2"/>
  <c r="J94" i="2"/>
  <c r="B45" i="2"/>
  <c r="D89" i="2"/>
  <c r="C89" i="2"/>
  <c r="H89" i="2"/>
  <c r="R88" i="2"/>
  <c r="N92" i="2"/>
  <c r="L92" i="2"/>
  <c r="H90" i="2"/>
  <c r="E89" i="2"/>
  <c r="E92" i="2"/>
  <c r="D92" i="2"/>
  <c r="B92" i="2"/>
  <c r="O90" i="2"/>
  <c r="Q90" i="2"/>
  <c r="A92" i="2"/>
  <c r="M92" i="2"/>
  <c r="F92" i="2"/>
  <c r="S90" i="2"/>
  <c r="P86" i="2"/>
  <c r="C92" i="2"/>
  <c r="A93" i="2"/>
  <c r="G92" i="2" l="1"/>
  <c r="B89" i="2"/>
  <c r="J96" i="2"/>
  <c r="H91" i="2"/>
  <c r="R90" i="2"/>
  <c r="Q92" i="2"/>
  <c r="P88" i="2"/>
  <c r="F94" i="2"/>
  <c r="C94" i="2"/>
  <c r="B94" i="2"/>
  <c r="N94" i="2"/>
  <c r="S92" i="2"/>
  <c r="H92" i="2"/>
  <c r="M94" i="2"/>
  <c r="E91" i="2"/>
  <c r="C91" i="2"/>
  <c r="D91" i="2"/>
  <c r="O92" i="2"/>
  <c r="A95" i="2"/>
  <c r="E94" i="2"/>
  <c r="D94" i="2"/>
  <c r="L94" i="2"/>
  <c r="A94" i="2"/>
  <c r="B91" i="2" l="1"/>
  <c r="G94" i="2"/>
  <c r="J98" i="2"/>
  <c r="D93" i="2"/>
  <c r="H94" i="2"/>
  <c r="R92" i="2"/>
  <c r="A97" i="2"/>
  <c r="E96" i="2"/>
  <c r="D96" i="2"/>
  <c r="O94" i="2"/>
  <c r="C96" i="2"/>
  <c r="B96" i="2"/>
  <c r="N96" i="2"/>
  <c r="C93" i="2"/>
  <c r="H93" i="2"/>
  <c r="S94" i="2"/>
  <c r="P90" i="2"/>
  <c r="L96" i="2"/>
  <c r="A96" i="2"/>
  <c r="E93" i="2"/>
  <c r="Q94" i="2"/>
  <c r="M96" i="2"/>
  <c r="F96" i="2"/>
  <c r="G96" i="2" l="1"/>
  <c r="B93" i="2"/>
  <c r="J100" i="2"/>
  <c r="H95" i="2"/>
  <c r="Q96" i="2"/>
  <c r="P92" i="2"/>
  <c r="M98" i="2"/>
  <c r="F98" i="2"/>
  <c r="R94" i="2"/>
  <c r="S96" i="2"/>
  <c r="C98" i="2"/>
  <c r="B98" i="2"/>
  <c r="O96" i="2"/>
  <c r="D95" i="2"/>
  <c r="N98" i="2"/>
  <c r="A99" i="2"/>
  <c r="E98" i="2"/>
  <c r="E95" i="2"/>
  <c r="H96" i="2"/>
  <c r="C95" i="2"/>
  <c r="D98" i="2"/>
  <c r="L98" i="2"/>
  <c r="A98" i="2"/>
  <c r="B95" i="2" l="1"/>
  <c r="G98" i="2"/>
  <c r="J102" i="2"/>
  <c r="D97" i="2"/>
  <c r="H97" i="2"/>
  <c r="R96" i="2"/>
  <c r="N100" i="2"/>
  <c r="A101" i="2"/>
  <c r="C97" i="2"/>
  <c r="E97" i="2"/>
  <c r="E100" i="2"/>
  <c r="D100" i="2"/>
  <c r="B100" i="2"/>
  <c r="H98" i="2"/>
  <c r="Q98" i="2"/>
  <c r="P94" i="2"/>
  <c r="A100" i="2"/>
  <c r="M100" i="2"/>
  <c r="F100" i="2"/>
  <c r="O98" i="2"/>
  <c r="S98" i="2"/>
  <c r="C100" i="2"/>
  <c r="L100" i="2"/>
  <c r="G100" i="2" l="1"/>
  <c r="B97" i="2"/>
  <c r="J104" i="2"/>
  <c r="H99" i="2"/>
  <c r="A103" i="2"/>
  <c r="E102" i="2"/>
  <c r="D102" i="2"/>
  <c r="F102" i="2"/>
  <c r="D99" i="2"/>
  <c r="Q100" i="2"/>
  <c r="E99" i="2"/>
  <c r="R98" i="2"/>
  <c r="O100" i="2"/>
  <c r="L102" i="2"/>
  <c r="A102" i="2"/>
  <c r="M102" i="2"/>
  <c r="C99" i="2"/>
  <c r="S100" i="2"/>
  <c r="H100" i="2"/>
  <c r="C102" i="2"/>
  <c r="P96" i="2"/>
  <c r="B102" i="2"/>
  <c r="N102" i="2"/>
  <c r="B99" i="2" l="1"/>
  <c r="G102" i="2"/>
  <c r="J106" i="2"/>
  <c r="O102" i="2"/>
  <c r="H101" i="2"/>
  <c r="C101" i="2"/>
  <c r="M104" i="2"/>
  <c r="F104" i="2"/>
  <c r="D104" i="2"/>
  <c r="P98" i="2"/>
  <c r="B104" i="2"/>
  <c r="A105" i="2"/>
  <c r="N104" i="2"/>
  <c r="H102" i="2"/>
  <c r="E101" i="2"/>
  <c r="C104" i="2"/>
  <c r="R100" i="2"/>
  <c r="E104" i="2"/>
  <c r="D101" i="2"/>
  <c r="L104" i="2"/>
  <c r="A104" i="2"/>
  <c r="S102" i="2"/>
  <c r="Q102" i="2"/>
  <c r="G104" i="2" l="1"/>
  <c r="B101" i="2"/>
  <c r="J108" i="2"/>
  <c r="R102" i="2"/>
  <c r="O104" i="2"/>
  <c r="C106" i="2"/>
  <c r="B106" i="2"/>
  <c r="A106" i="2"/>
  <c r="L106" i="2"/>
  <c r="S104" i="2"/>
  <c r="F106" i="2"/>
  <c r="E103" i="2"/>
  <c r="H104" i="2"/>
  <c r="N106" i="2"/>
  <c r="A107" i="2"/>
  <c r="D103" i="2"/>
  <c r="P100" i="2"/>
  <c r="H103" i="2"/>
  <c r="Q104" i="2"/>
  <c r="D106" i="2"/>
  <c r="E106" i="2"/>
  <c r="C103" i="2"/>
  <c r="M106" i="2"/>
  <c r="B103" i="2" l="1"/>
  <c r="G106" i="2"/>
  <c r="J110" i="2"/>
  <c r="S106" i="2"/>
  <c r="E108" i="2"/>
  <c r="D108" i="2"/>
  <c r="A109" i="2"/>
  <c r="P102" i="2"/>
  <c r="N108" i="2"/>
  <c r="R104" i="2"/>
  <c r="H105" i="2"/>
  <c r="D105" i="2"/>
  <c r="A108" i="2"/>
  <c r="M108" i="2"/>
  <c r="B108" i="2"/>
  <c r="E105" i="2"/>
  <c r="C108" i="2"/>
  <c r="L108" i="2"/>
  <c r="Q106" i="2"/>
  <c r="H106" i="2"/>
  <c r="C105" i="2"/>
  <c r="O106" i="2"/>
  <c r="F108" i="2"/>
  <c r="G108" i="2" l="1"/>
  <c r="B105" i="2"/>
  <c r="J112" i="2"/>
  <c r="R106" i="2"/>
  <c r="O108" i="2"/>
  <c r="A111" i="2"/>
  <c r="E110" i="2"/>
  <c r="D110" i="2"/>
  <c r="L110" i="2"/>
  <c r="A110" i="2"/>
  <c r="M110" i="2"/>
  <c r="C110" i="2"/>
  <c r="P104" i="2"/>
  <c r="B110" i="2"/>
  <c r="N110" i="2"/>
  <c r="C107" i="2"/>
  <c r="S108" i="2"/>
  <c r="H108" i="2"/>
  <c r="E107" i="2"/>
  <c r="D107" i="2"/>
  <c r="Q108" i="2"/>
  <c r="H107" i="2"/>
  <c r="F110" i="2"/>
  <c r="G110" i="2" l="1"/>
  <c r="B107" i="2"/>
  <c r="J114" i="2"/>
  <c r="Q110" i="2"/>
  <c r="M112" i="2"/>
  <c r="F112" i="2"/>
  <c r="R108" i="2"/>
  <c r="O110" i="2"/>
  <c r="D109" i="2"/>
  <c r="C112" i="2"/>
  <c r="B112" i="2"/>
  <c r="D112" i="2"/>
  <c r="A113" i="2"/>
  <c r="E109" i="2"/>
  <c r="P106" i="2"/>
  <c r="L112" i="2"/>
  <c r="N112" i="2"/>
  <c r="H109" i="2"/>
  <c r="H110" i="2"/>
  <c r="C109" i="2"/>
  <c r="E112" i="2"/>
  <c r="S110" i="2"/>
  <c r="A112" i="2"/>
  <c r="B109" i="2" l="1"/>
  <c r="G112" i="2"/>
  <c r="J116" i="2"/>
  <c r="E111" i="2"/>
  <c r="H112" i="2"/>
  <c r="C111" i="2"/>
  <c r="C114" i="2"/>
  <c r="B114" i="2"/>
  <c r="A114" i="2"/>
  <c r="D114" i="2"/>
  <c r="O112" i="2"/>
  <c r="F114" i="2"/>
  <c r="H111" i="2"/>
  <c r="Q112" i="2"/>
  <c r="P108" i="2"/>
  <c r="N114" i="2"/>
  <c r="A115" i="2"/>
  <c r="L114" i="2"/>
  <c r="D111" i="2"/>
  <c r="S112" i="2"/>
  <c r="E114" i="2"/>
  <c r="R110" i="2"/>
  <c r="M114" i="2"/>
  <c r="G114" i="2" l="1"/>
  <c r="B111" i="2"/>
  <c r="J118" i="2"/>
  <c r="P110" i="2"/>
  <c r="O114" i="2"/>
  <c r="C113" i="2"/>
  <c r="E116" i="2"/>
  <c r="D116" i="2"/>
  <c r="F116" i="2"/>
  <c r="A116" i="2"/>
  <c r="M116" i="2"/>
  <c r="H114" i="2"/>
  <c r="H113" i="2"/>
  <c r="R112" i="2"/>
  <c r="Q114" i="2"/>
  <c r="A117" i="2"/>
  <c r="B116" i="2"/>
  <c r="D113" i="2"/>
  <c r="N116" i="2"/>
  <c r="L116" i="2"/>
  <c r="E113" i="2"/>
  <c r="S114" i="2"/>
  <c r="C116" i="2"/>
  <c r="G116" i="2" l="1"/>
  <c r="B113" i="2"/>
  <c r="J120" i="2"/>
  <c r="H115" i="2"/>
  <c r="S116" i="2"/>
  <c r="A119" i="2"/>
  <c r="E118" i="2"/>
  <c r="D118" i="2"/>
  <c r="A118" i="2"/>
  <c r="R114" i="2"/>
  <c r="C115" i="2"/>
  <c r="P112" i="2"/>
  <c r="D115" i="2"/>
  <c r="B118" i="2"/>
  <c r="N118" i="2"/>
  <c r="E115" i="2"/>
  <c r="Q116" i="2"/>
  <c r="L118" i="2"/>
  <c r="C118" i="2"/>
  <c r="O116" i="2"/>
  <c r="F118" i="2"/>
  <c r="M118" i="2"/>
  <c r="H116" i="2"/>
  <c r="G118" i="2" l="1"/>
  <c r="B115" i="2"/>
  <c r="J122" i="2"/>
  <c r="O118" i="2"/>
  <c r="M120" i="2"/>
  <c r="F120" i="2"/>
  <c r="N120" i="2"/>
  <c r="S118" i="2"/>
  <c r="A121" i="2"/>
  <c r="D120" i="2"/>
  <c r="R116" i="2"/>
  <c r="E117" i="2"/>
  <c r="L120" i="2"/>
  <c r="A120" i="2"/>
  <c r="D117" i="2"/>
  <c r="H118" i="2"/>
  <c r="P114" i="2"/>
  <c r="C120" i="2"/>
  <c r="B120" i="2"/>
  <c r="C117" i="2"/>
  <c r="H117" i="2"/>
  <c r="E120" i="2"/>
  <c r="Q118" i="2"/>
  <c r="B117" i="2" l="1"/>
  <c r="G120" i="2"/>
  <c r="J124" i="2"/>
  <c r="R118" i="2"/>
  <c r="P116" i="2"/>
  <c r="H120" i="2"/>
  <c r="C122" i="2"/>
  <c r="B122" i="2"/>
  <c r="C119" i="2"/>
  <c r="E119" i="2"/>
  <c r="N122" i="2"/>
  <c r="A123" i="2"/>
  <c r="E122" i="2"/>
  <c r="O120" i="2"/>
  <c r="F122" i="2"/>
  <c r="Q120" i="2"/>
  <c r="H119" i="2"/>
  <c r="D119" i="2"/>
  <c r="D122" i="2"/>
  <c r="L122" i="2"/>
  <c r="A122" i="2"/>
  <c r="S120" i="2"/>
  <c r="M122" i="2"/>
  <c r="G122" i="2" l="1"/>
  <c r="B119" i="2"/>
  <c r="J126" i="2"/>
  <c r="H121" i="2"/>
  <c r="D121" i="2"/>
  <c r="E124" i="2"/>
  <c r="D124" i="2"/>
  <c r="L124" i="2"/>
  <c r="A124" i="2"/>
  <c r="M124" i="2"/>
  <c r="B124" i="2"/>
  <c r="O122" i="2"/>
  <c r="A125" i="2"/>
  <c r="E121" i="2"/>
  <c r="C121" i="2"/>
  <c r="Q122" i="2"/>
  <c r="F124" i="2"/>
  <c r="R120" i="2"/>
  <c r="H122" i="2"/>
  <c r="S122" i="2"/>
  <c r="C124" i="2"/>
  <c r="P118" i="2"/>
  <c r="N124" i="2"/>
  <c r="G124" i="2" l="1"/>
  <c r="B121" i="2"/>
  <c r="J128" i="2"/>
  <c r="O124" i="2"/>
  <c r="P120" i="2"/>
  <c r="C123" i="2"/>
  <c r="A127" i="2"/>
  <c r="E126" i="2"/>
  <c r="D126" i="2"/>
  <c r="D123" i="2"/>
  <c r="L126" i="2"/>
  <c r="C126" i="2"/>
  <c r="H123" i="2"/>
  <c r="S124" i="2"/>
  <c r="M126" i="2"/>
  <c r="B126" i="2"/>
  <c r="N126" i="2"/>
  <c r="H124" i="2"/>
  <c r="A126" i="2"/>
  <c r="R122" i="2"/>
  <c r="F126" i="2"/>
  <c r="E123" i="2"/>
  <c r="Q124" i="2"/>
  <c r="G126" i="2" l="1"/>
  <c r="B123" i="2"/>
  <c r="J130" i="2"/>
  <c r="R124" i="2"/>
  <c r="H126" i="2"/>
  <c r="E125" i="2"/>
  <c r="M128" i="2"/>
  <c r="F128" i="2"/>
  <c r="C128" i="2"/>
  <c r="D128" i="2"/>
  <c r="A129" i="2"/>
  <c r="O126" i="2"/>
  <c r="A128" i="2"/>
  <c r="S126" i="2"/>
  <c r="B128" i="2"/>
  <c r="N128" i="2"/>
  <c r="C125" i="2"/>
  <c r="P122" i="2"/>
  <c r="Q126" i="2"/>
  <c r="D125" i="2"/>
  <c r="E128" i="2"/>
  <c r="H125" i="2"/>
  <c r="L128" i="2"/>
  <c r="B125" i="2" l="1"/>
  <c r="G128" i="2"/>
  <c r="J132" i="2"/>
  <c r="R126" i="2"/>
  <c r="Q128" i="2"/>
  <c r="D127" i="2"/>
  <c r="C130" i="2"/>
  <c r="B130" i="2"/>
  <c r="C127" i="2"/>
  <c r="N130" i="2"/>
  <c r="A131" i="2"/>
  <c r="E130" i="2"/>
  <c r="A130" i="2"/>
  <c r="P124" i="2"/>
  <c r="F130" i="2"/>
  <c r="S128" i="2"/>
  <c r="H128" i="2"/>
  <c r="O128" i="2"/>
  <c r="E127" i="2"/>
  <c r="D130" i="2"/>
  <c r="L130" i="2"/>
  <c r="H127" i="2"/>
  <c r="M130" i="2"/>
  <c r="G130" i="2" l="1"/>
  <c r="B127" i="2"/>
  <c r="J134" i="2"/>
  <c r="D129" i="2"/>
  <c r="Q130" i="2"/>
  <c r="E132" i="2"/>
  <c r="D132" i="2"/>
  <c r="C129" i="2"/>
  <c r="H130" i="2"/>
  <c r="S130" i="2"/>
  <c r="A132" i="2"/>
  <c r="M132" i="2"/>
  <c r="L132" i="2"/>
  <c r="P126" i="2"/>
  <c r="A133" i="2"/>
  <c r="H129" i="2"/>
  <c r="O130" i="2"/>
  <c r="R128" i="2"/>
  <c r="C132" i="2"/>
  <c r="F132" i="2"/>
  <c r="E129" i="2"/>
  <c r="N132" i="2"/>
  <c r="B132" i="2"/>
  <c r="G132" i="2" l="1"/>
  <c r="B129" i="2"/>
  <c r="J136" i="2"/>
  <c r="S132" i="2"/>
  <c r="H131" i="2"/>
  <c r="A135" i="2"/>
  <c r="E134" i="2"/>
  <c r="D134" i="2"/>
  <c r="P128" i="2"/>
  <c r="L134" i="2"/>
  <c r="A134" i="2"/>
  <c r="C134" i="2"/>
  <c r="H132" i="2"/>
  <c r="Q132" i="2"/>
  <c r="E131" i="2"/>
  <c r="M134" i="2"/>
  <c r="D131" i="2"/>
  <c r="O132" i="2"/>
  <c r="C131" i="2"/>
  <c r="F134" i="2"/>
  <c r="R130" i="2"/>
  <c r="B134" i="2"/>
  <c r="N134" i="2"/>
  <c r="G134" i="2" l="1"/>
  <c r="B131" i="2"/>
  <c r="J138" i="2"/>
  <c r="O134" i="2"/>
  <c r="P130" i="2"/>
  <c r="C133" i="2"/>
  <c r="M136" i="2"/>
  <c r="F136" i="2"/>
  <c r="D136" i="2"/>
  <c r="R132" i="2"/>
  <c r="C136" i="2"/>
  <c r="B136" i="2"/>
  <c r="E133" i="2"/>
  <c r="L136" i="2"/>
  <c r="A136" i="2"/>
  <c r="H134" i="2"/>
  <c r="D133" i="2"/>
  <c r="S134" i="2"/>
  <c r="H133" i="2"/>
  <c r="A137" i="2"/>
  <c r="E136" i="2"/>
  <c r="N136" i="2"/>
  <c r="Q134" i="2"/>
  <c r="G136" i="2" l="1"/>
  <c r="B133" i="2"/>
  <c r="J140" i="2"/>
  <c r="R134" i="2"/>
  <c r="H135" i="2"/>
  <c r="C138" i="2"/>
  <c r="B138" i="2"/>
  <c r="N138" i="2"/>
  <c r="E138" i="2"/>
  <c r="C135" i="2"/>
  <c r="F138" i="2"/>
  <c r="O136" i="2"/>
  <c r="Q136" i="2"/>
  <c r="A139" i="2"/>
  <c r="E135" i="2"/>
  <c r="M138" i="2"/>
  <c r="H136" i="2"/>
  <c r="S136" i="2"/>
  <c r="D135" i="2"/>
  <c r="D138" i="2"/>
  <c r="L138" i="2"/>
  <c r="A138" i="2"/>
  <c r="P132" i="2"/>
  <c r="G138" i="2" l="1"/>
  <c r="B135" i="2"/>
  <c r="J142" i="2"/>
  <c r="H137" i="2"/>
  <c r="C137" i="2"/>
  <c r="O138" i="2"/>
  <c r="E140" i="2"/>
  <c r="D140" i="2"/>
  <c r="L140" i="2"/>
  <c r="Q138" i="2"/>
  <c r="A141" i="2"/>
  <c r="H138" i="2"/>
  <c r="E137" i="2"/>
  <c r="A140" i="2"/>
  <c r="M140" i="2"/>
  <c r="P134" i="2"/>
  <c r="R136" i="2"/>
  <c r="S138" i="2"/>
  <c r="C140" i="2"/>
  <c r="B140" i="2"/>
  <c r="D137" i="2"/>
  <c r="N140" i="2"/>
  <c r="F140" i="2"/>
  <c r="G140" i="2" l="1"/>
  <c r="B137" i="2"/>
  <c r="J144" i="2"/>
  <c r="Q140" i="2"/>
  <c r="R138" i="2"/>
  <c r="A143" i="2"/>
  <c r="E142" i="2"/>
  <c r="D142" i="2"/>
  <c r="C142" i="2"/>
  <c r="O140" i="2"/>
  <c r="H139" i="2"/>
  <c r="C139" i="2"/>
  <c r="L142" i="2"/>
  <c r="A142" i="2"/>
  <c r="M142" i="2"/>
  <c r="S140" i="2"/>
  <c r="B142" i="2"/>
  <c r="H140" i="2"/>
  <c r="E139" i="2"/>
  <c r="D139" i="2"/>
  <c r="F142" i="2"/>
  <c r="P136" i="2"/>
  <c r="N142" i="2"/>
  <c r="G142" i="2" l="1"/>
  <c r="B139" i="2"/>
  <c r="J146" i="2"/>
  <c r="O142" i="2"/>
  <c r="Q142" i="2"/>
  <c r="D141" i="2"/>
  <c r="M144" i="2"/>
  <c r="F144" i="2"/>
  <c r="D144" i="2"/>
  <c r="C141" i="2"/>
  <c r="B144" i="2"/>
  <c r="S142" i="2"/>
  <c r="L144" i="2"/>
  <c r="H142" i="2"/>
  <c r="H141" i="2"/>
  <c r="C144" i="2"/>
  <c r="R140" i="2"/>
  <c r="A144" i="2"/>
  <c r="E141" i="2"/>
  <c r="P138" i="2"/>
  <c r="A145" i="2"/>
  <c r="E144" i="2"/>
  <c r="N144" i="2"/>
  <c r="B141" i="2" l="1"/>
  <c r="G144" i="2"/>
  <c r="J148" i="2"/>
  <c r="O144" i="2"/>
  <c r="H143" i="2"/>
  <c r="C146" i="2"/>
  <c r="B146" i="2"/>
  <c r="A146" i="2"/>
  <c r="S144" i="2"/>
  <c r="D146" i="2"/>
  <c r="L146" i="2"/>
  <c r="E143" i="2"/>
  <c r="C143" i="2"/>
  <c r="F146" i="2"/>
  <c r="H144" i="2"/>
  <c r="Q144" i="2"/>
  <c r="R142" i="2"/>
  <c r="N146" i="2"/>
  <c r="A147" i="2"/>
  <c r="P140" i="2"/>
  <c r="D143" i="2"/>
  <c r="E146" i="2"/>
  <c r="M146" i="2"/>
  <c r="G146" i="2" l="1"/>
  <c r="B143" i="2"/>
  <c r="J150" i="2"/>
  <c r="H146" i="2"/>
  <c r="Q146" i="2"/>
  <c r="E148" i="2"/>
  <c r="D148" i="2"/>
  <c r="F148" i="2"/>
  <c r="O146" i="2"/>
  <c r="S146" i="2"/>
  <c r="A148" i="2"/>
  <c r="M148" i="2"/>
  <c r="A149" i="2"/>
  <c r="P142" i="2"/>
  <c r="H145" i="2"/>
  <c r="D145" i="2"/>
  <c r="C148" i="2"/>
  <c r="B148" i="2"/>
  <c r="R144" i="2"/>
  <c r="E145" i="2"/>
  <c r="C145" i="2"/>
  <c r="N148" i="2"/>
  <c r="L148" i="2"/>
  <c r="B145" i="2" l="1"/>
  <c r="G148" i="2"/>
  <c r="J152" i="2"/>
  <c r="O148" i="2"/>
  <c r="S148" i="2"/>
  <c r="C147" i="2"/>
  <c r="A151" i="2"/>
  <c r="E150" i="2"/>
  <c r="D150" i="2"/>
  <c r="Q148" i="2"/>
  <c r="H147" i="2"/>
  <c r="M150" i="2"/>
  <c r="P144" i="2"/>
  <c r="B150" i="2"/>
  <c r="H148" i="2"/>
  <c r="D147" i="2"/>
  <c r="L150" i="2"/>
  <c r="A150" i="2"/>
  <c r="C150" i="2"/>
  <c r="F150" i="2"/>
  <c r="E147" i="2"/>
  <c r="R146" i="2"/>
  <c r="N150" i="2"/>
  <c r="G150" i="2" l="1"/>
  <c r="B147" i="2"/>
  <c r="J154" i="2"/>
  <c r="O150" i="2"/>
  <c r="S150" i="2"/>
  <c r="H149" i="2"/>
  <c r="M152" i="2"/>
  <c r="F152" i="2"/>
  <c r="N152" i="2"/>
  <c r="Q150" i="2"/>
  <c r="B152" i="2"/>
  <c r="C149" i="2"/>
  <c r="L152" i="2"/>
  <c r="H150" i="2"/>
  <c r="E149" i="2"/>
  <c r="C152" i="2"/>
  <c r="D152" i="2"/>
  <c r="A152" i="2"/>
  <c r="P146" i="2"/>
  <c r="R148" i="2"/>
  <c r="D149" i="2"/>
  <c r="A153" i="2"/>
  <c r="E152" i="2"/>
  <c r="B149" i="2" l="1"/>
  <c r="G152" i="2"/>
  <c r="J156" i="2"/>
  <c r="P148" i="2"/>
  <c r="R150" i="2"/>
  <c r="E151" i="2"/>
  <c r="C154" i="2"/>
  <c r="B154" i="2"/>
  <c r="N154" i="2"/>
  <c r="E154" i="2"/>
  <c r="Q152" i="2"/>
  <c r="A154" i="2"/>
  <c r="O152" i="2"/>
  <c r="H151" i="2"/>
  <c r="A155" i="2"/>
  <c r="D151" i="2"/>
  <c r="D154" i="2"/>
  <c r="L154" i="2"/>
  <c r="S152" i="2"/>
  <c r="M154" i="2"/>
  <c r="H152" i="2"/>
  <c r="C151" i="2"/>
  <c r="F154" i="2"/>
  <c r="G154" i="2" l="1"/>
  <c r="B151" i="2"/>
  <c r="J158" i="2"/>
  <c r="D153" i="2"/>
  <c r="O154" i="2"/>
  <c r="E156" i="2"/>
  <c r="D156" i="2"/>
  <c r="F156" i="2"/>
  <c r="A156" i="2"/>
  <c r="M156" i="2"/>
  <c r="A157" i="2"/>
  <c r="R152" i="2"/>
  <c r="B156" i="2"/>
  <c r="P150" i="2"/>
  <c r="L156" i="2"/>
  <c r="C153" i="2"/>
  <c r="Q154" i="2"/>
  <c r="C156" i="2"/>
  <c r="N156" i="2"/>
  <c r="H153" i="2"/>
  <c r="S154" i="2"/>
  <c r="E153" i="2"/>
  <c r="H154" i="2"/>
  <c r="B153" i="2" l="1"/>
  <c r="G156" i="2"/>
  <c r="J160" i="2"/>
  <c r="H155" i="2"/>
  <c r="R154" i="2"/>
  <c r="P152" i="2"/>
  <c r="A159" i="2"/>
  <c r="E158" i="2"/>
  <c r="D158" i="2"/>
  <c r="E155" i="2"/>
  <c r="L158" i="2"/>
  <c r="A158" i="2"/>
  <c r="C158" i="2"/>
  <c r="O156" i="2"/>
  <c r="S156" i="2"/>
  <c r="C155" i="2"/>
  <c r="F158" i="2"/>
  <c r="M158" i="2"/>
  <c r="H156" i="2"/>
  <c r="Q156" i="2"/>
  <c r="D155" i="2"/>
  <c r="B158" i="2"/>
  <c r="N158" i="2"/>
  <c r="G158" i="2" l="1"/>
  <c r="B155" i="2"/>
  <c r="J162" i="2"/>
  <c r="O158" i="2"/>
  <c r="R156" i="2"/>
  <c r="E157" i="2"/>
  <c r="M160" i="2"/>
  <c r="F160" i="2"/>
  <c r="B160" i="2"/>
  <c r="Q158" i="2"/>
  <c r="H158" i="2"/>
  <c r="D157" i="2"/>
  <c r="C160" i="2"/>
  <c r="N160" i="2"/>
  <c r="P154" i="2"/>
  <c r="A160" i="2"/>
  <c r="S158" i="2"/>
  <c r="C157" i="2"/>
  <c r="A161" i="2"/>
  <c r="E160" i="2"/>
  <c r="D160" i="2"/>
  <c r="H157" i="2"/>
  <c r="L160" i="2"/>
  <c r="B157" i="2" l="1"/>
  <c r="G160" i="2"/>
  <c r="J164" i="2"/>
  <c r="H160" i="2"/>
  <c r="M162" i="2"/>
  <c r="B162" i="2"/>
  <c r="E159" i="2"/>
  <c r="R158" i="2"/>
  <c r="P156" i="2"/>
  <c r="N162" i="2"/>
  <c r="C162" i="2"/>
  <c r="E162" i="2"/>
  <c r="A163" i="2"/>
  <c r="L162" i="2"/>
  <c r="O160" i="2"/>
  <c r="S160" i="2"/>
  <c r="F162" i="2"/>
  <c r="H159" i="2"/>
  <c r="Q160" i="2"/>
  <c r="D159" i="2"/>
  <c r="A162" i="2"/>
  <c r="C159" i="2"/>
  <c r="D162" i="2"/>
  <c r="B159" i="2" l="1"/>
  <c r="G162" i="2"/>
  <c r="J166" i="2"/>
  <c r="E161" i="2"/>
  <c r="H162" i="2"/>
  <c r="E164" i="2"/>
  <c r="D164" i="2"/>
  <c r="L164" i="2"/>
  <c r="C161" i="2"/>
  <c r="Q162" i="2"/>
  <c r="O162" i="2"/>
  <c r="N164" i="2"/>
  <c r="R160" i="2"/>
  <c r="D161" i="2"/>
  <c r="P158" i="2"/>
  <c r="A164" i="2"/>
  <c r="M164" i="2"/>
  <c r="F164" i="2"/>
  <c r="C164" i="2"/>
  <c r="B164" i="2"/>
  <c r="H161" i="2"/>
  <c r="S162" i="2"/>
  <c r="A165" i="2"/>
  <c r="G164" i="2" l="1"/>
  <c r="B161" i="2"/>
  <c r="J168" i="2"/>
  <c r="H163" i="2"/>
  <c r="C163" i="2"/>
  <c r="A167" i="2"/>
  <c r="E166" i="2"/>
  <c r="D166" i="2"/>
  <c r="B166" i="2"/>
  <c r="N166" i="2"/>
  <c r="E163" i="2"/>
  <c r="P160" i="2"/>
  <c r="D163" i="2"/>
  <c r="L166" i="2"/>
  <c r="A166" i="2"/>
  <c r="M166" i="2"/>
  <c r="C166" i="2"/>
  <c r="Q164" i="2"/>
  <c r="S164" i="2"/>
  <c r="O164" i="2"/>
  <c r="R162" i="2"/>
  <c r="F166" i="2"/>
  <c r="H164" i="2"/>
  <c r="G166" i="2" l="1"/>
  <c r="B163" i="2"/>
  <c r="J170" i="2"/>
  <c r="H165" i="2"/>
  <c r="H166" i="2"/>
  <c r="M168" i="2"/>
  <c r="F168" i="2"/>
  <c r="N168" i="2"/>
  <c r="R164" i="2"/>
  <c r="A169" i="2"/>
  <c r="E168" i="2"/>
  <c r="D168" i="2"/>
  <c r="C165" i="2"/>
  <c r="O166" i="2"/>
  <c r="L168" i="2"/>
  <c r="A168" i="2"/>
  <c r="P162" i="2"/>
  <c r="E165" i="2"/>
  <c r="S166" i="2"/>
  <c r="C168" i="2"/>
  <c r="B168" i="2"/>
  <c r="D165" i="2"/>
  <c r="Q166" i="2"/>
  <c r="B165" i="2" l="1"/>
  <c r="G168" i="2"/>
  <c r="J172" i="2"/>
  <c r="R166" i="2"/>
  <c r="H167" i="2"/>
  <c r="P164" i="2"/>
  <c r="C170" i="2"/>
  <c r="B170" i="2"/>
  <c r="E170" i="2"/>
  <c r="L170" i="2"/>
  <c r="E167" i="2"/>
  <c r="F170" i="2"/>
  <c r="Q168" i="2"/>
  <c r="D167" i="2"/>
  <c r="O168" i="2"/>
  <c r="N170" i="2"/>
  <c r="A171" i="2"/>
  <c r="D170" i="2"/>
  <c r="A170" i="2"/>
  <c r="S168" i="2"/>
  <c r="C167" i="2"/>
  <c r="H168" i="2"/>
  <c r="M170" i="2"/>
  <c r="B167" i="2" l="1"/>
  <c r="G170" i="2"/>
  <c r="J174" i="2"/>
  <c r="O170" i="2"/>
  <c r="E172" i="2"/>
  <c r="D172" i="2"/>
  <c r="L172" i="2"/>
  <c r="F172" i="2"/>
  <c r="H170" i="2"/>
  <c r="H169" i="2"/>
  <c r="D169" i="2"/>
  <c r="Q170" i="2"/>
  <c r="A172" i="2"/>
  <c r="M172" i="2"/>
  <c r="R168" i="2"/>
  <c r="N172" i="2"/>
  <c r="E169" i="2"/>
  <c r="C169" i="2"/>
  <c r="S170" i="2"/>
  <c r="C172" i="2"/>
  <c r="B172" i="2"/>
  <c r="P166" i="2"/>
  <c r="A173" i="2"/>
  <c r="B169" i="2" l="1"/>
  <c r="G172" i="2"/>
  <c r="J176" i="2"/>
  <c r="S172" i="2"/>
  <c r="R170" i="2"/>
  <c r="A175" i="2"/>
  <c r="E174" i="2"/>
  <c r="D174" i="2"/>
  <c r="A174" i="2"/>
  <c r="D171" i="2"/>
  <c r="N174" i="2"/>
  <c r="Q172" i="2"/>
  <c r="O172" i="2"/>
  <c r="L174" i="2"/>
  <c r="M174" i="2"/>
  <c r="E171" i="2"/>
  <c r="B174" i="2"/>
  <c r="H171" i="2"/>
  <c r="H172" i="2"/>
  <c r="C171" i="2"/>
  <c r="F174" i="2"/>
  <c r="C174" i="2"/>
  <c r="P168" i="2"/>
  <c r="G174" i="2" l="1"/>
  <c r="B171" i="2"/>
  <c r="J178" i="2"/>
  <c r="D173" i="2"/>
  <c r="H174" i="2"/>
  <c r="M176" i="2"/>
  <c r="F176" i="2"/>
  <c r="A176" i="2"/>
  <c r="C173" i="2"/>
  <c r="P170" i="2"/>
  <c r="C176" i="2"/>
  <c r="B176" i="2"/>
  <c r="N176" i="2"/>
  <c r="Q174" i="2"/>
  <c r="S174" i="2"/>
  <c r="R172" i="2"/>
  <c r="H173" i="2"/>
  <c r="A177" i="2"/>
  <c r="E176" i="2"/>
  <c r="D176" i="2"/>
  <c r="O174" i="2"/>
  <c r="E173" i="2"/>
  <c r="L176" i="2"/>
  <c r="B173" i="2" l="1"/>
  <c r="G176" i="2"/>
  <c r="J180" i="2"/>
  <c r="D175" i="2"/>
  <c r="H175" i="2"/>
  <c r="Q176" i="2"/>
  <c r="C178" i="2"/>
  <c r="B178" i="2"/>
  <c r="N178" i="2"/>
  <c r="E178" i="2"/>
  <c r="H176" i="2"/>
  <c r="C175" i="2"/>
  <c r="R174" i="2"/>
  <c r="S176" i="2"/>
  <c r="A179" i="2"/>
  <c r="M178" i="2"/>
  <c r="F178" i="2"/>
  <c r="P172" i="2"/>
  <c r="O176" i="2"/>
  <c r="D178" i="2"/>
  <c r="L178" i="2"/>
  <c r="A178" i="2"/>
  <c r="E175" i="2"/>
  <c r="G178" i="2" l="1"/>
  <c r="B175" i="2"/>
  <c r="J182" i="2"/>
  <c r="D177" i="2"/>
  <c r="E177" i="2"/>
  <c r="O178" i="2"/>
  <c r="E180" i="2"/>
  <c r="D180" i="2"/>
  <c r="L180" i="2"/>
  <c r="Q178" i="2"/>
  <c r="B180" i="2"/>
  <c r="R176" i="2"/>
  <c r="A181" i="2"/>
  <c r="C177" i="2"/>
  <c r="P174" i="2"/>
  <c r="A180" i="2"/>
  <c r="M180" i="2"/>
  <c r="F180" i="2"/>
  <c r="C180" i="2"/>
  <c r="H178" i="2"/>
  <c r="S178" i="2"/>
  <c r="H177" i="2"/>
  <c r="N180" i="2"/>
  <c r="G180" i="2" l="1"/>
  <c r="B177" i="2"/>
  <c r="J184" i="2"/>
  <c r="O180" i="2"/>
  <c r="Q180" i="2"/>
  <c r="A183" i="2"/>
  <c r="E182" i="2"/>
  <c r="D182" i="2"/>
  <c r="R178" i="2"/>
  <c r="L182" i="2"/>
  <c r="A182" i="2"/>
  <c r="M182" i="2"/>
  <c r="H179" i="2"/>
  <c r="C179" i="2"/>
  <c r="F182" i="2"/>
  <c r="E179" i="2"/>
  <c r="S180" i="2"/>
  <c r="B182" i="2"/>
  <c r="H180" i="2"/>
  <c r="P176" i="2"/>
  <c r="C182" i="2"/>
  <c r="D179" i="2"/>
  <c r="N182" i="2"/>
  <c r="G182" i="2" l="1"/>
  <c r="B179" i="2"/>
  <c r="J186" i="2"/>
  <c r="O182" i="2"/>
  <c r="H181" i="2"/>
  <c r="P178" i="2"/>
  <c r="M184" i="2"/>
  <c r="F184" i="2"/>
  <c r="E184" i="2"/>
  <c r="Q182" i="2"/>
  <c r="H182" i="2"/>
  <c r="E181" i="2"/>
  <c r="R180" i="2"/>
  <c r="C184" i="2"/>
  <c r="B184" i="2"/>
  <c r="N184" i="2"/>
  <c r="D181" i="2"/>
  <c r="D184" i="2"/>
  <c r="S182" i="2"/>
  <c r="A185" i="2"/>
  <c r="C181" i="2"/>
  <c r="L184" i="2"/>
  <c r="A184" i="2"/>
  <c r="B181" i="2" l="1"/>
  <c r="G184" i="2"/>
  <c r="J188" i="2"/>
  <c r="H184" i="2"/>
  <c r="R182" i="2"/>
  <c r="E183" i="2"/>
  <c r="Q184" i="2"/>
  <c r="N186" i="2"/>
  <c r="A187" i="2"/>
  <c r="E186" i="2"/>
  <c r="C186" i="2"/>
  <c r="H183" i="2"/>
  <c r="S184" i="2"/>
  <c r="D183" i="2"/>
  <c r="D186" i="2"/>
  <c r="L186" i="2"/>
  <c r="A186" i="2"/>
  <c r="O184" i="2"/>
  <c r="P180" i="2"/>
  <c r="C183" i="2"/>
  <c r="M186" i="2"/>
  <c r="F186" i="2"/>
  <c r="B186" i="2"/>
  <c r="G186" i="2" l="1"/>
  <c r="B183" i="2"/>
  <c r="J190" i="2"/>
  <c r="Q186" i="2"/>
  <c r="D185" i="2"/>
  <c r="H186" i="2"/>
  <c r="E188" i="2"/>
  <c r="D188" i="2"/>
  <c r="L188" i="2"/>
  <c r="P182" i="2"/>
  <c r="S186" i="2"/>
  <c r="C185" i="2"/>
  <c r="O186" i="2"/>
  <c r="A188" i="2"/>
  <c r="M188" i="2"/>
  <c r="F188" i="2"/>
  <c r="B188" i="2"/>
  <c r="E185" i="2"/>
  <c r="N188" i="2"/>
  <c r="A189" i="2"/>
  <c r="H185" i="2"/>
  <c r="R184" i="2"/>
  <c r="C188" i="2"/>
  <c r="G188" i="2" l="1"/>
  <c r="B185" i="2"/>
  <c r="J192" i="2"/>
  <c r="P184" i="2"/>
  <c r="Q188" i="2"/>
  <c r="A191" i="2"/>
  <c r="E190" i="2"/>
  <c r="D190" i="2"/>
  <c r="O188" i="2"/>
  <c r="H187" i="2"/>
  <c r="L190" i="2"/>
  <c r="A190" i="2"/>
  <c r="M190" i="2"/>
  <c r="S188" i="2"/>
  <c r="R186" i="2"/>
  <c r="N190" i="2"/>
  <c r="H188" i="2"/>
  <c r="C187" i="2"/>
  <c r="E187" i="2"/>
  <c r="F190" i="2"/>
  <c r="C190" i="2"/>
  <c r="D187" i="2"/>
  <c r="B190" i="2"/>
  <c r="G190" i="2" l="1"/>
  <c r="B187" i="2"/>
  <c r="J194" i="2"/>
  <c r="S190" i="2"/>
  <c r="O190" i="2"/>
  <c r="E189" i="2"/>
  <c r="M192" i="2"/>
  <c r="F192" i="2"/>
  <c r="H190" i="2"/>
  <c r="P186" i="2"/>
  <c r="C189" i="2"/>
  <c r="A193" i="2"/>
  <c r="D192" i="2"/>
  <c r="H189" i="2"/>
  <c r="R188" i="2"/>
  <c r="L192" i="2"/>
  <c r="A192" i="2"/>
  <c r="Q190" i="2"/>
  <c r="D189" i="2"/>
  <c r="C192" i="2"/>
  <c r="B192" i="2"/>
  <c r="N192" i="2"/>
  <c r="E192" i="2"/>
  <c r="B189" i="2" l="1"/>
  <c r="G192" i="2"/>
  <c r="J196" i="2"/>
  <c r="O192" i="2"/>
  <c r="R190" i="2"/>
  <c r="D191" i="2"/>
  <c r="C194" i="2"/>
  <c r="B194" i="2"/>
  <c r="A195" i="2"/>
  <c r="E194" i="2"/>
  <c r="L194" i="2"/>
  <c r="H191" i="2"/>
  <c r="H192" i="2"/>
  <c r="P188" i="2"/>
  <c r="C191" i="2"/>
  <c r="N194" i="2"/>
  <c r="E191" i="2"/>
  <c r="A194" i="2"/>
  <c r="Q192" i="2"/>
  <c r="D194" i="2"/>
  <c r="S192" i="2"/>
  <c r="M194" i="2"/>
  <c r="F194" i="2"/>
  <c r="G194" i="2" l="1"/>
  <c r="B191" i="2"/>
  <c r="J198" i="2"/>
  <c r="H194" i="2"/>
  <c r="S194" i="2"/>
  <c r="E196" i="2"/>
  <c r="D196" i="2"/>
  <c r="L196" i="2"/>
  <c r="B196" i="2"/>
  <c r="Q194" i="2"/>
  <c r="H193" i="2"/>
  <c r="O194" i="2"/>
  <c r="P190" i="2"/>
  <c r="A196" i="2"/>
  <c r="M196" i="2"/>
  <c r="F196" i="2"/>
  <c r="C193" i="2"/>
  <c r="E193" i="2"/>
  <c r="D193" i="2"/>
  <c r="C196" i="2"/>
  <c r="R192" i="2"/>
  <c r="N196" i="2"/>
  <c r="A197" i="2"/>
  <c r="B193" i="2" l="1"/>
  <c r="G196" i="2"/>
  <c r="J200" i="2"/>
  <c r="O196" i="2"/>
  <c r="S196" i="2"/>
  <c r="A199" i="2"/>
  <c r="E198" i="2"/>
  <c r="D198" i="2"/>
  <c r="L198" i="2"/>
  <c r="A198" i="2"/>
  <c r="M198" i="2"/>
  <c r="R194" i="2"/>
  <c r="E195" i="2"/>
  <c r="N198" i="2"/>
  <c r="H196" i="2"/>
  <c r="C195" i="2"/>
  <c r="Q196" i="2"/>
  <c r="P192" i="2"/>
  <c r="D195" i="2"/>
  <c r="H195" i="2"/>
  <c r="F198" i="2"/>
  <c r="C198" i="2"/>
  <c r="B198" i="2"/>
  <c r="G198" i="2" l="1"/>
  <c r="B195" i="2"/>
  <c r="J202" i="2"/>
  <c r="S198" i="2"/>
  <c r="H197" i="2"/>
  <c r="M200" i="2"/>
  <c r="F200" i="2"/>
  <c r="C200" i="2"/>
  <c r="N200" i="2"/>
  <c r="R196" i="2"/>
  <c r="L200" i="2"/>
  <c r="Q198" i="2"/>
  <c r="O198" i="2"/>
  <c r="E197" i="2"/>
  <c r="B200" i="2"/>
  <c r="P194" i="2"/>
  <c r="H198" i="2"/>
  <c r="D197" i="2"/>
  <c r="A201" i="2"/>
  <c r="E200" i="2"/>
  <c r="D200" i="2"/>
  <c r="C197" i="2"/>
  <c r="A200" i="2"/>
  <c r="B197" i="2" l="1"/>
  <c r="G200" i="2"/>
  <c r="J204" i="2"/>
  <c r="C199" i="2"/>
  <c r="H200" i="2"/>
  <c r="C202" i="2"/>
  <c r="B202" i="2"/>
  <c r="N202" i="2"/>
  <c r="A203" i="2"/>
  <c r="E202" i="2"/>
  <c r="P196" i="2"/>
  <c r="D202" i="2"/>
  <c r="A202" i="2"/>
  <c r="O200" i="2"/>
  <c r="M202" i="2"/>
  <c r="Q200" i="2"/>
  <c r="R198" i="2"/>
  <c r="S200" i="2"/>
  <c r="E199" i="2"/>
  <c r="L202" i="2"/>
  <c r="D199" i="2"/>
  <c r="H199" i="2"/>
  <c r="F202" i="2"/>
  <c r="G202" i="2" l="1"/>
  <c r="B199" i="2"/>
  <c r="J206" i="2"/>
  <c r="R200" i="2"/>
  <c r="O202" i="2"/>
  <c r="E204" i="2"/>
  <c r="D204" i="2"/>
  <c r="L204" i="2"/>
  <c r="M204" i="2"/>
  <c r="E201" i="2"/>
  <c r="S202" i="2"/>
  <c r="B204" i="2"/>
  <c r="H202" i="2"/>
  <c r="N204" i="2"/>
  <c r="A205" i="2"/>
  <c r="H201" i="2"/>
  <c r="D201" i="2"/>
  <c r="Q202" i="2"/>
  <c r="A204" i="2"/>
  <c r="F204" i="2"/>
  <c r="C201" i="2"/>
  <c r="C204" i="2"/>
  <c r="P198" i="2"/>
  <c r="B201" i="2" l="1"/>
  <c r="G204" i="2"/>
  <c r="J208" i="2"/>
  <c r="H204" i="2"/>
  <c r="E203" i="2"/>
  <c r="A207" i="2"/>
  <c r="E206" i="2"/>
  <c r="D206" i="2"/>
  <c r="Q204" i="2"/>
  <c r="O204" i="2"/>
  <c r="P200" i="2"/>
  <c r="N206" i="2"/>
  <c r="S204" i="2"/>
  <c r="C203" i="2"/>
  <c r="L206" i="2"/>
  <c r="A206" i="2"/>
  <c r="M206" i="2"/>
  <c r="R202" i="2"/>
  <c r="D203" i="2"/>
  <c r="F206" i="2"/>
  <c r="C206" i="2"/>
  <c r="H203" i="2"/>
  <c r="B206" i="2"/>
  <c r="G206" i="2" l="1"/>
  <c r="B203" i="2"/>
  <c r="J210" i="2"/>
  <c r="S206" i="2"/>
  <c r="H206" i="2"/>
  <c r="M208" i="2"/>
  <c r="F208" i="2"/>
  <c r="E205" i="2"/>
  <c r="C205" i="2"/>
  <c r="A209" i="2"/>
  <c r="D208" i="2"/>
  <c r="O206" i="2"/>
  <c r="L208" i="2"/>
  <c r="Q206" i="2"/>
  <c r="H205" i="2"/>
  <c r="D205" i="2"/>
  <c r="C208" i="2"/>
  <c r="B208" i="2"/>
  <c r="N208" i="2"/>
  <c r="E208" i="2"/>
  <c r="P202" i="2"/>
  <c r="R204" i="2"/>
  <c r="A208" i="2"/>
  <c r="B205" i="2" l="1"/>
  <c r="G208" i="2"/>
  <c r="J212" i="2"/>
  <c r="P204" i="2"/>
  <c r="S208" i="2"/>
  <c r="C210" i="2"/>
  <c r="B210" i="2"/>
  <c r="Q208" i="2"/>
  <c r="O208" i="2"/>
  <c r="R206" i="2"/>
  <c r="N210" i="2"/>
  <c r="A211" i="2"/>
  <c r="E210" i="2"/>
  <c r="A210" i="2"/>
  <c r="H207" i="2"/>
  <c r="F210" i="2"/>
  <c r="H208" i="2"/>
  <c r="D207" i="2"/>
  <c r="E207" i="2"/>
  <c r="D210" i="2"/>
  <c r="L210" i="2"/>
  <c r="C207" i="2"/>
  <c r="M210" i="2"/>
  <c r="B207" i="2" l="1"/>
  <c r="G210" i="2"/>
  <c r="J214" i="2"/>
  <c r="P206" i="2"/>
  <c r="Q210" i="2"/>
  <c r="E212" i="2"/>
  <c r="D212" i="2"/>
  <c r="L212" i="2"/>
  <c r="H209" i="2"/>
  <c r="B212" i="2"/>
  <c r="R208" i="2"/>
  <c r="A213" i="2"/>
  <c r="D209" i="2"/>
  <c r="S210" i="2"/>
  <c r="A212" i="2"/>
  <c r="M212" i="2"/>
  <c r="F212" i="2"/>
  <c r="H210" i="2"/>
  <c r="C209" i="2"/>
  <c r="C212" i="2"/>
  <c r="O210" i="2"/>
  <c r="E209" i="2"/>
  <c r="N212" i="2"/>
  <c r="B209" i="2" l="1"/>
  <c r="G212" i="2"/>
  <c r="J216" i="2"/>
  <c r="O212" i="2"/>
  <c r="P208" i="2"/>
  <c r="A215" i="2"/>
  <c r="E214" i="2"/>
  <c r="D214" i="2"/>
  <c r="H212" i="2"/>
  <c r="S212" i="2"/>
  <c r="L214" i="2"/>
  <c r="A214" i="2"/>
  <c r="M214" i="2"/>
  <c r="C211" i="2"/>
  <c r="H211" i="2"/>
  <c r="Q212" i="2"/>
  <c r="F214" i="2"/>
  <c r="C214" i="2"/>
  <c r="D211" i="2"/>
  <c r="E211" i="2"/>
  <c r="R210" i="2"/>
  <c r="B214" i="2"/>
  <c r="N214" i="2"/>
  <c r="G214" i="2" l="1"/>
  <c r="B211" i="2"/>
  <c r="J218" i="2"/>
  <c r="O214" i="2"/>
  <c r="P210" i="2"/>
  <c r="H213" i="2"/>
  <c r="M216" i="2"/>
  <c r="F216" i="2"/>
  <c r="C216" i="2"/>
  <c r="N216" i="2"/>
  <c r="R212" i="2"/>
  <c r="D213" i="2"/>
  <c r="E216" i="2"/>
  <c r="Q214" i="2"/>
  <c r="L216" i="2"/>
  <c r="H214" i="2"/>
  <c r="E213" i="2"/>
  <c r="B216" i="2"/>
  <c r="S214" i="2"/>
  <c r="A217" i="2"/>
  <c r="D216" i="2"/>
  <c r="C213" i="2"/>
  <c r="A216" i="2"/>
  <c r="B213" i="2" l="1"/>
  <c r="G216" i="2"/>
  <c r="J220" i="2"/>
  <c r="S216" i="2"/>
  <c r="H216" i="2"/>
  <c r="C218" i="2"/>
  <c r="B218" i="2"/>
  <c r="P212" i="2"/>
  <c r="L218" i="2"/>
  <c r="Q216" i="2"/>
  <c r="E215" i="2"/>
  <c r="R214" i="2"/>
  <c r="N218" i="2"/>
  <c r="A219" i="2"/>
  <c r="E218" i="2"/>
  <c r="H215" i="2"/>
  <c r="D215" i="2"/>
  <c r="D218" i="2"/>
  <c r="A218" i="2"/>
  <c r="O216" i="2"/>
  <c r="C215" i="2"/>
  <c r="M218" i="2"/>
  <c r="F218" i="2"/>
  <c r="G218" i="2" l="1"/>
  <c r="B215" i="2"/>
  <c r="J222" i="2"/>
  <c r="H218" i="2"/>
  <c r="Q218" i="2"/>
  <c r="D220" i="2"/>
  <c r="L220" i="2"/>
  <c r="H217" i="2"/>
  <c r="B220" i="2"/>
  <c r="R216" i="2"/>
  <c r="N220" i="2"/>
  <c r="O218" i="2"/>
  <c r="S218" i="2"/>
  <c r="E220" i="2"/>
  <c r="M220" i="2"/>
  <c r="F220" i="2"/>
  <c r="D217" i="2"/>
  <c r="P214" i="2"/>
  <c r="A220" i="2"/>
  <c r="C217" i="2"/>
  <c r="E217" i="2"/>
  <c r="A221" i="2"/>
  <c r="C220" i="2"/>
  <c r="B217" i="2" l="1"/>
  <c r="G220" i="2"/>
  <c r="J224" i="2"/>
  <c r="C219" i="2"/>
  <c r="P216" i="2"/>
  <c r="A223" i="2"/>
  <c r="M222" i="2"/>
  <c r="A222" i="2"/>
  <c r="D219" i="2"/>
  <c r="S220" i="2"/>
  <c r="L222" i="2"/>
  <c r="E222" i="2"/>
  <c r="H219" i="2"/>
  <c r="O220" i="2"/>
  <c r="Q220" i="2"/>
  <c r="N222" i="2"/>
  <c r="B222" i="2"/>
  <c r="C222" i="2"/>
  <c r="E219" i="2"/>
  <c r="H220" i="2"/>
  <c r="R218" i="2"/>
  <c r="D222" i="2"/>
  <c r="F222" i="2"/>
  <c r="G222" i="2" l="1"/>
  <c r="B219" i="2"/>
  <c r="J226" i="2"/>
  <c r="O222" i="2"/>
  <c r="C221" i="2"/>
  <c r="M224" i="2"/>
  <c r="F224" i="2"/>
  <c r="B224" i="2"/>
  <c r="S222" i="2"/>
  <c r="E224" i="2"/>
  <c r="D221" i="2"/>
  <c r="A224" i="2"/>
  <c r="P218" i="2"/>
  <c r="H222" i="2"/>
  <c r="H221" i="2"/>
  <c r="C224" i="2"/>
  <c r="N224" i="2"/>
  <c r="R220" i="2"/>
  <c r="E221" i="2"/>
  <c r="A225" i="2"/>
  <c r="D224" i="2"/>
  <c r="Q222" i="2"/>
  <c r="L224" i="2"/>
  <c r="G224" i="2" l="1"/>
  <c r="B221" i="2"/>
  <c r="J228" i="2"/>
  <c r="R222" i="2"/>
  <c r="E223" i="2"/>
  <c r="C226" i="2"/>
  <c r="B226" i="2"/>
  <c r="A227" i="2"/>
  <c r="O224" i="2"/>
  <c r="D223" i="2"/>
  <c r="D226" i="2"/>
  <c r="A226" i="2"/>
  <c r="S224" i="2"/>
  <c r="C223" i="2"/>
  <c r="M226" i="2"/>
  <c r="P220" i="2"/>
  <c r="H223" i="2"/>
  <c r="N226" i="2"/>
  <c r="E226" i="2"/>
  <c r="Q224" i="2"/>
  <c r="L226" i="2"/>
  <c r="H224" i="2"/>
  <c r="F226" i="2"/>
  <c r="G226" i="2" l="1"/>
  <c r="B223" i="2"/>
  <c r="J230" i="2"/>
  <c r="C225" i="2"/>
  <c r="E228" i="2"/>
  <c r="D228" i="2"/>
  <c r="L228" i="2"/>
  <c r="A228" i="2"/>
  <c r="M228" i="2"/>
  <c r="F228" i="2"/>
  <c r="E225" i="2"/>
  <c r="S226" i="2"/>
  <c r="B228" i="2"/>
  <c r="D225" i="2"/>
  <c r="N228" i="2"/>
  <c r="A229" i="2"/>
  <c r="R224" i="2"/>
  <c r="H225" i="2"/>
  <c r="Q226" i="2"/>
  <c r="C228" i="2"/>
  <c r="P222" i="2"/>
  <c r="H226" i="2"/>
  <c r="O226" i="2"/>
  <c r="G228" i="2" l="1"/>
  <c r="B225" i="2"/>
  <c r="J232" i="2"/>
  <c r="C227" i="2"/>
  <c r="O228" i="2"/>
  <c r="H227" i="2"/>
  <c r="A231" i="2"/>
  <c r="E230" i="2"/>
  <c r="D230" i="2"/>
  <c r="D227" i="2"/>
  <c r="H228" i="2"/>
  <c r="E227" i="2"/>
  <c r="L230" i="2"/>
  <c r="A230" i="2"/>
  <c r="M230" i="2"/>
  <c r="R226" i="2"/>
  <c r="S228" i="2"/>
  <c r="F230" i="2"/>
  <c r="C230" i="2"/>
  <c r="P224" i="2"/>
  <c r="Q228" i="2"/>
  <c r="B230" i="2"/>
  <c r="N230" i="2"/>
  <c r="G230" i="2" l="1"/>
  <c r="B227" i="2"/>
  <c r="J234" i="2"/>
  <c r="O230" i="2"/>
  <c r="R228" i="2"/>
  <c r="P226" i="2"/>
  <c r="M232" i="2"/>
  <c r="F232" i="2"/>
  <c r="D229" i="2"/>
  <c r="C232" i="2"/>
  <c r="N232" i="2"/>
  <c r="S230" i="2"/>
  <c r="C229" i="2"/>
  <c r="E232" i="2"/>
  <c r="Q230" i="2"/>
  <c r="L232" i="2"/>
  <c r="A232" i="2"/>
  <c r="H230" i="2"/>
  <c r="B232" i="2"/>
  <c r="H229" i="2"/>
  <c r="A233" i="2"/>
  <c r="D232" i="2"/>
  <c r="E229" i="2"/>
  <c r="B229" i="2" l="1"/>
  <c r="G232" i="2"/>
  <c r="J236" i="2"/>
  <c r="Q232" i="2"/>
  <c r="E231" i="2"/>
  <c r="C234" i="2"/>
  <c r="B234" i="2"/>
  <c r="O232" i="2"/>
  <c r="D234" i="2"/>
  <c r="A234" i="2"/>
  <c r="H232" i="2"/>
  <c r="C231" i="2"/>
  <c r="M234" i="2"/>
  <c r="F234" i="2"/>
  <c r="S232" i="2"/>
  <c r="H231" i="2"/>
  <c r="P228" i="2"/>
  <c r="N234" i="2"/>
  <c r="A235" i="2"/>
  <c r="E234" i="2"/>
  <c r="R230" i="2"/>
  <c r="D231" i="2"/>
  <c r="L234" i="2"/>
  <c r="G234" i="2" l="1"/>
  <c r="B231" i="2"/>
  <c r="J238" i="2"/>
  <c r="P230" i="2"/>
  <c r="E233" i="2"/>
  <c r="C233" i="2"/>
  <c r="E236" i="2"/>
  <c r="D236" i="2"/>
  <c r="L236" i="2"/>
  <c r="A236" i="2"/>
  <c r="M236" i="2"/>
  <c r="F236" i="2"/>
  <c r="O234" i="2"/>
  <c r="B236" i="2"/>
  <c r="D233" i="2"/>
  <c r="R232" i="2"/>
  <c r="A237" i="2"/>
  <c r="H234" i="2"/>
  <c r="Q234" i="2"/>
  <c r="S234" i="2"/>
  <c r="C236" i="2"/>
  <c r="H233" i="2"/>
  <c r="N236" i="2"/>
  <c r="G236" i="2" l="1"/>
  <c r="B233" i="2"/>
  <c r="J240" i="2"/>
  <c r="O236" i="2"/>
  <c r="R234" i="2"/>
  <c r="C235" i="2"/>
  <c r="A239" i="2"/>
  <c r="E238" i="2"/>
  <c r="D238" i="2"/>
  <c r="H236" i="2"/>
  <c r="P232" i="2"/>
  <c r="D235" i="2"/>
  <c r="L238" i="2"/>
  <c r="A238" i="2"/>
  <c r="M238" i="2"/>
  <c r="H235" i="2"/>
  <c r="S236" i="2"/>
  <c r="F238" i="2"/>
  <c r="C238" i="2"/>
  <c r="E235" i="2"/>
  <c r="Q236" i="2"/>
  <c r="B238" i="2"/>
  <c r="N238" i="2"/>
  <c r="G238" i="2" l="1"/>
  <c r="B235" i="2"/>
  <c r="J242" i="2"/>
  <c r="O238" i="2"/>
  <c r="R236" i="2"/>
  <c r="M240" i="2"/>
  <c r="F240" i="2"/>
  <c r="C240" i="2"/>
  <c r="N240" i="2"/>
  <c r="H237" i="2"/>
  <c r="D237" i="2"/>
  <c r="E240" i="2"/>
  <c r="D240" i="2"/>
  <c r="E237" i="2"/>
  <c r="C237" i="2"/>
  <c r="L240" i="2"/>
  <c r="A240" i="2"/>
  <c r="H238" i="2"/>
  <c r="P234" i="2"/>
  <c r="B240" i="2"/>
  <c r="S238" i="2"/>
  <c r="A241" i="2"/>
  <c r="Q238" i="2"/>
  <c r="B237" i="2" l="1"/>
  <c r="G240" i="2"/>
  <c r="J244" i="2"/>
  <c r="R238" i="2"/>
  <c r="S240" i="2"/>
  <c r="C242" i="2"/>
  <c r="B242" i="2"/>
  <c r="N242" i="2"/>
  <c r="E242" i="2"/>
  <c r="O240" i="2"/>
  <c r="D242" i="2"/>
  <c r="Q240" i="2"/>
  <c r="M242" i="2"/>
  <c r="E239" i="2"/>
  <c r="P236" i="2"/>
  <c r="A243" i="2"/>
  <c r="H239" i="2"/>
  <c r="D239" i="2"/>
  <c r="L242" i="2"/>
  <c r="A242" i="2"/>
  <c r="H240" i="2"/>
  <c r="C239" i="2"/>
  <c r="F242" i="2"/>
  <c r="G242" i="2" l="1"/>
  <c r="B239" i="2"/>
  <c r="J246" i="2"/>
  <c r="C241" i="2"/>
  <c r="S242" i="2"/>
  <c r="E244" i="2"/>
  <c r="D244" i="2"/>
  <c r="L244" i="2"/>
  <c r="H242" i="2"/>
  <c r="H241" i="2"/>
  <c r="A244" i="2"/>
  <c r="F244" i="2"/>
  <c r="R240" i="2"/>
  <c r="O242" i="2"/>
  <c r="D241" i="2"/>
  <c r="P238" i="2"/>
  <c r="N244" i="2"/>
  <c r="A245" i="2"/>
  <c r="M244" i="2"/>
  <c r="E241" i="2"/>
  <c r="C244" i="2"/>
  <c r="B244" i="2"/>
  <c r="Q242" i="2"/>
  <c r="G244" i="2" l="1"/>
  <c r="B241" i="2"/>
  <c r="J248" i="2"/>
  <c r="R242" i="2"/>
  <c r="H244" i="2"/>
  <c r="A247" i="2"/>
  <c r="E246" i="2"/>
  <c r="D246" i="2"/>
  <c r="Q244" i="2"/>
  <c r="O244" i="2"/>
  <c r="S244" i="2"/>
  <c r="C243" i="2"/>
  <c r="H243" i="2"/>
  <c r="L246" i="2"/>
  <c r="A246" i="2"/>
  <c r="M246" i="2"/>
  <c r="D243" i="2"/>
  <c r="E243" i="2"/>
  <c r="F246" i="2"/>
  <c r="C246" i="2"/>
  <c r="P240" i="2"/>
  <c r="B246" i="2"/>
  <c r="N246" i="2"/>
  <c r="G246" i="2" l="1"/>
  <c r="B243" i="2"/>
  <c r="J250" i="2"/>
  <c r="O246" i="2"/>
  <c r="D245" i="2"/>
  <c r="M248" i="2"/>
  <c r="F248" i="2"/>
  <c r="D248" i="2"/>
  <c r="P242" i="2"/>
  <c r="H246" i="2"/>
  <c r="C245" i="2"/>
  <c r="C248" i="2"/>
  <c r="B248" i="2"/>
  <c r="N248" i="2"/>
  <c r="H245" i="2"/>
  <c r="R244" i="2"/>
  <c r="A249" i="2"/>
  <c r="E248" i="2"/>
  <c r="E245" i="2"/>
  <c r="L248" i="2"/>
  <c r="A248" i="2"/>
  <c r="S246" i="2"/>
  <c r="Q246" i="2"/>
  <c r="B245" i="2" l="1"/>
  <c r="G248" i="2"/>
  <c r="J252" i="2"/>
  <c r="R246" i="2"/>
  <c r="O248" i="2"/>
  <c r="C250" i="2"/>
  <c r="B250" i="2"/>
  <c r="A251" i="2"/>
  <c r="E250" i="2"/>
  <c r="Q248" i="2"/>
  <c r="S248" i="2"/>
  <c r="M250" i="2"/>
  <c r="E247" i="2"/>
  <c r="H248" i="2"/>
  <c r="N250" i="2"/>
  <c r="H247" i="2"/>
  <c r="D247" i="2"/>
  <c r="D250" i="2"/>
  <c r="L250" i="2"/>
  <c r="A250" i="2"/>
  <c r="P244" i="2"/>
  <c r="C247" i="2"/>
  <c r="F250" i="2"/>
  <c r="G250" i="2" l="1"/>
  <c r="B247" i="2"/>
  <c r="H250" i="2"/>
  <c r="J254" i="2"/>
  <c r="H249" i="2"/>
  <c r="S250" i="2"/>
  <c r="E252" i="2"/>
  <c r="D252" i="2"/>
  <c r="L252" i="2"/>
  <c r="Q250" i="2"/>
  <c r="E249" i="2"/>
  <c r="D249" i="2"/>
  <c r="A252" i="2"/>
  <c r="M252" i="2"/>
  <c r="F252" i="2"/>
  <c r="R248" i="2"/>
  <c r="C249" i="2"/>
  <c r="C252" i="2"/>
  <c r="B252" i="2"/>
  <c r="O250" i="2"/>
  <c r="P246" i="2"/>
  <c r="N252" i="2"/>
  <c r="A253" i="2"/>
  <c r="B249" i="2" l="1"/>
  <c r="G252" i="2"/>
  <c r="J256" i="2"/>
  <c r="O252" i="2"/>
  <c r="S252" i="2"/>
  <c r="A255" i="2"/>
  <c r="E254" i="2"/>
  <c r="D254" i="2"/>
  <c r="R250" i="2"/>
  <c r="L254" i="2"/>
  <c r="A254" i="2"/>
  <c r="M254" i="2"/>
  <c r="E251" i="2"/>
  <c r="N254" i="2"/>
  <c r="H252" i="2"/>
  <c r="Q252" i="2"/>
  <c r="B254" i="2"/>
  <c r="C251" i="2"/>
  <c r="H251" i="2"/>
  <c r="F254" i="2"/>
  <c r="C254" i="2"/>
  <c r="D251" i="2"/>
  <c r="P248" i="2"/>
  <c r="G254" i="2" l="1"/>
  <c r="J258" i="2"/>
  <c r="R252" i="2"/>
  <c r="H253" i="2"/>
  <c r="M256" i="2"/>
  <c r="F256" i="2"/>
  <c r="C256" i="2"/>
  <c r="N256" i="2"/>
  <c r="S254" i="2"/>
  <c r="D253" i="2"/>
  <c r="A257" i="2"/>
  <c r="E256" i="2"/>
  <c r="Q254" i="2"/>
  <c r="C253" i="2"/>
  <c r="A256" i="2"/>
  <c r="O254" i="2"/>
  <c r="E253" i="2"/>
  <c r="B256" i="2"/>
  <c r="H254" i="2"/>
  <c r="D256" i="2"/>
  <c r="P250" i="2"/>
  <c r="B251" i="2" s="1"/>
  <c r="L256" i="2"/>
  <c r="B253" i="2" l="1"/>
  <c r="G256" i="2"/>
  <c r="J260" i="2"/>
  <c r="Q256" i="2"/>
  <c r="O256" i="2"/>
  <c r="C258" i="2"/>
  <c r="B258" i="2"/>
  <c r="E258" i="2"/>
  <c r="E255" i="2"/>
  <c r="D258" i="2"/>
  <c r="L258" i="2"/>
  <c r="A258" i="2"/>
  <c r="C255" i="2"/>
  <c r="H255" i="2"/>
  <c r="P252" i="2"/>
  <c r="F258" i="2"/>
  <c r="S256" i="2"/>
  <c r="R254" i="2"/>
  <c r="H256" i="2"/>
  <c r="N258" i="2"/>
  <c r="A259" i="2"/>
  <c r="D255" i="2"/>
  <c r="M258" i="2"/>
  <c r="G258" i="2" l="1"/>
  <c r="B255" i="2"/>
  <c r="J262" i="2"/>
  <c r="H258" i="2"/>
  <c r="E257" i="2"/>
  <c r="S258" i="2"/>
  <c r="E260" i="2"/>
  <c r="D260" i="2"/>
  <c r="L260" i="2"/>
  <c r="O258" i="2"/>
  <c r="D257" i="2"/>
  <c r="A260" i="2"/>
  <c r="M260" i="2"/>
  <c r="F260" i="2"/>
  <c r="P254" i="2"/>
  <c r="C257" i="2"/>
  <c r="C260" i="2"/>
  <c r="B260" i="2"/>
  <c r="H257" i="2"/>
  <c r="Q258" i="2"/>
  <c r="N260" i="2"/>
  <c r="A261" i="2"/>
  <c r="R256" i="2"/>
  <c r="B257" i="2" l="1"/>
  <c r="G260" i="2"/>
  <c r="J264" i="2"/>
  <c r="P256" i="2"/>
  <c r="S260" i="2"/>
  <c r="C259" i="2"/>
  <c r="A263" i="2"/>
  <c r="E262" i="2"/>
  <c r="D262" i="2"/>
  <c r="O260" i="2"/>
  <c r="Q260" i="2"/>
  <c r="D259" i="2"/>
  <c r="L262" i="2"/>
  <c r="A262" i="2"/>
  <c r="M262" i="2"/>
  <c r="H260" i="2"/>
  <c r="H259" i="2"/>
  <c r="F262" i="2"/>
  <c r="C262" i="2"/>
  <c r="R258" i="2"/>
  <c r="E259" i="2"/>
  <c r="B262" i="2"/>
  <c r="N262" i="2"/>
  <c r="G262" i="2" l="1"/>
  <c r="B259" i="2"/>
  <c r="J266" i="2"/>
  <c r="O262" i="2"/>
  <c r="P258" i="2"/>
  <c r="C261" i="2"/>
  <c r="M264" i="2"/>
  <c r="F264" i="2"/>
  <c r="H262" i="2"/>
  <c r="C264" i="2"/>
  <c r="B264" i="2"/>
  <c r="N264" i="2"/>
  <c r="S262" i="2"/>
  <c r="R260" i="2"/>
  <c r="H261" i="2"/>
  <c r="A265" i="2"/>
  <c r="E264" i="2"/>
  <c r="D264" i="2"/>
  <c r="Q262" i="2"/>
  <c r="D261" i="2"/>
  <c r="E261" i="2"/>
  <c r="L264" i="2"/>
  <c r="A264" i="2"/>
  <c r="G264" i="2" l="1"/>
  <c r="B261" i="2"/>
  <c r="J268" i="2"/>
  <c r="R262" i="2"/>
  <c r="O264" i="2"/>
  <c r="C266" i="2"/>
  <c r="B266" i="2"/>
  <c r="E266" i="2"/>
  <c r="Q264" i="2"/>
  <c r="S264" i="2"/>
  <c r="P260" i="2"/>
  <c r="H264" i="2"/>
  <c r="N266" i="2"/>
  <c r="A267" i="2"/>
  <c r="E263" i="2"/>
  <c r="D263" i="2"/>
  <c r="D266" i="2"/>
  <c r="L266" i="2"/>
  <c r="A266" i="2"/>
  <c r="H263" i="2"/>
  <c r="C263" i="2"/>
  <c r="M266" i="2"/>
  <c r="F266" i="2"/>
  <c r="G266" i="2" l="1"/>
  <c r="B263" i="2"/>
  <c r="J270" i="2"/>
  <c r="H265" i="2"/>
  <c r="S266" i="2"/>
  <c r="E268" i="2"/>
  <c r="D268" i="2"/>
  <c r="L268" i="2"/>
  <c r="D265" i="2"/>
  <c r="M268" i="2"/>
  <c r="F268" i="2"/>
  <c r="R264" i="2"/>
  <c r="C265" i="2"/>
  <c r="C268" i="2"/>
  <c r="B268" i="2"/>
  <c r="O266" i="2"/>
  <c r="P262" i="2"/>
  <c r="N268" i="2"/>
  <c r="A269" i="2"/>
  <c r="E265" i="2"/>
  <c r="A268" i="2"/>
  <c r="H266" i="2"/>
  <c r="Q266" i="2"/>
  <c r="B265" i="2" l="1"/>
  <c r="G268" i="2"/>
  <c r="J272" i="2"/>
  <c r="R266" i="2"/>
  <c r="D267" i="2"/>
  <c r="P264" i="2"/>
  <c r="A271" i="2"/>
  <c r="E270" i="2"/>
  <c r="D270" i="2"/>
  <c r="O268" i="2"/>
  <c r="S268" i="2"/>
  <c r="L270" i="2"/>
  <c r="A270" i="2"/>
  <c r="M270" i="2"/>
  <c r="H268" i="2"/>
  <c r="Q268" i="2"/>
  <c r="H267" i="2"/>
  <c r="F270" i="2"/>
  <c r="C270" i="2"/>
  <c r="C267" i="2"/>
  <c r="E267" i="2"/>
  <c r="B270" i="2"/>
  <c r="N270" i="2"/>
  <c r="B267" i="2" l="1"/>
  <c r="G270" i="2"/>
  <c r="J274" i="2"/>
  <c r="O270" i="2"/>
  <c r="E269" i="2"/>
  <c r="M272" i="2"/>
  <c r="F272" i="2"/>
  <c r="H270" i="2"/>
  <c r="D269" i="2"/>
  <c r="C272" i="2"/>
  <c r="B272" i="2"/>
  <c r="N272" i="2"/>
  <c r="S270" i="2"/>
  <c r="R268" i="2"/>
  <c r="C269" i="2"/>
  <c r="A273" i="2"/>
  <c r="E272" i="2"/>
  <c r="D272" i="2"/>
  <c r="Q270" i="2"/>
  <c r="H269" i="2"/>
  <c r="P266" i="2"/>
  <c r="L272" i="2"/>
  <c r="A272" i="2"/>
  <c r="B269" i="2" l="1"/>
  <c r="G272" i="2"/>
  <c r="J276" i="2"/>
  <c r="R270" i="2"/>
  <c r="H271" i="2"/>
  <c r="S272" i="2"/>
  <c r="C274" i="2"/>
  <c r="B274" i="2"/>
  <c r="A274" i="2"/>
  <c r="Q272" i="2"/>
  <c r="O272" i="2"/>
  <c r="N274" i="2"/>
  <c r="A275" i="2"/>
  <c r="E274" i="2"/>
  <c r="C271" i="2"/>
  <c r="P268" i="2"/>
  <c r="H272" i="2"/>
  <c r="D271" i="2"/>
  <c r="D274" i="2"/>
  <c r="L274" i="2"/>
  <c r="E271" i="2"/>
  <c r="M274" i="2"/>
  <c r="F274" i="2"/>
  <c r="G274" i="2" l="1"/>
  <c r="B271" i="2"/>
  <c r="J278" i="2"/>
  <c r="D273" i="2"/>
  <c r="S274" i="2"/>
  <c r="E276" i="2"/>
  <c r="D276" i="2"/>
  <c r="L276" i="2"/>
  <c r="B276" i="2"/>
  <c r="P270" i="2"/>
  <c r="C273" i="2"/>
  <c r="H273" i="2"/>
  <c r="A276" i="2"/>
  <c r="M276" i="2"/>
  <c r="F276" i="2"/>
  <c r="E273" i="2"/>
  <c r="Q274" i="2"/>
  <c r="H274" i="2"/>
  <c r="R272" i="2"/>
  <c r="C276" i="2"/>
  <c r="O274" i="2"/>
  <c r="N276" i="2"/>
  <c r="A277" i="2"/>
  <c r="G276" i="2" l="1"/>
  <c r="B273" i="2"/>
  <c r="J280" i="2"/>
  <c r="O276" i="2"/>
  <c r="P272" i="2"/>
  <c r="S276" i="2"/>
  <c r="A279" i="2"/>
  <c r="E278" i="2"/>
  <c r="D278" i="2"/>
  <c r="Q276" i="2"/>
  <c r="H276" i="2"/>
  <c r="R274" i="2"/>
  <c r="L278" i="2"/>
  <c r="A278" i="2"/>
  <c r="M278" i="2"/>
  <c r="C275" i="2"/>
  <c r="H275" i="2"/>
  <c r="F278" i="2"/>
  <c r="C278" i="2"/>
  <c r="D275" i="2"/>
  <c r="E275" i="2"/>
  <c r="B278" i="2"/>
  <c r="N278" i="2"/>
  <c r="G278" i="2" l="1"/>
  <c r="B275" i="2"/>
  <c r="J282" i="2"/>
  <c r="O278" i="2"/>
  <c r="H277" i="2"/>
  <c r="L280" i="2"/>
  <c r="A280" i="2"/>
  <c r="A281" i="2"/>
  <c r="N280" i="2"/>
  <c r="C277" i="2"/>
  <c r="H278" i="2"/>
  <c r="E277" i="2"/>
  <c r="F280" i="2"/>
  <c r="R276" i="2"/>
  <c r="C280" i="2"/>
  <c r="S278" i="2"/>
  <c r="P274" i="2"/>
  <c r="D277" i="2"/>
  <c r="M280" i="2"/>
  <c r="B280" i="2"/>
  <c r="D280" i="2"/>
  <c r="Q278" i="2"/>
  <c r="E280" i="2"/>
  <c r="G280" i="2" l="1"/>
  <c r="B277" i="2"/>
  <c r="J284" i="2"/>
  <c r="R278" i="2"/>
  <c r="H279" i="2"/>
  <c r="O280" i="2"/>
  <c r="M282" i="2"/>
  <c r="B282" i="2"/>
  <c r="D282" i="2"/>
  <c r="A283" i="2"/>
  <c r="E282" i="2"/>
  <c r="Q280" i="2"/>
  <c r="D279" i="2"/>
  <c r="E279" i="2"/>
  <c r="C279" i="2"/>
  <c r="F282" i="2"/>
  <c r="N282" i="2"/>
  <c r="S280" i="2"/>
  <c r="P276" i="2"/>
  <c r="H280" i="2"/>
  <c r="C282" i="2"/>
  <c r="L282" i="2"/>
  <c r="A282" i="2"/>
  <c r="G282" i="2" l="1"/>
  <c r="B279" i="2"/>
  <c r="J286" i="2"/>
  <c r="H281" i="2"/>
  <c r="S282" i="2"/>
  <c r="C284" i="2"/>
  <c r="B284" i="2"/>
  <c r="E281" i="2"/>
  <c r="D281" i="2"/>
  <c r="N284" i="2"/>
  <c r="A285" i="2"/>
  <c r="E284" i="2"/>
  <c r="O282" i="2"/>
  <c r="R280" i="2"/>
  <c r="C281" i="2"/>
  <c r="D284" i="2"/>
  <c r="L284" i="2"/>
  <c r="A284" i="2"/>
  <c r="H282" i="2"/>
  <c r="P278" i="2"/>
  <c r="M284" i="2"/>
  <c r="F284" i="2"/>
  <c r="Q282" i="2"/>
  <c r="G284" i="2" l="1"/>
  <c r="B281" i="2"/>
  <c r="J288" i="2"/>
  <c r="R282" i="2"/>
  <c r="D283" i="2"/>
  <c r="Q284" i="2"/>
  <c r="E286" i="2"/>
  <c r="D286" i="2"/>
  <c r="L286" i="2"/>
  <c r="B286" i="2"/>
  <c r="E283" i="2"/>
  <c r="C283" i="2"/>
  <c r="S284" i="2"/>
  <c r="A286" i="2"/>
  <c r="M286" i="2"/>
  <c r="F286" i="2"/>
  <c r="H283" i="2"/>
  <c r="C286" i="2"/>
  <c r="O284" i="2"/>
  <c r="N286" i="2"/>
  <c r="H284" i="2"/>
  <c r="P280" i="2"/>
  <c r="A287" i="2"/>
  <c r="G286" i="2" l="1"/>
  <c r="B283" i="2"/>
  <c r="J290" i="2"/>
  <c r="O286" i="2"/>
  <c r="S286" i="2"/>
  <c r="A289" i="2"/>
  <c r="E288" i="2"/>
  <c r="D288" i="2"/>
  <c r="L288" i="2"/>
  <c r="A288" i="2"/>
  <c r="M288" i="2"/>
  <c r="E285" i="2"/>
  <c r="F288" i="2"/>
  <c r="D285" i="2"/>
  <c r="P282" i="2"/>
  <c r="N288" i="2"/>
  <c r="H286" i="2"/>
  <c r="H285" i="2"/>
  <c r="Q286" i="2"/>
  <c r="R284" i="2"/>
  <c r="C288" i="2"/>
  <c r="B288" i="2"/>
  <c r="C285" i="2"/>
  <c r="B285" i="2" l="1"/>
  <c r="G288" i="2"/>
  <c r="J292" i="2"/>
  <c r="R286" i="2"/>
  <c r="H287" i="2"/>
  <c r="M290" i="2"/>
  <c r="F290" i="2"/>
  <c r="H288" i="2"/>
  <c r="E290" i="2"/>
  <c r="P284" i="2"/>
  <c r="C287" i="2"/>
  <c r="L290" i="2"/>
  <c r="A290" i="2"/>
  <c r="S288" i="2"/>
  <c r="O288" i="2"/>
  <c r="E287" i="2"/>
  <c r="C290" i="2"/>
  <c r="B290" i="2"/>
  <c r="N290" i="2"/>
  <c r="Q288" i="2"/>
  <c r="D287" i="2"/>
  <c r="A291" i="2"/>
  <c r="D290" i="2"/>
  <c r="B287" i="2" l="1"/>
  <c r="G290" i="2"/>
  <c r="J294" i="2"/>
  <c r="R288" i="2"/>
  <c r="S290" i="2"/>
  <c r="H289" i="2"/>
  <c r="M292" i="2"/>
  <c r="B292" i="2"/>
  <c r="A293" i="2"/>
  <c r="C292" i="2"/>
  <c r="E292" i="2"/>
  <c r="C289" i="2"/>
  <c r="L292" i="2"/>
  <c r="Q290" i="2"/>
  <c r="O290" i="2"/>
  <c r="D289" i="2"/>
  <c r="H290" i="2"/>
  <c r="N292" i="2"/>
  <c r="A292" i="2"/>
  <c r="E289" i="2"/>
  <c r="P286" i="2"/>
  <c r="D292" i="2"/>
  <c r="F292" i="2"/>
  <c r="G292" i="2" l="1"/>
  <c r="B289" i="2"/>
  <c r="J296" i="2"/>
  <c r="C291" i="2"/>
  <c r="Q292" i="2"/>
  <c r="A295" i="2"/>
  <c r="E294" i="2"/>
  <c r="C294" i="2"/>
  <c r="A294" i="2"/>
  <c r="S292" i="2"/>
  <c r="B294" i="2"/>
  <c r="O292" i="2"/>
  <c r="R290" i="2"/>
  <c r="H291" i="2"/>
  <c r="L294" i="2"/>
  <c r="N294" i="2"/>
  <c r="H292" i="2"/>
  <c r="E291" i="2"/>
  <c r="F294" i="2"/>
  <c r="D294" i="2"/>
  <c r="D291" i="2"/>
  <c r="P288" i="2"/>
  <c r="M294" i="2"/>
  <c r="G294" i="2" l="1"/>
  <c r="B291" i="2"/>
  <c r="J298" i="2"/>
  <c r="D293" i="2"/>
  <c r="H293" i="2"/>
  <c r="M296" i="2"/>
  <c r="F296" i="2"/>
  <c r="N296" i="2"/>
  <c r="C296" i="2"/>
  <c r="D296" i="2"/>
  <c r="S294" i="2"/>
  <c r="A297" i="2"/>
  <c r="A296" i="2"/>
  <c r="O294" i="2"/>
  <c r="C293" i="2"/>
  <c r="E293" i="2"/>
  <c r="B296" i="2"/>
  <c r="H294" i="2"/>
  <c r="Q294" i="2"/>
  <c r="R292" i="2"/>
  <c r="P290" i="2"/>
  <c r="L296" i="2"/>
  <c r="E296" i="2"/>
  <c r="B293" i="2" l="1"/>
  <c r="G296" i="2"/>
  <c r="J300" i="2"/>
  <c r="P292" i="2"/>
  <c r="H295" i="2"/>
  <c r="C298" i="2"/>
  <c r="A299" i="2"/>
  <c r="O296" i="2"/>
  <c r="S296" i="2"/>
  <c r="M298" i="2"/>
  <c r="R294" i="2"/>
  <c r="D295" i="2"/>
  <c r="H296" i="2"/>
  <c r="N298" i="2"/>
  <c r="A298" i="2"/>
  <c r="L298" i="2"/>
  <c r="C295" i="2"/>
  <c r="F298" i="2"/>
  <c r="B298" i="2"/>
  <c r="E295" i="2"/>
  <c r="E298" i="2"/>
  <c r="Q296" i="2"/>
  <c r="D298" i="2"/>
  <c r="G298" i="2" l="1"/>
  <c r="B295" i="2"/>
  <c r="J302" i="2"/>
  <c r="R296" i="2"/>
  <c r="H297" i="2"/>
  <c r="E300" i="2"/>
  <c r="D300" i="2"/>
  <c r="F300" i="2"/>
  <c r="E297" i="2"/>
  <c r="A300" i="2"/>
  <c r="A301" i="2"/>
  <c r="M300" i="2"/>
  <c r="S298" i="2"/>
  <c r="C300" i="2"/>
  <c r="P294" i="2"/>
  <c r="C297" i="2"/>
  <c r="N300" i="2"/>
  <c r="B300" i="2"/>
  <c r="Q298" i="2"/>
  <c r="H298" i="2"/>
  <c r="O298" i="2"/>
  <c r="D297" i="2"/>
  <c r="L300" i="2"/>
  <c r="B297" i="2" l="1"/>
  <c r="G300" i="2"/>
  <c r="J304" i="2"/>
  <c r="C299" i="2"/>
  <c r="Q300" i="2"/>
  <c r="H299" i="2"/>
  <c r="A303" i="2"/>
  <c r="E302" i="2"/>
  <c r="D299" i="2"/>
  <c r="O300" i="2"/>
  <c r="E299" i="2"/>
  <c r="L302" i="2"/>
  <c r="A302" i="2"/>
  <c r="N302" i="2"/>
  <c r="R298" i="2"/>
  <c r="H300" i="2"/>
  <c r="F302" i="2"/>
  <c r="M302" i="2"/>
  <c r="D302" i="2"/>
  <c r="S300" i="2"/>
  <c r="P296" i="2"/>
  <c r="B302" i="2"/>
  <c r="C302" i="2"/>
  <c r="G302" i="2" l="1"/>
  <c r="B299" i="2"/>
  <c r="J306" i="2"/>
  <c r="S302" i="2"/>
  <c r="D301" i="2"/>
  <c r="M304" i="2"/>
  <c r="F304" i="2"/>
  <c r="A304" i="2"/>
  <c r="Q302" i="2"/>
  <c r="P298" i="2"/>
  <c r="C301" i="2"/>
  <c r="C304" i="2"/>
  <c r="B304" i="2"/>
  <c r="H301" i="2"/>
  <c r="O302" i="2"/>
  <c r="R300" i="2"/>
  <c r="A305" i="2"/>
  <c r="N304" i="2"/>
  <c r="E304" i="2"/>
  <c r="E301" i="2"/>
  <c r="H302" i="2"/>
  <c r="L304" i="2"/>
  <c r="D304" i="2"/>
  <c r="B301" i="2" l="1"/>
  <c r="G304" i="2"/>
  <c r="J308" i="2"/>
  <c r="H304" i="2"/>
  <c r="C303" i="2"/>
  <c r="R302" i="2"/>
  <c r="C306" i="2"/>
  <c r="B306" i="2"/>
  <c r="P300" i="2"/>
  <c r="E303" i="2"/>
  <c r="D306" i="2"/>
  <c r="F306" i="2"/>
  <c r="O304" i="2"/>
  <c r="Q304" i="2"/>
  <c r="N306" i="2"/>
  <c r="E306" i="2"/>
  <c r="A306" i="2"/>
  <c r="S304" i="2"/>
  <c r="A307" i="2"/>
  <c r="D303" i="2"/>
  <c r="H303" i="2"/>
  <c r="M306" i="2"/>
  <c r="L306" i="2"/>
  <c r="G306" i="2" l="1"/>
  <c r="B303" i="2"/>
  <c r="J310" i="2"/>
  <c r="H305" i="2"/>
  <c r="R304" i="2"/>
  <c r="Q306" i="2"/>
  <c r="E308" i="2"/>
  <c r="D308" i="2"/>
  <c r="A309" i="2"/>
  <c r="M308" i="2"/>
  <c r="E305" i="2"/>
  <c r="C305" i="2"/>
  <c r="S306" i="2"/>
  <c r="A308" i="2"/>
  <c r="F308" i="2"/>
  <c r="L308" i="2"/>
  <c r="B308" i="2"/>
  <c r="H306" i="2"/>
  <c r="D305" i="2"/>
  <c r="P302" i="2"/>
  <c r="O306" i="2"/>
  <c r="N308" i="2"/>
  <c r="C308" i="2"/>
  <c r="G308" i="2" l="1"/>
  <c r="B305" i="2"/>
  <c r="J312" i="2"/>
  <c r="O308" i="2"/>
  <c r="S308" i="2"/>
  <c r="E307" i="2"/>
  <c r="A311" i="2"/>
  <c r="E310" i="2"/>
  <c r="M310" i="2"/>
  <c r="H308" i="2"/>
  <c r="Q308" i="2"/>
  <c r="L310" i="2"/>
  <c r="A310" i="2"/>
  <c r="C310" i="2"/>
  <c r="C307" i="2"/>
  <c r="R306" i="2"/>
  <c r="F310" i="2"/>
  <c r="N310" i="2"/>
  <c r="D307" i="2"/>
  <c r="H307" i="2"/>
  <c r="P304" i="2"/>
  <c r="B310" i="2"/>
  <c r="D310" i="2"/>
  <c r="G310" i="2" l="1"/>
  <c r="B307" i="2"/>
  <c r="J314" i="2"/>
  <c r="S310" i="2"/>
  <c r="E309" i="2"/>
  <c r="M312" i="2"/>
  <c r="F312" i="2"/>
  <c r="N312" i="2"/>
  <c r="Q310" i="2"/>
  <c r="P306" i="2"/>
  <c r="H309" i="2"/>
  <c r="C312" i="2"/>
  <c r="B312" i="2"/>
  <c r="D312" i="2"/>
  <c r="O310" i="2"/>
  <c r="D309" i="2"/>
  <c r="A313" i="2"/>
  <c r="A312" i="2"/>
  <c r="H310" i="2"/>
  <c r="R308" i="2"/>
  <c r="C309" i="2"/>
  <c r="L312" i="2"/>
  <c r="E312" i="2"/>
  <c r="B309" i="2" l="1"/>
  <c r="G312" i="2"/>
  <c r="J316" i="2"/>
  <c r="Q312" i="2"/>
  <c r="O312" i="2"/>
  <c r="C314" i="2"/>
  <c r="A315" i="2"/>
  <c r="C311" i="2"/>
  <c r="H311" i="2"/>
  <c r="M314" i="2"/>
  <c r="P308" i="2"/>
  <c r="S312" i="2"/>
  <c r="N314" i="2"/>
  <c r="A314" i="2"/>
  <c r="L314" i="2"/>
  <c r="D311" i="2"/>
  <c r="R310" i="2"/>
  <c r="E311" i="2"/>
  <c r="D314" i="2"/>
  <c r="F314" i="2"/>
  <c r="B314" i="2"/>
  <c r="H312" i="2"/>
  <c r="E314" i="2"/>
  <c r="G314" i="2" l="1"/>
  <c r="B311" i="2"/>
  <c r="J318" i="2"/>
  <c r="Q314" i="2"/>
  <c r="H314" i="2"/>
  <c r="E316" i="2"/>
  <c r="D316" i="2"/>
  <c r="F316" i="2"/>
  <c r="H313" i="2"/>
  <c r="C313" i="2"/>
  <c r="C316" i="2"/>
  <c r="E313" i="2"/>
  <c r="R312" i="2"/>
  <c r="B316" i="2"/>
  <c r="S314" i="2"/>
  <c r="O314" i="2"/>
  <c r="D313" i="2"/>
  <c r="A316" i="2"/>
  <c r="A317" i="2"/>
  <c r="M316" i="2"/>
  <c r="L316" i="2"/>
  <c r="P310" i="2"/>
  <c r="N316" i="2"/>
  <c r="B313" i="2" l="1"/>
  <c r="G316" i="2"/>
  <c r="J320" i="2"/>
  <c r="O316" i="2"/>
  <c r="H315" i="2"/>
  <c r="P312" i="2"/>
  <c r="A319" i="2"/>
  <c r="E318" i="2"/>
  <c r="E315" i="2"/>
  <c r="L318" i="2"/>
  <c r="A318" i="2"/>
  <c r="N318" i="2"/>
  <c r="C315" i="2"/>
  <c r="D315" i="2"/>
  <c r="R314" i="2"/>
  <c r="B318" i="2"/>
  <c r="C318" i="2"/>
  <c r="H316" i="2"/>
  <c r="S316" i="2"/>
  <c r="F318" i="2"/>
  <c r="M318" i="2"/>
  <c r="D318" i="2"/>
  <c r="Q316" i="2"/>
  <c r="G318" i="2" l="1"/>
  <c r="B315" i="2"/>
  <c r="J322" i="2"/>
  <c r="R316" i="2"/>
  <c r="S318" i="2"/>
  <c r="O318" i="2"/>
  <c r="M320" i="2"/>
  <c r="F320" i="2"/>
  <c r="A320" i="2"/>
  <c r="H318" i="2"/>
  <c r="B320" i="2"/>
  <c r="H317" i="2"/>
  <c r="D317" i="2"/>
  <c r="N320" i="2"/>
  <c r="E317" i="2"/>
  <c r="C317" i="2"/>
  <c r="L320" i="2"/>
  <c r="Q318" i="2"/>
  <c r="C320" i="2"/>
  <c r="P314" i="2"/>
  <c r="A321" i="2"/>
  <c r="E320" i="2"/>
  <c r="D320" i="2"/>
  <c r="B317" i="2" l="1"/>
  <c r="G320" i="2"/>
  <c r="J324" i="2"/>
  <c r="R318" i="2"/>
  <c r="Q320" i="2"/>
  <c r="C319" i="2"/>
  <c r="C322" i="2"/>
  <c r="E322" i="2"/>
  <c r="A323" i="2"/>
  <c r="B322" i="2"/>
  <c r="D319" i="2"/>
  <c r="M322" i="2"/>
  <c r="F322" i="2"/>
  <c r="S320" i="2"/>
  <c r="E319" i="2"/>
  <c r="N322" i="2"/>
  <c r="O320" i="2"/>
  <c r="H320" i="2"/>
  <c r="H319" i="2"/>
  <c r="D322" i="2"/>
  <c r="L322" i="2"/>
  <c r="A322" i="2"/>
  <c r="P316" i="2"/>
  <c r="G322" i="2" l="1"/>
  <c r="B319" i="2"/>
  <c r="J326" i="2"/>
  <c r="C321" i="2"/>
  <c r="H321" i="2"/>
  <c r="S322" i="2"/>
  <c r="E324" i="2"/>
  <c r="D324" i="2"/>
  <c r="F324" i="2"/>
  <c r="D321" i="2"/>
  <c r="E321" i="2"/>
  <c r="A324" i="2"/>
  <c r="M324" i="2"/>
  <c r="A325" i="2"/>
  <c r="H322" i="2"/>
  <c r="R320" i="2"/>
  <c r="C324" i="2"/>
  <c r="B324" i="2"/>
  <c r="O322" i="2"/>
  <c r="Q322" i="2"/>
  <c r="P318" i="2"/>
  <c r="N324" i="2"/>
  <c r="L324" i="2"/>
  <c r="G324" i="2" l="1"/>
  <c r="B321" i="2"/>
  <c r="J328" i="2"/>
  <c r="O324" i="2"/>
  <c r="D323" i="2"/>
  <c r="A327" i="2"/>
  <c r="E326" i="2"/>
  <c r="D326" i="2"/>
  <c r="L326" i="2"/>
  <c r="C326" i="2"/>
  <c r="Q324" i="2"/>
  <c r="C323" i="2"/>
  <c r="H324" i="2"/>
  <c r="S324" i="2"/>
  <c r="H323" i="2"/>
  <c r="A326" i="2"/>
  <c r="R322" i="2"/>
  <c r="E323" i="2"/>
  <c r="F326" i="2"/>
  <c r="M326" i="2"/>
  <c r="P320" i="2"/>
  <c r="B326" i="2"/>
  <c r="N326" i="2"/>
  <c r="G326" i="2" l="1"/>
  <c r="B323" i="2"/>
  <c r="J330" i="2"/>
  <c r="O326" i="2"/>
  <c r="M328" i="2"/>
  <c r="F328" i="2"/>
  <c r="D325" i="2"/>
  <c r="E328" i="2"/>
  <c r="Q326" i="2"/>
  <c r="H326" i="2"/>
  <c r="P322" i="2"/>
  <c r="R324" i="2"/>
  <c r="C328" i="2"/>
  <c r="B328" i="2"/>
  <c r="N328" i="2"/>
  <c r="S326" i="2"/>
  <c r="H325" i="2"/>
  <c r="A329" i="2"/>
  <c r="D328" i="2"/>
  <c r="E325" i="2"/>
  <c r="C325" i="2"/>
  <c r="L328" i="2"/>
  <c r="A328" i="2"/>
  <c r="B325" i="2" l="1"/>
  <c r="G328" i="2"/>
  <c r="J332" i="2"/>
  <c r="H328" i="2"/>
  <c r="R326" i="2"/>
  <c r="C330" i="2"/>
  <c r="B330" i="2"/>
  <c r="A331" i="2"/>
  <c r="H327" i="2"/>
  <c r="D327" i="2"/>
  <c r="D330" i="2"/>
  <c r="L330" i="2"/>
  <c r="A330" i="2"/>
  <c r="O328" i="2"/>
  <c r="P324" i="2"/>
  <c r="C327" i="2"/>
  <c r="M330" i="2"/>
  <c r="F330" i="2"/>
  <c r="E327" i="2"/>
  <c r="Q328" i="2"/>
  <c r="N330" i="2"/>
  <c r="E330" i="2"/>
  <c r="S328" i="2"/>
  <c r="G330" i="2" l="1"/>
  <c r="B327" i="2"/>
  <c r="J334" i="2"/>
  <c r="H329" i="2"/>
  <c r="R328" i="2"/>
  <c r="C329" i="2"/>
  <c r="E332" i="2"/>
  <c r="D332" i="2"/>
  <c r="B332" i="2"/>
  <c r="A332" i="2"/>
  <c r="M332" i="2"/>
  <c r="L332" i="2"/>
  <c r="P326" i="2"/>
  <c r="E329" i="2"/>
  <c r="Q330" i="2"/>
  <c r="S330" i="2"/>
  <c r="C332" i="2"/>
  <c r="F332" i="2"/>
  <c r="D329" i="2"/>
  <c r="N332" i="2"/>
  <c r="A333" i="2"/>
  <c r="H330" i="2"/>
  <c r="O330" i="2"/>
  <c r="G332" i="2" l="1"/>
  <c r="B329" i="2"/>
  <c r="J336" i="2"/>
  <c r="C331" i="2"/>
  <c r="S332" i="2"/>
  <c r="A335" i="2"/>
  <c r="E334" i="2"/>
  <c r="D334" i="2"/>
  <c r="D331" i="2"/>
  <c r="H331" i="2"/>
  <c r="Q332" i="2"/>
  <c r="L334" i="2"/>
  <c r="A334" i="2"/>
  <c r="M334" i="2"/>
  <c r="O332" i="2"/>
  <c r="E331" i="2"/>
  <c r="F334" i="2"/>
  <c r="C334" i="2"/>
  <c r="H332" i="2"/>
  <c r="R330" i="2"/>
  <c r="P328" i="2"/>
  <c r="B334" i="2"/>
  <c r="N334" i="2"/>
  <c r="G334" i="2" l="1"/>
  <c r="B331" i="2"/>
  <c r="J338" i="2"/>
  <c r="O334" i="2"/>
  <c r="P330" i="2"/>
  <c r="R332" i="2"/>
  <c r="C336" i="2"/>
  <c r="E336" i="2"/>
  <c r="H333" i="2"/>
  <c r="N336" i="2"/>
  <c r="A336" i="2"/>
  <c r="S334" i="2"/>
  <c r="E333" i="2"/>
  <c r="F336" i="2"/>
  <c r="D336" i="2"/>
  <c r="C333" i="2"/>
  <c r="L336" i="2"/>
  <c r="B336" i="2"/>
  <c r="H334" i="2"/>
  <c r="M336" i="2"/>
  <c r="D333" i="2"/>
  <c r="A337" i="2"/>
  <c r="Q334" i="2"/>
  <c r="B333" i="2" l="1"/>
  <c r="G336" i="2"/>
  <c r="J340" i="2"/>
  <c r="R334" i="2"/>
  <c r="H336" i="2"/>
  <c r="C338" i="2"/>
  <c r="B338" i="2"/>
  <c r="F338" i="2"/>
  <c r="S336" i="2"/>
  <c r="A339" i="2"/>
  <c r="O336" i="2"/>
  <c r="C335" i="2"/>
  <c r="E338" i="2"/>
  <c r="Q336" i="2"/>
  <c r="E335" i="2"/>
  <c r="P332" i="2"/>
  <c r="N338" i="2"/>
  <c r="L338" i="2"/>
  <c r="H335" i="2"/>
  <c r="D335" i="2"/>
  <c r="D338" i="2"/>
  <c r="A338" i="2"/>
  <c r="M338" i="2"/>
  <c r="B335" i="2" l="1"/>
  <c r="G338" i="2"/>
  <c r="J342" i="2"/>
  <c r="O338" i="2"/>
  <c r="D337" i="2"/>
  <c r="A341" i="2"/>
  <c r="E340" i="2"/>
  <c r="D340" i="2"/>
  <c r="L340" i="2"/>
  <c r="M340" i="2"/>
  <c r="F340" i="2"/>
  <c r="E337" i="2"/>
  <c r="B340" i="2"/>
  <c r="H338" i="2"/>
  <c r="C337" i="2"/>
  <c r="S338" i="2"/>
  <c r="A340" i="2"/>
  <c r="P334" i="2"/>
  <c r="R336" i="2"/>
  <c r="H337" i="2"/>
  <c r="Q338" i="2"/>
  <c r="C340" i="2"/>
  <c r="N340" i="2"/>
  <c r="B337" i="2" l="1"/>
  <c r="G340" i="2"/>
  <c r="J344" i="2"/>
  <c r="O340" i="2"/>
  <c r="H339" i="2"/>
  <c r="Q340" i="2"/>
  <c r="M342" i="2"/>
  <c r="F342" i="2"/>
  <c r="D342" i="2"/>
  <c r="E339" i="2"/>
  <c r="C342" i="2"/>
  <c r="B342" i="2"/>
  <c r="R338" i="2"/>
  <c r="D339" i="2"/>
  <c r="A343" i="2"/>
  <c r="E342" i="2"/>
  <c r="N342" i="2"/>
  <c r="S340" i="2"/>
  <c r="C339" i="2"/>
  <c r="A342" i="2"/>
  <c r="H340" i="2"/>
  <c r="P336" i="2"/>
  <c r="L342" i="2"/>
  <c r="B339" i="2" l="1"/>
  <c r="G342" i="2"/>
  <c r="J346" i="2"/>
  <c r="H342" i="2"/>
  <c r="C344" i="2"/>
  <c r="B344" i="2"/>
  <c r="D341" i="2"/>
  <c r="D344" i="2"/>
  <c r="L344" i="2"/>
  <c r="E344" i="2"/>
  <c r="O342" i="2"/>
  <c r="C341" i="2"/>
  <c r="M344" i="2"/>
  <c r="E341" i="2"/>
  <c r="P338" i="2"/>
  <c r="R340" i="2"/>
  <c r="N344" i="2"/>
  <c r="A345" i="2"/>
  <c r="A344" i="2"/>
  <c r="H341" i="2"/>
  <c r="Q342" i="2"/>
  <c r="S342" i="2"/>
  <c r="F344" i="2"/>
  <c r="G344" i="2" l="1"/>
  <c r="B341" i="2"/>
  <c r="J348" i="2"/>
  <c r="H344" i="2"/>
  <c r="D343" i="2"/>
  <c r="E346" i="2"/>
  <c r="D346" i="2"/>
  <c r="F346" i="2"/>
  <c r="H343" i="2"/>
  <c r="O344" i="2"/>
  <c r="C343" i="2"/>
  <c r="A346" i="2"/>
  <c r="M346" i="2"/>
  <c r="A347" i="2"/>
  <c r="R342" i="2"/>
  <c r="S344" i="2"/>
  <c r="N346" i="2"/>
  <c r="L346" i="2"/>
  <c r="E343" i="2"/>
  <c r="P340" i="2"/>
  <c r="Q344" i="2"/>
  <c r="C346" i="2"/>
  <c r="B346" i="2"/>
  <c r="B343" i="2" l="1"/>
  <c r="G346" i="2"/>
  <c r="J350" i="2"/>
  <c r="S346" i="2"/>
  <c r="H346" i="2"/>
  <c r="A349" i="2"/>
  <c r="E348" i="2"/>
  <c r="D348" i="2"/>
  <c r="D345" i="2"/>
  <c r="P342" i="2"/>
  <c r="B348" i="2"/>
  <c r="N348" i="2"/>
  <c r="Q346" i="2"/>
  <c r="H345" i="2"/>
  <c r="C345" i="2"/>
  <c r="L348" i="2"/>
  <c r="A348" i="2"/>
  <c r="C348" i="2"/>
  <c r="R344" i="2"/>
  <c r="E345" i="2"/>
  <c r="F348" i="2"/>
  <c r="M348" i="2"/>
  <c r="O346" i="2"/>
  <c r="G348" i="2" l="1"/>
  <c r="B345" i="2"/>
  <c r="J352" i="2"/>
  <c r="D347" i="2"/>
  <c r="S348" i="2"/>
  <c r="M350" i="2"/>
  <c r="F350" i="2"/>
  <c r="N350" i="2"/>
  <c r="C347" i="2"/>
  <c r="R346" i="2"/>
  <c r="Q348" i="2"/>
  <c r="C350" i="2"/>
  <c r="B350" i="2"/>
  <c r="D350" i="2"/>
  <c r="O348" i="2"/>
  <c r="H347" i="2"/>
  <c r="A351" i="2"/>
  <c r="E350" i="2"/>
  <c r="P344" i="2"/>
  <c r="H348" i="2"/>
  <c r="E347" i="2"/>
  <c r="L350" i="2"/>
  <c r="A350" i="2"/>
  <c r="B347" i="2" l="1"/>
  <c r="G350" i="2"/>
  <c r="J354" i="2"/>
  <c r="D349" i="2"/>
  <c r="R348" i="2"/>
  <c r="H350" i="2"/>
  <c r="C352" i="2"/>
  <c r="B352" i="2"/>
  <c r="C349" i="2"/>
  <c r="P346" i="2"/>
  <c r="N352" i="2"/>
  <c r="A353" i="2"/>
  <c r="E352" i="2"/>
  <c r="Q350" i="2"/>
  <c r="E349" i="2"/>
  <c r="D352" i="2"/>
  <c r="L352" i="2"/>
  <c r="A352" i="2"/>
  <c r="S350" i="2"/>
  <c r="O350" i="2"/>
  <c r="H349" i="2"/>
  <c r="M352" i="2"/>
  <c r="F352" i="2"/>
  <c r="G352" i="2" l="1"/>
  <c r="B349" i="2"/>
  <c r="J356" i="2"/>
  <c r="E351" i="2"/>
  <c r="E354" i="2"/>
  <c r="D354" i="2"/>
  <c r="F354" i="2"/>
  <c r="D351" i="2"/>
  <c r="R350" i="2"/>
  <c r="Q352" i="2"/>
  <c r="A354" i="2"/>
  <c r="M354" i="2"/>
  <c r="A355" i="2"/>
  <c r="C351" i="2"/>
  <c r="H352" i="2"/>
  <c r="S352" i="2"/>
  <c r="C354" i="2"/>
  <c r="B354" i="2"/>
  <c r="H351" i="2"/>
  <c r="P348" i="2"/>
  <c r="N354" i="2"/>
  <c r="L354" i="2"/>
  <c r="O352" i="2"/>
  <c r="B351" i="2" l="1"/>
  <c r="G354" i="2"/>
  <c r="J358" i="2"/>
  <c r="C353" i="2"/>
  <c r="S354" i="2"/>
  <c r="A357" i="2"/>
  <c r="E356" i="2"/>
  <c r="D356" i="2"/>
  <c r="R352" i="2"/>
  <c r="L356" i="2"/>
  <c r="C356" i="2"/>
  <c r="O354" i="2"/>
  <c r="P350" i="2"/>
  <c r="M356" i="2"/>
  <c r="E353" i="2"/>
  <c r="N356" i="2"/>
  <c r="D353" i="2"/>
  <c r="Q354" i="2"/>
  <c r="A356" i="2"/>
  <c r="H353" i="2"/>
  <c r="F356" i="2"/>
  <c r="H354" i="2"/>
  <c r="B356" i="2"/>
  <c r="G356" i="2" l="1"/>
  <c r="B353" i="2"/>
  <c r="J360" i="2"/>
  <c r="S356" i="2"/>
  <c r="O356" i="2"/>
  <c r="P352" i="2"/>
  <c r="M358" i="2"/>
  <c r="F358" i="2"/>
  <c r="Q356" i="2"/>
  <c r="H356" i="2"/>
  <c r="C358" i="2"/>
  <c r="B358" i="2"/>
  <c r="N358" i="2"/>
  <c r="E355" i="2"/>
  <c r="E358" i="2"/>
  <c r="R354" i="2"/>
  <c r="C355" i="2"/>
  <c r="L358" i="2"/>
  <c r="A358" i="2"/>
  <c r="H355" i="2"/>
  <c r="D355" i="2"/>
  <c r="A359" i="2"/>
  <c r="D358" i="2"/>
  <c r="B355" i="2" l="1"/>
  <c r="G358" i="2"/>
  <c r="J362" i="2"/>
  <c r="Q358" i="2"/>
  <c r="D357" i="2"/>
  <c r="C360" i="2"/>
  <c r="B360" i="2"/>
  <c r="F360" i="2"/>
  <c r="P354" i="2"/>
  <c r="S358" i="2"/>
  <c r="C357" i="2"/>
  <c r="N360" i="2"/>
  <c r="A361" i="2"/>
  <c r="E360" i="2"/>
  <c r="H357" i="2"/>
  <c r="O358" i="2"/>
  <c r="R356" i="2"/>
  <c r="E357" i="2"/>
  <c r="D360" i="2"/>
  <c r="L360" i="2"/>
  <c r="A360" i="2"/>
  <c r="H358" i="2"/>
  <c r="M360" i="2"/>
  <c r="B357" i="2" l="1"/>
  <c r="G360" i="2"/>
  <c r="J364" i="2"/>
  <c r="P356" i="2"/>
  <c r="O360" i="2"/>
  <c r="E362" i="2"/>
  <c r="D362" i="2"/>
  <c r="B362" i="2"/>
  <c r="A362" i="2"/>
  <c r="M362" i="2"/>
  <c r="L362" i="2"/>
  <c r="C362" i="2"/>
  <c r="H360" i="2"/>
  <c r="D359" i="2"/>
  <c r="Q360" i="2"/>
  <c r="C359" i="2"/>
  <c r="H359" i="2"/>
  <c r="S360" i="2"/>
  <c r="F362" i="2"/>
  <c r="E359" i="2"/>
  <c r="R358" i="2"/>
  <c r="N362" i="2"/>
  <c r="A363" i="2"/>
  <c r="G362" i="2" l="1"/>
  <c r="B359" i="2"/>
  <c r="J366" i="2"/>
  <c r="O362" i="2"/>
  <c r="H361" i="2"/>
  <c r="S362" i="2"/>
  <c r="A365" i="2"/>
  <c r="E364" i="2"/>
  <c r="D364" i="2"/>
  <c r="Q362" i="2"/>
  <c r="R360" i="2"/>
  <c r="B364" i="2"/>
  <c r="H362" i="2"/>
  <c r="E361" i="2"/>
  <c r="L364" i="2"/>
  <c r="A364" i="2"/>
  <c r="M364" i="2"/>
  <c r="P358" i="2"/>
  <c r="C361" i="2"/>
  <c r="F364" i="2"/>
  <c r="C364" i="2"/>
  <c r="D361" i="2"/>
  <c r="N364" i="2"/>
  <c r="G364" i="2" l="1"/>
  <c r="B361" i="2"/>
  <c r="J368" i="2"/>
  <c r="O364" i="2"/>
  <c r="S364" i="2"/>
  <c r="H363" i="2"/>
  <c r="M366" i="2"/>
  <c r="F366" i="2"/>
  <c r="D366" i="2"/>
  <c r="H364" i="2"/>
  <c r="Q364" i="2"/>
  <c r="E363" i="2"/>
  <c r="C366" i="2"/>
  <c r="B366" i="2"/>
  <c r="P360" i="2"/>
  <c r="D363" i="2"/>
  <c r="A367" i="2"/>
  <c r="E366" i="2"/>
  <c r="N366" i="2"/>
  <c r="R362" i="2"/>
  <c r="C363" i="2"/>
  <c r="L366" i="2"/>
  <c r="A366" i="2"/>
  <c r="B363" i="2" l="1"/>
  <c r="G366" i="2"/>
  <c r="J370" i="2"/>
  <c r="Q366" i="2"/>
  <c r="E365" i="2"/>
  <c r="C368" i="2"/>
  <c r="B368" i="2"/>
  <c r="R364" i="2"/>
  <c r="D365" i="2"/>
  <c r="L368" i="2"/>
  <c r="H366" i="2"/>
  <c r="M368" i="2"/>
  <c r="P362" i="2"/>
  <c r="S366" i="2"/>
  <c r="H365" i="2"/>
  <c r="N368" i="2"/>
  <c r="A369" i="2"/>
  <c r="E368" i="2"/>
  <c r="O366" i="2"/>
  <c r="D368" i="2"/>
  <c r="A368" i="2"/>
  <c r="C365" i="2"/>
  <c r="F368" i="2"/>
  <c r="G368" i="2" l="1"/>
  <c r="B365" i="2"/>
  <c r="J372" i="2"/>
  <c r="H368" i="2"/>
  <c r="P364" i="2"/>
  <c r="E370" i="2"/>
  <c r="D370" i="2"/>
  <c r="A371" i="2"/>
  <c r="C367" i="2"/>
  <c r="N370" i="2"/>
  <c r="O368" i="2"/>
  <c r="Q368" i="2"/>
  <c r="A370" i="2"/>
  <c r="M370" i="2"/>
  <c r="B370" i="2"/>
  <c r="L370" i="2"/>
  <c r="E367" i="2"/>
  <c r="D367" i="2"/>
  <c r="H367" i="2"/>
  <c r="S368" i="2"/>
  <c r="C370" i="2"/>
  <c r="R366" i="2"/>
  <c r="F370" i="2"/>
  <c r="G370" i="2" l="1"/>
  <c r="B367" i="2"/>
  <c r="J374" i="2"/>
  <c r="S370" i="2"/>
  <c r="D369" i="2"/>
  <c r="A373" i="2"/>
  <c r="E372" i="2"/>
  <c r="D372" i="2"/>
  <c r="A372" i="2"/>
  <c r="H369" i="2"/>
  <c r="H370" i="2"/>
  <c r="E369" i="2"/>
  <c r="P366" i="2"/>
  <c r="Q370" i="2"/>
  <c r="O370" i="2"/>
  <c r="L372" i="2"/>
  <c r="M372" i="2"/>
  <c r="R368" i="2"/>
  <c r="F372" i="2"/>
  <c r="C372" i="2"/>
  <c r="C369" i="2"/>
  <c r="B372" i="2"/>
  <c r="N372" i="2"/>
  <c r="B369" i="2" l="1"/>
  <c r="G372" i="2"/>
  <c r="J376" i="2"/>
  <c r="O372" i="2"/>
  <c r="C371" i="2"/>
  <c r="M374" i="2"/>
  <c r="F374" i="2"/>
  <c r="D374" i="2"/>
  <c r="R370" i="2"/>
  <c r="C374" i="2"/>
  <c r="S372" i="2"/>
  <c r="H371" i="2"/>
  <c r="A375" i="2"/>
  <c r="E374" i="2"/>
  <c r="Q372" i="2"/>
  <c r="A374" i="2"/>
  <c r="H372" i="2"/>
  <c r="B374" i="2"/>
  <c r="P368" i="2"/>
  <c r="N374" i="2"/>
  <c r="D371" i="2"/>
  <c r="E371" i="2"/>
  <c r="L374" i="2"/>
  <c r="G374" i="2" l="1"/>
  <c r="B371" i="2"/>
  <c r="J378" i="2"/>
  <c r="O374" i="2"/>
  <c r="R372" i="2"/>
  <c r="C376" i="2"/>
  <c r="B376" i="2"/>
  <c r="H374" i="2"/>
  <c r="N376" i="2"/>
  <c r="A377" i="2"/>
  <c r="A376" i="2"/>
  <c r="Q374" i="2"/>
  <c r="S374" i="2"/>
  <c r="M376" i="2"/>
  <c r="E373" i="2"/>
  <c r="H373" i="2"/>
  <c r="D373" i="2"/>
  <c r="D376" i="2"/>
  <c r="L376" i="2"/>
  <c r="E376" i="2"/>
  <c r="P370" i="2"/>
  <c r="C373" i="2"/>
  <c r="F376" i="2"/>
  <c r="G376" i="2" l="1"/>
  <c r="B373" i="2"/>
  <c r="J380" i="2"/>
  <c r="R374" i="2"/>
  <c r="S376" i="2"/>
  <c r="E378" i="2"/>
  <c r="D378" i="2"/>
  <c r="F378" i="2"/>
  <c r="H376" i="2"/>
  <c r="P372" i="2"/>
  <c r="A378" i="2"/>
  <c r="M378" i="2"/>
  <c r="A379" i="2"/>
  <c r="H375" i="2"/>
  <c r="O376" i="2"/>
  <c r="D375" i="2"/>
  <c r="C378" i="2"/>
  <c r="B378" i="2"/>
  <c r="Q376" i="2"/>
  <c r="L378" i="2"/>
  <c r="E375" i="2"/>
  <c r="C375" i="2"/>
  <c r="N378" i="2"/>
  <c r="B375" i="2" l="1"/>
  <c r="G378" i="2"/>
  <c r="J382" i="2"/>
  <c r="O378" i="2"/>
  <c r="S378" i="2"/>
  <c r="A381" i="2"/>
  <c r="E380" i="2"/>
  <c r="D380" i="2"/>
  <c r="H377" i="2"/>
  <c r="L380" i="2"/>
  <c r="C380" i="2"/>
  <c r="C377" i="2"/>
  <c r="E377" i="2"/>
  <c r="F380" i="2"/>
  <c r="M380" i="2"/>
  <c r="D377" i="2"/>
  <c r="B380" i="2"/>
  <c r="N380" i="2"/>
  <c r="H378" i="2"/>
  <c r="Q378" i="2"/>
  <c r="A380" i="2"/>
  <c r="R376" i="2"/>
  <c r="P374" i="2"/>
  <c r="G380" i="2" l="1"/>
  <c r="B377" i="2"/>
  <c r="J384" i="2"/>
  <c r="P376" i="2"/>
  <c r="S380" i="2"/>
  <c r="H379" i="2"/>
  <c r="M382" i="2"/>
  <c r="F382" i="2"/>
  <c r="N382" i="2"/>
  <c r="Q380" i="2"/>
  <c r="D379" i="2"/>
  <c r="H380" i="2"/>
  <c r="R378" i="2"/>
  <c r="E379" i="2"/>
  <c r="C382" i="2"/>
  <c r="B382" i="2"/>
  <c r="D382" i="2"/>
  <c r="A383" i="2"/>
  <c r="C379" i="2"/>
  <c r="L382" i="2"/>
  <c r="A382" i="2"/>
  <c r="O380" i="2"/>
  <c r="E382" i="2"/>
  <c r="B379" i="2" l="1"/>
  <c r="G382" i="2"/>
  <c r="J386" i="2"/>
  <c r="D381" i="2"/>
  <c r="S382" i="2"/>
  <c r="H382" i="2"/>
  <c r="C384" i="2"/>
  <c r="B384" i="2"/>
  <c r="L384" i="2"/>
  <c r="Q382" i="2"/>
  <c r="C381" i="2"/>
  <c r="P378" i="2"/>
  <c r="N384" i="2"/>
  <c r="A385" i="2"/>
  <c r="E384" i="2"/>
  <c r="E381" i="2"/>
  <c r="A384" i="2"/>
  <c r="R380" i="2"/>
  <c r="D384" i="2"/>
  <c r="O382" i="2"/>
  <c r="H381" i="2"/>
  <c r="M384" i="2"/>
  <c r="F384" i="2"/>
  <c r="G384" i="2" l="1"/>
  <c r="B381" i="2"/>
  <c r="J388" i="2"/>
  <c r="H384" i="2"/>
  <c r="Q384" i="2"/>
  <c r="E386" i="2"/>
  <c r="D386" i="2"/>
  <c r="F386" i="2"/>
  <c r="H383" i="2"/>
  <c r="C386" i="2"/>
  <c r="B386" i="2"/>
  <c r="R382" i="2"/>
  <c r="E383" i="2"/>
  <c r="L386" i="2"/>
  <c r="D383" i="2"/>
  <c r="O384" i="2"/>
  <c r="S384" i="2"/>
  <c r="A386" i="2"/>
  <c r="M386" i="2"/>
  <c r="A387" i="2"/>
  <c r="C383" i="2"/>
  <c r="P380" i="2"/>
  <c r="N386" i="2"/>
  <c r="B383" i="2" l="1"/>
  <c r="G386" i="2"/>
  <c r="J390" i="2"/>
  <c r="O386" i="2"/>
  <c r="E385" i="2"/>
  <c r="S386" i="2"/>
  <c r="A389" i="2"/>
  <c r="E388" i="2"/>
  <c r="D388" i="2"/>
  <c r="L388" i="2"/>
  <c r="A388" i="2"/>
  <c r="C388" i="2"/>
  <c r="F388" i="2"/>
  <c r="H385" i="2"/>
  <c r="R384" i="2"/>
  <c r="N388" i="2"/>
  <c r="H386" i="2"/>
  <c r="C385" i="2"/>
  <c r="Q386" i="2"/>
  <c r="D385" i="2"/>
  <c r="M388" i="2"/>
  <c r="P382" i="2"/>
  <c r="B388" i="2"/>
  <c r="B385" i="2" l="1"/>
  <c r="G388" i="2"/>
  <c r="J392" i="2"/>
  <c r="S388" i="2"/>
  <c r="O388" i="2"/>
  <c r="H387" i="2"/>
  <c r="A391" i="2"/>
  <c r="F390" i="2"/>
  <c r="N390" i="2"/>
  <c r="E387" i="2"/>
  <c r="M390" i="2"/>
  <c r="B390" i="2"/>
  <c r="C387" i="2"/>
  <c r="L390" i="2"/>
  <c r="A390" i="2"/>
  <c r="Q388" i="2"/>
  <c r="H388" i="2"/>
  <c r="R386" i="2"/>
  <c r="P384" i="2"/>
  <c r="D387" i="2"/>
  <c r="C390" i="2"/>
  <c r="E390" i="2"/>
  <c r="D390" i="2"/>
  <c r="B387" i="2" l="1"/>
  <c r="G390" i="2"/>
  <c r="J394" i="2"/>
  <c r="P386" i="2"/>
  <c r="Q390" i="2"/>
  <c r="D389" i="2"/>
  <c r="L392" i="2"/>
  <c r="N392" i="2"/>
  <c r="R388" i="2"/>
  <c r="O390" i="2"/>
  <c r="C389" i="2"/>
  <c r="M392" i="2"/>
  <c r="F392" i="2"/>
  <c r="D392" i="2"/>
  <c r="H390" i="2"/>
  <c r="C392" i="2"/>
  <c r="B392" i="2"/>
  <c r="A392" i="2"/>
  <c r="S390" i="2"/>
  <c r="H389" i="2"/>
  <c r="A393" i="2"/>
  <c r="E392" i="2"/>
  <c r="E389" i="2"/>
  <c r="G392" i="2" l="1"/>
  <c r="B389" i="2"/>
  <c r="J396" i="2"/>
  <c r="E391" i="2"/>
  <c r="P388" i="2"/>
  <c r="E394" i="2"/>
  <c r="M394" i="2"/>
  <c r="F394" i="2"/>
  <c r="H391" i="2"/>
  <c r="H392" i="2"/>
  <c r="C394" i="2"/>
  <c r="B394" i="2"/>
  <c r="Q392" i="2"/>
  <c r="D391" i="2"/>
  <c r="O392" i="2"/>
  <c r="N394" i="2"/>
  <c r="A394" i="2"/>
  <c r="A395" i="2"/>
  <c r="S392" i="2"/>
  <c r="C391" i="2"/>
  <c r="R390" i="2"/>
  <c r="D394" i="2"/>
  <c r="L394" i="2"/>
  <c r="B391" i="2" l="1"/>
  <c r="G394" i="2"/>
  <c r="J398" i="2"/>
  <c r="P390" i="2"/>
  <c r="O394" i="2"/>
  <c r="R392" i="2"/>
  <c r="A397" i="2"/>
  <c r="E396" i="2"/>
  <c r="D396" i="2"/>
  <c r="S394" i="2"/>
  <c r="L396" i="2"/>
  <c r="A396" i="2"/>
  <c r="M396" i="2"/>
  <c r="E393" i="2"/>
  <c r="H394" i="2"/>
  <c r="C396" i="2"/>
  <c r="H393" i="2"/>
  <c r="D393" i="2"/>
  <c r="Q394" i="2"/>
  <c r="F396" i="2"/>
  <c r="C393" i="2"/>
  <c r="B396" i="2"/>
  <c r="N396" i="2"/>
  <c r="B393" i="2" l="1"/>
  <c r="G396" i="2"/>
  <c r="J400" i="2"/>
  <c r="O396" i="2"/>
  <c r="E395" i="2"/>
  <c r="M398" i="2"/>
  <c r="F398" i="2"/>
  <c r="P392" i="2"/>
  <c r="B398" i="2"/>
  <c r="S396" i="2"/>
  <c r="D395" i="2"/>
  <c r="E398" i="2"/>
  <c r="H395" i="2"/>
  <c r="C395" i="2"/>
  <c r="L398" i="2"/>
  <c r="A398" i="2"/>
  <c r="H396" i="2"/>
  <c r="C398" i="2"/>
  <c r="N398" i="2"/>
  <c r="R394" i="2"/>
  <c r="A399" i="2"/>
  <c r="D398" i="2"/>
  <c r="Q396" i="2"/>
  <c r="B395" i="2" l="1"/>
  <c r="G398" i="2"/>
  <c r="J402" i="2"/>
  <c r="R396" i="2"/>
  <c r="S398" i="2"/>
  <c r="C400" i="2"/>
  <c r="B400" i="2"/>
  <c r="A401" i="2"/>
  <c r="E400" i="2"/>
  <c r="C397" i="2"/>
  <c r="M400" i="2"/>
  <c r="F400" i="2"/>
  <c r="P394" i="2"/>
  <c r="E397" i="2"/>
  <c r="N400" i="2"/>
  <c r="Q398" i="2"/>
  <c r="O398" i="2"/>
  <c r="H397" i="2"/>
  <c r="D397" i="2"/>
  <c r="D400" i="2"/>
  <c r="L400" i="2"/>
  <c r="A400" i="2"/>
  <c r="H398" i="2"/>
  <c r="G400" i="2" l="1"/>
  <c r="B397" i="2"/>
  <c r="J404" i="2"/>
  <c r="D399" i="2"/>
  <c r="O400" i="2"/>
  <c r="S400" i="2"/>
  <c r="E402" i="2"/>
  <c r="D402" i="2"/>
  <c r="B402" i="2"/>
  <c r="H399" i="2"/>
  <c r="M402" i="2"/>
  <c r="L402" i="2"/>
  <c r="Q400" i="2"/>
  <c r="N402" i="2"/>
  <c r="C399" i="2"/>
  <c r="A402" i="2"/>
  <c r="R398" i="2"/>
  <c r="E399" i="2"/>
  <c r="C402" i="2"/>
  <c r="F402" i="2"/>
  <c r="H400" i="2"/>
  <c r="P396" i="2"/>
  <c r="A403" i="2"/>
  <c r="G402" i="2" l="1"/>
  <c r="B399" i="2"/>
  <c r="J406" i="2"/>
  <c r="H402" i="2"/>
  <c r="H401" i="2"/>
  <c r="A405" i="2"/>
  <c r="E404" i="2"/>
  <c r="D404" i="2"/>
  <c r="F404" i="2"/>
  <c r="O402" i="2"/>
  <c r="N404" i="2"/>
  <c r="P398" i="2"/>
  <c r="R400" i="2"/>
  <c r="E401" i="2"/>
  <c r="L404" i="2"/>
  <c r="A404" i="2"/>
  <c r="M404" i="2"/>
  <c r="S402" i="2"/>
  <c r="C404" i="2"/>
  <c r="Q402" i="2"/>
  <c r="C401" i="2"/>
  <c r="D401" i="2"/>
  <c r="B404" i="2"/>
  <c r="B401" i="2" l="1"/>
  <c r="G404" i="2"/>
  <c r="J408" i="2"/>
  <c r="S404" i="2"/>
  <c r="H403" i="2"/>
  <c r="H404" i="2"/>
  <c r="M406" i="2"/>
  <c r="F406" i="2"/>
  <c r="A407" i="2"/>
  <c r="R402" i="2"/>
  <c r="L406" i="2"/>
  <c r="A406" i="2"/>
  <c r="Q404" i="2"/>
  <c r="E403" i="2"/>
  <c r="D403" i="2"/>
  <c r="C406" i="2"/>
  <c r="B406" i="2"/>
  <c r="N406" i="2"/>
  <c r="P400" i="2"/>
  <c r="C403" i="2"/>
  <c r="E406" i="2"/>
  <c r="D406" i="2"/>
  <c r="O404" i="2"/>
  <c r="B403" i="2" l="1"/>
  <c r="G406" i="2"/>
  <c r="J410" i="2"/>
  <c r="D405" i="2"/>
  <c r="H406" i="2"/>
  <c r="P402" i="2"/>
  <c r="C408" i="2"/>
  <c r="B408" i="2"/>
  <c r="A409" i="2"/>
  <c r="H405" i="2"/>
  <c r="C405" i="2"/>
  <c r="Q406" i="2"/>
  <c r="N408" i="2"/>
  <c r="E408" i="2"/>
  <c r="R404" i="2"/>
  <c r="F408" i="2"/>
  <c r="S406" i="2"/>
  <c r="E405" i="2"/>
  <c r="D408" i="2"/>
  <c r="L408" i="2"/>
  <c r="A408" i="2"/>
  <c r="O406" i="2"/>
  <c r="M408" i="2"/>
  <c r="G408" i="2" l="1"/>
  <c r="H408" i="2"/>
  <c r="B405" i="2"/>
  <c r="J412" i="2"/>
  <c r="D407" i="2"/>
  <c r="R406" i="2"/>
  <c r="E410" i="2"/>
  <c r="D410" i="2"/>
  <c r="L410" i="2"/>
  <c r="A410" i="2"/>
  <c r="M410" i="2"/>
  <c r="C410" i="2"/>
  <c r="C407" i="2"/>
  <c r="P404" i="2"/>
  <c r="F410" i="2"/>
  <c r="H407" i="2"/>
  <c r="Q408" i="2"/>
  <c r="B410" i="2"/>
  <c r="E407" i="2"/>
  <c r="O408" i="2"/>
  <c r="S408" i="2"/>
  <c r="N410" i="2"/>
  <c r="A411" i="2"/>
  <c r="G410" i="2" l="1"/>
  <c r="B407" i="2"/>
  <c r="J414" i="2"/>
  <c r="O410" i="2"/>
  <c r="C409" i="2"/>
  <c r="R408" i="2"/>
  <c r="A413" i="2"/>
  <c r="E412" i="2"/>
  <c r="D412" i="2"/>
  <c r="M412" i="2"/>
  <c r="H410" i="2"/>
  <c r="D409" i="2"/>
  <c r="L412" i="2"/>
  <c r="A412" i="2"/>
  <c r="N412" i="2"/>
  <c r="H409" i="2"/>
  <c r="S410" i="2"/>
  <c r="F412" i="2"/>
  <c r="C412" i="2"/>
  <c r="E409" i="2"/>
  <c r="Q410" i="2"/>
  <c r="P406" i="2"/>
  <c r="B412" i="2"/>
  <c r="G412" i="2" l="1"/>
  <c r="J416" i="2"/>
  <c r="S412" i="2"/>
  <c r="H411" i="2"/>
  <c r="P408" i="2"/>
  <c r="M414" i="2"/>
  <c r="F414" i="2"/>
  <c r="N414" i="2"/>
  <c r="Q412" i="2"/>
  <c r="E411" i="2"/>
  <c r="B409" i="2"/>
  <c r="C414" i="2"/>
  <c r="B414" i="2"/>
  <c r="R410" i="2"/>
  <c r="O412" i="2"/>
  <c r="D411" i="2"/>
  <c r="A415" i="2"/>
  <c r="E414" i="2"/>
  <c r="D414" i="2"/>
  <c r="L414" i="2"/>
  <c r="H412" i="2"/>
  <c r="C411" i="2"/>
  <c r="A414" i="2"/>
  <c r="B411" i="2" l="1"/>
  <c r="G414" i="2"/>
  <c r="J418" i="2"/>
  <c r="Q414" i="2"/>
  <c r="H414" i="2"/>
  <c r="C416" i="2"/>
  <c r="B416" i="2"/>
  <c r="N416" i="2"/>
  <c r="A417" i="2"/>
  <c r="E416" i="2"/>
  <c r="C413" i="2"/>
  <c r="E413" i="2"/>
  <c r="L416" i="2"/>
  <c r="A416" i="2"/>
  <c r="O414" i="2"/>
  <c r="M416" i="2"/>
  <c r="D413" i="2"/>
  <c r="S414" i="2"/>
  <c r="R412" i="2"/>
  <c r="D416" i="2"/>
  <c r="P410" i="2"/>
  <c r="H413" i="2"/>
  <c r="F416" i="2"/>
  <c r="G416" i="2" l="1"/>
  <c r="B413" i="2"/>
  <c r="J420" i="2"/>
  <c r="D415" i="2"/>
  <c r="O416" i="2"/>
  <c r="E418" i="2"/>
  <c r="D418" i="2"/>
  <c r="L418" i="2"/>
  <c r="A418" i="2"/>
  <c r="M418" i="2"/>
  <c r="H415" i="2"/>
  <c r="S416" i="2"/>
  <c r="B418" i="2"/>
  <c r="E415" i="2"/>
  <c r="R414" i="2"/>
  <c r="N418" i="2"/>
  <c r="A419" i="2"/>
  <c r="P412" i="2"/>
  <c r="C415" i="2"/>
  <c r="Q416" i="2"/>
  <c r="F418" i="2"/>
  <c r="C418" i="2"/>
  <c r="H416" i="2"/>
  <c r="G418" i="2" l="1"/>
  <c r="B415" i="2"/>
  <c r="J422" i="2"/>
  <c r="H418" i="2"/>
  <c r="H417" i="2"/>
  <c r="A421" i="2"/>
  <c r="L420" i="2"/>
  <c r="A420" i="2"/>
  <c r="E417" i="2"/>
  <c r="F420" i="2"/>
  <c r="N420" i="2"/>
  <c r="C420" i="2"/>
  <c r="Q418" i="2"/>
  <c r="E420" i="2"/>
  <c r="R416" i="2"/>
  <c r="P414" i="2"/>
  <c r="D420" i="2"/>
  <c r="S418" i="2"/>
  <c r="C417" i="2"/>
  <c r="B420" i="2"/>
  <c r="O418" i="2"/>
  <c r="D417" i="2"/>
  <c r="M420" i="2"/>
  <c r="B417" i="2" l="1"/>
  <c r="G420" i="2"/>
  <c r="J424" i="2"/>
  <c r="D419" i="2"/>
  <c r="R418" i="2"/>
  <c r="M422" i="2"/>
  <c r="F422" i="2"/>
  <c r="C419" i="2"/>
  <c r="H419" i="2"/>
  <c r="O420" i="2"/>
  <c r="C422" i="2"/>
  <c r="B422" i="2"/>
  <c r="N422" i="2"/>
  <c r="A423" i="2"/>
  <c r="E422" i="2"/>
  <c r="Q420" i="2"/>
  <c r="S420" i="2"/>
  <c r="E419" i="2"/>
  <c r="H420" i="2"/>
  <c r="D422" i="2"/>
  <c r="P416" i="2"/>
  <c r="L422" i="2"/>
  <c r="A422" i="2"/>
  <c r="B419" i="2" l="1"/>
  <c r="G422" i="2"/>
  <c r="J426" i="2"/>
  <c r="E421" i="2"/>
  <c r="H422" i="2"/>
  <c r="C421" i="2"/>
  <c r="C424" i="2"/>
  <c r="B424" i="2"/>
  <c r="R420" i="2"/>
  <c r="D421" i="2"/>
  <c r="M424" i="2"/>
  <c r="F424" i="2"/>
  <c r="H421" i="2"/>
  <c r="Q422" i="2"/>
  <c r="N424" i="2"/>
  <c r="A425" i="2"/>
  <c r="E424" i="2"/>
  <c r="S422" i="2"/>
  <c r="D424" i="2"/>
  <c r="L424" i="2"/>
  <c r="A424" i="2"/>
  <c r="O422" i="2"/>
  <c r="P418" i="2"/>
  <c r="G424" i="2" l="1"/>
  <c r="B421" i="2"/>
  <c r="J428" i="2"/>
  <c r="D423" i="2"/>
  <c r="H424" i="2"/>
  <c r="P420" i="2"/>
  <c r="E426" i="2"/>
  <c r="D426" i="2"/>
  <c r="L426" i="2"/>
  <c r="A426" i="2"/>
  <c r="M426" i="2"/>
  <c r="F426" i="2"/>
  <c r="N426" i="2"/>
  <c r="A427" i="2"/>
  <c r="C423" i="2"/>
  <c r="O424" i="2"/>
  <c r="Q424" i="2"/>
  <c r="H423" i="2"/>
  <c r="R422" i="2"/>
  <c r="S424" i="2"/>
  <c r="C426" i="2"/>
  <c r="B426" i="2"/>
  <c r="E423" i="2"/>
  <c r="B423" i="2" l="1"/>
  <c r="G426" i="2"/>
  <c r="J430" i="2"/>
  <c r="S426" i="2"/>
  <c r="P422" i="2"/>
  <c r="A429" i="2"/>
  <c r="E428" i="2"/>
  <c r="D428" i="2"/>
  <c r="M428" i="2"/>
  <c r="H425" i="2"/>
  <c r="H426" i="2"/>
  <c r="E425" i="2"/>
  <c r="B428" i="2"/>
  <c r="N428" i="2"/>
  <c r="Q426" i="2"/>
  <c r="R424" i="2"/>
  <c r="O426" i="2"/>
  <c r="L428" i="2"/>
  <c r="A428" i="2"/>
  <c r="C425" i="2"/>
  <c r="F428" i="2"/>
  <c r="C428" i="2"/>
  <c r="D425" i="2"/>
  <c r="G428" i="2" l="1"/>
  <c r="B425" i="2"/>
  <c r="J432" i="2"/>
  <c r="P424" i="2"/>
  <c r="S428" i="2"/>
  <c r="M430" i="2"/>
  <c r="F430" i="2"/>
  <c r="C430" i="2"/>
  <c r="B430" i="2"/>
  <c r="N430" i="2"/>
  <c r="D427" i="2"/>
  <c r="O428" i="2"/>
  <c r="H427" i="2"/>
  <c r="E430" i="2"/>
  <c r="D430" i="2"/>
  <c r="C427" i="2"/>
  <c r="E427" i="2"/>
  <c r="L430" i="2"/>
  <c r="A430" i="2"/>
  <c r="R426" i="2"/>
  <c r="Q428" i="2"/>
  <c r="A431" i="2"/>
  <c r="H428" i="2"/>
  <c r="B427" i="2" l="1"/>
  <c r="G430" i="2"/>
  <c r="J434" i="2"/>
  <c r="R428" i="2"/>
  <c r="C429" i="2"/>
  <c r="S430" i="2"/>
  <c r="C432" i="2"/>
  <c r="B432" i="2"/>
  <c r="H430" i="2"/>
  <c r="D432" i="2"/>
  <c r="A432" i="2"/>
  <c r="Q430" i="2"/>
  <c r="P426" i="2"/>
  <c r="O430" i="2"/>
  <c r="N432" i="2"/>
  <c r="A433" i="2"/>
  <c r="E432" i="2"/>
  <c r="E429" i="2"/>
  <c r="L432" i="2"/>
  <c r="D429" i="2"/>
  <c r="H429" i="2"/>
  <c r="M432" i="2"/>
  <c r="F432" i="2"/>
  <c r="G432" i="2" l="1"/>
  <c r="B429" i="2"/>
  <c r="J436" i="2"/>
  <c r="C431" i="2"/>
  <c r="H431" i="2"/>
  <c r="E434" i="2"/>
  <c r="D434" i="2"/>
  <c r="L434" i="2"/>
  <c r="E431" i="2"/>
  <c r="A434" i="2"/>
  <c r="F434" i="2"/>
  <c r="C434" i="2"/>
  <c r="B434" i="2"/>
  <c r="S432" i="2"/>
  <c r="H432" i="2"/>
  <c r="R430" i="2"/>
  <c r="M434" i="2"/>
  <c r="D431" i="2"/>
  <c r="N434" i="2"/>
  <c r="O432" i="2"/>
  <c r="Q432" i="2"/>
  <c r="P428" i="2"/>
  <c r="A435" i="2"/>
  <c r="G434" i="2" l="1"/>
  <c r="B431" i="2"/>
  <c r="J438" i="2"/>
  <c r="R432" i="2"/>
  <c r="H434" i="2"/>
  <c r="S434" i="2"/>
  <c r="A437" i="2"/>
  <c r="E436" i="2"/>
  <c r="D436" i="2"/>
  <c r="L436" i="2"/>
  <c r="A436" i="2"/>
  <c r="M436" i="2"/>
  <c r="C433" i="2"/>
  <c r="P430" i="2"/>
  <c r="Q434" i="2"/>
  <c r="O434" i="2"/>
  <c r="D433" i="2"/>
  <c r="H433" i="2"/>
  <c r="F436" i="2"/>
  <c r="C436" i="2"/>
  <c r="E433" i="2"/>
  <c r="B436" i="2"/>
  <c r="N436" i="2"/>
  <c r="G436" i="2" l="1"/>
  <c r="B433" i="2"/>
  <c r="J440" i="2"/>
  <c r="O436" i="2"/>
  <c r="M438" i="2"/>
  <c r="F438" i="2"/>
  <c r="S436" i="2"/>
  <c r="A439" i="2"/>
  <c r="Q436" i="2"/>
  <c r="A438" i="2"/>
  <c r="H436" i="2"/>
  <c r="D435" i="2"/>
  <c r="H435" i="2"/>
  <c r="C438" i="2"/>
  <c r="B438" i="2"/>
  <c r="N438" i="2"/>
  <c r="C435" i="2"/>
  <c r="E435" i="2"/>
  <c r="E438" i="2"/>
  <c r="D438" i="2"/>
  <c r="R434" i="2"/>
  <c r="P432" i="2"/>
  <c r="L438" i="2"/>
  <c r="B435" i="2" l="1"/>
  <c r="G438" i="2"/>
  <c r="J442" i="2"/>
  <c r="P434" i="2"/>
  <c r="Q438" i="2"/>
  <c r="H437" i="2"/>
  <c r="C440" i="2"/>
  <c r="B440" i="2"/>
  <c r="A441" i="2"/>
  <c r="E440" i="2"/>
  <c r="R436" i="2"/>
  <c r="D437" i="2"/>
  <c r="L440" i="2"/>
  <c r="H438" i="2"/>
  <c r="F440" i="2"/>
  <c r="S438" i="2"/>
  <c r="N440" i="2"/>
  <c r="O438" i="2"/>
  <c r="D440" i="2"/>
  <c r="A440" i="2"/>
  <c r="E437" i="2"/>
  <c r="C437" i="2"/>
  <c r="M440" i="2"/>
  <c r="B437" i="2" l="1"/>
  <c r="G440" i="2"/>
  <c r="J444" i="2"/>
  <c r="O440" i="2"/>
  <c r="P436" i="2"/>
  <c r="A442" i="2"/>
  <c r="C442" i="2"/>
  <c r="Q440" i="2"/>
  <c r="E439" i="2"/>
  <c r="M442" i="2"/>
  <c r="B442" i="2"/>
  <c r="H440" i="2"/>
  <c r="E442" i="2"/>
  <c r="D439" i="2"/>
  <c r="H439" i="2"/>
  <c r="N442" i="2"/>
  <c r="A443" i="2"/>
  <c r="F442" i="2"/>
  <c r="C439" i="2"/>
  <c r="S440" i="2"/>
  <c r="L442" i="2"/>
  <c r="R438" i="2"/>
  <c r="D442" i="2"/>
  <c r="B439" i="2" l="1"/>
  <c r="G442" i="2"/>
  <c r="J446" i="2"/>
  <c r="P438" i="2"/>
  <c r="Q442" i="2"/>
  <c r="A445" i="2"/>
  <c r="E444" i="2"/>
  <c r="D444" i="2"/>
  <c r="H441" i="2"/>
  <c r="O442" i="2"/>
  <c r="R440" i="2"/>
  <c r="L444" i="2"/>
  <c r="A444" i="2"/>
  <c r="M444" i="2"/>
  <c r="E441" i="2"/>
  <c r="H442" i="2"/>
  <c r="C441" i="2"/>
  <c r="F444" i="2"/>
  <c r="C444" i="2"/>
  <c r="S442" i="2"/>
  <c r="D441" i="2"/>
  <c r="B444" i="2"/>
  <c r="N444" i="2"/>
  <c r="G444" i="2" l="1"/>
  <c r="B441" i="2"/>
  <c r="J448" i="2"/>
  <c r="O444" i="2"/>
  <c r="H443" i="2"/>
  <c r="P440" i="2"/>
  <c r="M446" i="2"/>
  <c r="F446" i="2"/>
  <c r="D446" i="2"/>
  <c r="N446" i="2"/>
  <c r="Q444" i="2"/>
  <c r="H444" i="2"/>
  <c r="E443" i="2"/>
  <c r="D443" i="2"/>
  <c r="C446" i="2"/>
  <c r="B446" i="2"/>
  <c r="C443" i="2"/>
  <c r="A447" i="2"/>
  <c r="S444" i="2"/>
  <c r="E446" i="2"/>
  <c r="R442" i="2"/>
  <c r="L446" i="2"/>
  <c r="A446" i="2"/>
  <c r="B443" i="2" l="1"/>
  <c r="G446" i="2"/>
  <c r="J450" i="2"/>
  <c r="P442" i="2"/>
  <c r="Q446" i="2"/>
  <c r="H446" i="2"/>
  <c r="C448" i="2"/>
  <c r="B448" i="2"/>
  <c r="E445" i="2"/>
  <c r="S446" i="2"/>
  <c r="N448" i="2"/>
  <c r="A449" i="2"/>
  <c r="A448" i="2"/>
  <c r="C445" i="2"/>
  <c r="H445" i="2"/>
  <c r="R444" i="2"/>
  <c r="D445" i="2"/>
  <c r="D448" i="2"/>
  <c r="L448" i="2"/>
  <c r="E448" i="2"/>
  <c r="M448" i="2"/>
  <c r="O446" i="2"/>
  <c r="F448" i="2"/>
  <c r="G448" i="2" l="1"/>
  <c r="B445" i="2"/>
  <c r="J452" i="2"/>
  <c r="E447" i="2"/>
  <c r="E450" i="2"/>
  <c r="D450" i="2"/>
  <c r="D447" i="2"/>
  <c r="H448" i="2"/>
  <c r="Q448" i="2"/>
  <c r="A450" i="2"/>
  <c r="M450" i="2"/>
  <c r="A451" i="2"/>
  <c r="C447" i="2"/>
  <c r="O448" i="2"/>
  <c r="S448" i="2"/>
  <c r="C450" i="2"/>
  <c r="B450" i="2"/>
  <c r="P444" i="2"/>
  <c r="H447" i="2"/>
  <c r="R446" i="2"/>
  <c r="N450" i="2"/>
  <c r="L450" i="2"/>
  <c r="F450" i="2"/>
  <c r="G450" i="2" l="1"/>
  <c r="B447" i="2"/>
  <c r="J454" i="2"/>
  <c r="S450" i="2"/>
  <c r="C449" i="2"/>
  <c r="A453" i="2"/>
  <c r="E452" i="2"/>
  <c r="D452" i="2"/>
  <c r="D449" i="2"/>
  <c r="A452" i="2"/>
  <c r="H450" i="2"/>
  <c r="M452" i="2"/>
  <c r="P446" i="2"/>
  <c r="B452" i="2"/>
  <c r="O450" i="2"/>
  <c r="Q450" i="2"/>
  <c r="L452" i="2"/>
  <c r="C452" i="2"/>
  <c r="H449" i="2"/>
  <c r="R448" i="2"/>
  <c r="F452" i="2"/>
  <c r="E449" i="2"/>
  <c r="N452" i="2"/>
  <c r="G452" i="2" l="1"/>
  <c r="B449" i="2"/>
  <c r="J456" i="2"/>
  <c r="O452" i="2"/>
  <c r="R450" i="2"/>
  <c r="Q452" i="2"/>
  <c r="M454" i="2"/>
  <c r="F454" i="2"/>
  <c r="N454" i="2"/>
  <c r="D454" i="2"/>
  <c r="L454" i="2"/>
  <c r="H452" i="2"/>
  <c r="D451" i="2"/>
  <c r="C454" i="2"/>
  <c r="B454" i="2"/>
  <c r="S452" i="2"/>
  <c r="C451" i="2"/>
  <c r="H451" i="2"/>
  <c r="A455" i="2"/>
  <c r="E454" i="2"/>
  <c r="P448" i="2"/>
  <c r="E451" i="2"/>
  <c r="A454" i="2"/>
  <c r="B451" i="2" l="1"/>
  <c r="G454" i="2"/>
  <c r="J458" i="2"/>
  <c r="S454" i="2"/>
  <c r="R452" i="2"/>
  <c r="C456" i="2"/>
  <c r="B456" i="2"/>
  <c r="M456" i="2"/>
  <c r="E453" i="2"/>
  <c r="O454" i="2"/>
  <c r="P450" i="2"/>
  <c r="N456" i="2"/>
  <c r="A457" i="2"/>
  <c r="E456" i="2"/>
  <c r="C453" i="2"/>
  <c r="H453" i="2"/>
  <c r="H454" i="2"/>
  <c r="D453" i="2"/>
  <c r="D456" i="2"/>
  <c r="L456" i="2"/>
  <c r="A456" i="2"/>
  <c r="Q454" i="2"/>
  <c r="F456" i="2"/>
  <c r="G456" i="2" l="1"/>
  <c r="J460" i="2"/>
  <c r="O456" i="2"/>
  <c r="S456" i="2"/>
  <c r="E458" i="2"/>
  <c r="D458" i="2"/>
  <c r="F458" i="2"/>
  <c r="E455" i="2"/>
  <c r="R454" i="2"/>
  <c r="D455" i="2"/>
  <c r="P452" i="2"/>
  <c r="A458" i="2"/>
  <c r="M458" i="2"/>
  <c r="A459" i="2"/>
  <c r="C458" i="2"/>
  <c r="B458" i="2"/>
  <c r="N458" i="2"/>
  <c r="B453" i="2"/>
  <c r="C455" i="2"/>
  <c r="H455" i="2"/>
  <c r="L458" i="2"/>
  <c r="H456" i="2"/>
  <c r="Q456" i="2"/>
  <c r="G458" i="2" l="1"/>
  <c r="J462" i="2"/>
  <c r="R456" i="2"/>
  <c r="S458" i="2"/>
  <c r="H457" i="2"/>
  <c r="A461" i="2"/>
  <c r="E460" i="2"/>
  <c r="D460" i="2"/>
  <c r="E457" i="2"/>
  <c r="L460" i="2"/>
  <c r="A460" i="2"/>
  <c r="O458" i="2"/>
  <c r="C457" i="2"/>
  <c r="D457" i="2"/>
  <c r="B460" i="2"/>
  <c r="N460" i="2"/>
  <c r="Q458" i="2"/>
  <c r="C460" i="2"/>
  <c r="P454" i="2"/>
  <c r="B455" i="2" s="1"/>
  <c r="F460" i="2"/>
  <c r="M460" i="2"/>
  <c r="H458" i="2"/>
  <c r="G460" i="2" l="1"/>
  <c r="J464" i="2"/>
  <c r="S460" i="2"/>
  <c r="C459" i="2"/>
  <c r="M462" i="2"/>
  <c r="F462" i="2"/>
  <c r="R458" i="2"/>
  <c r="Q460" i="2"/>
  <c r="H459" i="2"/>
  <c r="C462" i="2"/>
  <c r="B462" i="2"/>
  <c r="N462" i="2"/>
  <c r="O460" i="2"/>
  <c r="E459" i="2"/>
  <c r="A463" i="2"/>
  <c r="E462" i="2"/>
  <c r="D462" i="2"/>
  <c r="H460" i="2"/>
  <c r="D459" i="2"/>
  <c r="P456" i="2"/>
  <c r="B457" i="2" s="1"/>
  <c r="L462" i="2"/>
  <c r="A462" i="2"/>
  <c r="G462" i="2" l="1"/>
  <c r="J466" i="2"/>
  <c r="D461" i="2"/>
  <c r="Q462" i="2"/>
  <c r="C464" i="2"/>
  <c r="B464" i="2"/>
  <c r="R460" i="2"/>
  <c r="D464" i="2"/>
  <c r="A464" i="2"/>
  <c r="P458" i="2"/>
  <c r="H461" i="2"/>
  <c r="M464" i="2"/>
  <c r="F464" i="2"/>
  <c r="C461" i="2"/>
  <c r="S462" i="2"/>
  <c r="B459" i="2"/>
  <c r="N464" i="2"/>
  <c r="A465" i="2"/>
  <c r="E464" i="2"/>
  <c r="O462" i="2"/>
  <c r="E461" i="2"/>
  <c r="L464" i="2"/>
  <c r="H462" i="2"/>
  <c r="G464" i="2" l="1"/>
  <c r="J468" i="2"/>
  <c r="D463" i="2"/>
  <c r="H463" i="2"/>
  <c r="P460" i="2"/>
  <c r="E466" i="2"/>
  <c r="D466" i="2"/>
  <c r="B466" i="2"/>
  <c r="C463" i="2"/>
  <c r="E463" i="2"/>
  <c r="Q464" i="2"/>
  <c r="A466" i="2"/>
  <c r="M466" i="2"/>
  <c r="L466" i="2"/>
  <c r="H464" i="2"/>
  <c r="B461" i="2"/>
  <c r="S464" i="2"/>
  <c r="C466" i="2"/>
  <c r="F466" i="2"/>
  <c r="O464" i="2"/>
  <c r="R462" i="2"/>
  <c r="N466" i="2"/>
  <c r="A467" i="2"/>
  <c r="G466" i="2" l="1"/>
  <c r="J470" i="2"/>
  <c r="O466" i="2"/>
  <c r="D465" i="2"/>
  <c r="R464" i="2"/>
  <c r="A469" i="2"/>
  <c r="E468" i="2"/>
  <c r="D468" i="2"/>
  <c r="A468" i="2"/>
  <c r="S466" i="2"/>
  <c r="E465" i="2"/>
  <c r="Q466" i="2"/>
  <c r="H466" i="2"/>
  <c r="L468" i="2"/>
  <c r="M468" i="2"/>
  <c r="C465" i="2"/>
  <c r="N468" i="2"/>
  <c r="P462" i="2"/>
  <c r="B463" i="2" s="1"/>
  <c r="H465" i="2"/>
  <c r="F468" i="2"/>
  <c r="C468" i="2"/>
  <c r="B468" i="2"/>
  <c r="G468" i="2" l="1"/>
  <c r="S468" i="2"/>
  <c r="H468" i="2"/>
  <c r="E467" i="2"/>
  <c r="M470" i="2"/>
  <c r="Q468" i="2"/>
  <c r="P464" i="2"/>
  <c r="B465" i="2" s="1"/>
  <c r="C470" i="2"/>
  <c r="B470" i="2"/>
  <c r="N470" i="2"/>
  <c r="D467" i="2"/>
  <c r="A471" i="2"/>
  <c r="E470" i="2"/>
  <c r="O468" i="2"/>
  <c r="H467" i="2"/>
  <c r="L470" i="2"/>
  <c r="A470" i="2"/>
  <c r="D470" i="2"/>
  <c r="R466" i="2"/>
  <c r="C467" i="2"/>
  <c r="F470" i="2"/>
  <c r="G470" i="2" l="1"/>
  <c r="G7" i="2"/>
  <c r="C469" i="2"/>
  <c r="S470" i="2"/>
  <c r="H469" i="2"/>
  <c r="D469" i="2"/>
  <c r="Q470" i="2"/>
  <c r="O470" i="2"/>
  <c r="R468" i="2"/>
  <c r="P466" i="2"/>
  <c r="B467" i="2" s="1"/>
  <c r="H470" i="2"/>
  <c r="E469" i="2"/>
  <c r="P468" i="2"/>
  <c r="H471" i="2"/>
  <c r="E471" i="2"/>
  <c r="C471" i="2"/>
  <c r="B469" i="2"/>
  <c r="D471" i="2"/>
  <c r="R470" i="2"/>
  <c r="H7" i="2" l="1"/>
  <c r="P470" i="2"/>
  <c r="B471" i="2"/>
</calcChain>
</file>

<file path=xl/sharedStrings.xml><?xml version="1.0" encoding="utf-8"?>
<sst xmlns="http://schemas.openxmlformats.org/spreadsheetml/2006/main" count="33" uniqueCount="30">
  <si>
    <t>EAN13_traite.csv</t>
  </si>
  <si>
    <t>Requêteur de prix</t>
  </si>
  <si>
    <t>Code type : ex. EVS18</t>
  </si>
  <si>
    <t>Fichier traité</t>
  </si>
  <si>
    <t>Catalogue</t>
  </si>
  <si>
    <t>Catalogue : ex. catalogo Spring 19</t>
  </si>
  <si>
    <t>base.EAN13.csv</t>
  </si>
  <si>
    <t>Code produit : ex. OBAGB, *PK06</t>
  </si>
  <si>
    <t>fall</t>
  </si>
  <si>
    <t>HLESCE01</t>
  </si>
  <si>
    <t>ecs00</t>
  </si>
  <si>
    <t>Offset initial</t>
  </si>
  <si>
    <t>Fichier Valmag EAN13</t>
  </si>
  <si>
    <t>EXPEAN13.csv</t>
  </si>
  <si>
    <t>Valmag EAN13</t>
  </si>
  <si>
    <t>Contrôle</t>
  </si>
  <si>
    <t>Fichier base catalogues</t>
  </si>
  <si>
    <t>Base catalogue</t>
  </si>
  <si>
    <t>catalogo fall 19</t>
  </si>
  <si>
    <t>CodeBarre</t>
  </si>
  <si>
    <t>RefProduit</t>
  </si>
  <si>
    <t>Filtre catalogue</t>
  </si>
  <si>
    <t>Premier produit du type</t>
  </si>
  <si>
    <t>Synthèse de facture Proforma</t>
  </si>
  <si>
    <t>Total produits</t>
  </si>
  <si>
    <t>Nom du catalogue choisi :</t>
  </si>
  <si>
    <t>Requêteur de référence Valmag</t>
  </si>
  <si>
    <r>
      <rPr>
        <b/>
        <sz val="11"/>
        <color theme="1"/>
        <rFont val="Calibri"/>
        <family val="2"/>
        <scheme val="minor"/>
      </rPr>
      <t>Mode d'emploi</t>
    </r>
    <r>
      <rPr>
        <sz val="11"/>
        <color theme="1"/>
        <rFont val="Calibri"/>
        <family val="2"/>
        <scheme val="minor"/>
      </rPr>
      <t xml:space="preserve"> : ouvrir les fichiers :</t>
    </r>
  </si>
  <si>
    <t>base.ValmagEAN13.csv</t>
  </si>
  <si>
    <t>Si filtre catalogue, ouvrir le fichier correspondant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</si>
</sst>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4" formatCode="_-* #,##0.00\ &quot;€&quot;_-;\-* #,##0.00\ &quot;€&quot;_-;_-* &quot;-&quot;??\ &quot;€&quot;_-;_-@_-"/>
    <numFmt numFmtId="164" formatCode="#,##0.00\ &quot;€&quot;"/>
  </numFmts>
  <fonts count="1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3"/>
      <color theme="1"/>
      <name val="Calibri"/>
      <family val="2"/>
      <scheme val="minor"/>
    </font>
    <font>
      <i/>
      <sz val="13"/>
      <color theme="1"/>
      <name val="Calibri"/>
      <family val="2"/>
      <scheme val="minor"/>
    </font>
    <font>
      <sz val="35"/>
      <color theme="1"/>
      <name val="Code EAN13"/>
      <charset val="2"/>
    </font>
    <font>
      <i/>
      <sz val="10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25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i/>
      <sz val="11"/>
      <color theme="0" tint="-0.499984740745262"/>
      <name val="Calibri"/>
      <family val="2"/>
      <scheme val="minor"/>
    </font>
    <font>
      <sz val="15"/>
      <color theme="1"/>
      <name val="Calibri"/>
      <family val="2"/>
      <scheme val="minor"/>
    </font>
    <font>
      <sz val="13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i/>
      <sz val="11"/>
      <color theme="4" tint="-0.249977111117893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C000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51">
    <xf numFmtId="0" fontId="0" fillId="0" borderId="0" xfId="0"/>
    <xf numFmtId="0" fontId="0" fillId="2" borderId="0" xfId="0" applyFill="1"/>
    <xf numFmtId="0" fontId="0" fillId="3" borderId="1" xfId="0" applyFill="1" applyBorder="1"/>
    <xf numFmtId="44" fontId="0" fillId="4" borderId="0" xfId="1" applyFont="1" applyFill="1"/>
    <xf numFmtId="0" fontId="0" fillId="5" borderId="1" xfId="0" applyFill="1" applyBorder="1"/>
    <xf numFmtId="0" fontId="0" fillId="3" borderId="0" xfId="0" applyFill="1"/>
    <xf numFmtId="0" fontId="0" fillId="2" borderId="1" xfId="0" applyFill="1" applyBorder="1"/>
    <xf numFmtId="44" fontId="0" fillId="6" borderId="0" xfId="1" applyFont="1" applyFill="1"/>
    <xf numFmtId="0" fontId="0" fillId="3" borderId="1" xfId="0" applyFill="1" applyBorder="1" applyProtection="1">
      <protection locked="0"/>
    </xf>
    <xf numFmtId="0" fontId="0" fillId="3" borderId="0" xfId="0" applyFill="1" applyAlignment="1">
      <alignment horizontal="center"/>
    </xf>
    <xf numFmtId="0" fontId="0" fillId="3" borderId="0" xfId="0" applyFill="1" applyProtection="1">
      <protection locked="0"/>
    </xf>
    <xf numFmtId="164" fontId="4" fillId="3" borderId="0" xfId="0" applyNumberFormat="1" applyFont="1" applyFill="1"/>
    <xf numFmtId="0" fontId="0" fillId="2" borderId="0" xfId="0" applyFill="1" applyAlignment="1">
      <alignment horizontal="right"/>
    </xf>
    <xf numFmtId="0" fontId="0" fillId="2" borderId="0" xfId="0" applyFill="1" applyAlignment="1">
      <alignment horizontal="left"/>
    </xf>
    <xf numFmtId="1" fontId="0" fillId="2" borderId="0" xfId="0" applyNumberFormat="1" applyFill="1"/>
    <xf numFmtId="0" fontId="0" fillId="2" borderId="2" xfId="0" applyFill="1" applyBorder="1"/>
    <xf numFmtId="0" fontId="2" fillId="2" borderId="0" xfId="0" applyFont="1" applyFill="1"/>
    <xf numFmtId="0" fontId="2" fillId="3" borderId="0" xfId="0" applyFont="1" applyFill="1"/>
    <xf numFmtId="0" fontId="0" fillId="3" borderId="0" xfId="0" applyFill="1" applyAlignment="1">
      <alignment vertical="center"/>
    </xf>
    <xf numFmtId="0" fontId="3" fillId="3" borderId="0" xfId="0" applyFont="1" applyFill="1" applyAlignment="1">
      <alignment vertical="center"/>
    </xf>
    <xf numFmtId="0" fontId="0" fillId="2" borderId="0" xfId="0" applyFill="1" applyAlignment="1">
      <alignment vertical="center"/>
    </xf>
    <xf numFmtId="1" fontId="0" fillId="2" borderId="0" xfId="0" applyNumberFormat="1" applyFill="1" applyAlignment="1">
      <alignment vertical="center"/>
    </xf>
    <xf numFmtId="0" fontId="8" fillId="3" borderId="0" xfId="0" applyFont="1" applyFill="1" applyAlignment="1">
      <alignment horizontal="right"/>
    </xf>
    <xf numFmtId="0" fontId="0" fillId="3" borderId="3" xfId="0" applyFill="1" applyBorder="1"/>
    <xf numFmtId="1" fontId="2" fillId="2" borderId="0" xfId="0" applyNumberFormat="1" applyFont="1" applyFill="1"/>
    <xf numFmtId="0" fontId="10" fillId="3" borderId="0" xfId="0" applyFont="1" applyFill="1" applyAlignment="1">
      <alignment horizontal="center" vertical="center"/>
    </xf>
    <xf numFmtId="0" fontId="4" fillId="3" borderId="0" xfId="0" applyFont="1" applyFill="1"/>
    <xf numFmtId="0" fontId="5" fillId="3" borderId="0" xfId="0" applyFont="1" applyFill="1"/>
    <xf numFmtId="164" fontId="11" fillId="3" borderId="0" xfId="0" applyNumberFormat="1" applyFont="1" applyFill="1"/>
    <xf numFmtId="164" fontId="3" fillId="3" borderId="0" xfId="0" applyNumberFormat="1" applyFont="1" applyFill="1"/>
    <xf numFmtId="0" fontId="9" fillId="3" borderId="0" xfId="0" applyFont="1" applyFill="1" applyAlignment="1">
      <alignment horizontal="center"/>
    </xf>
    <xf numFmtId="164" fontId="5" fillId="3" borderId="0" xfId="0" applyNumberFormat="1" applyFont="1" applyFill="1"/>
    <xf numFmtId="0" fontId="6" fillId="3" borderId="0" xfId="0" applyFont="1" applyFill="1" applyAlignment="1">
      <alignment horizontal="right"/>
    </xf>
    <xf numFmtId="0" fontId="5" fillId="3" borderId="0" xfId="0" applyFont="1" applyFill="1" applyBorder="1" applyAlignment="1">
      <alignment vertical="center"/>
    </xf>
    <xf numFmtId="0" fontId="12" fillId="3" borderId="0" xfId="0" applyFont="1" applyFill="1" applyAlignment="1">
      <alignment horizontal="right" vertical="center"/>
    </xf>
    <xf numFmtId="0" fontId="2" fillId="3" borderId="3" xfId="0" applyFont="1" applyFill="1" applyBorder="1" applyAlignment="1">
      <alignment horizontal="right"/>
    </xf>
    <xf numFmtId="0" fontId="0" fillId="3" borderId="0" xfId="0" applyFill="1" applyAlignment="1">
      <alignment horizontal="right"/>
    </xf>
    <xf numFmtId="0" fontId="0" fillId="7" borderId="0" xfId="0" applyFill="1" applyBorder="1"/>
    <xf numFmtId="0" fontId="9" fillId="3" borderId="0" xfId="0" applyFont="1" applyFill="1"/>
    <xf numFmtId="164" fontId="7" fillId="3" borderId="0" xfId="0" applyNumberFormat="1" applyFont="1" applyFill="1"/>
    <xf numFmtId="164" fontId="14" fillId="3" borderId="0" xfId="0" applyNumberFormat="1" applyFont="1" applyFill="1"/>
    <xf numFmtId="164" fontId="14" fillId="3" borderId="0" xfId="0" applyNumberFormat="1" applyFont="1" applyFill="1" applyAlignment="1">
      <alignment horizontal="left"/>
    </xf>
    <xf numFmtId="0" fontId="15" fillId="3" borderId="0" xfId="0" applyFont="1" applyFill="1"/>
    <xf numFmtId="0" fontId="13" fillId="3" borderId="0" xfId="0" applyFont="1" applyFill="1"/>
    <xf numFmtId="0" fontId="2" fillId="3" borderId="0" xfId="0" applyFont="1" applyFill="1" applyAlignment="1">
      <alignment vertical="center"/>
    </xf>
    <xf numFmtId="0" fontId="16" fillId="3" borderId="0" xfId="0" applyFont="1" applyFill="1" applyAlignment="1">
      <alignment vertical="center"/>
    </xf>
    <xf numFmtId="0" fontId="0" fillId="4" borderId="0" xfId="0" applyFill="1"/>
    <xf numFmtId="0" fontId="2" fillId="4" borderId="0" xfId="0" applyFont="1" applyFill="1"/>
    <xf numFmtId="0" fontId="0" fillId="8" borderId="0" xfId="0" applyFill="1"/>
    <xf numFmtId="0" fontId="2" fillId="8" borderId="0" xfId="0" applyFont="1" applyFill="1"/>
    <xf numFmtId="0" fontId="0" fillId="4" borderId="0" xfId="0" applyFill="1" applyBorder="1"/>
  </cellXfs>
  <cellStyles count="2">
    <cellStyle name="Monétaire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A1:R42"/>
  <sheetViews>
    <sheetView workbookViewId="0">
      <selection activeCell="A35" sqref="A35"/>
    </sheetView>
  </sheetViews>
  <sheetFormatPr baseColWidth="10" defaultRowHeight="15" x14ac:dyDescent="0.25"/>
  <cols>
    <col min="1" max="1" width="23" customWidth="1"/>
    <col min="3" max="3" width="54.85546875" bestFit="1" customWidth="1"/>
    <col min="7" max="7" width="40.28515625" bestFit="1" customWidth="1"/>
    <col min="12" max="12" width="21.7109375" bestFit="1" customWidth="1"/>
    <col min="13" max="13" width="45.42578125" bestFit="1" customWidth="1"/>
    <col min="14" max="14" width="21.7109375" customWidth="1"/>
  </cols>
  <sheetData>
    <row r="1" spans="1:18" x14ac:dyDescent="0.25">
      <c r="A1" s="5" t="s">
        <v>27</v>
      </c>
    </row>
    <row r="2" spans="1:18" x14ac:dyDescent="0.25">
      <c r="A2" s="17" t="str">
        <f>"    Catalogue / " &amp; nomFichierBaseCatalogue</f>
        <v xml:space="preserve">    Catalogue / base.EAN13.csv</v>
      </c>
    </row>
    <row r="3" spans="1:18" x14ac:dyDescent="0.25">
      <c r="A3" s="17" t="str">
        <f>"    ValmagEAN13 / " &amp; nomFichierEAN13Valmag</f>
        <v xml:space="preserve">    ValmagEAN13 / base.ValmagEAN13.csv</v>
      </c>
    </row>
    <row r="4" spans="1:18" x14ac:dyDescent="0.25">
      <c r="A4" s="17"/>
    </row>
    <row r="5" spans="1:18" x14ac:dyDescent="0.25">
      <c r="A5" s="17"/>
    </row>
    <row r="6" spans="1:18" x14ac:dyDescent="0.25">
      <c r="A6" s="17"/>
    </row>
    <row r="7" spans="1:18" x14ac:dyDescent="0.25">
      <c r="A7" s="1" t="s">
        <v>1</v>
      </c>
      <c r="B7" s="1"/>
      <c r="C7" s="1"/>
      <c r="D7" s="1"/>
      <c r="E7" s="1"/>
      <c r="G7" s="1" t="s">
        <v>4</v>
      </c>
      <c r="H7" s="1"/>
      <c r="I7" s="1"/>
      <c r="J7" s="1"/>
      <c r="K7" s="1"/>
      <c r="L7" s="1"/>
      <c r="M7" s="1"/>
      <c r="N7" s="1"/>
      <c r="O7" s="1"/>
      <c r="P7" s="1"/>
      <c r="Q7" s="1"/>
      <c r="R7" s="1"/>
    </row>
    <row r="8" spans="1:18" x14ac:dyDescent="0.25">
      <c r="A8" s="10" t="s">
        <v>9</v>
      </c>
      <c r="B8" s="1" t="s">
        <v>7</v>
      </c>
      <c r="C8" s="1"/>
      <c r="D8" s="1"/>
      <c r="E8" s="1"/>
      <c r="G8" s="8" t="s">
        <v>8</v>
      </c>
      <c r="H8" s="1" t="s">
        <v>5</v>
      </c>
      <c r="I8" s="1"/>
      <c r="J8" s="1"/>
      <c r="K8" s="1"/>
      <c r="L8" s="1"/>
      <c r="M8" s="1"/>
      <c r="N8" s="1"/>
      <c r="O8" s="1"/>
      <c r="P8" s="1"/>
      <c r="Q8" s="1"/>
      <c r="R8" s="1"/>
    </row>
    <row r="9" spans="1:18" x14ac:dyDescent="0.25">
      <c r="A9" s="8" t="s">
        <v>10</v>
      </c>
      <c r="B9" s="1" t="s">
        <v>2</v>
      </c>
      <c r="C9" s="1"/>
      <c r="D9" s="1"/>
      <c r="E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</row>
    <row r="10" spans="1:18" x14ac:dyDescent="0.25">
      <c r="A10" s="7" t="str">
        <f ca="1">INDEX(INDIRECT(nomFichierTraite &amp; "!D:D"),SUM($E$9:$E10))</f>
        <v>HLESCE01-ECS00-017</v>
      </c>
      <c r="B10" s="3">
        <f ca="1">INDEX(INDIRECT(nomFichierTraite &amp; "!H:H"),SUM($E$9:$E10))</f>
        <v>12.66</v>
      </c>
      <c r="C10" s="7" t="str">
        <f ca="1">INDEX(INDIRECT(nomFichierTraite &amp; "!E:E"),SUM($E$9:$E10))</f>
        <v>ANSES DOUBLE CHAINE EN " T " EN FAUX CUIR</v>
      </c>
      <c r="D10" s="1"/>
      <c r="E10" s="4">
        <f ca="1">MATCH($A$8&amp;"*-*"&amp;$A$9&amp;"*",INDIRECT(nomFichierTraite &amp; "!D" &amp; (SUM(E$9:E9)+1) &amp; ":D" &amp;SUM(E$9:E9)+500),0)</f>
        <v>15</v>
      </c>
      <c r="G10" s="7" t="str">
        <f ca="1">INDEX(M:M,SUM($J$9:$J10))</f>
        <v>fall 2019 presentation_/catalogo fall 19.txt</v>
      </c>
      <c r="H10" s="3" t="str">
        <f ca="1">INDEX(N:N,SUM($J$9:$J10))</f>
        <v>p028-2-01</v>
      </c>
      <c r="I10" s="1"/>
      <c r="J10" s="4">
        <f ca="1">MATCH("*" &amp; $G$8 &amp; "*",INDIRECT("M" &amp; (SUM(J$9:J9)+1) &amp; ":M" &amp;SUM(J$9:J9)+500),0)</f>
        <v>10</v>
      </c>
      <c r="K10" s="1"/>
      <c r="L10" s="7" t="str">
        <f ca="1">INDEX(INDIRECT(nomFichierBaseCatalogue &amp; "!B:B"),SUM($P$9:$P10))</f>
        <v>HLESCE01-ECS00-017</v>
      </c>
      <c r="M10" s="3" t="str">
        <f ca="1">INDEX(INDIRECT(nomFichierBaseCatalogue &amp; "!F:F"),SUM($P$9:$P10))</f>
        <v>fall 2019 presentation_/catalogo fall 19.txt</v>
      </c>
      <c r="N10" s="7" t="str">
        <f ca="1">INDEX(INDIRECT(nomFichierBaseCatalogue &amp; "!C:C"),SUM($P$9:$P10))</f>
        <v>p028-2-01</v>
      </c>
      <c r="O10" s="1"/>
      <c r="P10" s="4">
        <f ca="1">MATCH($A$8&amp;"*-*"&amp;$A$9&amp;"*",INDIRECT(nomFichierBaseCatalogue &amp; "!B" &amp; (SUM(P$9:P9)+1) &amp; ":B" &amp;SUM(P$9:P9)+10000),0)</f>
        <v>65</v>
      </c>
      <c r="Q10" s="1"/>
      <c r="R10" s="1"/>
    </row>
    <row r="11" spans="1:18" x14ac:dyDescent="0.25">
      <c r="A11" s="7" t="str">
        <f ca="1">INDEX(INDIRECT(nomFichierTraite &amp; "!D:D"),SUM($E$9:$E11))</f>
        <v>HLESCE01-ECS00-055</v>
      </c>
      <c r="B11" s="3">
        <f ca="1">INDEX(INDIRECT(nomFichierTraite &amp; "!H:H"),SUM($E$9:$E11))</f>
        <v>12.66</v>
      </c>
      <c r="C11" s="7" t="str">
        <f ca="1">INDEX(INDIRECT(nomFichierTraite &amp; "!E:E"),SUM($E$9:$E11))</f>
        <v>ANSES DOUBLE CHAINE EN " T " EN FAUX CUIR</v>
      </c>
      <c r="D11" s="1"/>
      <c r="E11" s="4">
        <f ca="1">MATCH($A$8&amp;"*-*"&amp;$A$9&amp;"*",INDIRECT(nomFichierTraite &amp; "!D" &amp; (SUM(E$9:E10)+1) &amp; ":D" &amp;SUM(E$9:E10)+500),0)</f>
        <v>1</v>
      </c>
      <c r="G11" s="7" t="str">
        <f ca="1">INDEX(M:M,SUM($J$9:$J11))</f>
        <v>fall 2019 presentation_/catalogo fall 19.txt</v>
      </c>
      <c r="H11" s="3" t="str">
        <f ca="1">INDEX(N:N,SUM($J$9:$J11))</f>
        <v>p028-2-04</v>
      </c>
      <c r="I11" s="1"/>
      <c r="J11" s="4">
        <f ca="1">MATCH("*" &amp; $G$8 &amp; "*",INDIRECT("M" &amp; (SUM(J$9:J10)+1) &amp; ":M" &amp;SUM(J$9:J10)+500),0)</f>
        <v>3</v>
      </c>
      <c r="K11" s="1"/>
      <c r="L11" s="7" t="str">
        <f ca="1">INDEX(INDIRECT(nomFichierBaseCatalogue &amp; "!B:B"),SUM($P$9:$P11))</f>
        <v>HLESCE01-ECS00-055</v>
      </c>
      <c r="M11" s="3" t="str">
        <f ca="1">INDEX(INDIRECT(nomFichierBaseCatalogue &amp; "!F:F"),SUM($P$9:$P11))</f>
        <v>spring 2019 presentation/catalogo capsule San Valentino 19.txt</v>
      </c>
      <c r="N11" s="7" t="str">
        <f ca="1">INDEX(INDIRECT(nomFichierBaseCatalogue &amp; "!C:C"),SUM($P$9:$P11))</f>
        <v>p011-1-01</v>
      </c>
      <c r="O11" s="1"/>
      <c r="P11" s="4">
        <f ca="1">MATCH($A$8&amp;"*-*"&amp;$A$9&amp;"*",INDIRECT(nomFichierBaseCatalogue &amp; "!B" &amp; (SUM(P$9:P10)+1) &amp; ":B" &amp;SUM(P$9:P10)+10000),0)</f>
        <v>1</v>
      </c>
      <c r="Q11" s="1"/>
      <c r="R11" s="1"/>
    </row>
    <row r="12" spans="1:18" x14ac:dyDescent="0.25">
      <c r="A12" s="7" t="str">
        <f ca="1">INDEX(INDIRECT(nomFichierTraite &amp; "!D:D"),SUM($E$9:$E12))</f>
        <v>HLESCE01-ECS00-612</v>
      </c>
      <c r="B12" s="3">
        <f ca="1">INDEX(INDIRECT(nomFichierTraite &amp; "!H:H"),SUM($E$9:$E12))</f>
        <v>12.66</v>
      </c>
      <c r="C12" s="7" t="str">
        <f ca="1">INDEX(INDIRECT(nomFichierTraite &amp; "!E:E"),SUM($E$9:$E12))</f>
        <v>ANSES DOUBLE CHAINE EN " T " EN FAUX CUIR</v>
      </c>
      <c r="D12" s="1"/>
      <c r="E12" s="4">
        <f ca="1">MATCH($A$8&amp;"*-*"&amp;$A$9&amp;"*",INDIRECT(nomFichierTraite &amp; "!D" &amp; (SUM(E$9:E11)+1) &amp; ":D" &amp;SUM(E$9:E11)+500),0)</f>
        <v>1</v>
      </c>
      <c r="G12" s="7" t="str">
        <f ca="1">INDEX(M:M,SUM($J$9:$J12))</f>
        <v>fall 2019 presentation_/catalogo fall 19.txt</v>
      </c>
      <c r="H12" s="3" t="str">
        <f ca="1">INDEX(N:N,SUM($J$9:$J12))</f>
        <v>p028-2-02</v>
      </c>
      <c r="I12" s="1"/>
      <c r="J12" s="4">
        <f ca="1">MATCH("*" &amp; $G$8 &amp; "*",INDIRECT("M" &amp; (SUM(J$9:J11)+1) &amp; ":M" &amp;SUM(J$9:J11)+500),0)</f>
        <v>1</v>
      </c>
      <c r="K12" s="1"/>
      <c r="L12" s="7" t="str">
        <f ca="1">INDEX(INDIRECT(nomFichierBaseCatalogue &amp; "!B:B"),SUM($P$9:$P12))</f>
        <v>HLESCE01-ECS00-055</v>
      </c>
      <c r="M12" s="3" t="str">
        <f ca="1">INDEX(INDIRECT(nomFichierBaseCatalogue &amp; "!F:F"),SUM($P$9:$P12))</f>
        <v>catalogo Spring 19.txt</v>
      </c>
      <c r="N12" s="7" t="str">
        <f ca="1">INDEX(INDIRECT(nomFichierBaseCatalogue &amp; "!C:C"),SUM($P$9:$P12))</f>
        <v>p022-1-01</v>
      </c>
      <c r="O12" s="1"/>
      <c r="P12" s="4">
        <f ca="1">MATCH($A$8&amp;"*-*"&amp;$A$9&amp;"*",INDIRECT(nomFichierBaseCatalogue &amp; "!B" &amp; (SUM(P$9:P11)+1) &amp; ":B" &amp;SUM(P$9:P11)+10000),0)</f>
        <v>1</v>
      </c>
      <c r="Q12" s="1"/>
      <c r="R12" s="1"/>
    </row>
    <row r="13" spans="1:18" x14ac:dyDescent="0.25">
      <c r="A13" s="7" t="str">
        <f ca="1">INDEX(INDIRECT(nomFichierTraite &amp; "!D:D"),SUM($E$9:$E13))</f>
        <v>HLESCE01-ECS00-613</v>
      </c>
      <c r="B13" s="3">
        <f ca="1">INDEX(INDIRECT(nomFichierTraite &amp; "!H:H"),SUM($E$9:$E13))</f>
        <v>12.66</v>
      </c>
      <c r="C13" s="7" t="str">
        <f ca="1">INDEX(INDIRECT(nomFichierTraite &amp; "!E:E"),SUM($E$9:$E13))</f>
        <v>ANSES DOUBLE CHAINE EN " T " EN FAUX CUIR</v>
      </c>
      <c r="D13" s="1"/>
      <c r="E13" s="4">
        <f ca="1">MATCH($A$8&amp;"*-*"&amp;$A$9&amp;"*",INDIRECT(nomFichierTraite &amp; "!D" &amp; (SUM(E$9:E12)+1) &amp; ":D" &amp;SUM(E$9:E12)+500),0)</f>
        <v>1</v>
      </c>
      <c r="G13" s="7" t="str">
        <f ca="1">INDEX(M:M,SUM($J$9:$J13))</f>
        <v>fall 2019 presentation_/catalogo fall 19.txt</v>
      </c>
      <c r="H13" s="3" t="str">
        <f ca="1">INDEX(N:N,SUM($J$9:$J13))</f>
        <v>p028-2-03</v>
      </c>
      <c r="I13" s="1"/>
      <c r="J13" s="4">
        <f ca="1">MATCH("*" &amp; $G$8 &amp; "*",INDIRECT("M" &amp; (SUM(J$9:J12)+1) &amp; ":M" &amp;SUM(J$9:J12)+500),0)</f>
        <v>1</v>
      </c>
      <c r="K13" s="1"/>
      <c r="L13" s="7" t="str">
        <f ca="1">INDEX(INDIRECT(nomFichierBaseCatalogue &amp; "!B:B"),SUM($P$9:$P13))</f>
        <v>HLESCE01-ECS00-055</v>
      </c>
      <c r="M13" s="3" t="str">
        <f ca="1">INDEX(INDIRECT(nomFichierBaseCatalogue &amp; "!F:F"),SUM($P$9:$P13))</f>
        <v>fall 2019 presentation_/catalogo fall 19.txt</v>
      </c>
      <c r="N13" s="7" t="str">
        <f ca="1">INDEX(INDIRECT(nomFichierBaseCatalogue &amp; "!C:C"),SUM($P$9:$P13))</f>
        <v>p028-2-04</v>
      </c>
      <c r="O13" s="1"/>
      <c r="P13" s="4">
        <f ca="1">MATCH($A$8&amp;"*-*"&amp;$A$9&amp;"*",INDIRECT(nomFichierBaseCatalogue &amp; "!B" &amp; (SUM(P$9:P12)+1) &amp; ":B" &amp;SUM(P$9:P12)+10000),0)</f>
        <v>1</v>
      </c>
      <c r="Q13" s="1"/>
      <c r="R13" s="1"/>
    </row>
    <row r="14" spans="1:18" x14ac:dyDescent="0.25">
      <c r="A14" s="7" t="e">
        <f ca="1">INDEX(INDIRECT(nomFichierTraite &amp; "!D:D"),SUM($E$9:$E14))</f>
        <v>#N/A</v>
      </c>
      <c r="B14" s="3" t="e">
        <f ca="1">INDEX(INDIRECT(nomFichierTraite &amp; "!H:H"),SUM($E$9:$E14))</f>
        <v>#N/A</v>
      </c>
      <c r="C14" s="7" t="e">
        <f ca="1">INDEX(INDIRECT(nomFichierTraite &amp; "!E:E"),SUM($E$9:$E14))</f>
        <v>#N/A</v>
      </c>
      <c r="D14" s="1"/>
      <c r="E14" s="4" t="e">
        <f ca="1">MATCH($A$8&amp;"*-*"&amp;$A$9&amp;"*",INDIRECT(nomFichierTraite &amp; "!D" &amp; (SUM(E$9:E13)+1) &amp; ":D" &amp;SUM(E$9:E13)+500),0)</f>
        <v>#N/A</v>
      </c>
      <c r="G14" s="7" t="str">
        <f ca="1">INDEX(M:M,SUM($J$9:$J14))</f>
        <v>fall 2019 presentation_/catalogo fall 19.txt</v>
      </c>
      <c r="H14" s="3" t="str">
        <f ca="1">INDEX(N:N,SUM($J$9:$J14))</f>
        <v>p028-2-05</v>
      </c>
      <c r="I14" s="1"/>
      <c r="J14" s="4">
        <f ca="1">MATCH("*" &amp; $G$8 &amp; "*",INDIRECT("M" &amp; (SUM(J$9:J13)+1) &amp; ":M" &amp;SUM(J$9:J13)+500),0)</f>
        <v>1</v>
      </c>
      <c r="K14" s="1"/>
      <c r="L14" s="7" t="str">
        <f ca="1">INDEX(INDIRECT(nomFichierBaseCatalogue &amp; "!B:B"),SUM($P$9:$P14))</f>
        <v>HLESCE01-ECS00-084</v>
      </c>
      <c r="M14" s="3" t="str">
        <f ca="1">INDEX(INDIRECT(nomFichierBaseCatalogue &amp; "!F:F"),SUM($P$9:$P14))</f>
        <v>fall 2019 presentation_/catalogo fall 19.txt</v>
      </c>
      <c r="N14" s="7" t="str">
        <f ca="1">INDEX(INDIRECT(nomFichierBaseCatalogue &amp; "!C:C"),SUM($P$9:$P14))</f>
        <v>p028-2-02</v>
      </c>
      <c r="O14" s="1"/>
      <c r="P14" s="4">
        <f ca="1">MATCH($A$8&amp;"*-*"&amp;$A$9&amp;"*",INDIRECT(nomFichierBaseCatalogue &amp; "!B" &amp; (SUM(P$9:P13)+1) &amp; ":B" &amp;SUM(P$9:P13)+10000),0)</f>
        <v>1</v>
      </c>
      <c r="Q14" s="1"/>
      <c r="R14" s="1"/>
    </row>
    <row r="15" spans="1:18" x14ac:dyDescent="0.25">
      <c r="A15" s="7" t="e">
        <f ca="1">INDEX(INDIRECT(nomFichierTraite &amp; "!D:D"),SUM($E$9:$E15))</f>
        <v>#N/A</v>
      </c>
      <c r="B15" s="3" t="e">
        <f ca="1">INDEX(INDIRECT(nomFichierTraite &amp; "!H:H"),SUM($E$9:$E15))</f>
        <v>#N/A</v>
      </c>
      <c r="C15" s="7" t="e">
        <f ca="1">INDEX(INDIRECT(nomFichierTraite &amp; "!E:E"),SUM($E$9:$E15))</f>
        <v>#N/A</v>
      </c>
      <c r="D15" s="1"/>
      <c r="E15" s="4" t="e">
        <f ca="1">MATCH($A$8&amp;"*-*"&amp;$A$9&amp;"*",INDIRECT(nomFichierTraite &amp; "!D" &amp; (SUM(E$9:E14)+1) &amp; ":D" &amp;SUM(E$9:E14)+500),0)</f>
        <v>#N/A</v>
      </c>
      <c r="G15" s="7" t="e">
        <f ca="1">INDEX(M:M,SUM($J$9:$J15))</f>
        <v>#N/A</v>
      </c>
      <c r="H15" s="3" t="e">
        <f ca="1">INDEX(N:N,SUM($J$9:$J15))</f>
        <v>#N/A</v>
      </c>
      <c r="I15" s="1"/>
      <c r="J15" s="4" t="e">
        <f ca="1">MATCH("*" &amp; $G$8 &amp; "*",INDIRECT("M" &amp; (SUM(J$9:J14)+1) &amp; ":M" &amp;SUM(J$9:J14)+500),0)</f>
        <v>#N/A</v>
      </c>
      <c r="K15" s="1"/>
      <c r="L15" s="7" t="str">
        <f ca="1">INDEX(INDIRECT(nomFichierBaseCatalogue &amp; "!B:B"),SUM($P$9:$P15))</f>
        <v>HLESCE01-ECS00-612</v>
      </c>
      <c r="M15" s="3" t="str">
        <f ca="1">INDEX(INDIRECT(nomFichierBaseCatalogue &amp; "!F:F"),SUM($P$9:$P15))</f>
        <v>fall 2019 presentation_/catalogo fall 19.txt</v>
      </c>
      <c r="N15" s="7" t="str">
        <f ca="1">INDEX(INDIRECT(nomFichierBaseCatalogue &amp; "!C:C"),SUM($P$9:$P15))</f>
        <v>p028-2-03</v>
      </c>
      <c r="O15" s="1"/>
      <c r="P15" s="4">
        <f ca="1">MATCH($A$8&amp;"*-*"&amp;$A$9&amp;"*",INDIRECT(nomFichierBaseCatalogue &amp; "!B" &amp; (SUM(P$9:P14)+1) &amp; ":B" &amp;SUM(P$9:P14)+10000),0)</f>
        <v>1</v>
      </c>
      <c r="Q15" s="1"/>
      <c r="R15" s="1"/>
    </row>
    <row r="16" spans="1:18" x14ac:dyDescent="0.25">
      <c r="A16" s="7" t="e">
        <f ca="1">INDEX(INDIRECT(nomFichierTraite &amp; "!D:D"),SUM($E$9:$E16))</f>
        <v>#N/A</v>
      </c>
      <c r="B16" s="3" t="e">
        <f ca="1">INDEX(INDIRECT(nomFichierTraite &amp; "!H:H"),SUM($E$9:$E16))</f>
        <v>#N/A</v>
      </c>
      <c r="C16" s="7" t="e">
        <f ca="1">INDEX(INDIRECT(nomFichierTraite &amp; "!E:E"),SUM($E$9:$E16))</f>
        <v>#N/A</v>
      </c>
      <c r="D16" s="1"/>
      <c r="E16" s="4" t="e">
        <f ca="1">MATCH($A$8&amp;"*-*"&amp;$A$9&amp;"*",INDIRECT(nomFichierTraite &amp; "!D" &amp; (SUM(E$9:E15)+1) &amp; ":D" &amp;SUM(E$9:E15)+500),0)</f>
        <v>#N/A</v>
      </c>
      <c r="G16" s="7" t="e">
        <f ca="1">INDEX(M:M,SUM($J$9:$J16))</f>
        <v>#N/A</v>
      </c>
      <c r="H16" s="3" t="e">
        <f ca="1">INDEX(N:N,SUM($J$9:$J16))</f>
        <v>#N/A</v>
      </c>
      <c r="I16" s="1"/>
      <c r="J16" s="4" t="e">
        <f ca="1">MATCH("*" &amp; $G$8 &amp; "*",INDIRECT("M" &amp; (SUM(J$9:J15)+1) &amp; ":M" &amp;SUM(J$9:J15)+500),0)</f>
        <v>#N/A</v>
      </c>
      <c r="K16" s="1"/>
      <c r="L16" s="7" t="str">
        <f ca="1">INDEX(INDIRECT(nomFichierBaseCatalogue &amp; "!B:B"),SUM($P$9:$P16))</f>
        <v>HLESCE01-ECS00-613</v>
      </c>
      <c r="M16" s="3" t="str">
        <f ca="1">INDEX(INDIRECT(nomFichierBaseCatalogue &amp; "!F:F"),SUM($P$9:$P16))</f>
        <v>fall 2019 presentation_/catalogo fall 19.txt</v>
      </c>
      <c r="N16" s="7" t="str">
        <f ca="1">INDEX(INDIRECT(nomFichierBaseCatalogue &amp; "!C:C"),SUM($P$9:$P16))</f>
        <v>p028-2-05</v>
      </c>
      <c r="O16" s="1"/>
      <c r="P16" s="4">
        <f ca="1">MATCH($A$8&amp;"*-*"&amp;$A$9&amp;"*",INDIRECT(nomFichierBaseCatalogue &amp; "!B" &amp; (SUM(P$9:P15)+1) &amp; ":B" &amp;SUM(P$9:P15)+10000),0)</f>
        <v>1</v>
      </c>
      <c r="Q16" s="1"/>
      <c r="R16" s="1"/>
    </row>
    <row r="17" spans="1:18" x14ac:dyDescent="0.25">
      <c r="A17" s="7" t="e">
        <f ca="1">INDEX(INDIRECT(nomFichierTraite &amp; "!D:D"),SUM($E$9:$E17))</f>
        <v>#N/A</v>
      </c>
      <c r="B17" s="3" t="e">
        <f ca="1">INDEX(INDIRECT(nomFichierTraite &amp; "!H:H"),SUM($E$9:$E17))</f>
        <v>#N/A</v>
      </c>
      <c r="C17" s="7" t="e">
        <f ca="1">INDEX(INDIRECT(nomFichierTraite &amp; "!E:E"),SUM($E$9:$E17))</f>
        <v>#N/A</v>
      </c>
      <c r="D17" s="1"/>
      <c r="E17" s="4" t="e">
        <f ca="1">MATCH($A$8&amp;"*-*"&amp;$A$9&amp;"*",INDIRECT(nomFichierTraite &amp; "!D" &amp; (SUM(E$9:E16)+1) &amp; ":D" &amp;SUM(E$9:E16)+500),0)</f>
        <v>#N/A</v>
      </c>
      <c r="G17" s="7" t="e">
        <f ca="1">INDEX(M:M,SUM($J$9:$J17))</f>
        <v>#N/A</v>
      </c>
      <c r="H17" s="3" t="e">
        <f ca="1">INDEX(N:N,SUM($J$9:$J17))</f>
        <v>#N/A</v>
      </c>
      <c r="I17" s="1"/>
      <c r="J17" s="4" t="e">
        <f ca="1">MATCH("*" &amp; $G$8 &amp; "*",INDIRECT("M" &amp; (SUM(J$9:J16)+1) &amp; ":M" &amp;SUM(J$9:J16)+500),0)</f>
        <v>#N/A</v>
      </c>
      <c r="K17" s="1"/>
      <c r="L17" s="7" t="e">
        <f ca="1">INDEX(INDIRECT(nomFichierBaseCatalogue &amp; "!B:B"),SUM($P$9:$P17))</f>
        <v>#N/A</v>
      </c>
      <c r="M17" s="3" t="e">
        <f ca="1">INDEX(INDIRECT(nomFichierBaseCatalogue &amp; "!F:F"),SUM($P$9:$P17))</f>
        <v>#N/A</v>
      </c>
      <c r="N17" s="7" t="e">
        <f ca="1">INDEX(INDIRECT(nomFichierBaseCatalogue &amp; "!C:C"),SUM($P$9:$P17))</f>
        <v>#N/A</v>
      </c>
      <c r="O17" s="1"/>
      <c r="P17" s="4" t="e">
        <f ca="1">MATCH($A$8&amp;"*-*"&amp;$A$9&amp;"*",INDIRECT(nomFichierBaseCatalogue &amp; "!B" &amp; (SUM(P$9:P16)+1) &amp; ":B" &amp;SUM(P$9:P16)+10000),0)</f>
        <v>#N/A</v>
      </c>
      <c r="Q17" s="1"/>
      <c r="R17" s="1"/>
    </row>
    <row r="18" spans="1:18" x14ac:dyDescent="0.25">
      <c r="A18" s="7" t="e">
        <f ca="1">INDEX(INDIRECT(nomFichierTraite &amp; "!D:D"),SUM($E$9:$E18))</f>
        <v>#N/A</v>
      </c>
      <c r="B18" s="3" t="e">
        <f ca="1">INDEX(INDIRECT(nomFichierTraite &amp; "!H:H"),SUM($E$9:$E18))</f>
        <v>#N/A</v>
      </c>
      <c r="C18" s="7" t="e">
        <f ca="1">INDEX(INDIRECT(nomFichierTraite &amp; "!E:E"),SUM($E$9:$E18))</f>
        <v>#N/A</v>
      </c>
      <c r="D18" s="1"/>
      <c r="E18" s="4" t="e">
        <f ca="1">MATCH($A$8&amp;"*-*"&amp;$A$9&amp;"*",INDIRECT(nomFichierTraite &amp; "!D" &amp; (SUM(E$9:E17)+1) &amp; ":D" &amp;SUM(E$9:E17)+500),0)</f>
        <v>#N/A</v>
      </c>
      <c r="G18" s="7" t="e">
        <f ca="1">INDEX(M:M,SUM($J$9:$J18))</f>
        <v>#N/A</v>
      </c>
      <c r="H18" s="3" t="e">
        <f ca="1">INDEX(N:N,SUM($J$9:$J18))</f>
        <v>#N/A</v>
      </c>
      <c r="I18" s="1"/>
      <c r="J18" s="4" t="e">
        <f ca="1">MATCH("*" &amp; $G$8 &amp; "*",INDIRECT("M" &amp; (SUM(J$9:J17)+1) &amp; ":M" &amp;SUM(J$9:J17)+500),0)</f>
        <v>#N/A</v>
      </c>
      <c r="K18" s="1"/>
      <c r="L18" s="7" t="e">
        <f ca="1">INDEX(INDIRECT(nomFichierBaseCatalogue &amp; "!B:B"),SUM($P$9:$P18))</f>
        <v>#N/A</v>
      </c>
      <c r="M18" s="3" t="e">
        <f ca="1">INDEX(INDIRECT(nomFichierBaseCatalogue &amp; "!F:F"),SUM($P$9:$P18))</f>
        <v>#N/A</v>
      </c>
      <c r="N18" s="7" t="e">
        <f ca="1">INDEX(INDIRECT(nomFichierBaseCatalogue &amp; "!C:C"),SUM($P$9:$P18))</f>
        <v>#N/A</v>
      </c>
      <c r="O18" s="1"/>
      <c r="P18" s="4" t="e">
        <f ca="1">MATCH($A$8&amp;"*-*"&amp;$A$9&amp;"*",INDIRECT(nomFichierBaseCatalogue &amp; "!B" &amp; (SUM(P$9:P17)+1) &amp; ":B" &amp;SUM(P$9:P17)+10000),0)</f>
        <v>#N/A</v>
      </c>
      <c r="Q18" s="1"/>
      <c r="R18" s="1"/>
    </row>
    <row r="19" spans="1:18" x14ac:dyDescent="0.25">
      <c r="A19" s="7" t="e">
        <f ca="1">INDEX(INDIRECT(nomFichierTraite &amp; "!D:D"),SUM($E$9:$E19))</f>
        <v>#N/A</v>
      </c>
      <c r="B19" s="3" t="e">
        <f ca="1">INDEX(INDIRECT(nomFichierTraite &amp; "!H:H"),SUM($E$9:$E19))</f>
        <v>#N/A</v>
      </c>
      <c r="C19" s="7" t="e">
        <f ca="1">INDEX(INDIRECT(nomFichierTraite &amp; "!E:E"),SUM($E$9:$E19))</f>
        <v>#N/A</v>
      </c>
      <c r="D19" s="1"/>
      <c r="E19" s="4" t="e">
        <f ca="1">MATCH($A$8&amp;"*-*"&amp;$A$9&amp;"*",INDIRECT(nomFichierTraite &amp; "!D" &amp; (SUM(E$9:E18)+1) &amp; ":D" &amp;SUM(E$9:E18)+500),0)</f>
        <v>#N/A</v>
      </c>
      <c r="G19" s="7" t="e">
        <f ca="1">INDEX(M:M,SUM($J$9:$J19))</f>
        <v>#N/A</v>
      </c>
      <c r="H19" s="3" t="e">
        <f ca="1">INDEX(N:N,SUM($J$9:$J19))</f>
        <v>#N/A</v>
      </c>
      <c r="I19" s="1"/>
      <c r="J19" s="4" t="e">
        <f ca="1">MATCH("*" &amp; $G$8 &amp; "*",INDIRECT("M" &amp; (SUM(J$9:J18)+1) &amp; ":M" &amp;SUM(J$9:J18)+500),0)</f>
        <v>#N/A</v>
      </c>
      <c r="K19" s="1"/>
      <c r="L19" s="7" t="e">
        <f ca="1">INDEX(INDIRECT(nomFichierBaseCatalogue &amp; "!B:B"),SUM($P$9:$P19))</f>
        <v>#N/A</v>
      </c>
      <c r="M19" s="3" t="e">
        <f ca="1">INDEX(INDIRECT(nomFichierBaseCatalogue &amp; "!F:F"),SUM($P$9:$P19))</f>
        <v>#N/A</v>
      </c>
      <c r="N19" s="7" t="e">
        <f ca="1">INDEX(INDIRECT(nomFichierBaseCatalogue &amp; "!C:C"),SUM($P$9:$P19))</f>
        <v>#N/A</v>
      </c>
      <c r="O19" s="1"/>
      <c r="P19" s="4" t="e">
        <f ca="1">MATCH($A$8&amp;"*-*"&amp;$A$9&amp;"*",INDIRECT(nomFichierBaseCatalogue &amp; "!B" &amp; (SUM(P$9:P18)+1) &amp; ":B" &amp;SUM(P$9:P18)+10000),0)</f>
        <v>#N/A</v>
      </c>
      <c r="Q19" s="1"/>
      <c r="R19" s="1"/>
    </row>
    <row r="20" spans="1:18" x14ac:dyDescent="0.25">
      <c r="A20" s="7" t="e">
        <f ca="1">INDEX(INDIRECT(nomFichierTraite &amp; "!D:D"),SUM($E$9:$E20))</f>
        <v>#N/A</v>
      </c>
      <c r="B20" s="3" t="e">
        <f ca="1">INDEX(INDIRECT(nomFichierTraite &amp; "!H:H"),SUM($E$9:$E20))</f>
        <v>#N/A</v>
      </c>
      <c r="C20" s="7" t="e">
        <f ca="1">INDEX(INDIRECT(nomFichierTraite &amp; "!E:E"),SUM($E$9:$E20))</f>
        <v>#N/A</v>
      </c>
      <c r="D20" s="1"/>
      <c r="E20" s="4" t="e">
        <f ca="1">MATCH($A$8&amp;"*-*"&amp;$A$9&amp;"*",INDIRECT(nomFichierTraite &amp; "!D" &amp; (SUM(E$9:E19)+1) &amp; ":D" &amp;SUM(E$9:E19)+500),0)</f>
        <v>#N/A</v>
      </c>
      <c r="G20" s="7" t="e">
        <f ca="1">INDEX(M:M,SUM($J$9:$J20))</f>
        <v>#N/A</v>
      </c>
      <c r="H20" s="3" t="e">
        <f ca="1">INDEX(N:N,SUM($J$9:$J20))</f>
        <v>#N/A</v>
      </c>
      <c r="I20" s="1"/>
      <c r="J20" s="4" t="e">
        <f ca="1">MATCH("*" &amp; $G$8 &amp; "*",INDIRECT("M" &amp; (SUM(J$9:J19)+1) &amp; ":M" &amp;SUM(J$9:J19)+500),0)</f>
        <v>#N/A</v>
      </c>
      <c r="K20" s="1"/>
      <c r="L20" s="7" t="e">
        <f ca="1">INDEX(INDIRECT(nomFichierBaseCatalogue &amp; "!B:B"),SUM($P$9:$P20))</f>
        <v>#N/A</v>
      </c>
      <c r="M20" s="3" t="e">
        <f ca="1">INDEX(INDIRECT(nomFichierBaseCatalogue &amp; "!F:F"),SUM($P$9:$P20))</f>
        <v>#N/A</v>
      </c>
      <c r="N20" s="7" t="e">
        <f ca="1">INDEX(INDIRECT(nomFichierBaseCatalogue &amp; "!C:C"),SUM($P$9:$P20))</f>
        <v>#N/A</v>
      </c>
      <c r="O20" s="1"/>
      <c r="P20" s="4" t="e">
        <f ca="1">MATCH($A$8&amp;"*-*"&amp;$A$9&amp;"*",INDIRECT(nomFichierBaseCatalogue &amp; "!B" &amp; (SUM(P$9:P19)+1) &amp; ":B" &amp;SUM(P$9:P19)+10000),0)</f>
        <v>#N/A</v>
      </c>
      <c r="Q20" s="1"/>
      <c r="R20" s="1"/>
    </row>
    <row r="21" spans="1:18" x14ac:dyDescent="0.25">
      <c r="A21" s="7" t="e">
        <f ca="1">INDEX(INDIRECT(nomFichierTraite &amp; "!D:D"),SUM($E$9:$E21))</f>
        <v>#N/A</v>
      </c>
      <c r="B21" s="3" t="e">
        <f ca="1">INDEX(INDIRECT(nomFichierTraite &amp; "!H:H"),SUM($E$9:$E21))</f>
        <v>#N/A</v>
      </c>
      <c r="C21" s="7" t="e">
        <f ca="1">INDEX(INDIRECT(nomFichierTraite &amp; "!E:E"),SUM($E$9:$E21))</f>
        <v>#N/A</v>
      </c>
      <c r="D21" s="1"/>
      <c r="E21" s="4" t="e">
        <f ca="1">MATCH($A$8&amp;"*-*"&amp;$A$9&amp;"*",INDIRECT(nomFichierTraite &amp; "!D" &amp; (SUM(E$9:E20)+1) &amp; ":D" &amp;SUM(E$9:E20)+500),0)</f>
        <v>#N/A</v>
      </c>
      <c r="G21" s="7" t="e">
        <f ca="1">INDEX(M:M,SUM($J$9:$J21))</f>
        <v>#N/A</v>
      </c>
      <c r="H21" s="3" t="e">
        <f ca="1">INDEX(N:N,SUM($J$9:$J21))</f>
        <v>#N/A</v>
      </c>
      <c r="I21" s="1"/>
      <c r="J21" s="4" t="e">
        <f ca="1">MATCH("*" &amp; $G$8 &amp; "*",INDIRECT("M" &amp; (SUM(J$9:J20)+1) &amp; ":M" &amp;SUM(J$9:J20)+500),0)</f>
        <v>#N/A</v>
      </c>
      <c r="K21" s="1"/>
      <c r="L21" s="7" t="e">
        <f ca="1">INDEX(INDIRECT(nomFichierBaseCatalogue &amp; "!B:B"),SUM($P$9:$P21))</f>
        <v>#N/A</v>
      </c>
      <c r="M21" s="3" t="e">
        <f ca="1">INDEX(INDIRECT(nomFichierBaseCatalogue &amp; "!F:F"),SUM($P$9:$P21))</f>
        <v>#N/A</v>
      </c>
      <c r="N21" s="7" t="e">
        <f ca="1">INDEX(INDIRECT(nomFichierBaseCatalogue &amp; "!C:C"),SUM($P$9:$P21))</f>
        <v>#N/A</v>
      </c>
      <c r="O21" s="1"/>
      <c r="P21" s="4" t="e">
        <f ca="1">MATCH($A$8&amp;"*-*"&amp;$A$9&amp;"*",INDIRECT(nomFichierBaseCatalogue &amp; "!B" &amp; (SUM(P$9:P20)+1) &amp; ":B" &amp;SUM(P$9:P20)+10000),0)</f>
        <v>#N/A</v>
      </c>
      <c r="Q21" s="1"/>
      <c r="R21" s="1"/>
    </row>
    <row r="22" spans="1:18" x14ac:dyDescent="0.25">
      <c r="A22" s="7" t="e">
        <f ca="1">INDEX(INDIRECT(nomFichierTraite &amp; "!D:D"),SUM($E$9:$E22))</f>
        <v>#N/A</v>
      </c>
      <c r="B22" s="3" t="e">
        <f ca="1">INDEX(INDIRECT(nomFichierTraite &amp; "!H:H"),SUM($E$9:$E22))</f>
        <v>#N/A</v>
      </c>
      <c r="C22" s="7" t="e">
        <f ca="1">INDEX(INDIRECT(nomFichierTraite &amp; "!E:E"),SUM($E$9:$E22))</f>
        <v>#N/A</v>
      </c>
      <c r="D22" s="1"/>
      <c r="E22" s="4" t="e">
        <f ca="1">MATCH($A$8&amp;"*-*"&amp;$A$9&amp;"*",INDIRECT(nomFichierTraite &amp; "!D" &amp; (SUM(E$9:E21)+1) &amp; ":D" &amp;SUM(E$9:E21)+500),0)</f>
        <v>#N/A</v>
      </c>
      <c r="G22" s="7" t="e">
        <f ca="1">INDEX(M:M,SUM($J$9:$J22))</f>
        <v>#N/A</v>
      </c>
      <c r="H22" s="3" t="e">
        <f ca="1">INDEX(N:N,SUM($J$9:$J22))</f>
        <v>#N/A</v>
      </c>
      <c r="I22" s="1"/>
      <c r="J22" s="4" t="e">
        <f ca="1">MATCH("*" &amp; $G$8 &amp; "*",INDIRECT("M" &amp; (SUM(J$9:J21)+1) &amp; ":M" &amp;SUM(J$9:J21)+500),0)</f>
        <v>#N/A</v>
      </c>
      <c r="K22" s="1"/>
      <c r="L22" s="7" t="e">
        <f ca="1">INDEX(INDIRECT(nomFichierBaseCatalogue &amp; "!B:B"),SUM($P$9:$P22))</f>
        <v>#N/A</v>
      </c>
      <c r="M22" s="3" t="e">
        <f ca="1">INDEX(INDIRECT(nomFichierBaseCatalogue &amp; "!F:F"),SUM($P$9:$P22))</f>
        <v>#N/A</v>
      </c>
      <c r="N22" s="7" t="e">
        <f ca="1">INDEX(INDIRECT(nomFichierBaseCatalogue &amp; "!C:C"),SUM($P$9:$P22))</f>
        <v>#N/A</v>
      </c>
      <c r="O22" s="1"/>
      <c r="P22" s="4" t="e">
        <f ca="1">MATCH($A$8&amp;"*-*"&amp;$A$9&amp;"*",INDIRECT(nomFichierBaseCatalogue &amp; "!B" &amp; (SUM(P$9:P21)+1) &amp; ":B" &amp;SUM(P$9:P21)+10000),0)</f>
        <v>#N/A</v>
      </c>
      <c r="Q22" s="1"/>
      <c r="R22" s="1"/>
    </row>
    <row r="23" spans="1:18" x14ac:dyDescent="0.25">
      <c r="G23" s="1"/>
      <c r="H23" s="1"/>
      <c r="I23" s="1"/>
      <c r="J23" s="1"/>
      <c r="K23" s="1"/>
      <c r="L23" s="7" t="e">
        <f ca="1">INDEX(INDIRECT(nomFichierBaseCatalogue &amp; "!B:B"),SUM($P$9:$P23))</f>
        <v>#N/A</v>
      </c>
      <c r="M23" s="3" t="e">
        <f ca="1">INDEX(INDIRECT(nomFichierBaseCatalogue &amp; "!F:F"),SUM($P$9:$P23))</f>
        <v>#N/A</v>
      </c>
      <c r="N23" s="7" t="e">
        <f ca="1">INDEX(INDIRECT(nomFichierBaseCatalogue &amp; "!C:C"),SUM($P$9:$P23))</f>
        <v>#N/A</v>
      </c>
      <c r="O23" s="1"/>
      <c r="P23" s="4" t="e">
        <f ca="1">MATCH($A$8&amp;"*-*"&amp;$A$9&amp;"*",INDIRECT(nomFichierBaseCatalogue &amp; "!B" &amp; (SUM(P$9:P22)+1) &amp; ":B" &amp;SUM(P$9:P22)+10000),0)</f>
        <v>#N/A</v>
      </c>
    </row>
    <row r="24" spans="1:18" x14ac:dyDescent="0.25">
      <c r="G24" s="1"/>
      <c r="H24" s="1"/>
      <c r="I24" s="1"/>
      <c r="J24" s="1"/>
      <c r="K24" s="1"/>
      <c r="L24" s="7" t="e">
        <f ca="1">INDEX(INDIRECT(nomFichierBaseCatalogue &amp; "!B:B"),SUM($P$9:$P24))</f>
        <v>#N/A</v>
      </c>
      <c r="M24" s="3" t="e">
        <f ca="1">INDEX(INDIRECT(nomFichierBaseCatalogue &amp; "!F:F"),SUM($P$9:$P24))</f>
        <v>#N/A</v>
      </c>
      <c r="N24" s="7" t="e">
        <f ca="1">INDEX(INDIRECT(nomFichierBaseCatalogue &amp; "!C:C"),SUM($P$9:$P24))</f>
        <v>#N/A</v>
      </c>
      <c r="O24" s="1"/>
      <c r="P24" s="4" t="e">
        <f ca="1">MATCH($A$8&amp;"*-*"&amp;$A$9&amp;"*",INDIRECT(nomFichierBaseCatalogue &amp; "!B" &amp; (SUM(P$9:P23)+1) &amp; ":B" &amp;SUM(P$9:P23)+10000),0)</f>
        <v>#N/A</v>
      </c>
    </row>
    <row r="25" spans="1:18" x14ac:dyDescent="0.25">
      <c r="G25" s="1"/>
      <c r="H25" s="1"/>
      <c r="I25" s="1"/>
      <c r="J25" s="1"/>
      <c r="K25" s="1"/>
      <c r="L25" s="7" t="e">
        <f ca="1">INDEX(INDIRECT(nomFichierBaseCatalogue &amp; "!B:B"),SUM($P$9:$P25))</f>
        <v>#N/A</v>
      </c>
      <c r="M25" s="3" t="e">
        <f ca="1">INDEX(INDIRECT(nomFichierBaseCatalogue &amp; "!F:F"),SUM($P$9:$P25))</f>
        <v>#N/A</v>
      </c>
      <c r="N25" s="7" t="e">
        <f ca="1">INDEX(INDIRECT(nomFichierBaseCatalogue &amp; "!C:C"),SUM($P$9:$P25))</f>
        <v>#N/A</v>
      </c>
      <c r="O25" s="1"/>
      <c r="P25" s="4" t="e">
        <f ca="1">MATCH($A$8&amp;"*-*"&amp;$A$9&amp;"*",INDIRECT(nomFichierBaseCatalogue &amp; "!B" &amp; (SUM(P$9:P24)+1) &amp; ":B" &amp;SUM(P$9:P24)+10000),0)</f>
        <v>#N/A</v>
      </c>
    </row>
    <row r="26" spans="1:18" x14ac:dyDescent="0.25">
      <c r="G26" s="1"/>
      <c r="H26" s="1"/>
      <c r="I26" s="1"/>
      <c r="J26" s="1"/>
      <c r="K26" s="1"/>
      <c r="L26" s="7" t="e">
        <f ca="1">INDEX(INDIRECT(nomFichierBaseCatalogue &amp; "!B:B"),SUM($P$9:$P26))</f>
        <v>#N/A</v>
      </c>
      <c r="M26" s="3" t="e">
        <f ca="1">INDEX(INDIRECT(nomFichierBaseCatalogue &amp; "!F:F"),SUM($P$9:$P26))</f>
        <v>#N/A</v>
      </c>
      <c r="N26" s="7" t="e">
        <f ca="1">INDEX(INDIRECT(nomFichierBaseCatalogue &amp; "!C:C"),SUM($P$9:$P26))</f>
        <v>#N/A</v>
      </c>
      <c r="O26" s="1"/>
      <c r="P26" s="4" t="e">
        <f ca="1">MATCH($A$8&amp;"*-*"&amp;$A$9&amp;"*",INDIRECT(nomFichierBaseCatalogue &amp; "!B" &amp; (SUM(P$9:P25)+1) &amp; ":B" &amp;SUM(P$9:P25)+10000),0)</f>
        <v>#N/A</v>
      </c>
    </row>
    <row r="27" spans="1:18" x14ac:dyDescent="0.25">
      <c r="A27" s="1" t="s">
        <v>26</v>
      </c>
      <c r="G27" s="1"/>
      <c r="H27" s="1"/>
      <c r="I27" s="1"/>
      <c r="J27" s="1"/>
      <c r="K27" s="1"/>
      <c r="L27" s="7" t="e">
        <f ca="1">INDEX(INDIRECT(nomFichierBaseCatalogue &amp; "!B:B"),SUM($P$9:$P27))</f>
        <v>#N/A</v>
      </c>
      <c r="M27" s="3" t="e">
        <f ca="1">INDEX(INDIRECT(nomFichierBaseCatalogue &amp; "!F:F"),SUM($P$9:$P27))</f>
        <v>#N/A</v>
      </c>
      <c r="N27" s="7" t="e">
        <f ca="1">INDEX(INDIRECT(nomFichierBaseCatalogue &amp; "!C:C"),SUM($P$9:$P27))</f>
        <v>#N/A</v>
      </c>
      <c r="O27" s="1"/>
      <c r="P27" s="4" t="e">
        <f ca="1">MATCH($A$8&amp;"*-*"&amp;$A$9&amp;"*",INDIRECT(nomFichierBaseCatalogue &amp; "!B" &amp; (SUM(P$9:P26)+1) &amp; ":B" &amp;SUM(P$9:P26)+10000),0)</f>
        <v>#N/A</v>
      </c>
    </row>
    <row r="28" spans="1:18" x14ac:dyDescent="0.25">
      <c r="G28" s="1"/>
      <c r="H28" s="1"/>
      <c r="I28" s="1"/>
      <c r="J28" s="1"/>
      <c r="K28" s="1"/>
      <c r="L28" s="7" t="e">
        <f ca="1">INDEX(INDIRECT(nomFichierBaseCatalogue &amp; "!B:B"),SUM($P$9:$P28))</f>
        <v>#N/A</v>
      </c>
      <c r="M28" s="3" t="e">
        <f ca="1">INDEX(INDIRECT(nomFichierBaseCatalogue &amp; "!F:F"),SUM($P$9:$P28))</f>
        <v>#N/A</v>
      </c>
      <c r="N28" s="7" t="e">
        <f ca="1">INDEX(INDIRECT(nomFichierBaseCatalogue &amp; "!C:C"),SUM($P$9:$P28))</f>
        <v>#N/A</v>
      </c>
      <c r="O28" s="1"/>
      <c r="P28" s="4" t="e">
        <f ca="1">MATCH($A$8&amp;"*-*"&amp;$A$9&amp;"*",INDIRECT(nomFichierBaseCatalogue &amp; "!B" &amp; (SUM(P$9:P27)+1) &amp; ":B" &amp;SUM(P$9:P27)+10000),0)</f>
        <v>#N/A</v>
      </c>
    </row>
    <row r="29" spans="1:18" x14ac:dyDescent="0.25">
      <c r="G29" s="1"/>
      <c r="H29" s="1"/>
      <c r="I29" s="1"/>
      <c r="J29" s="1"/>
      <c r="K29" s="1"/>
      <c r="L29" s="7" t="e">
        <f ca="1">INDEX(INDIRECT(nomFichierBaseCatalogue &amp; "!B:B"),SUM($P$9:$P29))</f>
        <v>#N/A</v>
      </c>
      <c r="M29" s="3" t="e">
        <f ca="1">INDEX(INDIRECT(nomFichierBaseCatalogue &amp; "!F:F"),SUM($P$9:$P29))</f>
        <v>#N/A</v>
      </c>
      <c r="N29" s="7" t="e">
        <f ca="1">INDEX(INDIRECT(nomFichierBaseCatalogue &amp; "!C:C"),SUM($P$9:$P29))</f>
        <v>#N/A</v>
      </c>
      <c r="O29" s="1"/>
      <c r="P29" s="4" t="e">
        <f ca="1">MATCH($A$8&amp;"*-*"&amp;$A$9&amp;"*",INDIRECT(nomFichierBaseCatalogue &amp; "!B" &amp; (SUM(P$9:P28)+1) &amp; ":B" &amp;SUM(P$9:P28)+10000),0)</f>
        <v>#N/A</v>
      </c>
    </row>
    <row r="30" spans="1:18" x14ac:dyDescent="0.25">
      <c r="G30" s="1"/>
      <c r="H30" s="1"/>
      <c r="I30" s="1"/>
      <c r="J30" s="1"/>
      <c r="K30" s="1"/>
      <c r="L30" s="7" t="e">
        <f ca="1">INDEX(INDIRECT(nomFichierBaseCatalogue &amp; "!B:B"),SUM($P$9:$P30))</f>
        <v>#N/A</v>
      </c>
      <c r="M30" s="3" t="e">
        <f ca="1">INDEX(INDIRECT(nomFichierBaseCatalogue &amp; "!F:F"),SUM($P$9:$P30))</f>
        <v>#N/A</v>
      </c>
      <c r="N30" s="7" t="e">
        <f ca="1">INDEX(INDIRECT(nomFichierBaseCatalogue &amp; "!C:C"),SUM($P$9:$P30))</f>
        <v>#N/A</v>
      </c>
      <c r="O30" s="1"/>
      <c r="P30" s="4" t="e">
        <f ca="1">MATCH($A$8&amp;"*-*"&amp;$A$9&amp;"*",INDIRECT(nomFichierBaseCatalogue &amp; "!B" &amp; (SUM(P$9:P29)+1) &amp; ":B" &amp;SUM(P$9:P29)+10000),0)</f>
        <v>#N/A</v>
      </c>
    </row>
    <row r="31" spans="1:18" x14ac:dyDescent="0.25">
      <c r="G31" s="1"/>
      <c r="H31" s="1"/>
      <c r="I31" s="1"/>
      <c r="J31" s="1"/>
      <c r="K31" s="1"/>
      <c r="L31" s="7" t="e">
        <f ca="1">INDEX(INDIRECT(nomFichierBaseCatalogue &amp; "!B:B"),SUM($P$9:$P31))</f>
        <v>#N/A</v>
      </c>
      <c r="M31" s="3" t="e">
        <f ca="1">INDEX(INDIRECT(nomFichierBaseCatalogue &amp; "!F:F"),SUM($P$9:$P31))</f>
        <v>#N/A</v>
      </c>
      <c r="N31" s="7" t="e">
        <f ca="1">INDEX(INDIRECT(nomFichierBaseCatalogue &amp; "!C:C"),SUM($P$9:$P31))</f>
        <v>#N/A</v>
      </c>
      <c r="O31" s="1"/>
      <c r="P31" s="4" t="e">
        <f ca="1">MATCH($A$8&amp;"*-*"&amp;$A$9&amp;"*",INDIRECT(nomFichierBaseCatalogue &amp; "!B" &amp; (SUM(P$9:P30)+1) &amp; ":B" &amp;SUM(P$9:P30)+10000),0)</f>
        <v>#N/A</v>
      </c>
    </row>
    <row r="32" spans="1:18" x14ac:dyDescent="0.25">
      <c r="G32" s="1"/>
      <c r="H32" s="1"/>
      <c r="I32" s="1"/>
      <c r="J32" s="1"/>
      <c r="K32" s="1"/>
      <c r="L32" s="7" t="e">
        <f ca="1">INDEX(INDIRECT(nomFichierBaseCatalogue &amp; "!B:B"),SUM($P$9:$P32))</f>
        <v>#N/A</v>
      </c>
      <c r="M32" s="3" t="e">
        <f ca="1">INDEX(INDIRECT(nomFichierBaseCatalogue &amp; "!F:F"),SUM($P$9:$P32))</f>
        <v>#N/A</v>
      </c>
      <c r="N32" s="7" t="e">
        <f ca="1">INDEX(INDIRECT(nomFichierBaseCatalogue &amp; "!C:C"),SUM($P$9:$P32))</f>
        <v>#N/A</v>
      </c>
      <c r="O32" s="1"/>
      <c r="P32" s="4" t="e">
        <f ca="1">MATCH($A$8&amp;"*-*"&amp;$A$9&amp;"*",INDIRECT(nomFichierBaseCatalogue &amp; "!B" &amp; (SUM(P$9:P31)+1) &amp; ":B" &amp;SUM(P$9:P31)+10000),0)</f>
        <v>#N/A</v>
      </c>
    </row>
    <row r="33" spans="7:16" x14ac:dyDescent="0.25">
      <c r="G33" s="1"/>
      <c r="H33" s="1"/>
      <c r="I33" s="1"/>
      <c r="J33" s="1"/>
      <c r="K33" s="1"/>
      <c r="L33" s="7" t="e">
        <f ca="1">INDEX(INDIRECT(nomFichierBaseCatalogue &amp; "!B:B"),SUM($P$9:$P33))</f>
        <v>#N/A</v>
      </c>
      <c r="M33" s="3" t="e">
        <f ca="1">INDEX(INDIRECT(nomFichierBaseCatalogue &amp; "!F:F"),SUM($P$9:$P33))</f>
        <v>#N/A</v>
      </c>
      <c r="N33" s="7" t="e">
        <f ca="1">INDEX(INDIRECT(nomFichierBaseCatalogue &amp; "!C:C"),SUM($P$9:$P33))</f>
        <v>#N/A</v>
      </c>
      <c r="O33" s="1"/>
      <c r="P33" s="4" t="e">
        <f ca="1">MATCH($A$8&amp;"*-*"&amp;$A$9&amp;"*",INDIRECT(nomFichierBaseCatalogue &amp; "!B" &amp; (SUM(P$9:P32)+1) &amp; ":B" &amp;SUM(P$9:P32)+10000),0)</f>
        <v>#N/A</v>
      </c>
    </row>
    <row r="34" spans="7:16" x14ac:dyDescent="0.25">
      <c r="G34" s="1"/>
      <c r="H34" s="1"/>
      <c r="I34" s="1"/>
      <c r="J34" s="1"/>
      <c r="K34" s="1"/>
      <c r="L34" s="7" t="e">
        <f ca="1">INDEX(INDIRECT(nomFichierBaseCatalogue &amp; "!B:B"),SUM($P$9:$P34))</f>
        <v>#N/A</v>
      </c>
      <c r="M34" s="3" t="e">
        <f ca="1">INDEX(INDIRECT(nomFichierBaseCatalogue &amp; "!F:F"),SUM($P$9:$P34))</f>
        <v>#N/A</v>
      </c>
      <c r="N34" s="7" t="e">
        <f ca="1">INDEX(INDIRECT(nomFichierBaseCatalogue &amp; "!C:C"),SUM($P$9:$P34))</f>
        <v>#N/A</v>
      </c>
      <c r="O34" s="1"/>
      <c r="P34" s="4" t="e">
        <f ca="1">MATCH($A$8&amp;"*-*"&amp;$A$9&amp;"*",INDIRECT(nomFichierBaseCatalogue &amp; "!B" &amp; (SUM(P$9:P33)+1) &amp; ":B" &amp;SUM(P$9:P33)+10000),0)</f>
        <v>#N/A</v>
      </c>
    </row>
    <row r="35" spans="7:16" x14ac:dyDescent="0.25">
      <c r="G35" s="1"/>
      <c r="H35" s="1"/>
      <c r="I35" s="1"/>
      <c r="J35" s="1"/>
      <c r="K35" s="1"/>
      <c r="L35" s="7" t="e">
        <f ca="1">INDEX(INDIRECT(nomFichierBaseCatalogue &amp; "!B:B"),SUM($P$9:$P35))</f>
        <v>#N/A</v>
      </c>
      <c r="M35" s="3" t="e">
        <f ca="1">INDEX(INDIRECT(nomFichierBaseCatalogue &amp; "!F:F"),SUM($P$9:$P35))</f>
        <v>#N/A</v>
      </c>
      <c r="N35" s="7" t="e">
        <f ca="1">INDEX(INDIRECT(nomFichierBaseCatalogue &amp; "!C:C"),SUM($P$9:$P35))</f>
        <v>#N/A</v>
      </c>
      <c r="O35" s="1"/>
      <c r="P35" s="4" t="e">
        <f ca="1">MATCH($A$8&amp;"*-*"&amp;$A$9&amp;"*",INDIRECT(nomFichierBaseCatalogue &amp; "!B" &amp; (SUM(P$9:P34)+1) &amp; ":B" &amp;SUM(P$9:P34)+10000),0)</f>
        <v>#N/A</v>
      </c>
    </row>
    <row r="36" spans="7:16" x14ac:dyDescent="0.25">
      <c r="G36" s="1"/>
      <c r="H36" s="1"/>
      <c r="I36" s="1"/>
      <c r="J36" s="1"/>
      <c r="K36" s="1"/>
      <c r="L36" s="7" t="e">
        <f ca="1">INDEX(INDIRECT(nomFichierBaseCatalogue &amp; "!B:B"),SUM($P$9:$P36))</f>
        <v>#N/A</v>
      </c>
      <c r="M36" s="3" t="e">
        <f ca="1">INDEX(INDIRECT(nomFichierBaseCatalogue &amp; "!F:F"),SUM($P$9:$P36))</f>
        <v>#N/A</v>
      </c>
      <c r="N36" s="7" t="e">
        <f ca="1">INDEX(INDIRECT(nomFichierBaseCatalogue &amp; "!C:C"),SUM($P$9:$P36))</f>
        <v>#N/A</v>
      </c>
      <c r="O36" s="1"/>
      <c r="P36" s="4" t="e">
        <f ca="1">MATCH($A$8&amp;"*-*"&amp;$A$9&amp;"*",INDIRECT(nomFichierBaseCatalogue &amp; "!B" &amp; (SUM(P$9:P35)+1) &amp; ":B" &amp;SUM(P$9:P35)+10000),0)</f>
        <v>#N/A</v>
      </c>
    </row>
    <row r="37" spans="7:16" x14ac:dyDescent="0.25">
      <c r="G37" s="1"/>
      <c r="H37" s="1"/>
      <c r="I37" s="1"/>
      <c r="J37" s="1"/>
      <c r="K37" s="1"/>
      <c r="L37" s="7" t="e">
        <f ca="1">INDEX(INDIRECT(nomFichierBaseCatalogue &amp; "!B:B"),SUM($P$9:$P37))</f>
        <v>#N/A</v>
      </c>
      <c r="M37" s="3" t="e">
        <f ca="1">INDEX(INDIRECT(nomFichierBaseCatalogue &amp; "!F:F"),SUM($P$9:$P37))</f>
        <v>#N/A</v>
      </c>
      <c r="N37" s="7" t="e">
        <f ca="1">INDEX(INDIRECT(nomFichierBaseCatalogue &amp; "!C:C"),SUM($P$9:$P37))</f>
        <v>#N/A</v>
      </c>
      <c r="O37" s="1"/>
      <c r="P37" s="4" t="e">
        <f ca="1">MATCH($A$8&amp;"*-*"&amp;$A$9&amp;"*",INDIRECT(nomFichierBaseCatalogue &amp; "!B" &amp; (SUM(P$9:P36)+1) &amp; ":B" &amp;SUM(P$9:P36)+10000),0)</f>
        <v>#N/A</v>
      </c>
    </row>
    <row r="38" spans="7:16" x14ac:dyDescent="0.25">
      <c r="G38" s="1"/>
      <c r="H38" s="1"/>
      <c r="I38" s="1"/>
      <c r="J38" s="1"/>
      <c r="K38" s="1"/>
      <c r="L38" s="7" t="e">
        <f ca="1">INDEX(INDIRECT(nomFichierBaseCatalogue &amp; "!B:B"),SUM($P$9:$P38))</f>
        <v>#N/A</v>
      </c>
      <c r="M38" s="3" t="e">
        <f ca="1">INDEX(INDIRECT(nomFichierBaseCatalogue &amp; "!F:F"),SUM($P$9:$P38))</f>
        <v>#N/A</v>
      </c>
      <c r="N38" s="7" t="e">
        <f ca="1">INDEX(INDIRECT(nomFichierBaseCatalogue &amp; "!C:C"),SUM($P$9:$P38))</f>
        <v>#N/A</v>
      </c>
      <c r="O38" s="1"/>
      <c r="P38" s="4" t="e">
        <f ca="1">MATCH($A$8&amp;"*-*"&amp;$A$9&amp;"*",INDIRECT(nomFichierBaseCatalogue &amp; "!B" &amp; (SUM(P$9:P37)+1) &amp; ":B" &amp;SUM(P$9:P37)+10000),0)</f>
        <v>#N/A</v>
      </c>
    </row>
    <row r="39" spans="7:16" x14ac:dyDescent="0.25">
      <c r="G39" s="1"/>
      <c r="H39" s="1"/>
      <c r="I39" s="1"/>
      <c r="J39" s="1"/>
      <c r="K39" s="1"/>
      <c r="L39" s="7" t="e">
        <f ca="1">INDEX(INDIRECT(nomFichierBaseCatalogue &amp; "!B:B"),SUM($P$9:$P39))</f>
        <v>#N/A</v>
      </c>
      <c r="M39" s="3" t="e">
        <f ca="1">INDEX(INDIRECT(nomFichierBaseCatalogue &amp; "!F:F"),SUM($P$9:$P39))</f>
        <v>#N/A</v>
      </c>
      <c r="N39" s="7" t="e">
        <f ca="1">INDEX(INDIRECT(nomFichierBaseCatalogue &amp; "!C:C"),SUM($P$9:$P39))</f>
        <v>#N/A</v>
      </c>
      <c r="O39" s="1"/>
      <c r="P39" s="4" t="e">
        <f ca="1">MATCH($A$8&amp;"*-*"&amp;$A$9&amp;"*",INDIRECT(nomFichierBaseCatalogue &amp; "!B" &amp; (SUM(P$9:P38)+1) &amp; ":B" &amp;SUM(P$9:P38)+10000),0)</f>
        <v>#N/A</v>
      </c>
    </row>
    <row r="40" spans="7:16" x14ac:dyDescent="0.25">
      <c r="G40" s="1"/>
      <c r="H40" s="1"/>
      <c r="I40" s="1"/>
      <c r="J40" s="1"/>
      <c r="K40" s="1"/>
      <c r="L40" s="7" t="e">
        <f ca="1">INDEX(INDIRECT(nomFichierBaseCatalogue &amp; "!B:B"),SUM($P$9:$P40))</f>
        <v>#N/A</v>
      </c>
      <c r="M40" s="3" t="e">
        <f ca="1">INDEX(INDIRECT(nomFichierBaseCatalogue &amp; "!F:F"),SUM($P$9:$P40))</f>
        <v>#N/A</v>
      </c>
      <c r="N40" s="7" t="e">
        <f ca="1">INDEX(INDIRECT(nomFichierBaseCatalogue &amp; "!C:C"),SUM($P$9:$P40))</f>
        <v>#N/A</v>
      </c>
      <c r="O40" s="1"/>
      <c r="P40" s="4" t="e">
        <f ca="1">MATCH($A$8&amp;"*-*"&amp;$A$9&amp;"*",INDIRECT(nomFichierBaseCatalogue &amp; "!B" &amp; (SUM(P$9:P39)+1) &amp; ":B" &amp;SUM(P$9:P39)+10000),0)</f>
        <v>#N/A</v>
      </c>
    </row>
    <row r="41" spans="7:16" x14ac:dyDescent="0.25">
      <c r="G41" s="1"/>
      <c r="H41" s="1"/>
      <c r="I41" s="1"/>
      <c r="J41" s="1"/>
      <c r="K41" s="1"/>
      <c r="L41" s="7" t="e">
        <f ca="1">INDEX(INDIRECT(nomFichierBaseCatalogue &amp; "!B:B"),SUM($P$9:$P41))</f>
        <v>#N/A</v>
      </c>
      <c r="M41" s="3" t="e">
        <f ca="1">INDEX(INDIRECT(nomFichierBaseCatalogue &amp; "!F:F"),SUM($P$9:$P41))</f>
        <v>#N/A</v>
      </c>
      <c r="N41" s="7" t="e">
        <f ca="1">INDEX(INDIRECT(nomFichierBaseCatalogue &amp; "!C:C"),SUM($P$9:$P41))</f>
        <v>#N/A</v>
      </c>
      <c r="O41" s="1"/>
      <c r="P41" s="4" t="e">
        <f ca="1">MATCH($A$8&amp;"*-*"&amp;$A$9&amp;"*",INDIRECT(nomFichierBaseCatalogue &amp; "!B" &amp; (SUM(P$9:P40)+1) &amp; ":B" &amp;SUM(P$9:P40)+10000),0)</f>
        <v>#N/A</v>
      </c>
    </row>
    <row r="42" spans="7:16" x14ac:dyDescent="0.25">
      <c r="G42" s="1"/>
      <c r="H42" s="1"/>
      <c r="I42" s="1"/>
      <c r="J42" s="1"/>
      <c r="K42" s="1"/>
      <c r="L42" s="7" t="e">
        <f ca="1">INDEX(INDIRECT(nomFichierBaseCatalogue &amp; "!B:B"),SUM($P$9:$P42))</f>
        <v>#N/A</v>
      </c>
      <c r="M42" s="3" t="e">
        <f ca="1">INDEX(INDIRECT(nomFichierBaseCatalogue &amp; "!F:F"),SUM($P$9:$P42))</f>
        <v>#N/A</v>
      </c>
      <c r="N42" s="7" t="e">
        <f ca="1">INDEX(INDIRECT(nomFichierBaseCatalogue &amp; "!C:C"),SUM($P$9:$P42))</f>
        <v>#N/A</v>
      </c>
      <c r="O42" s="1"/>
      <c r="P42" s="4" t="e">
        <f ca="1">MATCH($A$8&amp;"*-*"&amp;$A$9&amp;"*",INDIRECT(nomFichierBaseCatalogue &amp; "!B" &amp; (SUM(P$9:P41)+1) &amp; ":B" &amp;SUM(P$9:P41)+10000),0)</f>
        <v>#N/A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>
    <pageSetUpPr fitToPage="1"/>
  </sheetPr>
  <dimension ref="A1:T471"/>
  <sheetViews>
    <sheetView tabSelected="1" workbookViewId="0">
      <pane ySplit="7" topLeftCell="A8" activePane="bottomLeft" state="frozen"/>
      <selection activeCell="A58" sqref="A58"/>
      <selection pane="bottomLeft" activeCell="C15" sqref="C15"/>
    </sheetView>
  </sheetViews>
  <sheetFormatPr baseColWidth="10" defaultRowHeight="15" x14ac:dyDescent="0.25"/>
  <cols>
    <col min="1" max="1" width="7.5703125" style="5" customWidth="1"/>
    <col min="2" max="2" width="23.7109375" style="5" customWidth="1"/>
    <col min="3" max="3" width="99.42578125" style="5" customWidth="1"/>
    <col min="4" max="4" width="23.28515625" style="5" customWidth="1"/>
    <col min="5" max="5" width="12.42578125" style="5" customWidth="1"/>
    <col min="6" max="6" width="13.28515625" style="5" customWidth="1"/>
    <col min="7" max="7" width="11.28515625" style="5" customWidth="1"/>
    <col min="8" max="8" width="20.140625" style="5" bestFit="1" customWidth="1"/>
    <col min="9" max="9" width="11.42578125" style="1"/>
    <col min="10" max="10" width="15.85546875" style="1" bestFit="1" customWidth="1"/>
    <col min="11" max="13" width="11.42578125" style="1"/>
    <col min="14" max="14" width="14" style="1" bestFit="1" customWidth="1"/>
    <col min="15" max="15" width="13.7109375" style="1" bestFit="1" customWidth="1"/>
    <col min="16" max="17" width="13.7109375" style="1" customWidth="1"/>
    <col min="18" max="18" width="16.7109375" style="14" bestFit="1" customWidth="1"/>
    <col min="19" max="19" width="16.7109375" style="1" bestFit="1" customWidth="1"/>
    <col min="20" max="21" width="14" style="1" bestFit="1" customWidth="1"/>
    <col min="22" max="16384" width="11.42578125" style="1"/>
  </cols>
  <sheetData>
    <row r="1" spans="1:20" ht="32.25" x14ac:dyDescent="0.5">
      <c r="C1" s="38" t="s">
        <v>23</v>
      </c>
      <c r="H1" s="34" t="str">
        <f ca="1">INDEX(INDIRECT(zoneFichierTraite), 1,5)</f>
        <v>2019-09-Fall19/FAT_2019_50_0001933.txt</v>
      </c>
      <c r="I1" s="48" t="s">
        <v>27</v>
      </c>
      <c r="J1" s="48"/>
      <c r="K1" s="48"/>
    </row>
    <row r="2" spans="1:20" x14ac:dyDescent="0.25">
      <c r="I2" s="49" t="str">
        <f>"    Commande / " &amp; nomFichierTraite</f>
        <v xml:space="preserve">    Commande / EAN13_traite.csv</v>
      </c>
      <c r="J2" s="49"/>
      <c r="K2" s="48"/>
    </row>
    <row r="3" spans="1:20" ht="26.25" x14ac:dyDescent="0.4">
      <c r="C3" s="42" t="str">
        <f ca="1">INDEX(INDIRECT(zoneFichierTraite), 3,5)</f>
        <v>2019 50 1933 17/09/2019</v>
      </c>
      <c r="H3" s="36" t="s">
        <v>25</v>
      </c>
      <c r="I3" s="49" t="str">
        <f>"    Catalogues / " &amp; nomFichierBaseCatalogue</f>
        <v xml:space="preserve">    Catalogues / base.EAN13.csv</v>
      </c>
      <c r="J3" s="48"/>
      <c r="K3" s="48"/>
    </row>
    <row r="4" spans="1:20" ht="19.5" x14ac:dyDescent="0.3">
      <c r="C4" s="43" t="str">
        <f ca="1">INDEX(INDIRECT(zoneFichierTraite), 2,5)</f>
        <v>TOULOUSE</v>
      </c>
      <c r="F4" s="23"/>
      <c r="G4" s="23"/>
      <c r="H4" s="35" t="s">
        <v>18</v>
      </c>
      <c r="I4" s="49" t="str">
        <f>"    Catalogues / " &amp; nomFichierEAN13Valmag</f>
        <v xml:space="preserve">    Catalogues / base.ValmagEAN13.csv</v>
      </c>
      <c r="J4" s="48"/>
      <c r="K4" s="48"/>
    </row>
    <row r="5" spans="1:20" x14ac:dyDescent="0.25">
      <c r="B5" s="34"/>
      <c r="I5" s="47" t="s">
        <v>29</v>
      </c>
      <c r="J5" s="46"/>
      <c r="K5" s="46"/>
      <c r="L5" s="46"/>
    </row>
    <row r="6" spans="1:20" ht="17.25" x14ac:dyDescent="0.3">
      <c r="B6" s="34" t="str">
        <f ca="1">INDEX(INDIRECT(zoneFichierTraite), 4,3)</f>
        <v>Total facture</v>
      </c>
      <c r="C6" s="41">
        <f ca="1">INDEX(INDIRECT(zoneFichierTraite), 4,5)</f>
        <v>6224.71</v>
      </c>
      <c r="H6" s="22" t="s">
        <v>15</v>
      </c>
      <c r="I6" s="50" t="str">
        <f>"'[" &amp; H4 &amp; ".PRODUIT" &amp; ".csv]" &amp; H4 &amp; ".PRODUIT'"</f>
        <v>'[catalogo fall 19.PRODUIT.csv]catalogo fall 19.PRODUIT'</v>
      </c>
      <c r="J6" s="46"/>
      <c r="K6" s="46"/>
      <c r="L6" s="46"/>
    </row>
    <row r="7" spans="1:20" ht="17.25" x14ac:dyDescent="0.3">
      <c r="B7" s="34" t="s">
        <v>24</v>
      </c>
      <c r="C7" s="40" t="str">
        <f ca="1">INDEX(INDIRECT(zoneFichierTraite), 6,5)</f>
        <v>6132.71</v>
      </c>
      <c r="G7" s="39">
        <f ca="1">SUM(M:M)</f>
        <v>6132.7099999999928</v>
      </c>
      <c r="H7" s="31">
        <f ca="1">SUMPRODUCT(E:E,F:F)</f>
        <v>6132.7099999999928</v>
      </c>
      <c r="K7" s="37" t="str">
        <f>nomFichierFiltreCatalogue &amp; "!A:Z"</f>
        <v>'[catalogo fall 19.PRODUIT.csv]catalogo fall 19.PRODUIT'!A:Z</v>
      </c>
    </row>
    <row r="8" spans="1:20" x14ac:dyDescent="0.25">
      <c r="L8" s="16" t="s">
        <v>3</v>
      </c>
      <c r="O8" s="16" t="s">
        <v>14</v>
      </c>
      <c r="P8" s="16"/>
      <c r="Q8" s="16" t="s">
        <v>17</v>
      </c>
      <c r="R8" s="24"/>
      <c r="S8" s="16" t="s">
        <v>21</v>
      </c>
    </row>
    <row r="9" spans="1:20" x14ac:dyDescent="0.25">
      <c r="O9" s="1" t="s">
        <v>19</v>
      </c>
      <c r="P9" s="1" t="s">
        <v>20</v>
      </c>
      <c r="Q9" s="1" t="s">
        <v>22</v>
      </c>
    </row>
    <row r="10" spans="1:20" ht="39" customHeight="1" thickBot="1" x14ac:dyDescent="0.65">
      <c r="A10" s="9" t="str">
        <f ca="1">INDEX(INDIRECT(zoneFichierTraite),$J10+offsetInitialFichierTraite,6)</f>
        <v>UNICA</v>
      </c>
      <c r="B10" s="5" t="str">
        <f ca="1">INDEX(INDIRECT(zoneFichierTraite),$J10+offsetInitialFichierTraite,4)</f>
        <v>ACCEO113-MAS00-055</v>
      </c>
      <c r="C10" s="26" t="str">
        <f ca="1">INDEX(INDIRECT(zoneFichierTraite),$J10+offsetInitialFichierTraite,5)</f>
        <v>ACCESSOIRE PORTE-CLES LETTRES O BAG EN PLASTIQUE</v>
      </c>
      <c r="D10" s="27" t="str">
        <f ca="1">INDEX(INDIRECT(zoneFichierTraite),$J10+offsetInitialFichierTraite,13)</f>
        <v>nero</v>
      </c>
      <c r="E10" s="30">
        <f ca="1">INDEX(INDIRECT(zoneFichierTraite),$J10+offsetInitialFichierTraite,7)</f>
        <v>2</v>
      </c>
      <c r="F10" s="28">
        <f ca="1">INDEX(INDIRECT(zoneFichierTraite),$J10+offsetInitialFichierTraite,8)</f>
        <v>7.78</v>
      </c>
      <c r="G10" s="29">
        <f t="shared" ref="G10:G44" ca="1" si="0">ROUNDUP(F10*3,0)</f>
        <v>24</v>
      </c>
      <c r="H10" s="32" t="str">
        <f ca="1">IF(ISNUMBER(N10),codeEAN13(INT(N10/10)),"")</f>
        <v>8APASOG*ajcfcf+</v>
      </c>
      <c r="J10" s="15">
        <f t="shared" ref="J10:J72" si="1">J8+1</f>
        <v>1</v>
      </c>
      <c r="L10" s="5" t="str">
        <f ca="1">INDEX(INDIRECT(zoneFichierTraite),$J10+offsetInitialFichierTraite,1)</f>
        <v>'001</v>
      </c>
      <c r="M10" s="11">
        <f ca="1">INDEX(INDIRECT(zoneFichierTraite),$J10+offsetInitialFichierTraite,9)</f>
        <v>15.56</v>
      </c>
      <c r="N10" s="14">
        <f ca="1">INDEX(INDIRECT(zoneFichierTraite),$J10+offsetInitialFichierTraite,3)</f>
        <v>8050846092525</v>
      </c>
      <c r="O10" s="1">
        <f ca="1">MATCH(N10,INDIRECT(nomFichierEAN13Valmag &amp; "!A:A"),0)</f>
        <v>891</v>
      </c>
      <c r="P10" s="1">
        <f ca="1">MATCH(R10,INDIRECT(nomFichierEAN13Valmag &amp; "!A:A"),0)</f>
        <v>890</v>
      </c>
      <c r="Q10" s="1">
        <f ca="1">MATCH(LEFT(B10,14) &amp; "*",INDIRECT(nomFichierEAN13Valmag &amp; "!B:B"),0)</f>
        <v>890</v>
      </c>
      <c r="R10" s="14">
        <f ca="1">IFERROR(INDEX(INDIRECT(zoneFichierEAN13Valmag),Q10,1),"")</f>
        <v>8050846092518</v>
      </c>
      <c r="S10" s="1">
        <f ca="1">MATCH(B10,INDIRECT(nomFichierFiltreCatalogue &amp; "!B:B"),0)</f>
        <v>569</v>
      </c>
      <c r="T10" s="14"/>
    </row>
    <row r="11" spans="1:20" s="20" customFormat="1" ht="15.75" customHeight="1" x14ac:dyDescent="0.25">
      <c r="A11" s="25">
        <f ca="1">INDEX(INDIRECT(zoneFichierTraite),$J10+offsetInitialFichierTraite,2)</f>
        <v>140</v>
      </c>
      <c r="B11" s="45" t="str">
        <f ca="1">IF(C11="", IFERROR(INDEX(INDIRECT(zoneFichierEAN13Valmag),$P10,3),""), "")</f>
        <v/>
      </c>
      <c r="C11" s="44" t="str">
        <f ca="1">IFERROR(INDEX(INDIRECT(zoneFichierEAN13Valmag),$O10,3),"")</f>
        <v xml:space="preserve"> </v>
      </c>
      <c r="D11" s="19" t="str">
        <f ca="1">IFERROR(INDEX(INDIRECT(zoneFichierEAN13Valmag),$O10,4),"")</f>
        <v xml:space="preserve"> </v>
      </c>
      <c r="E11" s="33" t="str">
        <f ca="1">IFERROR(INDEX(INDIRECT(zoneFichierFiltreCatalogue),S10,3),"")</f>
        <v>p144-2-03</v>
      </c>
      <c r="F11" s="19"/>
      <c r="G11" s="18"/>
      <c r="H11" s="34" t="str">
        <f ca="1">IFERROR(INDEX(INDIRECT(zoneFichierFiltreCatalogue),S10,6),"")</f>
        <v>fall 2019 presentation_/catalogo fall 19.txt</v>
      </c>
      <c r="R11" s="21"/>
      <c r="S11" s="21"/>
    </row>
    <row r="12" spans="1:20" ht="39" customHeight="1" thickBot="1" x14ac:dyDescent="0.65">
      <c r="A12" s="9" t="str">
        <f ca="1">INDEX(INDIRECT(zoneFichierTraite),$J12+offsetInitialFichierTraite,6)</f>
        <v>UNICA</v>
      </c>
      <c r="B12" s="5" t="str">
        <f ca="1">INDEX(INDIRECT(zoneFichierTraite),$J12+offsetInitialFichierTraite,4)</f>
        <v>ACCEO113-MAS00-076</v>
      </c>
      <c r="C12" s="26" t="str">
        <f ca="1">INDEX(INDIRECT(zoneFichierTraite),$J12+offsetInitialFichierTraite,5)</f>
        <v>ACCESSOIRE PORTE-CLES LETTRES O BAG EN PLASTIQUE</v>
      </c>
      <c r="D12" s="27" t="str">
        <f ca="1">INDEX(INDIRECT(zoneFichierTraite),$J12+offsetInitialFichierTraite,13)</f>
        <v>rosso</v>
      </c>
      <c r="E12" s="30">
        <f ca="1">INDEX(INDIRECT(zoneFichierTraite),$J12+offsetInitialFichierTraite,7)</f>
        <v>2</v>
      </c>
      <c r="F12" s="28">
        <f ca="1">INDEX(INDIRECT(zoneFichierTraite),$J12+offsetInitialFichierTraite,8)</f>
        <v>7.78</v>
      </c>
      <c r="G12" s="29">
        <f t="shared" ca="1" si="0"/>
        <v>24</v>
      </c>
      <c r="H12" s="32" t="str">
        <f ca="1">IF(ISNUMBER(N12),codeEAN13(INT(N12/10)),"")</f>
        <v>8APASOG*ajcfdc+</v>
      </c>
      <c r="J12" s="15">
        <f t="shared" si="1"/>
        <v>2</v>
      </c>
      <c r="L12" s="5" t="str">
        <f ca="1">INDEX(INDIRECT(zoneFichierTraite),$J12+offsetInitialFichierTraite,1)</f>
        <v>'002</v>
      </c>
      <c r="M12" s="11">
        <f ca="1">INDEX(INDIRECT(zoneFichierTraite),$J12+offsetInitialFichierTraite,9)</f>
        <v>15.56</v>
      </c>
      <c r="N12" s="14">
        <f ca="1">INDEX(INDIRECT(zoneFichierTraite),$J12+offsetInitialFichierTraite,3)</f>
        <v>8050846092532</v>
      </c>
      <c r="O12" s="1">
        <f ca="1">MATCH(N12,INDIRECT(nomFichierEAN13Valmag &amp; "!A:A"),0)</f>
        <v>892</v>
      </c>
      <c r="P12" s="1">
        <f ca="1">MATCH(R12,INDIRECT(nomFichierEAN13Valmag &amp; "!A:A"),0)</f>
        <v>890</v>
      </c>
      <c r="Q12" s="1">
        <f ca="1">MATCH(LEFT(B12,14) &amp; "*",INDIRECT(nomFichierEAN13Valmag &amp; "!B:B"),0)</f>
        <v>890</v>
      </c>
      <c r="R12" s="14">
        <f ca="1">IFERROR(INDEX(INDIRECT(zoneFichierEAN13Valmag),Q12,1),"")</f>
        <v>8050846092518</v>
      </c>
      <c r="S12" s="1">
        <f ca="1">MATCH(B12,INDIRECT(nomFichierFiltreCatalogue &amp; "!B:B"),0)</f>
        <v>571</v>
      </c>
      <c r="T12" s="14"/>
    </row>
    <row r="13" spans="1:20" s="20" customFormat="1" ht="15.75" customHeight="1" x14ac:dyDescent="0.25">
      <c r="A13" s="25">
        <f ca="1">INDEX(INDIRECT(zoneFichierTraite),$J12+offsetInitialFichierTraite,2)</f>
        <v>16</v>
      </c>
      <c r="B13" s="45" t="str">
        <f ca="1">IF(C13="", IFERROR(INDEX(INDIRECT(zoneFichierEAN13Valmag),$P12,3),""), "")</f>
        <v/>
      </c>
      <c r="C13" s="44" t="str">
        <f ca="1">IFERROR(INDEX(INDIRECT(zoneFichierEAN13Valmag),$O12,3),"")</f>
        <v xml:space="preserve"> </v>
      </c>
      <c r="D13" s="19" t="str">
        <f ca="1">IFERROR(INDEX(INDIRECT(zoneFichierEAN13Valmag),$O12,4),"")</f>
        <v xml:space="preserve"> </v>
      </c>
      <c r="E13" s="33" t="str">
        <f ca="1">IFERROR(INDEX(INDIRECT(zoneFichierFiltreCatalogue),S12,3),"")</f>
        <v>p144-2-05</v>
      </c>
      <c r="F13" s="19"/>
      <c r="G13" s="18"/>
      <c r="H13" s="34" t="str">
        <f ca="1">IFERROR(INDEX(INDIRECT(zoneFichierFiltreCatalogue),S12,6),"")</f>
        <v>fall 2019 presentation_/catalogo fall 19.txt</v>
      </c>
      <c r="R13" s="21"/>
      <c r="S13" s="21"/>
    </row>
    <row r="14" spans="1:20" ht="39" customHeight="1" thickBot="1" x14ac:dyDescent="0.65">
      <c r="A14" s="9" t="str">
        <f ca="1">INDEX(INDIRECT(zoneFichierTraite),$J14+offsetInitialFichierTraite,6)</f>
        <v>UNICA</v>
      </c>
      <c r="B14" s="5" t="str">
        <f ca="1">INDEX(INDIRECT(zoneFichierTraite),$J14+offsetInitialFichierTraite,4)</f>
        <v>HLESAD00-ECS00-055</v>
      </c>
      <c r="C14" s="26" t="str">
        <f ca="1">INDEX(INDIRECT(zoneFichierTraite),$J14+offsetInitialFichierTraite,5)</f>
        <v>ANSES TUBULAIRES EN FAUX CUIR</v>
      </c>
      <c r="D14" s="27" t="str">
        <f ca="1">INDEX(INDIRECT(zoneFichierTraite),$J14+offsetInitialFichierTraite,13)</f>
        <v>nero</v>
      </c>
      <c r="E14" s="30">
        <f ca="1">INDEX(INDIRECT(zoneFichierTraite),$J14+offsetInitialFichierTraite,7)</f>
        <v>3</v>
      </c>
      <c r="F14" s="28">
        <f ca="1">INDEX(INDIRECT(zoneFichierTraite),$J14+offsetInitialFichierTraite,8)</f>
        <v>4.5599999999999996</v>
      </c>
      <c r="G14" s="29">
        <f t="shared" ca="1" si="0"/>
        <v>14</v>
      </c>
      <c r="H14" s="32" t="str">
        <f ca="1">IF(ISNUMBER(N14),codeEAN13(INT(N14/10)),"")</f>
        <v>8APASOG*aacfig+</v>
      </c>
      <c r="J14" s="15">
        <f t="shared" si="1"/>
        <v>3</v>
      </c>
      <c r="L14" s="5" t="str">
        <f ca="1">INDEX(INDIRECT(zoneFichierTraite),$J14+offsetInitialFichierTraite,1)</f>
        <v>'003</v>
      </c>
      <c r="M14" s="11">
        <f ca="1">INDEX(INDIRECT(zoneFichierTraite),$J14+offsetInitialFichierTraite,9)</f>
        <v>13.68</v>
      </c>
      <c r="N14" s="14">
        <f ca="1">INDEX(INDIRECT(zoneFichierTraite),$J14+offsetInitialFichierTraite,3)</f>
        <v>8050846002586</v>
      </c>
      <c r="O14" s="1">
        <f ca="1">MATCH(N14,INDIRECT(nomFichierEAN13Valmag &amp; "!A:A"),0)</f>
        <v>76</v>
      </c>
      <c r="P14" s="1">
        <f ca="1">MATCH(R14,INDIRECT(nomFichierEAN13Valmag &amp; "!A:A"),0)</f>
        <v>76</v>
      </c>
      <c r="Q14" s="1">
        <f ca="1">MATCH(LEFT(B14,14) &amp; "*",INDIRECT(nomFichierEAN13Valmag &amp; "!B:B"),0)</f>
        <v>76</v>
      </c>
      <c r="R14" s="14">
        <f ca="1">IFERROR(INDEX(INDIRECT(zoneFichierEAN13Valmag),Q14,1),"")</f>
        <v>8050846002586</v>
      </c>
      <c r="S14" s="1">
        <f ca="1">MATCH(B14,INDIRECT(nomFichierFiltreCatalogue &amp; "!B:B"),0)</f>
        <v>155</v>
      </c>
      <c r="T14" s="14"/>
    </row>
    <row r="15" spans="1:20" s="20" customFormat="1" ht="15.75" customHeight="1" x14ac:dyDescent="0.25">
      <c r="A15" s="25">
        <f ca="1">INDEX(INDIRECT(zoneFichierTraite),$J14+offsetInitialFichierTraite,2)</f>
        <v>103</v>
      </c>
      <c r="B15" s="45" t="str">
        <f ca="1">IF(C15="", IFERROR(INDEX(INDIRECT(zoneFichierEAN13Valmag),$P14,3),""), "")</f>
        <v/>
      </c>
      <c r="C15" s="44" t="str">
        <f ca="1">IFERROR(INDEX(INDIRECT(zoneFichierEAN13Valmag),$O14,3),"")</f>
        <v>ANSE/TUB/ANNEAUX</v>
      </c>
      <c r="D15" s="19" t="str">
        <f ca="1">IFERROR(INDEX(INDIRECT(zoneFichierEAN13Valmag),$O14,4),"")</f>
        <v>BLACK</v>
      </c>
      <c r="E15" s="33" t="str">
        <f ca="1">IFERROR(INDEX(INDIRECT(zoneFichierFiltreCatalogue),S14,3),"")</f>
        <v>p032-1-03</v>
      </c>
      <c r="F15" s="19"/>
      <c r="G15" s="18"/>
      <c r="H15" s="34" t="str">
        <f ca="1">IFERROR(INDEX(INDIRECT(zoneFichierFiltreCatalogue),S14,6),"")</f>
        <v>fall 2019 presentation_/catalogo fall 19.txt</v>
      </c>
      <c r="R15" s="21"/>
      <c r="S15" s="21"/>
    </row>
    <row r="16" spans="1:20" ht="39" customHeight="1" thickBot="1" x14ac:dyDescent="0.65">
      <c r="A16" s="9" t="str">
        <f ca="1">INDEX(INDIRECT(zoneFichierTraite),$J16+offsetInitialFichierTraite,6)</f>
        <v>UNICA</v>
      </c>
      <c r="B16" s="5" t="str">
        <f ca="1">INDEX(INDIRECT(zoneFichierTraite),$J16+offsetInitialFichierTraite,4)</f>
        <v>HLESC901-ECS00-078</v>
      </c>
      <c r="C16" s="26" t="str">
        <f ca="1">INDEX(INDIRECT(zoneFichierTraite),$J16+offsetInitialFichierTraite,5)</f>
        <v>ANSES COURTES CHAINE EN " T " EN FAUX CUIR</v>
      </c>
      <c r="D16" s="27" t="str">
        <f ca="1">INDEX(INDIRECT(zoneFichierTraite),$J16+offsetInitialFichierTraite,13)</f>
        <v>sabbia + oro</v>
      </c>
      <c r="E16" s="30">
        <f ca="1">INDEX(INDIRECT(zoneFichierTraite),$J16+offsetInitialFichierTraite,7)</f>
        <v>2</v>
      </c>
      <c r="F16" s="28">
        <f ca="1">INDEX(INDIRECT(zoneFichierTraite),$J16+offsetInitialFichierTraite,8)</f>
        <v>10</v>
      </c>
      <c r="G16" s="29">
        <f t="shared" ca="1" si="0"/>
        <v>30</v>
      </c>
      <c r="H16" s="32" t="str">
        <f ca="1">IF(ISNUMBER(N16),codeEAN13(INT(N16/10)),"")</f>
        <v>8APASOG*aijfje+</v>
      </c>
      <c r="J16" s="15">
        <f t="shared" si="1"/>
        <v>4</v>
      </c>
      <c r="L16" s="5" t="str">
        <f ca="1">INDEX(INDIRECT(zoneFichierTraite),$J16+offsetInitialFichierTraite,1)</f>
        <v>'004</v>
      </c>
      <c r="M16" s="11">
        <f ca="1">INDEX(INDIRECT(zoneFichierTraite),$J16+offsetInitialFichierTraite,9)</f>
        <v>20</v>
      </c>
      <c r="N16" s="14">
        <f ca="1">INDEX(INDIRECT(zoneFichierTraite),$J16+offsetInitialFichierTraite,3)</f>
        <v>8050846089594</v>
      </c>
      <c r="O16" s="1">
        <f ca="1">MATCH(N16,INDIRECT(nomFichierEAN13Valmag &amp; "!A:A"),0)</f>
        <v>649</v>
      </c>
      <c r="P16" s="1">
        <f ca="1">MATCH(R16,INDIRECT(nomFichierEAN13Valmag &amp; "!A:A"),0)</f>
        <v>648</v>
      </c>
      <c r="Q16" s="1">
        <f ca="1">MATCH(LEFT(B16,14) &amp; "*",INDIRECT(nomFichierEAN13Valmag &amp; "!B:B"),0)</f>
        <v>648</v>
      </c>
      <c r="R16" s="14">
        <f ca="1">IFERROR(INDEX(INDIRECT(zoneFichierEAN13Valmag),Q16,1),"")</f>
        <v>8050846089587</v>
      </c>
      <c r="S16" s="1">
        <f ca="1">MATCH(B16,INDIRECT(nomFichierFiltreCatalogue &amp; "!B:B"),0)</f>
        <v>149</v>
      </c>
      <c r="T16" s="14"/>
    </row>
    <row r="17" spans="1:20" s="20" customFormat="1" ht="15.75" customHeight="1" x14ac:dyDescent="0.25">
      <c r="A17" s="25">
        <f ca="1">INDEX(INDIRECT(zoneFichierTraite),$J16+offsetInitialFichierTraite,2)</f>
        <v>15</v>
      </c>
      <c r="B17" s="45" t="str">
        <f ca="1">IF(C17="", IFERROR(INDEX(INDIRECT(zoneFichierEAN13Valmag),$P16,3),""), "")</f>
        <v/>
      </c>
      <c r="C17" s="44" t="str">
        <f ca="1">IFERROR(INDEX(INDIRECT(zoneFichierEAN13Valmag),$O16,3),"")</f>
        <v xml:space="preserve"> </v>
      </c>
      <c r="D17" s="19" t="str">
        <f ca="1">IFERROR(INDEX(INDIRECT(zoneFichierEAN13Valmag),$O16,4),"")</f>
        <v xml:space="preserve"> </v>
      </c>
      <c r="E17" s="33" t="str">
        <f ca="1">IFERROR(INDEX(INDIRECT(zoneFichierFiltreCatalogue),S16,3),"")</f>
        <v>p031-1-01</v>
      </c>
      <c r="F17" s="19"/>
      <c r="G17" s="18"/>
      <c r="H17" s="34" t="str">
        <f ca="1">IFERROR(INDEX(INDIRECT(zoneFichierFiltreCatalogue),S16,6),"")</f>
        <v>fall 2019 presentation_/catalogo fall 19.txt</v>
      </c>
      <c r="R17" s="21"/>
      <c r="S17" s="21"/>
    </row>
    <row r="18" spans="1:20" ht="39" customHeight="1" thickBot="1" x14ac:dyDescent="0.65">
      <c r="A18" s="9" t="str">
        <f ca="1">INDEX(INDIRECT(zoneFichierTraite),$J18+offsetInitialFichierTraite,6)</f>
        <v>UNICA</v>
      </c>
      <c r="B18" s="5" t="str">
        <f ca="1">INDEX(INDIRECT(zoneFichierTraite),$J18+offsetInitialFichierTraite,4)</f>
        <v>HLESC901-ECS00-615</v>
      </c>
      <c r="C18" s="26" t="str">
        <f ca="1">INDEX(INDIRECT(zoneFichierTraite),$J18+offsetInitialFichierTraite,5)</f>
        <v>ANSES COURTES CHAINE EN " T " EN FAUX CUIR</v>
      </c>
      <c r="D18" s="27" t="str">
        <f ca="1">INDEX(INDIRECT(zoneFichierTraite),$J18+offsetInitialFichierTraite,13)</f>
        <v>military + oro</v>
      </c>
      <c r="E18" s="30">
        <f ca="1">INDEX(INDIRECT(zoneFichierTraite),$J18+offsetInitialFichierTraite,7)</f>
        <v>2</v>
      </c>
      <c r="F18" s="28">
        <f ca="1">INDEX(INDIRECT(zoneFichierTraite),$J18+offsetInitialFichierTraite,8)</f>
        <v>10</v>
      </c>
      <c r="G18" s="29">
        <f t="shared" ca="1" si="0"/>
        <v>30</v>
      </c>
      <c r="H18" s="32" t="str">
        <f ca="1">IF(ISNUMBER(N18),codeEAN13(INT(N18/10)),"")</f>
        <v>8APASOG*aijfih+</v>
      </c>
      <c r="J18" s="15">
        <f t="shared" si="1"/>
        <v>5</v>
      </c>
      <c r="L18" s="5" t="str">
        <f ca="1">INDEX(INDIRECT(zoneFichierTraite),$J18+offsetInitialFichierTraite,1)</f>
        <v>'005</v>
      </c>
      <c r="M18" s="11">
        <f ca="1">INDEX(INDIRECT(zoneFichierTraite),$J18+offsetInitialFichierTraite,9)</f>
        <v>20</v>
      </c>
      <c r="N18" s="14">
        <f ca="1">INDEX(INDIRECT(zoneFichierTraite),$J18+offsetInitialFichierTraite,3)</f>
        <v>8050846089587</v>
      </c>
      <c r="O18" s="1">
        <f ca="1">MATCH(N18,INDIRECT(nomFichierEAN13Valmag &amp; "!A:A"),0)</f>
        <v>648</v>
      </c>
      <c r="P18" s="1">
        <f ca="1">MATCH(R18,INDIRECT(nomFichierEAN13Valmag &amp; "!A:A"),0)</f>
        <v>648</v>
      </c>
      <c r="Q18" s="1">
        <f ca="1">MATCH(LEFT(B18,14) &amp; "*",INDIRECT(nomFichierEAN13Valmag &amp; "!B:B"),0)</f>
        <v>648</v>
      </c>
      <c r="R18" s="14">
        <f ca="1">IFERROR(INDEX(INDIRECT(zoneFichierEAN13Valmag),Q18,1),"")</f>
        <v>8050846089587</v>
      </c>
      <c r="S18" s="1">
        <f ca="1">MATCH(B18,INDIRECT(nomFichierFiltreCatalogue &amp; "!B:B"),0)</f>
        <v>150</v>
      </c>
      <c r="T18" s="14"/>
    </row>
    <row r="19" spans="1:20" s="20" customFormat="1" ht="15.75" customHeight="1" x14ac:dyDescent="0.25">
      <c r="A19" s="25">
        <f ca="1">INDEX(INDIRECT(zoneFichierTraite),$J18+offsetInitialFichierTraite,2)</f>
        <v>90</v>
      </c>
      <c r="B19" s="45" t="str">
        <f ca="1">IF(C19="", IFERROR(INDEX(INDIRECT(zoneFichierEAN13Valmag),$P18,3),""), "")</f>
        <v/>
      </c>
      <c r="C19" s="44" t="str">
        <f ca="1">IFERROR(INDEX(INDIRECT(zoneFichierEAN13Valmag),$O18,3),"")</f>
        <v xml:space="preserve"> </v>
      </c>
      <c r="D19" s="19" t="str">
        <f ca="1">IFERROR(INDEX(INDIRECT(zoneFichierEAN13Valmag),$O18,4),"")</f>
        <v xml:space="preserve"> </v>
      </c>
      <c r="E19" s="33" t="str">
        <f ca="1">IFERROR(INDEX(INDIRECT(zoneFichierFiltreCatalogue),S18,3),"")</f>
        <v>p031-1-02</v>
      </c>
      <c r="F19" s="19"/>
      <c r="G19" s="18"/>
      <c r="H19" s="34" t="str">
        <f ca="1">IFERROR(INDEX(INDIRECT(zoneFichierFiltreCatalogue),S18,6),"")</f>
        <v>fall 2019 presentation_/catalogo fall 19.txt</v>
      </c>
      <c r="R19" s="21"/>
      <c r="S19" s="21"/>
    </row>
    <row r="20" spans="1:20" ht="39" customHeight="1" thickBot="1" x14ac:dyDescent="0.65">
      <c r="A20" s="9" t="str">
        <f ca="1">INDEX(INDIRECT(zoneFichierTraite),$J20+offsetInitialFichierTraite,6)</f>
        <v>UNICA</v>
      </c>
      <c r="B20" s="5" t="str">
        <f ca="1">INDEX(INDIRECT(zoneFichierTraite),$J20+offsetInitialFichierTraite,4)</f>
        <v>HLESC901-ECS07-055</v>
      </c>
      <c r="C20" s="26" t="str">
        <f ca="1">INDEX(INDIRECT(zoneFichierTraite),$J20+offsetInitialFichierTraite,5)</f>
        <v>ANSES COURTES CHAINE EN " T " EN FAUX CUIR EFFET GRIFFE</v>
      </c>
      <c r="D20" s="27" t="str">
        <f ca="1">INDEX(INDIRECT(zoneFichierTraite),$J20+offsetInitialFichierTraite,13)</f>
        <v>nero + argento</v>
      </c>
      <c r="E20" s="30">
        <f ca="1">INDEX(INDIRECT(zoneFichierTraite),$J20+offsetInitialFichierTraite,7)</f>
        <v>2</v>
      </c>
      <c r="F20" s="28">
        <f ca="1">INDEX(INDIRECT(zoneFichierTraite),$J20+offsetInitialFichierTraite,8)</f>
        <v>10</v>
      </c>
      <c r="G20" s="29">
        <f t="shared" ca="1" si="0"/>
        <v>30</v>
      </c>
      <c r="H20" s="32" t="str">
        <f ca="1">IF(ISNUMBER(N20),codeEAN13(INT(N20/10)),"")</f>
        <v>8APASOG*aijfha+</v>
      </c>
      <c r="J20" s="15">
        <f t="shared" si="1"/>
        <v>6</v>
      </c>
      <c r="L20" s="5" t="str">
        <f ca="1">INDEX(INDIRECT(zoneFichierTraite),$J20+offsetInitialFichierTraite,1)</f>
        <v>'006</v>
      </c>
      <c r="M20" s="11">
        <f ca="1">INDEX(INDIRECT(zoneFichierTraite),$J20+offsetInitialFichierTraite,9)</f>
        <v>20</v>
      </c>
      <c r="N20" s="14">
        <f ca="1">INDEX(INDIRECT(zoneFichierTraite),$J20+offsetInitialFichierTraite,3)</f>
        <v>8050846089570</v>
      </c>
      <c r="O20" s="1">
        <f ca="1">MATCH(N20,INDIRECT(nomFichierEAN13Valmag &amp; "!A:A"),0)</f>
        <v>647</v>
      </c>
      <c r="P20" s="1">
        <f ca="1">MATCH(R20,INDIRECT(nomFichierEAN13Valmag &amp; "!A:A"),0)</f>
        <v>646</v>
      </c>
      <c r="Q20" s="1">
        <f ca="1">MATCH(LEFT(B20,14) &amp; "*",INDIRECT(nomFichierEAN13Valmag &amp; "!B:B"),0)</f>
        <v>646</v>
      </c>
      <c r="R20" s="14">
        <f ca="1">IFERROR(INDEX(INDIRECT(zoneFichierEAN13Valmag),Q20,1),"")</f>
        <v>8050846089563</v>
      </c>
      <c r="S20" s="1">
        <f ca="1">MATCH(B20,INDIRECT(nomFichierFiltreCatalogue &amp; "!B:B"),0)</f>
        <v>151</v>
      </c>
      <c r="T20" s="14"/>
    </row>
    <row r="21" spans="1:20" s="20" customFormat="1" ht="15.75" customHeight="1" x14ac:dyDescent="0.25">
      <c r="A21" s="25">
        <f ca="1">INDEX(INDIRECT(zoneFichierTraite),$J20+offsetInitialFichierTraite,2)</f>
        <v>181</v>
      </c>
      <c r="B21" s="45" t="str">
        <f ca="1">IF(C21="", IFERROR(INDEX(INDIRECT(zoneFichierEAN13Valmag),$P20,3),""), "")</f>
        <v/>
      </c>
      <c r="C21" s="44" t="str">
        <f ca="1">IFERROR(INDEX(INDIRECT(zoneFichierEAN13Valmag),$O20,3),"")</f>
        <v xml:space="preserve"> </v>
      </c>
      <c r="D21" s="19" t="str">
        <f ca="1">IFERROR(INDEX(INDIRECT(zoneFichierEAN13Valmag),$O20,4),"")</f>
        <v xml:space="preserve"> </v>
      </c>
      <c r="E21" s="33" t="str">
        <f ca="1">IFERROR(INDEX(INDIRECT(zoneFichierFiltreCatalogue),S20,3),"")</f>
        <v>p031-2-01</v>
      </c>
      <c r="F21" s="19"/>
      <c r="G21" s="18"/>
      <c r="H21" s="34" t="str">
        <f ca="1">IFERROR(INDEX(INDIRECT(zoneFichierFiltreCatalogue),S20,6),"")</f>
        <v>fall 2019 presentation_/catalogo fall 19.txt</v>
      </c>
      <c r="R21" s="21"/>
      <c r="S21" s="21"/>
    </row>
    <row r="22" spans="1:20" ht="39" customHeight="1" thickBot="1" x14ac:dyDescent="0.65">
      <c r="A22" s="9" t="str">
        <f ca="1">INDEX(INDIRECT(zoneFichierTraite),$J22+offsetInitialFichierTraite,6)</f>
        <v>UNICA</v>
      </c>
      <c r="B22" s="5" t="str">
        <f ca="1">INDEX(INDIRECT(zoneFichierTraite),$J22+offsetInitialFichierTraite,4)</f>
        <v>HLESC901-ECS07-371</v>
      </c>
      <c r="C22" s="26" t="str">
        <f ca="1">INDEX(INDIRECT(zoneFichierTraite),$J22+offsetInitialFichierTraite,5)</f>
        <v>ANSES COURTES CHAINE EN " T " EN FAUX CUIR EFFET GRIFFE</v>
      </c>
      <c r="D22" s="27" t="str">
        <f ca="1">INDEX(INDIRECT(zoneFichierTraite),$J22+offsetInitialFichierTraite,13)</f>
        <v>latte + argento</v>
      </c>
      <c r="E22" s="30">
        <f ca="1">INDEX(INDIRECT(zoneFichierTraite),$J22+offsetInitialFichierTraite,7)</f>
        <v>2</v>
      </c>
      <c r="F22" s="28">
        <f ca="1">INDEX(INDIRECT(zoneFichierTraite),$J22+offsetInitialFichierTraite,8)</f>
        <v>10</v>
      </c>
      <c r="G22" s="29">
        <f t="shared" ca="1" si="0"/>
        <v>30</v>
      </c>
      <c r="H22" s="32" t="str">
        <f ca="1">IF(ISNUMBER(N22),codeEAN13(INT(N22/10)),"")</f>
        <v>8APASOG*aijfgd+</v>
      </c>
      <c r="J22" s="15">
        <f t="shared" si="1"/>
        <v>7</v>
      </c>
      <c r="L22" s="5" t="str">
        <f ca="1">INDEX(INDIRECT(zoneFichierTraite),$J22+offsetInitialFichierTraite,1)</f>
        <v>'007</v>
      </c>
      <c r="M22" s="11">
        <f ca="1">INDEX(INDIRECT(zoneFichierTraite),$J22+offsetInitialFichierTraite,9)</f>
        <v>20</v>
      </c>
      <c r="N22" s="14">
        <f ca="1">INDEX(INDIRECT(zoneFichierTraite),$J22+offsetInitialFichierTraite,3)</f>
        <v>8050846089563</v>
      </c>
      <c r="O22" s="1">
        <f ca="1">MATCH(N22,INDIRECT(nomFichierEAN13Valmag &amp; "!A:A"),0)</f>
        <v>646</v>
      </c>
      <c r="P22" s="1">
        <f ca="1">MATCH(R22,INDIRECT(nomFichierEAN13Valmag &amp; "!A:A"),0)</f>
        <v>646</v>
      </c>
      <c r="Q22" s="1">
        <f ca="1">MATCH(LEFT(B22,14) &amp; "*",INDIRECT(nomFichierEAN13Valmag &amp; "!B:B"),0)</f>
        <v>646</v>
      </c>
      <c r="R22" s="14">
        <f ca="1">IFERROR(INDEX(INDIRECT(zoneFichierEAN13Valmag),Q22,1),"")</f>
        <v>8050846089563</v>
      </c>
      <c r="S22" s="1">
        <f ca="1">MATCH(B22,INDIRECT(nomFichierFiltreCatalogue &amp; "!B:B"),0)</f>
        <v>152</v>
      </c>
      <c r="T22" s="14"/>
    </row>
    <row r="23" spans="1:20" s="20" customFormat="1" ht="15.75" customHeight="1" x14ac:dyDescent="0.25">
      <c r="A23" s="25">
        <f ca="1">INDEX(INDIRECT(zoneFichierTraite),$J22+offsetInitialFichierTraite,2)</f>
        <v>1</v>
      </c>
      <c r="B23" s="45" t="str">
        <f ca="1">IF(C23="", IFERROR(INDEX(INDIRECT(zoneFichierEAN13Valmag),$P22,3),""), "")</f>
        <v/>
      </c>
      <c r="C23" s="44" t="str">
        <f ca="1">IFERROR(INDEX(INDIRECT(zoneFichierEAN13Valmag),$O22,3),"")</f>
        <v xml:space="preserve"> </v>
      </c>
      <c r="D23" s="19" t="str">
        <f ca="1">IFERROR(INDEX(INDIRECT(zoneFichierEAN13Valmag),$O22,4),"")</f>
        <v xml:space="preserve"> </v>
      </c>
      <c r="E23" s="33" t="str">
        <f ca="1">IFERROR(INDEX(INDIRECT(zoneFichierFiltreCatalogue),S22,3),"")</f>
        <v>p031-2-02</v>
      </c>
      <c r="F23" s="19"/>
      <c r="G23" s="18"/>
      <c r="H23" s="34" t="str">
        <f ca="1">IFERROR(INDEX(INDIRECT(zoneFichierFiltreCatalogue),S22,6),"")</f>
        <v>fall 2019 presentation_/catalogo fall 19.txt</v>
      </c>
      <c r="R23" s="21"/>
      <c r="S23" s="21"/>
    </row>
    <row r="24" spans="1:20" ht="39" customHeight="1" thickBot="1" x14ac:dyDescent="0.65">
      <c r="A24" s="9" t="str">
        <f ca="1">INDEX(INDIRECT(zoneFichierTraite),$J24+offsetInitialFichierTraite,6)</f>
        <v>UNICA</v>
      </c>
      <c r="B24" s="5" t="str">
        <f ca="1">INDEX(INDIRECT(zoneFichierTraite),$J24+offsetInitialFichierTraite,4)</f>
        <v>HLESCE01-ECS00-017</v>
      </c>
      <c r="C24" s="26" t="str">
        <f ca="1">INDEX(INDIRECT(zoneFichierTraite),$J24+offsetInitialFichierTraite,5)</f>
        <v>ANSES DOUBLE CHAINE EN " T " EN FAUX CUIR</v>
      </c>
      <c r="D24" s="27" t="str">
        <f ca="1">INDEX(INDIRECT(zoneFichierTraite),$J24+offsetInitialFichierTraite,13)</f>
        <v>blu navy + oro</v>
      </c>
      <c r="E24" s="30">
        <f ca="1">INDEX(INDIRECT(zoneFichierTraite),$J24+offsetInitialFichierTraite,7)</f>
        <v>3</v>
      </c>
      <c r="F24" s="28">
        <f ca="1">INDEX(INDIRECT(zoneFichierTraite),$J24+offsetInitialFichierTraite,8)</f>
        <v>12.66</v>
      </c>
      <c r="G24" s="29">
        <f t="shared" ca="1" si="0"/>
        <v>38</v>
      </c>
      <c r="H24" s="32" t="str">
        <f ca="1">IF(ISNUMBER(N24),codeEAN13(INT(N24/10)),"")</f>
        <v>8APASOG*adfbcg+</v>
      </c>
      <c r="J24" s="15">
        <f t="shared" si="1"/>
        <v>8</v>
      </c>
      <c r="L24" s="5" t="str">
        <f ca="1">INDEX(INDIRECT(zoneFichierTraite),$J24+offsetInitialFichierTraite,1)</f>
        <v>'008</v>
      </c>
      <c r="M24" s="11">
        <f ca="1">INDEX(INDIRECT(zoneFichierTraite),$J24+offsetInitialFichierTraite,9)</f>
        <v>37.979999999999997</v>
      </c>
      <c r="N24" s="14">
        <f ca="1">INDEX(INDIRECT(zoneFichierTraite),$J24+offsetInitialFichierTraite,3)</f>
        <v>8050846035126</v>
      </c>
      <c r="O24" s="1">
        <f ca="1">MATCH(N24,INDIRECT(nomFichierEAN13Valmag &amp; "!A:A"),0)</f>
        <v>191</v>
      </c>
      <c r="P24" s="1">
        <f ca="1">MATCH(R24,INDIRECT(nomFichierEAN13Valmag &amp; "!A:A"),0)</f>
        <v>191</v>
      </c>
      <c r="Q24" s="1">
        <f ca="1">MATCH(LEFT(B24,14) &amp; "*",INDIRECT(nomFichierEAN13Valmag &amp; "!B:B"),0)</f>
        <v>191</v>
      </c>
      <c r="R24" s="14">
        <f ca="1">IFERROR(INDEX(INDIRECT(zoneFichierEAN13Valmag),Q24,1),"")</f>
        <v>8050846035126</v>
      </c>
      <c r="S24" s="1">
        <f ca="1">MATCH(B24,INDIRECT(nomFichierFiltreCatalogue &amp; "!B:B"),0)</f>
        <v>135</v>
      </c>
      <c r="T24" s="14"/>
    </row>
    <row r="25" spans="1:20" s="20" customFormat="1" ht="15.75" customHeight="1" x14ac:dyDescent="0.25">
      <c r="A25" s="25">
        <f ca="1">INDEX(INDIRECT(zoneFichierTraite),$J24+offsetInitialFichierTraite,2)</f>
        <v>7</v>
      </c>
      <c r="B25" s="45" t="str">
        <f ca="1">IF(C25="", IFERROR(INDEX(INDIRECT(zoneFichierEAN13Valmag),$P24,3),""), "")</f>
        <v/>
      </c>
      <c r="C25" s="44" t="str">
        <f ca="1">IFERROR(INDEX(INDIRECT(zoneFichierEAN13Valmag),$O24,3),"")</f>
        <v>ANSES/DOUBLECHAI</v>
      </c>
      <c r="D25" s="19" t="str">
        <f ca="1">IFERROR(INDEX(INDIRECT(zoneFichierEAN13Valmag),$O24,4),"")</f>
        <v xml:space="preserve">NAVY </v>
      </c>
      <c r="E25" s="33" t="str">
        <f ca="1">IFERROR(INDEX(INDIRECT(zoneFichierFiltreCatalogue),S24,3),"")</f>
        <v>p028-2-01</v>
      </c>
      <c r="F25" s="19"/>
      <c r="G25" s="18"/>
      <c r="H25" s="34" t="str">
        <f ca="1">IFERROR(INDEX(INDIRECT(zoneFichierFiltreCatalogue),S24,6),"")</f>
        <v>fall 2019 presentation_/catalogo fall 19.txt</v>
      </c>
      <c r="R25" s="21"/>
      <c r="S25" s="21"/>
    </row>
    <row r="26" spans="1:20" ht="39" customHeight="1" thickBot="1" x14ac:dyDescent="0.65">
      <c r="A26" s="9" t="str">
        <f ca="1">INDEX(INDIRECT(zoneFichierTraite),$J26+offsetInitialFichierTraite,6)</f>
        <v>UNICA</v>
      </c>
      <c r="B26" s="5" t="str">
        <f ca="1">INDEX(INDIRECT(zoneFichierTraite),$J26+offsetInitialFichierTraite,4)</f>
        <v>HLESCE01-ECS00-055</v>
      </c>
      <c r="C26" s="26" t="str">
        <f ca="1">INDEX(INDIRECT(zoneFichierTraite),$J26+offsetInitialFichierTraite,5)</f>
        <v>ANSES DOUBLE CHAINE EN " T " EN FAUX CUIR</v>
      </c>
      <c r="D26" s="27" t="str">
        <f ca="1">INDEX(INDIRECT(zoneFichierTraite),$J26+offsetInitialFichierTraite,13)</f>
        <v>nero + argento</v>
      </c>
      <c r="E26" s="30">
        <f ca="1">INDEX(INDIRECT(zoneFichierTraite),$J26+offsetInitialFichierTraite,7)</f>
        <v>6</v>
      </c>
      <c r="F26" s="28">
        <f ca="1">INDEX(INDIRECT(zoneFichierTraite),$J26+offsetInitialFichierTraite,8)</f>
        <v>12.66</v>
      </c>
      <c r="G26" s="29">
        <f t="shared" ca="1" si="0"/>
        <v>38</v>
      </c>
      <c r="H26" s="32" t="str">
        <f ca="1">IF(ISNUMBER(N26),codeEAN13(INT(N26/10)),"")</f>
        <v>8APASOG*adfbdd+</v>
      </c>
      <c r="J26" s="15">
        <f t="shared" si="1"/>
        <v>9</v>
      </c>
      <c r="L26" s="5" t="str">
        <f ca="1">INDEX(INDIRECT(zoneFichierTraite),$J26+offsetInitialFichierTraite,1)</f>
        <v>'009</v>
      </c>
      <c r="M26" s="11">
        <f ca="1">INDEX(INDIRECT(zoneFichierTraite),$J26+offsetInitialFichierTraite,9)</f>
        <v>75.959999999999994</v>
      </c>
      <c r="N26" s="14">
        <f ca="1">INDEX(INDIRECT(zoneFichierTraite),$J26+offsetInitialFichierTraite,3)</f>
        <v>8050846035133</v>
      </c>
      <c r="O26" s="1">
        <f ca="1">MATCH(N26,INDIRECT(nomFichierEAN13Valmag &amp; "!A:A"),0)</f>
        <v>192</v>
      </c>
      <c r="P26" s="1">
        <f ca="1">MATCH(R26,INDIRECT(nomFichierEAN13Valmag &amp; "!A:A"),0)</f>
        <v>191</v>
      </c>
      <c r="Q26" s="1">
        <f ca="1">MATCH(LEFT(B26,14) &amp; "*",INDIRECT(nomFichierEAN13Valmag &amp; "!B:B"),0)</f>
        <v>191</v>
      </c>
      <c r="R26" s="14">
        <f ca="1">IFERROR(INDEX(INDIRECT(zoneFichierEAN13Valmag),Q26,1),"")</f>
        <v>8050846035126</v>
      </c>
      <c r="S26" s="1">
        <f ca="1">MATCH(B26,INDIRECT(nomFichierFiltreCatalogue &amp; "!B:B"),0)</f>
        <v>138</v>
      </c>
      <c r="T26" s="14"/>
    </row>
    <row r="27" spans="1:20" s="20" customFormat="1" ht="15.75" customHeight="1" x14ac:dyDescent="0.25">
      <c r="A27" s="25">
        <f ca="1">INDEX(INDIRECT(zoneFichierTraite),$J26+offsetInitialFichierTraite,2)</f>
        <v>76</v>
      </c>
      <c r="B27" s="45" t="str">
        <f ca="1">IF(C27="", IFERROR(INDEX(INDIRECT(zoneFichierEAN13Valmag),$P26,3),""), "")</f>
        <v/>
      </c>
      <c r="C27" s="44" t="str">
        <f ca="1">IFERROR(INDEX(INDIRECT(zoneFichierEAN13Valmag),$O26,3),"")</f>
        <v>ANSES/DOUBLECHAI</v>
      </c>
      <c r="D27" s="19" t="str">
        <f ca="1">IFERROR(INDEX(INDIRECT(zoneFichierEAN13Valmag),$O26,4),"")</f>
        <v>BLACK</v>
      </c>
      <c r="E27" s="33" t="str">
        <f ca="1">IFERROR(INDEX(INDIRECT(zoneFichierFiltreCatalogue),S26,3),"")</f>
        <v>p028-2-04</v>
      </c>
      <c r="F27" s="19"/>
      <c r="G27" s="18"/>
      <c r="H27" s="34" t="str">
        <f ca="1">IFERROR(INDEX(INDIRECT(zoneFichierFiltreCatalogue),S26,6),"")</f>
        <v>fall 2019 presentation_/catalogo fall 19.txt</v>
      </c>
      <c r="R27" s="21"/>
      <c r="S27" s="21"/>
    </row>
    <row r="28" spans="1:20" ht="39" customHeight="1" thickBot="1" x14ac:dyDescent="0.65">
      <c r="A28" s="9" t="str">
        <f ca="1">INDEX(INDIRECT(zoneFichierTraite),$J28+offsetInitialFichierTraite,6)</f>
        <v>UNICA</v>
      </c>
      <c r="B28" s="5" t="str">
        <f ca="1">INDEX(INDIRECT(zoneFichierTraite),$J28+offsetInitialFichierTraite,4)</f>
        <v>HLESCE01-ECS00-612</v>
      </c>
      <c r="C28" s="26" t="str">
        <f ca="1">INDEX(INDIRECT(zoneFichierTraite),$J28+offsetInitialFichierTraite,5)</f>
        <v>ANSES DOUBLE CHAINE EN " T " EN FAUX CUIR</v>
      </c>
      <c r="D28" s="27" t="str">
        <f ca="1">INDEX(INDIRECT(zoneFichierTraite),$J28+offsetInitialFichierTraite,13)</f>
        <v>blu navy + argento</v>
      </c>
      <c r="E28" s="30">
        <f ca="1">INDEX(INDIRECT(zoneFichierTraite),$J28+offsetInitialFichierTraite,7)</f>
        <v>3</v>
      </c>
      <c r="F28" s="28">
        <f ca="1">INDEX(INDIRECT(zoneFichierTraite),$J28+offsetInitialFichierTraite,8)</f>
        <v>12.66</v>
      </c>
      <c r="G28" s="29">
        <f t="shared" ca="1" si="0"/>
        <v>38</v>
      </c>
      <c r="H28" s="32" t="str">
        <f ca="1">IF(ISNUMBER(N28),codeEAN13(INT(N28/10)),"")</f>
        <v>8APASOG*aigebi+</v>
      </c>
      <c r="J28" s="15">
        <f t="shared" si="1"/>
        <v>10</v>
      </c>
      <c r="L28" s="5" t="str">
        <f ca="1">INDEX(INDIRECT(zoneFichierTraite),$J28+offsetInitialFichierTraite,1)</f>
        <v>'010</v>
      </c>
      <c r="M28" s="11">
        <f ca="1">INDEX(INDIRECT(zoneFichierTraite),$J28+offsetInitialFichierTraite,9)</f>
        <v>37.979999999999997</v>
      </c>
      <c r="N28" s="14">
        <f ca="1">INDEX(INDIRECT(zoneFichierTraite),$J28+offsetInitialFichierTraite,3)</f>
        <v>8050846086418</v>
      </c>
      <c r="O28" s="1">
        <f ca="1">MATCH(N28,INDIRECT(nomFichierEAN13Valmag &amp; "!A:A"),0)</f>
        <v>645</v>
      </c>
      <c r="P28" s="1">
        <f ca="1">MATCH(R28,INDIRECT(nomFichierEAN13Valmag &amp; "!A:A"),0)</f>
        <v>191</v>
      </c>
      <c r="Q28" s="1">
        <f ca="1">MATCH(LEFT(B28,14) &amp; "*",INDIRECT(nomFichierEAN13Valmag &amp; "!B:B"),0)</f>
        <v>191</v>
      </c>
      <c r="R28" s="14">
        <f ca="1">IFERROR(INDEX(INDIRECT(zoneFichierEAN13Valmag),Q28,1),"")</f>
        <v>8050846035126</v>
      </c>
      <c r="S28" s="1">
        <f ca="1">MATCH(B28,INDIRECT(nomFichierFiltreCatalogue &amp; "!B:B"),0)</f>
        <v>137</v>
      </c>
      <c r="T28" s="14"/>
    </row>
    <row r="29" spans="1:20" s="20" customFormat="1" ht="15.75" customHeight="1" x14ac:dyDescent="0.25">
      <c r="A29" s="25">
        <f ca="1">INDEX(INDIRECT(zoneFichierTraite),$J28+offsetInitialFichierTraite,2)</f>
        <v>168</v>
      </c>
      <c r="B29" s="45" t="str">
        <f ca="1">IF(C29="", IFERROR(INDEX(INDIRECT(zoneFichierEAN13Valmag),$P28,3),""), "")</f>
        <v/>
      </c>
      <c r="C29" s="44" t="str">
        <f ca="1">IFERROR(INDEX(INDIRECT(zoneFichierEAN13Valmag),$O28,3),"")</f>
        <v xml:space="preserve"> </v>
      </c>
      <c r="D29" s="19" t="str">
        <f ca="1">IFERROR(INDEX(INDIRECT(zoneFichierEAN13Valmag),$O28,4),"")</f>
        <v xml:space="preserve"> </v>
      </c>
      <c r="E29" s="33" t="str">
        <f ca="1">IFERROR(INDEX(INDIRECT(zoneFichierFiltreCatalogue),S28,3),"")</f>
        <v>p028-2-03</v>
      </c>
      <c r="F29" s="19"/>
      <c r="G29" s="18"/>
      <c r="H29" s="34" t="str">
        <f ca="1">IFERROR(INDEX(INDIRECT(zoneFichierFiltreCatalogue),S28,6),"")</f>
        <v>fall 2019 presentation_/catalogo fall 19.txt</v>
      </c>
      <c r="R29" s="21"/>
      <c r="S29" s="21"/>
    </row>
    <row r="30" spans="1:20" ht="39" customHeight="1" thickBot="1" x14ac:dyDescent="0.65">
      <c r="A30" s="9" t="str">
        <f ca="1">INDEX(INDIRECT(zoneFichierTraite),$J30+offsetInitialFichierTraite,6)</f>
        <v>UNICA</v>
      </c>
      <c r="B30" s="5" t="str">
        <f ca="1">INDEX(INDIRECT(zoneFichierTraite),$J30+offsetInitialFichierTraite,4)</f>
        <v>HLESCE01-ECS00-613</v>
      </c>
      <c r="C30" s="26" t="str">
        <f ca="1">INDEX(INDIRECT(zoneFichierTraite),$J30+offsetInitialFichierTraite,5)</f>
        <v>ANSES DOUBLE CHAINE EN " T " EN FAUX CUIR</v>
      </c>
      <c r="D30" s="27" t="str">
        <f ca="1">INDEX(INDIRECT(zoneFichierTraite),$J30+offsetInitialFichierTraite,13)</f>
        <v>cuoio + argento</v>
      </c>
      <c r="E30" s="30">
        <f ca="1">INDEX(INDIRECT(zoneFichierTraite),$J30+offsetInitialFichierTraite,7)</f>
        <v>6</v>
      </c>
      <c r="F30" s="28">
        <f ca="1">INDEX(INDIRECT(zoneFichierTraite),$J30+offsetInitialFichierTraite,8)</f>
        <v>12.66</v>
      </c>
      <c r="G30" s="29">
        <f t="shared" ca="1" si="0"/>
        <v>38</v>
      </c>
      <c r="H30" s="32" t="str">
        <f ca="1">IF(ISNUMBER(N30),codeEAN13(INT(N30/10)),"")</f>
        <v>8APASOG*aigeab+</v>
      </c>
      <c r="J30" s="15">
        <f t="shared" si="1"/>
        <v>11</v>
      </c>
      <c r="L30" s="5" t="str">
        <f ca="1">INDEX(INDIRECT(zoneFichierTraite),$J30+offsetInitialFichierTraite,1)</f>
        <v>'011</v>
      </c>
      <c r="M30" s="11">
        <f ca="1">INDEX(INDIRECT(zoneFichierTraite),$J30+offsetInitialFichierTraite,9)</f>
        <v>75.959999999999994</v>
      </c>
      <c r="N30" s="14">
        <f ca="1">INDEX(INDIRECT(zoneFichierTraite),$J30+offsetInitialFichierTraite,3)</f>
        <v>8050846086401</v>
      </c>
      <c r="O30" s="1">
        <f ca="1">MATCH(N30,INDIRECT(nomFichierEAN13Valmag &amp; "!A:A"),0)</f>
        <v>644</v>
      </c>
      <c r="P30" s="1">
        <f ca="1">MATCH(R30,INDIRECT(nomFichierEAN13Valmag &amp; "!A:A"),0)</f>
        <v>191</v>
      </c>
      <c r="Q30" s="1">
        <f ca="1">MATCH(LEFT(B30,14) &amp; "*",INDIRECT(nomFichierEAN13Valmag &amp; "!B:B"),0)</f>
        <v>191</v>
      </c>
      <c r="R30" s="14">
        <f ca="1">IFERROR(INDEX(INDIRECT(zoneFichierEAN13Valmag),Q30,1),"")</f>
        <v>8050846035126</v>
      </c>
      <c r="S30" s="1">
        <f ca="1">MATCH(B30,INDIRECT(nomFichierFiltreCatalogue &amp; "!B:B"),0)</f>
        <v>139</v>
      </c>
      <c r="T30" s="14"/>
    </row>
    <row r="31" spans="1:20" s="20" customFormat="1" ht="15.75" customHeight="1" x14ac:dyDescent="0.25">
      <c r="A31" s="25">
        <f ca="1">INDEX(INDIRECT(zoneFichierTraite),$J30+offsetInitialFichierTraite,2)</f>
        <v>87</v>
      </c>
      <c r="B31" s="45" t="str">
        <f ca="1">IF(C31="", IFERROR(INDEX(INDIRECT(zoneFichierEAN13Valmag),$P30,3),""), "")</f>
        <v/>
      </c>
      <c r="C31" s="44" t="str">
        <f ca="1">IFERROR(INDEX(INDIRECT(zoneFichierEAN13Valmag),$O30,3),"")</f>
        <v xml:space="preserve"> </v>
      </c>
      <c r="D31" s="19" t="str">
        <f ca="1">IFERROR(INDEX(INDIRECT(zoneFichierEAN13Valmag),$O30,4),"")</f>
        <v xml:space="preserve"> </v>
      </c>
      <c r="E31" s="33" t="str">
        <f ca="1">IFERROR(INDEX(INDIRECT(zoneFichierFiltreCatalogue),S30,3),"")</f>
        <v>p028-2-05</v>
      </c>
      <c r="F31" s="19"/>
      <c r="G31" s="18"/>
      <c r="H31" s="34" t="str">
        <f ca="1">IFERROR(INDEX(INDIRECT(zoneFichierFiltreCatalogue),S30,6),"")</f>
        <v>fall 2019 presentation_/catalogo fall 19.txt</v>
      </c>
      <c r="R31" s="21"/>
      <c r="S31" s="21"/>
    </row>
    <row r="32" spans="1:20" ht="39" customHeight="1" thickBot="1" x14ac:dyDescent="0.65">
      <c r="A32" s="9" t="str">
        <f ca="1">INDEX(INDIRECT(zoneFichierTraite),$J32+offsetInitialFichierTraite,6)</f>
        <v>UNICA</v>
      </c>
      <c r="B32" s="5" t="str">
        <f ca="1">INDEX(INDIRECT(zoneFichierTraite),$J32+offsetInitialFichierTraite,4)</f>
        <v>HLESG020-ECSC7-055</v>
      </c>
      <c r="C32" s="26" t="str">
        <f ca="1">INDEX(INDIRECT(zoneFichierTraite),$J32+offsetInitialFichierTraite,5)</f>
        <v>ANSES LONGUES + GOUTTE EN FAUX CUIR SPIRALE BICOLORE</v>
      </c>
      <c r="D32" s="27" t="str">
        <f ca="1">INDEX(INDIRECT(zoneFichierTraite),$J32+offsetInitialFichierTraite,13)</f>
        <v>nero</v>
      </c>
      <c r="E32" s="30">
        <f ca="1">INDEX(INDIRECT(zoneFichierTraite),$J32+offsetInitialFichierTraite,7)</f>
        <v>2</v>
      </c>
      <c r="F32" s="28">
        <f ca="1">INDEX(INDIRECT(zoneFichierTraite),$J32+offsetInitialFichierTraite,8)</f>
        <v>15.56</v>
      </c>
      <c r="G32" s="29">
        <f t="shared" ca="1" si="0"/>
        <v>47</v>
      </c>
      <c r="H32" s="32" t="str">
        <f ca="1">IF(ISNUMBER(N32),codeEAN13(INT(N32/10)),"")</f>
        <v>8APASOG*aijhhi+</v>
      </c>
      <c r="J32" s="15">
        <f t="shared" si="1"/>
        <v>12</v>
      </c>
      <c r="L32" s="5" t="str">
        <f ca="1">INDEX(INDIRECT(zoneFichierTraite),$J32+offsetInitialFichierTraite,1)</f>
        <v>'012</v>
      </c>
      <c r="M32" s="11">
        <f ca="1">INDEX(INDIRECT(zoneFichierTraite),$J32+offsetInitialFichierTraite,9)</f>
        <v>31.12</v>
      </c>
      <c r="N32" s="14">
        <f ca="1">INDEX(INDIRECT(zoneFichierTraite),$J32+offsetInitialFichierTraite,3)</f>
        <v>8050846089778</v>
      </c>
      <c r="O32" s="1">
        <f ca="1">MATCH(N32,INDIRECT(nomFichierEAN13Valmag &amp; "!A:A"),0)</f>
        <v>664</v>
      </c>
      <c r="P32" s="1">
        <f ca="1">MATCH(R32,INDIRECT(nomFichierEAN13Valmag &amp; "!A:A"),0)</f>
        <v>664</v>
      </c>
      <c r="Q32" s="1">
        <f ca="1">MATCH(LEFT(B32,14) &amp; "*",INDIRECT(nomFichierEAN13Valmag &amp; "!B:B"),0)</f>
        <v>664</v>
      </c>
      <c r="R32" s="14">
        <f ca="1">IFERROR(INDEX(INDIRECT(zoneFichierEAN13Valmag),Q32,1),"")</f>
        <v>8050846089778</v>
      </c>
      <c r="S32" s="1">
        <f ca="1">MATCH(B32,INDIRECT(nomFichierFiltreCatalogue &amp; "!B:B"),0)</f>
        <v>140</v>
      </c>
      <c r="T32" s="14"/>
    </row>
    <row r="33" spans="1:20" s="20" customFormat="1" ht="15.75" customHeight="1" x14ac:dyDescent="0.25">
      <c r="A33" s="25">
        <f ca="1">INDEX(INDIRECT(zoneFichierTraite),$J32+offsetInitialFichierTraite,2)</f>
        <v>128</v>
      </c>
      <c r="B33" s="45" t="str">
        <f ca="1">IF(C33="", IFERROR(INDEX(INDIRECT(zoneFichierEAN13Valmag),$P32,3),""), "")</f>
        <v/>
      </c>
      <c r="C33" s="44" t="str">
        <f ca="1">IFERROR(INDEX(INDIRECT(zoneFichierEAN13Valmag),$O32,3),"")</f>
        <v xml:space="preserve"> </v>
      </c>
      <c r="D33" s="19" t="str">
        <f ca="1">IFERROR(INDEX(INDIRECT(zoneFichierEAN13Valmag),$O32,4),"")</f>
        <v xml:space="preserve"> </v>
      </c>
      <c r="E33" s="33" t="str">
        <f ca="1">IFERROR(INDEX(INDIRECT(zoneFichierFiltreCatalogue),S32,3),"")</f>
        <v>p029-1-01</v>
      </c>
      <c r="F33" s="19"/>
      <c r="G33" s="18"/>
      <c r="H33" s="34" t="str">
        <f ca="1">IFERROR(INDEX(INDIRECT(zoneFichierFiltreCatalogue),S32,6),"")</f>
        <v>fall 2019 presentation_/catalogo fall 19.txt</v>
      </c>
      <c r="R33" s="21"/>
      <c r="S33" s="21"/>
    </row>
    <row r="34" spans="1:20" ht="39" customHeight="1" thickBot="1" x14ac:dyDescent="0.65">
      <c r="A34" s="9" t="str">
        <f ca="1">INDEX(INDIRECT(zoneFichierTraite),$J34+offsetInitialFichierTraite,6)</f>
        <v>UNICA</v>
      </c>
      <c r="B34" s="5" t="str">
        <f ca="1">INDEX(INDIRECT(zoneFichierTraite),$J34+offsetInitialFichierTraite,4)</f>
        <v>HLESG020-ECSC7-076</v>
      </c>
      <c r="C34" s="26" t="str">
        <f ca="1">INDEX(INDIRECT(zoneFichierTraite),$J34+offsetInitialFichierTraite,5)</f>
        <v>ANSES LONGUES + GOUTTE EN FAUX CUIR SPIRALE BICOLORE</v>
      </c>
      <c r="D34" s="27" t="str">
        <f ca="1">INDEX(INDIRECT(zoneFichierTraite),$J34+offsetInitialFichierTraite,13)</f>
        <v>rosso</v>
      </c>
      <c r="E34" s="30">
        <f ca="1">INDEX(INDIRECT(zoneFichierTraite),$J34+offsetInitialFichierTraite,7)</f>
        <v>2</v>
      </c>
      <c r="F34" s="28">
        <f ca="1">INDEX(INDIRECT(zoneFichierTraite),$J34+offsetInitialFichierTraite,8)</f>
        <v>15.56</v>
      </c>
      <c r="G34" s="29">
        <f t="shared" ca="1" si="0"/>
        <v>47</v>
      </c>
      <c r="H34" s="32" t="str">
        <f ca="1">IF(ISNUMBER(N34),codeEAN13(INT(N34/10)),"")</f>
        <v>8APASOG*aijhjc+</v>
      </c>
      <c r="J34" s="15">
        <f t="shared" si="1"/>
        <v>13</v>
      </c>
      <c r="L34" s="5" t="str">
        <f ca="1">INDEX(INDIRECT(zoneFichierTraite),$J34+offsetInitialFichierTraite,1)</f>
        <v>'013</v>
      </c>
      <c r="M34" s="11">
        <f ca="1">INDEX(INDIRECT(zoneFichierTraite),$J34+offsetInitialFichierTraite,9)</f>
        <v>31.12</v>
      </c>
      <c r="N34" s="14">
        <f ca="1">INDEX(INDIRECT(zoneFichierTraite),$J34+offsetInitialFichierTraite,3)</f>
        <v>8050846089792</v>
      </c>
      <c r="O34" s="1">
        <f ca="1">MATCH(N34,INDIRECT(nomFichierEAN13Valmag &amp; "!A:A"),0)</f>
        <v>666</v>
      </c>
      <c r="P34" s="1">
        <f ca="1">MATCH(R34,INDIRECT(nomFichierEAN13Valmag &amp; "!A:A"),0)</f>
        <v>664</v>
      </c>
      <c r="Q34" s="1">
        <f ca="1">MATCH(LEFT(B34,14) &amp; "*",INDIRECT(nomFichierEAN13Valmag &amp; "!B:B"),0)</f>
        <v>664</v>
      </c>
      <c r="R34" s="14">
        <f ca="1">IFERROR(INDEX(INDIRECT(zoneFichierEAN13Valmag),Q34,1),"")</f>
        <v>8050846089778</v>
      </c>
      <c r="S34" s="1">
        <f ca="1">MATCH(B34,INDIRECT(nomFichierFiltreCatalogue &amp; "!B:B"),0)</f>
        <v>141</v>
      </c>
      <c r="T34" s="14"/>
    </row>
    <row r="35" spans="1:20" s="20" customFormat="1" ht="15.75" customHeight="1" x14ac:dyDescent="0.25">
      <c r="A35" s="25">
        <f ca="1">INDEX(INDIRECT(zoneFichierTraite),$J34+offsetInitialFichierTraite,2)</f>
        <v>62</v>
      </c>
      <c r="B35" s="45" t="str">
        <f ca="1">IF(C35="", IFERROR(INDEX(INDIRECT(zoneFichierEAN13Valmag),$P34,3),""), "")</f>
        <v/>
      </c>
      <c r="C35" s="44" t="str">
        <f ca="1">IFERROR(INDEX(INDIRECT(zoneFichierEAN13Valmag),$O34,3),"")</f>
        <v xml:space="preserve"> </v>
      </c>
      <c r="D35" s="19" t="str">
        <f ca="1">IFERROR(INDEX(INDIRECT(zoneFichierEAN13Valmag),$O34,4),"")</f>
        <v xml:space="preserve"> </v>
      </c>
      <c r="E35" s="33" t="str">
        <f ca="1">IFERROR(INDEX(INDIRECT(zoneFichierFiltreCatalogue),S34,3),"")</f>
        <v>p029-1-02</v>
      </c>
      <c r="F35" s="19"/>
      <c r="G35" s="18"/>
      <c r="H35" s="34" t="str">
        <f ca="1">IFERROR(INDEX(INDIRECT(zoneFichierFiltreCatalogue),S34,6),"")</f>
        <v>fall 2019 presentation_/catalogo fall 19.txt</v>
      </c>
      <c r="R35" s="21"/>
      <c r="S35" s="21"/>
    </row>
    <row r="36" spans="1:20" ht="39" customHeight="1" thickBot="1" x14ac:dyDescent="0.65">
      <c r="A36" s="9" t="str">
        <f ca="1">INDEX(INDIRECT(zoneFichierTraite),$J36+offsetInitialFichierTraite,6)</f>
        <v>UNICA</v>
      </c>
      <c r="B36" s="5" t="str">
        <f ca="1">INDEX(INDIRECT(zoneFichierTraite),$J36+offsetInitialFichierTraite,4)</f>
        <v>HLESG020-ECSC7-137</v>
      </c>
      <c r="C36" s="26" t="str">
        <f ca="1">INDEX(INDIRECT(zoneFichierTraite),$J36+offsetInitialFichierTraite,5)</f>
        <v>ANSES LONGUES + GOUTTE EN FAUX CUIR SPIRALE BICOLORE</v>
      </c>
      <c r="D36" s="27" t="str">
        <f ca="1">INDEX(INDIRECT(zoneFichierTraite),$J36+offsetInitialFichierTraite,13)</f>
        <v>bluette</v>
      </c>
      <c r="E36" s="30">
        <f ca="1">INDEX(INDIRECT(zoneFichierTraite),$J36+offsetInitialFichierTraite,7)</f>
        <v>2</v>
      </c>
      <c r="F36" s="28">
        <f ca="1">INDEX(INDIRECT(zoneFichierTraite),$J36+offsetInitialFichierTraite,8)</f>
        <v>15.56</v>
      </c>
      <c r="G36" s="29">
        <f t="shared" ca="1" si="0"/>
        <v>47</v>
      </c>
      <c r="H36" s="32" t="str">
        <f ca="1">IF(ISNUMBER(N36),codeEAN13(INT(N36/10)),"")</f>
        <v>8APASOG*aijhif+</v>
      </c>
      <c r="J36" s="15">
        <f t="shared" si="1"/>
        <v>14</v>
      </c>
      <c r="L36" s="5" t="str">
        <f ca="1">INDEX(INDIRECT(zoneFichierTraite),$J36+offsetInitialFichierTraite,1)</f>
        <v>'014</v>
      </c>
      <c r="M36" s="11">
        <f ca="1">INDEX(INDIRECT(zoneFichierTraite),$J36+offsetInitialFichierTraite,9)</f>
        <v>31.12</v>
      </c>
      <c r="N36" s="14">
        <f ca="1">INDEX(INDIRECT(zoneFichierTraite),$J36+offsetInitialFichierTraite,3)</f>
        <v>8050846089785</v>
      </c>
      <c r="O36" s="1">
        <f ca="1">MATCH(N36,INDIRECT(nomFichierEAN13Valmag &amp; "!A:A"),0)</f>
        <v>665</v>
      </c>
      <c r="P36" s="1">
        <f ca="1">MATCH(R36,INDIRECT(nomFichierEAN13Valmag &amp; "!A:A"),0)</f>
        <v>664</v>
      </c>
      <c r="Q36" s="1">
        <f ca="1">MATCH(LEFT(B36,14) &amp; "*",INDIRECT(nomFichierEAN13Valmag &amp; "!B:B"),0)</f>
        <v>664</v>
      </c>
      <c r="R36" s="14">
        <f ca="1">IFERROR(INDEX(INDIRECT(zoneFichierEAN13Valmag),Q36,1),"")</f>
        <v>8050846089778</v>
      </c>
      <c r="S36" s="1">
        <f ca="1">MATCH(B36,INDIRECT(nomFichierFiltreCatalogue &amp; "!B:B"),0)</f>
        <v>142</v>
      </c>
      <c r="T36" s="14"/>
    </row>
    <row r="37" spans="1:20" s="20" customFormat="1" ht="15.75" customHeight="1" x14ac:dyDescent="0.25">
      <c r="A37" s="25">
        <f ca="1">INDEX(INDIRECT(zoneFichierTraite),$J36+offsetInitialFichierTraite,2)</f>
        <v>25</v>
      </c>
      <c r="B37" s="45" t="str">
        <f ca="1">IF(C37="", IFERROR(INDEX(INDIRECT(zoneFichierEAN13Valmag),$P36,3),""), "")</f>
        <v/>
      </c>
      <c r="C37" s="44" t="str">
        <f ca="1">IFERROR(INDEX(INDIRECT(zoneFichierEAN13Valmag),$O36,3),"")</f>
        <v xml:space="preserve"> </v>
      </c>
      <c r="D37" s="19" t="str">
        <f ca="1">IFERROR(INDEX(INDIRECT(zoneFichierEAN13Valmag),$O36,4),"")</f>
        <v xml:space="preserve"> </v>
      </c>
      <c r="E37" s="33" t="str">
        <f ca="1">IFERROR(INDEX(INDIRECT(zoneFichierFiltreCatalogue),S36,3),"")</f>
        <v>p029-1-03</v>
      </c>
      <c r="F37" s="19"/>
      <c r="G37" s="18"/>
      <c r="H37" s="34" t="str">
        <f ca="1">IFERROR(INDEX(INDIRECT(zoneFichierFiltreCatalogue),S36,6),"")</f>
        <v>fall 2019 presentation_/catalogo fall 19.txt</v>
      </c>
      <c r="R37" s="21"/>
      <c r="S37" s="21"/>
    </row>
    <row r="38" spans="1:20" ht="39" customHeight="1" thickBot="1" x14ac:dyDescent="0.65">
      <c r="A38" s="9" t="str">
        <f ca="1">INDEX(INDIRECT(zoneFichierTraite),$J38+offsetInitialFichierTraite,6)</f>
        <v>UNICA</v>
      </c>
      <c r="B38" s="5" t="str">
        <f ca="1">INDEX(INDIRECT(zoneFichierTraite),$J38+offsetInitialFichierTraite,4)</f>
        <v>HLESGC00-ECSC4-055</v>
      </c>
      <c r="C38" s="26" t="str">
        <f ca="1">INDEX(INDIRECT(zoneFichierTraite),$J38+offsetInitialFichierTraite,5)</f>
        <v>ANSES COURTES EN FAUX CUIR EFFET GRIFFE + CLOUS</v>
      </c>
      <c r="D38" s="27" t="str">
        <f ca="1">INDEX(INDIRECT(zoneFichierTraite),$J38+offsetInitialFichierTraite,13)</f>
        <v>nero</v>
      </c>
      <c r="E38" s="30">
        <f ca="1">INDEX(INDIRECT(zoneFichierTraite),$J38+offsetInitialFichierTraite,7)</f>
        <v>3</v>
      </c>
      <c r="F38" s="28">
        <f ca="1">INDEX(INDIRECT(zoneFichierTraite),$J38+offsetInitialFichierTraite,8)</f>
        <v>16.670000000000002</v>
      </c>
      <c r="G38" s="29">
        <f t="shared" ca="1" si="0"/>
        <v>51</v>
      </c>
      <c r="H38" s="32" t="str">
        <f ca="1">IF(ISNUMBER(N38),codeEAN13(INT(N38/10)),"")</f>
        <v>8APASOG*aijgig+</v>
      </c>
      <c r="J38" s="15">
        <f t="shared" si="1"/>
        <v>15</v>
      </c>
      <c r="L38" s="5" t="str">
        <f ca="1">INDEX(INDIRECT(zoneFichierTraite),$J38+offsetInitialFichierTraite,1)</f>
        <v>'015</v>
      </c>
      <c r="M38" s="11">
        <f ca="1">INDEX(INDIRECT(zoneFichierTraite),$J38+offsetInitialFichierTraite,9)</f>
        <v>50.01</v>
      </c>
      <c r="N38" s="14">
        <f ca="1">INDEX(INDIRECT(zoneFichierTraite),$J38+offsetInitialFichierTraite,3)</f>
        <v>8050846089686</v>
      </c>
      <c r="O38" s="1">
        <f ca="1">MATCH(N38,INDIRECT(nomFichierEAN13Valmag &amp; "!A:A"),0)</f>
        <v>655</v>
      </c>
      <c r="P38" s="1">
        <f ca="1">MATCH(R38,INDIRECT(nomFichierEAN13Valmag &amp; "!A:A"),0)</f>
        <v>655</v>
      </c>
      <c r="Q38" s="1">
        <f ca="1">MATCH(LEFT(B38,14) &amp; "*",INDIRECT(nomFichierEAN13Valmag &amp; "!B:B"),0)</f>
        <v>655</v>
      </c>
      <c r="R38" s="14">
        <f ca="1">IFERROR(INDEX(INDIRECT(zoneFichierEAN13Valmag),Q38,1),"")</f>
        <v>8050846089686</v>
      </c>
      <c r="S38" s="1">
        <f ca="1">MATCH(B38,INDIRECT(nomFichierFiltreCatalogue &amp; "!B:B"),0)</f>
        <v>171</v>
      </c>
      <c r="T38" s="14"/>
    </row>
    <row r="39" spans="1:20" s="20" customFormat="1" ht="15.75" customHeight="1" x14ac:dyDescent="0.25">
      <c r="A39" s="25">
        <f ca="1">INDEX(INDIRECT(zoneFichierTraite),$J38+offsetInitialFichierTraite,2)</f>
        <v>46</v>
      </c>
      <c r="B39" s="45" t="str">
        <f ca="1">IF(C39="", IFERROR(INDEX(INDIRECT(zoneFichierEAN13Valmag),$P38,3),""), "")</f>
        <v/>
      </c>
      <c r="C39" s="44" t="str">
        <f ca="1">IFERROR(INDEX(INDIRECT(zoneFichierEAN13Valmag),$O38,3),"")</f>
        <v xml:space="preserve"> </v>
      </c>
      <c r="D39" s="19" t="str">
        <f ca="1">IFERROR(INDEX(INDIRECT(zoneFichierEAN13Valmag),$O38,4),"")</f>
        <v xml:space="preserve"> </v>
      </c>
      <c r="E39" s="33" t="str">
        <f ca="1">IFERROR(INDEX(INDIRECT(zoneFichierFiltreCatalogue),S38,3),"")</f>
        <v>p034-1-01</v>
      </c>
      <c r="F39" s="19"/>
      <c r="G39" s="18"/>
      <c r="H39" s="34" t="str">
        <f ca="1">IFERROR(INDEX(INDIRECT(zoneFichierFiltreCatalogue),S38,6),"")</f>
        <v>fall 2019 presentation_/catalogo fall 19.txt</v>
      </c>
      <c r="R39" s="21"/>
      <c r="S39" s="21"/>
    </row>
    <row r="40" spans="1:20" ht="39" customHeight="1" thickBot="1" x14ac:dyDescent="0.65">
      <c r="A40" s="9" t="str">
        <f ca="1">INDEX(INDIRECT(zoneFichierTraite),$J40+offsetInitialFichierTraite,6)</f>
        <v>UNICA</v>
      </c>
      <c r="B40" s="5" t="str">
        <f ca="1">INDEX(INDIRECT(zoneFichierTraite),$J40+offsetInitialFichierTraite,4)</f>
        <v>HLESGC00-ECSC4-371</v>
      </c>
      <c r="C40" s="26" t="str">
        <f ca="1">INDEX(INDIRECT(zoneFichierTraite),$J40+offsetInitialFichierTraite,5)</f>
        <v>ANSES COURTES EN FAUX CUIR EFFET GRIFFE + CLOUS</v>
      </c>
      <c r="D40" s="27" t="str">
        <f ca="1">INDEX(INDIRECT(zoneFichierTraite),$J40+offsetInitialFichierTraite,13)</f>
        <v>latte</v>
      </c>
      <c r="E40" s="30">
        <f ca="1">INDEX(INDIRECT(zoneFichierTraite),$J40+offsetInitialFichierTraite,7)</f>
        <v>3</v>
      </c>
      <c r="F40" s="28">
        <f ca="1">INDEX(INDIRECT(zoneFichierTraite),$J40+offsetInitialFichierTraite,8)</f>
        <v>16.670000000000002</v>
      </c>
      <c r="G40" s="29">
        <f t="shared" ca="1" si="0"/>
        <v>51</v>
      </c>
      <c r="H40" s="32" t="str">
        <f ca="1">IF(ISNUMBER(N40),codeEAN13(INT(N40/10)),"")</f>
        <v>8APASOG*aijgjd+</v>
      </c>
      <c r="J40" s="15">
        <f t="shared" si="1"/>
        <v>16</v>
      </c>
      <c r="L40" s="5" t="str">
        <f ca="1">INDEX(INDIRECT(zoneFichierTraite),$J40+offsetInitialFichierTraite,1)</f>
        <v>'016</v>
      </c>
      <c r="M40" s="11">
        <f ca="1">INDEX(INDIRECT(zoneFichierTraite),$J40+offsetInitialFichierTraite,9)</f>
        <v>50.01</v>
      </c>
      <c r="N40" s="14">
        <f ca="1">INDEX(INDIRECT(zoneFichierTraite),$J40+offsetInitialFichierTraite,3)</f>
        <v>8050846089693</v>
      </c>
      <c r="O40" s="1">
        <f ca="1">MATCH(N40,INDIRECT(nomFichierEAN13Valmag &amp; "!A:A"),0)</f>
        <v>656</v>
      </c>
      <c r="P40" s="1">
        <f ca="1">MATCH(R40,INDIRECT(nomFichierEAN13Valmag &amp; "!A:A"),0)</f>
        <v>655</v>
      </c>
      <c r="Q40" s="1">
        <f ca="1">MATCH(LEFT(B40,14) &amp; "*",INDIRECT(nomFichierEAN13Valmag &amp; "!B:B"),0)</f>
        <v>655</v>
      </c>
      <c r="R40" s="14">
        <f ca="1">IFERROR(INDEX(INDIRECT(zoneFichierEAN13Valmag),Q40,1),"")</f>
        <v>8050846089686</v>
      </c>
      <c r="S40" s="1">
        <f ca="1">MATCH(B40,INDIRECT(nomFichierFiltreCatalogue &amp; "!B:B"),0)</f>
        <v>172</v>
      </c>
      <c r="T40" s="14"/>
    </row>
    <row r="41" spans="1:20" s="20" customFormat="1" ht="15.75" customHeight="1" x14ac:dyDescent="0.25">
      <c r="A41" s="25">
        <f ca="1">INDEX(INDIRECT(zoneFichierTraite),$J40+offsetInitialFichierTraite,2)</f>
        <v>179</v>
      </c>
      <c r="B41" s="45" t="str">
        <f ca="1">IF(C41="", IFERROR(INDEX(INDIRECT(zoneFichierEAN13Valmag),$P40,3),""), "")</f>
        <v/>
      </c>
      <c r="C41" s="44" t="str">
        <f ca="1">IFERROR(INDEX(INDIRECT(zoneFichierEAN13Valmag),$O40,3),"")</f>
        <v xml:space="preserve"> </v>
      </c>
      <c r="D41" s="19" t="str">
        <f ca="1">IFERROR(INDEX(INDIRECT(zoneFichierEAN13Valmag),$O40,4),"")</f>
        <v xml:space="preserve"> </v>
      </c>
      <c r="E41" s="33" t="str">
        <f ca="1">IFERROR(INDEX(INDIRECT(zoneFichierFiltreCatalogue),S40,3),"")</f>
        <v>p034-1-02</v>
      </c>
      <c r="F41" s="19"/>
      <c r="G41" s="18"/>
      <c r="H41" s="34" t="str">
        <f ca="1">IFERROR(INDEX(INDIRECT(zoneFichierFiltreCatalogue),S40,6),"")</f>
        <v>fall 2019 presentation_/catalogo fall 19.txt</v>
      </c>
      <c r="R41" s="21"/>
      <c r="S41" s="21"/>
    </row>
    <row r="42" spans="1:20" ht="39" customHeight="1" thickBot="1" x14ac:dyDescent="0.65">
      <c r="A42" s="9" t="str">
        <f ca="1">INDEX(INDIRECT(zoneFichierTraite),$J42+offsetInitialFichierTraite,6)</f>
        <v>UNICA</v>
      </c>
      <c r="B42" s="5" t="str">
        <f ca="1">INDEX(INDIRECT(zoneFichierTraite),$J42+offsetInitialFichierTraite,4)</f>
        <v>HLESGC01-EVS54-055</v>
      </c>
      <c r="C42" s="26" t="str">
        <f ca="1">INDEX(INDIRECT(zoneFichierTraite),$J42+offsetInitialFichierTraite,5)</f>
        <v>ANSES COURTES + ANNEAU EVA COMPOUND EFFET BAMBOU</v>
      </c>
      <c r="D42" s="27" t="str">
        <f ca="1">INDEX(INDIRECT(zoneFichierTraite),$J42+offsetInitialFichierTraite,13)</f>
        <v>nero</v>
      </c>
      <c r="E42" s="30">
        <f ca="1">INDEX(INDIRECT(zoneFichierTraite),$J42+offsetInitialFichierTraite,7)</f>
        <v>2</v>
      </c>
      <c r="F42" s="28">
        <f ca="1">INDEX(INDIRECT(zoneFichierTraite),$J42+offsetInitialFichierTraite,8)</f>
        <v>8.52</v>
      </c>
      <c r="G42" s="29">
        <f t="shared" ca="1" si="0"/>
        <v>26</v>
      </c>
      <c r="H42" s="32" t="str">
        <f ca="1">IF(ISNUMBER(N42),codeEAN13(INT(N42/10)),"")</f>
        <v>8APASOG*ajehch+</v>
      </c>
      <c r="J42" s="15">
        <f t="shared" si="1"/>
        <v>17</v>
      </c>
      <c r="L42" s="5" t="str">
        <f ca="1">INDEX(INDIRECT(zoneFichierTraite),$J42+offsetInitialFichierTraite,1)</f>
        <v>'017</v>
      </c>
      <c r="M42" s="11">
        <f ca="1">INDEX(INDIRECT(zoneFichierTraite),$J42+offsetInitialFichierTraite,9)</f>
        <v>17.04</v>
      </c>
      <c r="N42" s="14">
        <f ca="1">INDEX(INDIRECT(zoneFichierTraite),$J42+offsetInitialFichierTraite,3)</f>
        <v>8050846094727</v>
      </c>
      <c r="O42" s="1">
        <f ca="1">MATCH(N42,INDIRECT(nomFichierEAN13Valmag &amp; "!A:A"),0)</f>
        <v>914</v>
      </c>
      <c r="P42" s="1">
        <f ca="1">MATCH(R42,INDIRECT(nomFichierEAN13Valmag &amp; "!A:A"),0)</f>
        <v>907</v>
      </c>
      <c r="Q42" s="1">
        <f ca="1">MATCH(LEFT(B42,14) &amp; "*",INDIRECT(nomFichierEAN13Valmag &amp; "!B:B"),0)</f>
        <v>907</v>
      </c>
      <c r="R42" s="14">
        <f ca="1">IFERROR(INDEX(INDIRECT(zoneFichierEAN13Valmag),Q42,1),"")</f>
        <v>8050846094642</v>
      </c>
      <c r="S42" s="1">
        <f ca="1">MATCH(B42,INDIRECT(nomFichierFiltreCatalogue &amp; "!B:B"),0)</f>
        <v>191</v>
      </c>
      <c r="T42" s="14"/>
    </row>
    <row r="43" spans="1:20" s="20" customFormat="1" ht="15.75" customHeight="1" x14ac:dyDescent="0.25">
      <c r="A43" s="25">
        <f ca="1">INDEX(INDIRECT(zoneFichierTraite),$J42+offsetInitialFichierTraite,2)</f>
        <v>77</v>
      </c>
      <c r="B43" s="45" t="str">
        <f ca="1">IF(C43="", IFERROR(INDEX(INDIRECT(zoneFichierEAN13Valmag),$P42,3),""), "")</f>
        <v/>
      </c>
      <c r="C43" s="44" t="str">
        <f ca="1">IFERROR(INDEX(INDIRECT(zoneFichierEAN13Valmag),$O42,3),"")</f>
        <v xml:space="preserve"> </v>
      </c>
      <c r="D43" s="19" t="str">
        <f ca="1">IFERROR(INDEX(INDIRECT(zoneFichierEAN13Valmag),$O42,4),"")</f>
        <v xml:space="preserve"> </v>
      </c>
      <c r="E43" s="33" t="str">
        <f ca="1">IFERROR(INDEX(INDIRECT(zoneFichierFiltreCatalogue),S42,3),"")</f>
        <v>p036-2-02</v>
      </c>
      <c r="F43" s="19"/>
      <c r="G43" s="18"/>
      <c r="H43" s="34" t="str">
        <f ca="1">IFERROR(INDEX(INDIRECT(zoneFichierFiltreCatalogue),S42,6),"")</f>
        <v>fall 2019 presentation_/catalogo fall 19.txt</v>
      </c>
      <c r="R43" s="21"/>
      <c r="S43" s="21"/>
    </row>
    <row r="44" spans="1:20" ht="39" customHeight="1" thickBot="1" x14ac:dyDescent="0.65">
      <c r="A44" s="9" t="str">
        <f ca="1">INDEX(INDIRECT(zoneFichierTraite),$J44+offsetInitialFichierTraite,6)</f>
        <v>UNICA</v>
      </c>
      <c r="B44" s="5" t="str">
        <f ca="1">INDEX(INDIRECT(zoneFichierTraite),$J44+offsetInitialFichierTraite,4)</f>
        <v>HLESLL01-ECS00-017</v>
      </c>
      <c r="C44" s="26" t="str">
        <f ca="1">INDEX(INDIRECT(zoneFichierTraite),$J44+offsetInitialFichierTraite,5)</f>
        <v>ANSES LONGUES LINEAR AVEC BOUCLE EN FAUX CUIR</v>
      </c>
      <c r="D44" s="27" t="str">
        <f ca="1">INDEX(INDIRECT(zoneFichierTraite),$J44+offsetInitialFichierTraite,13)</f>
        <v>blu navy</v>
      </c>
      <c r="E44" s="30">
        <f ca="1">INDEX(INDIRECT(zoneFichierTraite),$J44+offsetInitialFichierTraite,7)</f>
        <v>2</v>
      </c>
      <c r="F44" s="28">
        <f ca="1">INDEX(INDIRECT(zoneFichierTraite),$J44+offsetInitialFichierTraite,8)</f>
        <v>13.33</v>
      </c>
      <c r="G44" s="29">
        <f t="shared" ca="1" si="0"/>
        <v>40</v>
      </c>
      <c r="H44" s="32" t="str">
        <f ca="1">IF(ISNUMBER(N44),codeEAN13(INT(N44/10)),"")</f>
        <v>8APASOG*aijhgb+</v>
      </c>
      <c r="J44" s="15">
        <f t="shared" si="1"/>
        <v>18</v>
      </c>
      <c r="L44" s="5" t="str">
        <f ca="1">INDEX(INDIRECT(zoneFichierTraite),$J44+offsetInitialFichierTraite,1)</f>
        <v>'018</v>
      </c>
      <c r="M44" s="11">
        <f ca="1">INDEX(INDIRECT(zoneFichierTraite),$J44+offsetInitialFichierTraite,9)</f>
        <v>26.66</v>
      </c>
      <c r="N44" s="14">
        <f ca="1">INDEX(INDIRECT(zoneFichierTraite),$J44+offsetInitialFichierTraite,3)</f>
        <v>8050846089761</v>
      </c>
      <c r="O44" s="1">
        <f ca="1">MATCH(N44,INDIRECT(nomFichierEAN13Valmag &amp; "!A:A"),0)</f>
        <v>663</v>
      </c>
      <c r="P44" s="1">
        <f ca="1">MATCH(R44,INDIRECT(nomFichierEAN13Valmag &amp; "!A:A"),0)</f>
        <v>661</v>
      </c>
      <c r="Q44" s="1">
        <f ca="1">MATCH(LEFT(B44,14) &amp; "*",INDIRECT(nomFichierEAN13Valmag &amp; "!B:B"),0)</f>
        <v>661</v>
      </c>
      <c r="R44" s="14">
        <f ca="1">IFERROR(INDEX(INDIRECT(zoneFichierEAN13Valmag),Q44,1),"")</f>
        <v>8050846089747</v>
      </c>
      <c r="S44" s="1">
        <f ca="1">MATCH(B44,INDIRECT(nomFichierFiltreCatalogue &amp; "!B:B"),0)</f>
        <v>145</v>
      </c>
      <c r="T44" s="14"/>
    </row>
    <row r="45" spans="1:20" s="20" customFormat="1" ht="15.75" customHeight="1" x14ac:dyDescent="0.25">
      <c r="A45" s="25">
        <f ca="1">INDEX(INDIRECT(zoneFichierTraite),$J44+offsetInitialFichierTraite,2)</f>
        <v>132</v>
      </c>
      <c r="B45" s="45" t="str">
        <f ca="1">IF(C45="", IFERROR(INDEX(INDIRECT(zoneFichierEAN13Valmag),$P44,3),""), "")</f>
        <v/>
      </c>
      <c r="C45" s="44" t="str">
        <f ca="1">IFERROR(INDEX(INDIRECT(zoneFichierEAN13Valmag),$O44,3),"")</f>
        <v xml:space="preserve"> </v>
      </c>
      <c r="D45" s="19" t="str">
        <f ca="1">IFERROR(INDEX(INDIRECT(zoneFichierEAN13Valmag),$O44,4),"")</f>
        <v xml:space="preserve"> </v>
      </c>
      <c r="E45" s="33" t="str">
        <f ca="1">IFERROR(INDEX(INDIRECT(zoneFichierFiltreCatalogue),S44,3),"")</f>
        <v>p030-1-01</v>
      </c>
      <c r="F45" s="19"/>
      <c r="G45" s="18"/>
      <c r="H45" s="34" t="str">
        <f ca="1">IFERROR(INDEX(INDIRECT(zoneFichierFiltreCatalogue),S44,6),"")</f>
        <v>fall 2019 presentation_/catalogo fall 19.txt</v>
      </c>
      <c r="R45" s="21"/>
      <c r="S45" s="21"/>
    </row>
    <row r="46" spans="1:20" ht="39" customHeight="1" thickBot="1" x14ac:dyDescent="0.65">
      <c r="A46" s="9" t="str">
        <f ca="1">INDEX(INDIRECT(zoneFichierTraite),$J46+offsetInitialFichierTraite,6)</f>
        <v>UNICA</v>
      </c>
      <c r="B46" s="5" t="str">
        <f ca="1">INDEX(INDIRECT(zoneFichierTraite),$J46+offsetInitialFichierTraite,4)</f>
        <v>HLESLL01-ECS00-132</v>
      </c>
      <c r="C46" s="26" t="str">
        <f ca="1">INDEX(INDIRECT(zoneFichierTraite),$J46+offsetInitialFichierTraite,5)</f>
        <v>ANSES LONGUES LINEAR AVEC BOUCLE EN FAUX CUIR</v>
      </c>
      <c r="D46" s="27" t="str">
        <f ca="1">INDEX(INDIRECT(zoneFichierTraite),$J46+offsetInitialFichierTraite,13)</f>
        <v>biscotto</v>
      </c>
      <c r="E46" s="30">
        <f ca="1">INDEX(INDIRECT(zoneFichierTraite),$J46+offsetInitialFichierTraite,7)</f>
        <v>2</v>
      </c>
      <c r="F46" s="28">
        <f ca="1">INDEX(INDIRECT(zoneFichierTraite),$J46+offsetInitialFichierTraite,8)</f>
        <v>13.33</v>
      </c>
      <c r="G46" s="29">
        <f t="shared" ref="G46:G109" ca="1" si="2">ROUNDUP(F46*3,0)</f>
        <v>40</v>
      </c>
      <c r="H46" s="32" t="str">
        <f ca="1">IF(ISNUMBER(N46),codeEAN13(INT(N46/10)),"")</f>
        <v>8APASOG*aijhfe+</v>
      </c>
      <c r="J46" s="15">
        <f t="shared" si="1"/>
        <v>19</v>
      </c>
      <c r="L46" s="5" t="str">
        <f ca="1">INDEX(INDIRECT(zoneFichierTraite),$J46+offsetInitialFichierTraite,1)</f>
        <v>'019</v>
      </c>
      <c r="M46" s="11">
        <f ca="1">INDEX(INDIRECT(zoneFichierTraite),$J46+offsetInitialFichierTraite,9)</f>
        <v>26.66</v>
      </c>
      <c r="N46" s="14">
        <f ca="1">INDEX(INDIRECT(zoneFichierTraite),$J46+offsetInitialFichierTraite,3)</f>
        <v>8050846089754</v>
      </c>
      <c r="O46" s="1">
        <f ca="1">MATCH(N46,INDIRECT(nomFichierEAN13Valmag &amp; "!A:A"),0)</f>
        <v>662</v>
      </c>
      <c r="P46" s="1">
        <f ca="1">MATCH(R46,INDIRECT(nomFichierEAN13Valmag &amp; "!A:A"),0)</f>
        <v>661</v>
      </c>
      <c r="Q46" s="1">
        <f ca="1">MATCH(LEFT(B46,14) &amp; "*",INDIRECT(nomFichierEAN13Valmag &amp; "!B:B"),0)</f>
        <v>661</v>
      </c>
      <c r="R46" s="14">
        <f ca="1">IFERROR(INDEX(INDIRECT(zoneFichierEAN13Valmag),Q46,1),"")</f>
        <v>8050846089747</v>
      </c>
      <c r="S46" s="1">
        <f ca="1">MATCH(B46,INDIRECT(nomFichierFiltreCatalogue &amp; "!B:B"),0)</f>
        <v>146</v>
      </c>
      <c r="T46" s="14"/>
    </row>
    <row r="47" spans="1:20" s="20" customFormat="1" ht="15.75" customHeight="1" x14ac:dyDescent="0.25">
      <c r="A47" s="25">
        <f ca="1">INDEX(INDIRECT(zoneFichierTraite),$J46+offsetInitialFichierTraite,2)</f>
        <v>212</v>
      </c>
      <c r="B47" s="45" t="str">
        <f ca="1">IF(C47="", IFERROR(INDEX(INDIRECT(zoneFichierEAN13Valmag),$P46,3),""), "")</f>
        <v/>
      </c>
      <c r="C47" s="44" t="str">
        <f ca="1">IFERROR(INDEX(INDIRECT(zoneFichierEAN13Valmag),$O46,3),"")</f>
        <v xml:space="preserve"> </v>
      </c>
      <c r="D47" s="19" t="str">
        <f ca="1">IFERROR(INDEX(INDIRECT(zoneFichierEAN13Valmag),$O46,4),"")</f>
        <v xml:space="preserve"> </v>
      </c>
      <c r="E47" s="33" t="str">
        <f ca="1">IFERROR(INDEX(INDIRECT(zoneFichierFiltreCatalogue),S46,3),"")</f>
        <v>p030-1-02</v>
      </c>
      <c r="F47" s="19"/>
      <c r="G47" s="18"/>
      <c r="H47" s="34" t="str">
        <f ca="1">IFERROR(INDEX(INDIRECT(zoneFichierFiltreCatalogue),S46,6),"")</f>
        <v>fall 2019 presentation_/catalogo fall 19.txt</v>
      </c>
      <c r="R47" s="21"/>
      <c r="S47" s="21"/>
    </row>
    <row r="48" spans="1:20" ht="39" customHeight="1" thickBot="1" x14ac:dyDescent="0.65">
      <c r="A48" s="9" t="str">
        <f ca="1">INDEX(INDIRECT(zoneFichierTraite),$J48+offsetInitialFichierTraite,6)</f>
        <v>UNICA</v>
      </c>
      <c r="B48" s="5" t="str">
        <f ca="1">INDEX(INDIRECT(zoneFichierTraite),$J48+offsetInitialFichierTraite,4)</f>
        <v>HLESLL01-ECS00-615</v>
      </c>
      <c r="C48" s="26" t="str">
        <f ca="1">INDEX(INDIRECT(zoneFichierTraite),$J48+offsetInitialFichierTraite,5)</f>
        <v>ANSES LONGUES LINEAR AVEC BOUCLE EN FAUX CUIR</v>
      </c>
      <c r="D48" s="27" t="str">
        <f ca="1">INDEX(INDIRECT(zoneFichierTraite),$J48+offsetInitialFichierTraite,13)</f>
        <v>military</v>
      </c>
      <c r="E48" s="30">
        <f ca="1">INDEX(INDIRECT(zoneFichierTraite),$J48+offsetInitialFichierTraite,7)</f>
        <v>2</v>
      </c>
      <c r="F48" s="28">
        <f ca="1">INDEX(INDIRECT(zoneFichierTraite),$J48+offsetInitialFichierTraite,8)</f>
        <v>13.33</v>
      </c>
      <c r="G48" s="29">
        <f t="shared" ref="G48:G111" ca="1" si="3">ROUNDUP(F48*3,0)</f>
        <v>40</v>
      </c>
      <c r="H48" s="32" t="str">
        <f ca="1">IF(ISNUMBER(N48),codeEAN13(INT(N48/10)),"")</f>
        <v>8APASOG*aijheh+</v>
      </c>
      <c r="J48" s="15">
        <f t="shared" si="1"/>
        <v>20</v>
      </c>
      <c r="L48" s="5" t="str">
        <f ca="1">INDEX(INDIRECT(zoneFichierTraite),$J48+offsetInitialFichierTraite,1)</f>
        <v>'020</v>
      </c>
      <c r="M48" s="11">
        <f ca="1">INDEX(INDIRECT(zoneFichierTraite),$J48+offsetInitialFichierTraite,9)</f>
        <v>26.66</v>
      </c>
      <c r="N48" s="14">
        <f ca="1">INDEX(INDIRECT(zoneFichierTraite),$J48+offsetInitialFichierTraite,3)</f>
        <v>8050846089747</v>
      </c>
      <c r="O48" s="1">
        <f ca="1">MATCH(N48,INDIRECT(nomFichierEAN13Valmag &amp; "!A:A"),0)</f>
        <v>661</v>
      </c>
      <c r="P48" s="1">
        <f ca="1">MATCH(R48,INDIRECT(nomFichierEAN13Valmag &amp; "!A:A"),0)</f>
        <v>661</v>
      </c>
      <c r="Q48" s="1">
        <f ca="1">MATCH(LEFT(B48,14) &amp; "*",INDIRECT(nomFichierEAN13Valmag &amp; "!B:B"),0)</f>
        <v>661</v>
      </c>
      <c r="R48" s="14">
        <f ca="1">IFERROR(INDEX(INDIRECT(zoneFichierEAN13Valmag),Q48,1),"")</f>
        <v>8050846089747</v>
      </c>
      <c r="S48" s="1">
        <f ca="1">MATCH(B48,INDIRECT(nomFichierFiltreCatalogue &amp; "!B:B"),0)</f>
        <v>147</v>
      </c>
      <c r="T48" s="14"/>
    </row>
    <row r="49" spans="1:20" s="20" customFormat="1" ht="15.75" customHeight="1" x14ac:dyDescent="0.25">
      <c r="A49" s="25">
        <f ca="1">INDEX(INDIRECT(zoneFichierTraite),$J48+offsetInitialFichierTraite,2)</f>
        <v>213</v>
      </c>
      <c r="B49" s="45" t="str">
        <f ca="1">IF(C49="", IFERROR(INDEX(INDIRECT(zoneFichierEAN13Valmag),$P48,3),""), "")</f>
        <v/>
      </c>
      <c r="C49" s="44" t="str">
        <f ca="1">IFERROR(INDEX(INDIRECT(zoneFichierEAN13Valmag),$O48,3),"")</f>
        <v xml:space="preserve"> </v>
      </c>
      <c r="D49" s="19" t="str">
        <f ca="1">IFERROR(INDEX(INDIRECT(zoneFichierEAN13Valmag),$O48,4),"")</f>
        <v xml:space="preserve"> </v>
      </c>
      <c r="E49" s="33" t="str">
        <f ca="1">IFERROR(INDEX(INDIRECT(zoneFichierFiltreCatalogue),S48,3),"")</f>
        <v>p030-1-03</v>
      </c>
      <c r="F49" s="19"/>
      <c r="G49" s="18"/>
      <c r="H49" s="34" t="str">
        <f ca="1">IFERROR(INDEX(INDIRECT(zoneFichierFiltreCatalogue),S48,6),"")</f>
        <v>fall 2019 presentation_/catalogo fall 19.txt</v>
      </c>
      <c r="R49" s="21"/>
      <c r="S49" s="21"/>
    </row>
    <row r="50" spans="1:20" ht="39" customHeight="1" thickBot="1" x14ac:dyDescent="0.65">
      <c r="A50" s="9" t="str">
        <f ca="1">INDEX(INDIRECT(zoneFichierTraite),$J50+offsetInitialFichierTraite,6)</f>
        <v>UNICA</v>
      </c>
      <c r="B50" s="5" t="str">
        <f ca="1">INDEX(INDIRECT(zoneFichierTraite),$J50+offsetInitialFichierTraite,4)</f>
        <v>HLESMD00-ECS46-017</v>
      </c>
      <c r="C50" s="26" t="str">
        <f ca="1">INDEX(INDIRECT(zoneFichierTraite),$J50+offsetInitialFichierTraite,5)</f>
        <v>MICRO-ANSES TUBULAIRES COURTES EN FAUX CUIR LISSE</v>
      </c>
      <c r="D50" s="27" t="str">
        <f ca="1">INDEX(INDIRECT(zoneFichierTraite),$J50+offsetInitialFichierTraite,13)</f>
        <v>blu navy</v>
      </c>
      <c r="E50" s="30">
        <f ca="1">INDEX(INDIRECT(zoneFichierTraite),$J50+offsetInitialFichierTraite,7)</f>
        <v>3</v>
      </c>
      <c r="F50" s="28">
        <f ca="1">INDEX(INDIRECT(zoneFichierTraite),$J50+offsetInitialFichierTraite,8)</f>
        <v>12.66</v>
      </c>
      <c r="G50" s="29">
        <f t="shared" ref="G50:G113" ca="1" si="4">ROUNDUP(F50*3,0)</f>
        <v>38</v>
      </c>
      <c r="H50" s="32" t="str">
        <f ca="1">IF(ISNUMBER(N50),codeEAN13(INT(N50/10)),"")</f>
        <v>8APASOG*aaefhd+</v>
      </c>
      <c r="J50" s="15">
        <f t="shared" si="1"/>
        <v>21</v>
      </c>
      <c r="L50" s="5" t="str">
        <f ca="1">INDEX(INDIRECT(zoneFichierTraite),$J50+offsetInitialFichierTraite,1)</f>
        <v>'021</v>
      </c>
      <c r="M50" s="11">
        <f ca="1">INDEX(INDIRECT(zoneFichierTraite),$J50+offsetInitialFichierTraite,9)</f>
        <v>37.979999999999997</v>
      </c>
      <c r="N50" s="14">
        <f ca="1">INDEX(INDIRECT(zoneFichierTraite),$J50+offsetInitialFichierTraite,3)</f>
        <v>8050846004573</v>
      </c>
      <c r="O50" s="1">
        <f ca="1">MATCH(N50,INDIRECT(nomFichierEAN13Valmag &amp; "!A:A"),0)</f>
        <v>84</v>
      </c>
      <c r="P50" s="1">
        <f ca="1">MATCH(R50,INDIRECT(nomFichierEAN13Valmag &amp; "!A:A"),0)</f>
        <v>83</v>
      </c>
      <c r="Q50" s="1">
        <f ca="1">MATCH(LEFT(B50,14) &amp; "*",INDIRECT(nomFichierEAN13Valmag &amp; "!B:B"),0)</f>
        <v>83</v>
      </c>
      <c r="R50" s="14">
        <f ca="1">IFERROR(INDEX(INDIRECT(zoneFichierEAN13Valmag),Q50,1),"")</f>
        <v>8050846004566</v>
      </c>
      <c r="S50" s="1">
        <f ca="1">MATCH(B50,INDIRECT(nomFichierFiltreCatalogue &amp; "!B:B"),0)</f>
        <v>184</v>
      </c>
      <c r="T50" s="14"/>
    </row>
    <row r="51" spans="1:20" s="20" customFormat="1" ht="15.75" customHeight="1" x14ac:dyDescent="0.25">
      <c r="A51" s="25">
        <f ca="1">INDEX(INDIRECT(zoneFichierTraite),$J50+offsetInitialFichierTraite,2)</f>
        <v>188</v>
      </c>
      <c r="B51" s="45" t="str">
        <f ca="1">IF(C51="", IFERROR(INDEX(INDIRECT(zoneFichierEAN13Valmag),$P50,3),""), "")</f>
        <v/>
      </c>
      <c r="C51" s="44" t="str">
        <f ca="1">IFERROR(INDEX(INDIRECT(zoneFichierEAN13Valmag),$O50,3),"")</f>
        <v xml:space="preserve">ANSES/MICROTUB  </v>
      </c>
      <c r="D51" s="19" t="str">
        <f ca="1">IFERROR(INDEX(INDIRECT(zoneFichierEAN13Valmag),$O50,4),"")</f>
        <v xml:space="preserve">NAVY </v>
      </c>
      <c r="E51" s="33" t="str">
        <f ca="1">IFERROR(INDEX(INDIRECT(zoneFichierFiltreCatalogue),S50,3),"")</f>
        <v>p036-1-01</v>
      </c>
      <c r="F51" s="19"/>
      <c r="G51" s="18"/>
      <c r="H51" s="34" t="str">
        <f ca="1">IFERROR(INDEX(INDIRECT(zoneFichierFiltreCatalogue),S50,6),"")</f>
        <v>fall 2019 presentation_/catalogo fall 19.txt</v>
      </c>
      <c r="R51" s="21"/>
      <c r="S51" s="21"/>
    </row>
    <row r="52" spans="1:20" ht="39" customHeight="1" thickBot="1" x14ac:dyDescent="0.65">
      <c r="A52" s="9" t="str">
        <f ca="1">INDEX(INDIRECT(zoneFichierTraite),$J52+offsetInitialFichierTraite,6)</f>
        <v>UNICA</v>
      </c>
      <c r="B52" s="5" t="str">
        <f ca="1">INDEX(INDIRECT(zoneFichierTraite),$J52+offsetInitialFichierTraite,4)</f>
        <v>HLESMD00-ECS46-055</v>
      </c>
      <c r="C52" s="26" t="str">
        <f ca="1">INDEX(INDIRECT(zoneFichierTraite),$J52+offsetInitialFichierTraite,5)</f>
        <v>MICRO-ANSES TUBULAIRES COURTES EN FAUX CUIR LISSE</v>
      </c>
      <c r="D52" s="27" t="str">
        <f ca="1">INDEX(INDIRECT(zoneFichierTraite),$J52+offsetInitialFichierTraite,13)</f>
        <v>nero</v>
      </c>
      <c r="E52" s="30">
        <f ca="1">INDEX(INDIRECT(zoneFichierTraite),$J52+offsetInitialFichierTraite,7)</f>
        <v>6</v>
      </c>
      <c r="F52" s="28">
        <f ca="1">INDEX(INDIRECT(zoneFichierTraite),$J52+offsetInitialFichierTraite,8)</f>
        <v>12.66</v>
      </c>
      <c r="G52" s="29">
        <f t="shared" ref="G52:G115" ca="1" si="5">ROUNDUP(F52*3,0)</f>
        <v>38</v>
      </c>
      <c r="H52" s="32" t="str">
        <f ca="1">IF(ISNUMBER(N52),codeEAN13(INT(N52/10)),"")</f>
        <v>8APASOG*abbbfb+</v>
      </c>
      <c r="J52" s="15">
        <f t="shared" si="1"/>
        <v>22</v>
      </c>
      <c r="L52" s="5" t="str">
        <f ca="1">INDEX(INDIRECT(zoneFichierTraite),$J52+offsetInitialFichierTraite,1)</f>
        <v>'022</v>
      </c>
      <c r="M52" s="11">
        <f ca="1">INDEX(INDIRECT(zoneFichierTraite),$J52+offsetInitialFichierTraite,9)</f>
        <v>75.959999999999994</v>
      </c>
      <c r="N52" s="14">
        <f ca="1">INDEX(INDIRECT(zoneFichierTraite),$J52+offsetInitialFichierTraite,3)</f>
        <v>8050846011151</v>
      </c>
      <c r="O52" s="1">
        <f ca="1">MATCH(N52,INDIRECT(nomFichierEAN13Valmag &amp; "!A:A"),0)</f>
        <v>120</v>
      </c>
      <c r="P52" s="1">
        <f ca="1">MATCH(R52,INDIRECT(nomFichierEAN13Valmag &amp; "!A:A"),0)</f>
        <v>83</v>
      </c>
      <c r="Q52" s="1">
        <f ca="1">MATCH(LEFT(B52,14) &amp; "*",INDIRECT(nomFichierEAN13Valmag &amp; "!B:B"),0)</f>
        <v>83</v>
      </c>
      <c r="R52" s="14">
        <f ca="1">IFERROR(INDEX(INDIRECT(zoneFichierEAN13Valmag),Q52,1),"")</f>
        <v>8050846004566</v>
      </c>
      <c r="S52" s="1">
        <f ca="1">MATCH(B52,INDIRECT(nomFichierFiltreCatalogue &amp; "!B:B"),0)</f>
        <v>186</v>
      </c>
      <c r="T52" s="14"/>
    </row>
    <row r="53" spans="1:20" s="20" customFormat="1" ht="15.75" customHeight="1" x14ac:dyDescent="0.25">
      <c r="A53" s="25">
        <f ca="1">INDEX(INDIRECT(zoneFichierTraite),$J52+offsetInitialFichierTraite,2)</f>
        <v>40</v>
      </c>
      <c r="B53" s="45" t="str">
        <f ca="1">IF(C53="", IFERROR(INDEX(INDIRECT(zoneFichierEAN13Valmag),$P52,3),""), "")</f>
        <v/>
      </c>
      <c r="C53" s="44" t="str">
        <f ca="1">IFERROR(INDEX(INDIRECT(zoneFichierEAN13Valmag),$O52,3),"")</f>
        <v xml:space="preserve">ANSES/MICROTUB  </v>
      </c>
      <c r="D53" s="19" t="str">
        <f ca="1">IFERROR(INDEX(INDIRECT(zoneFichierEAN13Valmag),$O52,4),"")</f>
        <v>BLACK</v>
      </c>
      <c r="E53" s="33" t="str">
        <f ca="1">IFERROR(INDEX(INDIRECT(zoneFichierFiltreCatalogue),S52,3),"")</f>
        <v>p036-1-03</v>
      </c>
      <c r="F53" s="19"/>
      <c r="G53" s="18"/>
      <c r="H53" s="34" t="str">
        <f ca="1">IFERROR(INDEX(INDIRECT(zoneFichierFiltreCatalogue),S52,6),"")</f>
        <v>fall 2019 presentation_/catalogo fall 19.txt</v>
      </c>
      <c r="R53" s="21"/>
      <c r="S53" s="21"/>
    </row>
    <row r="54" spans="1:20" ht="39" customHeight="1" thickBot="1" x14ac:dyDescent="0.65">
      <c r="A54" s="9" t="str">
        <f ca="1">INDEX(INDIRECT(zoneFichierTraite),$J54+offsetInitialFichierTraite,6)</f>
        <v>UNICA</v>
      </c>
      <c r="B54" s="5" t="str">
        <f ca="1">INDEX(INDIRECT(zoneFichierTraite),$J54+offsetInitialFichierTraite,4)</f>
        <v>HLESMD00-ECS46-221</v>
      </c>
      <c r="C54" s="26" t="str">
        <f ca="1">INDEX(INDIRECT(zoneFichierTraite),$J54+offsetInitialFichierTraite,5)</f>
        <v>MICRO-ANSES TUBULAIRES COURTES EN FAUX CUIR LISSE</v>
      </c>
      <c r="D54" s="27" t="str">
        <f ca="1">INDEX(INDIRECT(zoneFichierTraite),$J54+offsetInitialFichierTraite,13)</f>
        <v>cognac</v>
      </c>
      <c r="E54" s="30">
        <f ca="1">INDEX(INDIRECT(zoneFichierTraite),$J54+offsetInitialFichierTraite,7)</f>
        <v>3</v>
      </c>
      <c r="F54" s="28">
        <f ca="1">INDEX(INDIRECT(zoneFichierTraite),$J54+offsetInitialFichierTraite,8)</f>
        <v>12.66</v>
      </c>
      <c r="G54" s="29">
        <f t="shared" ref="G54:G117" ca="1" si="6">ROUNDUP(F54*3,0)</f>
        <v>38</v>
      </c>
      <c r="H54" s="32" t="str">
        <f ca="1">IF(ISNUMBER(N54),codeEAN13(INT(N54/10)),"")</f>
        <v>8APASOG*abjjdf+</v>
      </c>
      <c r="J54" s="15">
        <f t="shared" si="1"/>
        <v>23</v>
      </c>
      <c r="L54" s="5" t="str">
        <f ca="1">INDEX(INDIRECT(zoneFichierTraite),$J54+offsetInitialFichierTraite,1)</f>
        <v>'023</v>
      </c>
      <c r="M54" s="11">
        <f ca="1">INDEX(INDIRECT(zoneFichierTraite),$J54+offsetInitialFichierTraite,9)</f>
        <v>37.979999999999997</v>
      </c>
      <c r="N54" s="14">
        <f ca="1">INDEX(INDIRECT(zoneFichierTraite),$J54+offsetInitialFichierTraite,3)</f>
        <v>8050846019935</v>
      </c>
      <c r="O54" s="1">
        <f ca="1">MATCH(N54,INDIRECT(nomFichierEAN13Valmag &amp; "!A:A"),0)</f>
        <v>155</v>
      </c>
      <c r="P54" s="1">
        <f ca="1">MATCH(R54,INDIRECT(nomFichierEAN13Valmag &amp; "!A:A"),0)</f>
        <v>83</v>
      </c>
      <c r="Q54" s="1">
        <f ca="1">MATCH(LEFT(B54,14) &amp; "*",INDIRECT(nomFichierEAN13Valmag &amp; "!B:B"),0)</f>
        <v>83</v>
      </c>
      <c r="R54" s="14">
        <f ca="1">IFERROR(INDEX(INDIRECT(zoneFichierEAN13Valmag),Q54,1),"")</f>
        <v>8050846004566</v>
      </c>
      <c r="S54" s="1">
        <f ca="1">MATCH(B54,INDIRECT(nomFichierFiltreCatalogue &amp; "!B:B"),0)</f>
        <v>185</v>
      </c>
      <c r="T54" s="14"/>
    </row>
    <row r="55" spans="1:20" s="20" customFormat="1" ht="15.75" customHeight="1" x14ac:dyDescent="0.25">
      <c r="A55" s="25">
        <f ca="1">INDEX(INDIRECT(zoneFichierTraite),$J54+offsetInitialFichierTraite,2)</f>
        <v>63</v>
      </c>
      <c r="B55" s="45" t="str">
        <f ca="1">IF(C55="", IFERROR(INDEX(INDIRECT(zoneFichierEAN13Valmag),$P54,3),""), "")</f>
        <v/>
      </c>
      <c r="C55" s="44" t="str">
        <f ca="1">IFERROR(INDEX(INDIRECT(zoneFichierEAN13Valmag),$O54,3),"")</f>
        <v xml:space="preserve">ANSES/MICROTUB  </v>
      </c>
      <c r="D55" s="19" t="str">
        <f ca="1">IFERROR(INDEX(INDIRECT(zoneFichierEAN13Valmag),$O54,4),"")</f>
        <v>COGNA</v>
      </c>
      <c r="E55" s="33" t="str">
        <f ca="1">IFERROR(INDEX(INDIRECT(zoneFichierFiltreCatalogue),S54,3),"")</f>
        <v>p036-1-02</v>
      </c>
      <c r="F55" s="19"/>
      <c r="G55" s="18"/>
      <c r="H55" s="34" t="str">
        <f ca="1">IFERROR(INDEX(INDIRECT(zoneFichierFiltreCatalogue),S54,6),"")</f>
        <v>fall 2019 presentation_/catalogo fall 19.txt</v>
      </c>
      <c r="R55" s="21"/>
      <c r="S55" s="21"/>
    </row>
    <row r="56" spans="1:20" ht="39" customHeight="1" thickBot="1" x14ac:dyDescent="0.65">
      <c r="A56" s="9" t="str">
        <f ca="1">INDEX(INDIRECT(zoneFichierTraite),$J56+offsetInitialFichierTraite,6)</f>
        <v>UNICA</v>
      </c>
      <c r="B56" s="5" t="str">
        <f ca="1">INDEX(INDIRECT(zoneFichierTraite),$J56+offsetInitialFichierTraite,4)</f>
        <v>HLESXF00-ECS03-017</v>
      </c>
      <c r="C56" s="26" t="str">
        <f ca="1">INDEX(INDIRECT(zoneFichierTraite),$J56+offsetInitialFichierTraite,5)</f>
        <v>ANSES LONGUES EXTRA SLIM GOUTTE AVEC DEMI-ANNEAU EN FAUX CUIR SUÃˆDE</v>
      </c>
      <c r="D56" s="27" t="str">
        <f ca="1">INDEX(INDIRECT(zoneFichierTraite),$J56+offsetInitialFichierTraite,13)</f>
        <v>blu navy</v>
      </c>
      <c r="E56" s="30">
        <f ca="1">INDEX(INDIRECT(zoneFichierTraite),$J56+offsetInitialFichierTraite,7)</f>
        <v>3</v>
      </c>
      <c r="F56" s="28">
        <f ca="1">INDEX(INDIRECT(zoneFichierTraite),$J56+offsetInitialFichierTraite,8)</f>
        <v>14.52</v>
      </c>
      <c r="G56" s="29">
        <f t="shared" ref="G56:G119" ca="1" si="7">ROUNDUP(F56*3,0)</f>
        <v>44</v>
      </c>
      <c r="H56" s="32" t="str">
        <f ca="1">IF(ISNUMBER(N56),codeEAN13(INT(N56/10)),"")</f>
        <v>8APASOG*addbjb+</v>
      </c>
      <c r="J56" s="15">
        <f t="shared" si="1"/>
        <v>24</v>
      </c>
      <c r="L56" s="5" t="str">
        <f ca="1">INDEX(INDIRECT(zoneFichierTraite),$J56+offsetInitialFichierTraite,1)</f>
        <v>'024</v>
      </c>
      <c r="M56" s="11">
        <f ca="1">INDEX(INDIRECT(zoneFichierTraite),$J56+offsetInitialFichierTraite,9)</f>
        <v>43.56</v>
      </c>
      <c r="N56" s="14">
        <f ca="1">INDEX(INDIRECT(zoneFichierTraite),$J56+offsetInitialFichierTraite,3)</f>
        <v>8050846033191</v>
      </c>
      <c r="O56" s="1">
        <f ca="1">MATCH(N56,INDIRECT(nomFichierEAN13Valmag &amp; "!A:A"),0)</f>
        <v>180</v>
      </c>
      <c r="P56" s="1">
        <f ca="1">MATCH(R56,INDIRECT(nomFichierEAN13Valmag &amp; "!A:A"),0)</f>
        <v>180</v>
      </c>
      <c r="Q56" s="1">
        <f ca="1">MATCH(LEFT(B56,14) &amp; "*",INDIRECT(nomFichierEAN13Valmag &amp; "!B:B"),0)</f>
        <v>180</v>
      </c>
      <c r="R56" s="14">
        <f ca="1">IFERROR(INDEX(INDIRECT(zoneFichierEAN13Valmag),Q56,1),"")</f>
        <v>8050846033191</v>
      </c>
      <c r="S56" s="1">
        <f ca="1">MATCH(B56,INDIRECT(nomFichierFiltreCatalogue &amp; "!B:B"),0)</f>
        <v>126</v>
      </c>
      <c r="T56" s="14"/>
    </row>
    <row r="57" spans="1:20" s="20" customFormat="1" ht="15.75" customHeight="1" x14ac:dyDescent="0.25">
      <c r="A57" s="25">
        <f ca="1">INDEX(INDIRECT(zoneFichierTraite),$J56+offsetInitialFichierTraite,2)</f>
        <v>104</v>
      </c>
      <c r="B57" s="45" t="str">
        <f ca="1">IF(C57="", IFERROR(INDEX(INDIRECT(zoneFichierEAN13Valmag),$P56,3),""), "")</f>
        <v/>
      </c>
      <c r="C57" s="44" t="str">
        <f ca="1">IFERROR(INDEX(INDIRECT(zoneFichierEAN13Valmag),$O56,3),"")</f>
        <v>ANSESLONGUESSUED</v>
      </c>
      <c r="D57" s="19" t="str">
        <f ca="1">IFERROR(INDEX(INDIRECT(zoneFichierEAN13Valmag),$O56,4),"")</f>
        <v xml:space="preserve">NAVY </v>
      </c>
      <c r="E57" s="33" t="str">
        <f ca="1">IFERROR(INDEX(INDIRECT(zoneFichierFiltreCatalogue),S56,3),"")</f>
        <v>p026-2-01</v>
      </c>
      <c r="F57" s="19"/>
      <c r="G57" s="18"/>
      <c r="H57" s="34" t="str">
        <f ca="1">IFERROR(INDEX(INDIRECT(zoneFichierFiltreCatalogue),S56,6),"")</f>
        <v>fall 2019 presentation_/catalogo fall 19.txt</v>
      </c>
      <c r="R57" s="21"/>
      <c r="S57" s="21"/>
    </row>
    <row r="58" spans="1:20" ht="39" customHeight="1" thickBot="1" x14ac:dyDescent="0.65">
      <c r="A58" s="9" t="str">
        <f ca="1">INDEX(INDIRECT(zoneFichierTraite),$J58+offsetInitialFichierTraite,6)</f>
        <v>UNICA</v>
      </c>
      <c r="B58" s="5" t="str">
        <f ca="1">INDEX(INDIRECT(zoneFichierTraite),$J58+offsetInitialFichierTraite,4)</f>
        <v>HLESXF00-ECS03-084</v>
      </c>
      <c r="C58" s="26" t="str">
        <f ca="1">INDEX(INDIRECT(zoneFichierTraite),$J58+offsetInitialFichierTraite,5)</f>
        <v>ANSES LONGUES EXTRA SLIM GOUTTE AVEC DEMI-ANNEAU EN FAUX CUIR SUÃˆDE</v>
      </c>
      <c r="D58" s="27" t="str">
        <f ca="1">INDEX(INDIRECT(zoneFichierTraite),$J58+offsetInitialFichierTraite,13)</f>
        <v>testa di moro</v>
      </c>
      <c r="E58" s="30">
        <f ca="1">INDEX(INDIRECT(zoneFichierTraite),$J58+offsetInitialFichierTraite,7)</f>
        <v>3</v>
      </c>
      <c r="F58" s="28">
        <f ca="1">INDEX(INDIRECT(zoneFichierTraite),$J58+offsetInitialFichierTraite,8)</f>
        <v>14.52</v>
      </c>
      <c r="G58" s="29">
        <f t="shared" ref="G58:G121" ca="1" si="8">ROUNDUP(F58*3,0)</f>
        <v>44</v>
      </c>
      <c r="H58" s="32" t="str">
        <f ca="1">IF(ISNUMBER(N58),codeEAN13(INT(N58/10)),"")</f>
        <v>8APASOG*addcef+</v>
      </c>
      <c r="J58" s="15">
        <f t="shared" si="1"/>
        <v>25</v>
      </c>
      <c r="L58" s="5" t="str">
        <f ca="1">INDEX(INDIRECT(zoneFichierTraite),$J58+offsetInitialFichierTraite,1)</f>
        <v>'025</v>
      </c>
      <c r="M58" s="11">
        <f ca="1">INDEX(INDIRECT(zoneFichierTraite),$J58+offsetInitialFichierTraite,9)</f>
        <v>43.56</v>
      </c>
      <c r="N58" s="14">
        <f ca="1">INDEX(INDIRECT(zoneFichierTraite),$J58+offsetInitialFichierTraite,3)</f>
        <v>8050846033245</v>
      </c>
      <c r="O58" s="1">
        <f ca="1">MATCH(N58,INDIRECT(nomFichierEAN13Valmag &amp; "!A:A"),0)</f>
        <v>183</v>
      </c>
      <c r="P58" s="1">
        <f ca="1">MATCH(R58,INDIRECT(nomFichierEAN13Valmag &amp; "!A:A"),0)</f>
        <v>180</v>
      </c>
      <c r="Q58" s="1">
        <f ca="1">MATCH(LEFT(B58,14) &amp; "*",INDIRECT(nomFichierEAN13Valmag &amp; "!B:B"),0)</f>
        <v>180</v>
      </c>
      <c r="R58" s="14">
        <f ca="1">IFERROR(INDEX(INDIRECT(zoneFichierEAN13Valmag),Q58,1),"")</f>
        <v>8050846033191</v>
      </c>
      <c r="S58" s="1">
        <f ca="1">MATCH(B58,INDIRECT(nomFichierFiltreCatalogue &amp; "!B:B"),0)</f>
        <v>127</v>
      </c>
      <c r="T58" s="14"/>
    </row>
    <row r="59" spans="1:20" s="20" customFormat="1" ht="15.75" customHeight="1" x14ac:dyDescent="0.25">
      <c r="A59" s="25">
        <f ca="1">INDEX(INDIRECT(zoneFichierTraite),$J58+offsetInitialFichierTraite,2)</f>
        <v>48</v>
      </c>
      <c r="B59" s="45" t="str">
        <f ca="1">IF(C59="", IFERROR(INDEX(INDIRECT(zoneFichierEAN13Valmag),$P58,3),""), "")</f>
        <v/>
      </c>
      <c r="C59" s="44" t="str">
        <f ca="1">IFERROR(INDEX(INDIRECT(zoneFichierEAN13Valmag),$O58,3),"")</f>
        <v>ANSESLONGUESSUED</v>
      </c>
      <c r="D59" s="19" t="str">
        <f ca="1">IFERROR(INDEX(INDIRECT(zoneFichierEAN13Valmag),$O58,4),"")</f>
        <v>TESTA</v>
      </c>
      <c r="E59" s="33" t="str">
        <f ca="1">IFERROR(INDEX(INDIRECT(zoneFichierFiltreCatalogue),S58,3),"")</f>
        <v>p026-2-02</v>
      </c>
      <c r="F59" s="19"/>
      <c r="G59" s="18"/>
      <c r="H59" s="34" t="str">
        <f ca="1">IFERROR(INDEX(INDIRECT(zoneFichierFiltreCatalogue),S58,6),"")</f>
        <v>fall 2019 presentation_/catalogo fall 19.txt</v>
      </c>
      <c r="R59" s="21"/>
      <c r="S59" s="21"/>
    </row>
    <row r="60" spans="1:20" ht="39" customHeight="1" thickBot="1" x14ac:dyDescent="0.65">
      <c r="A60" s="9" t="str">
        <f ca="1">INDEX(INDIRECT(zoneFichierTraite),$J60+offsetInitialFichierTraite,6)</f>
        <v>UNICA</v>
      </c>
      <c r="B60" s="5" t="str">
        <f ca="1">INDEX(INDIRECT(zoneFichierTraite),$J60+offsetInitialFichierTraite,4)</f>
        <v>OBAGA000-ECS42-055</v>
      </c>
      <c r="C60" s="26" t="str">
        <f ca="1">INDEX(INDIRECT(zoneFichierTraite),$J60+offsetInitialFichierTraite,5)</f>
        <v>ACCESSOIRE CLIP EN FAUX CUIR OPAQUE + ARGENT</v>
      </c>
      <c r="D60" s="27" t="str">
        <f ca="1">INDEX(INDIRECT(zoneFichierTraite),$J60+offsetInitialFichierTraite,13)</f>
        <v>CodeBarre</v>
      </c>
      <c r="E60" s="30">
        <f ca="1">INDEX(INDIRECT(zoneFichierTraite),$J60+offsetInitialFichierTraite,7)</f>
        <v>2</v>
      </c>
      <c r="F60" s="28">
        <f ca="1">INDEX(INDIRECT(zoneFichierTraite),$J60+offsetInitialFichierTraite,8)</f>
        <v>3.6</v>
      </c>
      <c r="G60" s="29">
        <f t="shared" ref="G60:G123" ca="1" si="9">ROUNDUP(F60*3,0)</f>
        <v>11</v>
      </c>
      <c r="H60" s="32" t="str">
        <f ca="1">IF(ISNUMBER(N60),codeEAN13(INT(N60/10)),"")</f>
        <v/>
      </c>
      <c r="J60" s="15">
        <f t="shared" si="1"/>
        <v>26</v>
      </c>
      <c r="L60" s="5" t="str">
        <f ca="1">INDEX(INDIRECT(zoneFichierTraite),$J60+offsetInitialFichierTraite,1)</f>
        <v>'026</v>
      </c>
      <c r="M60" s="11">
        <f ca="1">INDEX(INDIRECT(zoneFichierTraite),$J60+offsetInitialFichierTraite,9)</f>
        <v>7.2</v>
      </c>
      <c r="N60" s="14" t="str">
        <f ca="1">INDEX(INDIRECT(zoneFichierTraite),$J60+offsetInitialFichierTraite,3)</f>
        <v>CodeBarre</v>
      </c>
      <c r="O60" s="1" t="e">
        <f ca="1">MATCH(N60,INDIRECT(nomFichierEAN13Valmag &amp; "!A:A"),0)</f>
        <v>#N/A</v>
      </c>
      <c r="P60" s="1">
        <f ca="1">MATCH(R60,INDIRECT(nomFichierEAN13Valmag &amp; "!A:A"),0)</f>
        <v>82</v>
      </c>
      <c r="Q60" s="1">
        <f ca="1">MATCH(LEFT(B60,14) &amp; "*",INDIRECT(nomFichierEAN13Valmag &amp; "!B:B"),0)</f>
        <v>82</v>
      </c>
      <c r="R60" s="14">
        <f ca="1">IFERROR(INDEX(INDIRECT(zoneFichierEAN13Valmag),Q60,1),"")</f>
        <v>8050846004306</v>
      </c>
      <c r="S60" s="1" t="e">
        <f ca="1">MATCH(B60,INDIRECT(nomFichierFiltreCatalogue &amp; "!B:B"),0)</f>
        <v>#N/A</v>
      </c>
      <c r="T60" s="14"/>
    </row>
    <row r="61" spans="1:20" s="20" customFormat="1" ht="15.75" customHeight="1" x14ac:dyDescent="0.25">
      <c r="A61" s="25">
        <f ca="1">INDEX(INDIRECT(zoneFichierTraite),$J60+offsetInitialFichierTraite,2)</f>
        <v>32</v>
      </c>
      <c r="B61" s="45" t="str">
        <f ca="1">IF(C61="", IFERROR(INDEX(INDIRECT(zoneFichierEAN13Valmag),$P60,3),""), "")</f>
        <v xml:space="preserve">CLIP            </v>
      </c>
      <c r="C61" s="44" t="str">
        <f ca="1">IFERROR(INDEX(INDIRECT(zoneFichierEAN13Valmag),$O60,3),"")</f>
        <v/>
      </c>
      <c r="D61" s="19" t="str">
        <f ca="1">IFERROR(INDEX(INDIRECT(zoneFichierEAN13Valmag),$O60,4),"")</f>
        <v/>
      </c>
      <c r="E61" s="33" t="str">
        <f ca="1">IFERROR(INDEX(INDIRECT(zoneFichierFiltreCatalogue),S60,3),"")</f>
        <v/>
      </c>
      <c r="F61" s="19"/>
      <c r="G61" s="18"/>
      <c r="H61" s="34" t="str">
        <f ca="1">IFERROR(INDEX(INDIRECT(zoneFichierFiltreCatalogue),S60,6),"")</f>
        <v/>
      </c>
      <c r="R61" s="21"/>
      <c r="S61" s="21"/>
    </row>
    <row r="62" spans="1:20" ht="39" customHeight="1" thickBot="1" x14ac:dyDescent="0.65">
      <c r="A62" s="9" t="str">
        <f ca="1">INDEX(INDIRECT(zoneFichierTraite),$J62+offsetInitialFichierTraite,6)</f>
        <v>UNICA</v>
      </c>
      <c r="B62" s="5" t="str">
        <f ca="1">INDEX(INDIRECT(zoneFichierTraite),$J62+offsetInitialFichierTraite,4)</f>
        <v>OBAGB001-EVS00-076</v>
      </c>
      <c r="C62" s="26" t="str">
        <f ca="1">INDEX(INDIRECT(zoneFichierTraite),$J62+offsetInitialFichierTraite,5)</f>
        <v>CORPS O BAG EVA COMPOUND</v>
      </c>
      <c r="D62" s="27" t="str">
        <f ca="1">INDEX(INDIRECT(zoneFichierTraite),$J62+offsetInitialFichierTraite,13)</f>
        <v>rosso</v>
      </c>
      <c r="E62" s="30">
        <f ca="1">INDEX(INDIRECT(zoneFichierTraite),$J62+offsetInitialFichierTraite,7)</f>
        <v>2</v>
      </c>
      <c r="F62" s="28">
        <f ca="1">INDEX(INDIRECT(zoneFichierTraite),$J62+offsetInitialFichierTraite,8)</f>
        <v>14.4</v>
      </c>
      <c r="G62" s="29">
        <f t="shared" ref="G62:G125" ca="1" si="10">ROUNDUP(F62*3,0)</f>
        <v>44</v>
      </c>
      <c r="H62" s="32" t="str">
        <f ca="1">IF(ISNUMBER(N62),codeEAN13(INT(N62/10)),"")</f>
        <v>8APBRRA*daifai+</v>
      </c>
      <c r="J62" s="15">
        <f t="shared" si="1"/>
        <v>27</v>
      </c>
      <c r="L62" s="5" t="str">
        <f ca="1">INDEX(INDIRECT(zoneFichierTraite),$J62+offsetInitialFichierTraite,1)</f>
        <v>'027</v>
      </c>
      <c r="M62" s="11">
        <f ca="1">INDEX(INDIRECT(zoneFichierTraite),$J62+offsetInitialFichierTraite,9)</f>
        <v>28.8</v>
      </c>
      <c r="N62" s="14">
        <f ca="1">INDEX(INDIRECT(zoneFichierTraite),$J62+offsetInitialFichierTraite,3)</f>
        <v>8051770308508</v>
      </c>
      <c r="O62" s="1">
        <f ca="1">MATCH(N62,INDIRECT(nomFichierEAN13Valmag &amp; "!A:A"),0)</f>
        <v>970</v>
      </c>
      <c r="P62" s="1">
        <f ca="1">MATCH(R62,INDIRECT(nomFichierEAN13Valmag &amp; "!A:A"),0)</f>
        <v>3</v>
      </c>
      <c r="Q62" s="1">
        <f ca="1">MATCH(LEFT(B62,14) &amp; "*",INDIRECT(nomFichierEAN13Valmag &amp; "!B:B"),0)</f>
        <v>3</v>
      </c>
      <c r="R62" s="14">
        <f ca="1">IFERROR(INDEX(INDIRECT(zoneFichierEAN13Valmag),Q62,1),"")</f>
        <v>8025608006386</v>
      </c>
      <c r="S62" s="1">
        <f ca="1">MATCH(B62,INDIRECT(nomFichierFiltreCatalogue &amp; "!B:B"),0)</f>
        <v>2</v>
      </c>
      <c r="T62" s="14"/>
    </row>
    <row r="63" spans="1:20" s="20" customFormat="1" ht="15.75" customHeight="1" x14ac:dyDescent="0.25">
      <c r="A63" s="25">
        <f ca="1">INDEX(INDIRECT(zoneFichierTraite),$J62+offsetInitialFichierTraite,2)</f>
        <v>182</v>
      </c>
      <c r="B63" s="45" t="str">
        <f ca="1">IF(C63="", IFERROR(INDEX(INDIRECT(zoneFichierEAN13Valmag),$P62,3),""), "")</f>
        <v/>
      </c>
      <c r="C63" s="44" t="str">
        <f ca="1">IFERROR(INDEX(INDIRECT(zoneFichierEAN13Valmag),$O62,3),"")</f>
        <v xml:space="preserve">OBODY           </v>
      </c>
      <c r="D63" s="19" t="str">
        <f ca="1">IFERROR(INDEX(INDIRECT(zoneFichierEAN13Valmag),$O62,4),"")</f>
        <v xml:space="preserve">RED  </v>
      </c>
      <c r="E63" s="33" t="str">
        <f ca="1">IFERROR(INDEX(INDIRECT(zoneFichierFiltreCatalogue),S62,3),"")</f>
        <v>p006-1-02</v>
      </c>
      <c r="F63" s="19"/>
      <c r="G63" s="18"/>
      <c r="H63" s="34" t="str">
        <f ca="1">IFERROR(INDEX(INDIRECT(zoneFichierFiltreCatalogue),S62,6),"")</f>
        <v>fall 2019 presentation_/catalogo fall 19.txt</v>
      </c>
      <c r="R63" s="21"/>
      <c r="S63" s="21"/>
    </row>
    <row r="64" spans="1:20" ht="39" customHeight="1" thickBot="1" x14ac:dyDescent="0.65">
      <c r="A64" s="9" t="str">
        <f ca="1">INDEX(INDIRECT(zoneFichierTraite),$J64+offsetInitialFichierTraite,6)</f>
        <v>UNICA</v>
      </c>
      <c r="B64" s="5" t="str">
        <f ca="1">INDEX(INDIRECT(zoneFichierTraite),$J64+offsetInitialFichierTraite,4)</f>
        <v>OBAGB001-EVS00-132</v>
      </c>
      <c r="C64" s="26" t="str">
        <f ca="1">INDEX(INDIRECT(zoneFichierTraite),$J64+offsetInitialFichierTraite,5)</f>
        <v>CORPS O BAG EVA COMPOUND</v>
      </c>
      <c r="D64" s="27" t="str">
        <f ca="1">INDEX(INDIRECT(zoneFichierTraite),$J64+offsetInitialFichierTraite,13)</f>
        <v>biscotto</v>
      </c>
      <c r="E64" s="30">
        <f ca="1">INDEX(INDIRECT(zoneFichierTraite),$J64+offsetInitialFichierTraite,7)</f>
        <v>2</v>
      </c>
      <c r="F64" s="28">
        <f ca="1">INDEX(INDIRECT(zoneFichierTraite),$J64+offsetInitialFichierTraite,8)</f>
        <v>14.4</v>
      </c>
      <c r="G64" s="29">
        <f t="shared" ref="G64:G127" ca="1" si="11">ROUNDUP(F64*3,0)</f>
        <v>44</v>
      </c>
      <c r="H64" s="32" t="str">
        <f ca="1">IF(ISNUMBER(N64),codeEAN13(INT(N64/10)),"")</f>
        <v>8APGKTF*agiigb+</v>
      </c>
      <c r="J64" s="15">
        <f t="shared" si="1"/>
        <v>28</v>
      </c>
      <c r="L64" s="5" t="str">
        <f ca="1">INDEX(INDIRECT(zoneFichierTraite),$J64+offsetInitialFichierTraite,1)</f>
        <v>'028</v>
      </c>
      <c r="M64" s="11">
        <f ca="1">INDEX(INDIRECT(zoneFichierTraite),$J64+offsetInitialFichierTraite,9)</f>
        <v>28.8</v>
      </c>
      <c r="N64" s="14">
        <f ca="1">INDEX(INDIRECT(zoneFichierTraite),$J64+offsetInitialFichierTraite,3)</f>
        <v>8056095068861</v>
      </c>
      <c r="O64" s="1">
        <f ca="1">MATCH(N64,INDIRECT(nomFichierEAN13Valmag &amp; "!A:A"),0)</f>
        <v>1015</v>
      </c>
      <c r="P64" s="1">
        <f ca="1">MATCH(R64,INDIRECT(nomFichierEAN13Valmag &amp; "!A:A"),0)</f>
        <v>3</v>
      </c>
      <c r="Q64" s="1">
        <f ca="1">MATCH(LEFT(B64,14) &amp; "*",INDIRECT(nomFichierEAN13Valmag &amp; "!B:B"),0)</f>
        <v>3</v>
      </c>
      <c r="R64" s="14">
        <f ca="1">IFERROR(INDEX(INDIRECT(zoneFichierEAN13Valmag),Q64,1),"")</f>
        <v>8025608006386</v>
      </c>
      <c r="S64" s="1">
        <f ca="1">MATCH(B64,INDIRECT(nomFichierFiltreCatalogue &amp; "!B:B"),0)</f>
        <v>3</v>
      </c>
      <c r="T64" s="14"/>
    </row>
    <row r="65" spans="1:20" s="20" customFormat="1" ht="15.75" customHeight="1" x14ac:dyDescent="0.25">
      <c r="A65" s="25">
        <f ca="1">INDEX(INDIRECT(zoneFichierTraite),$J64+offsetInitialFichierTraite,2)</f>
        <v>110</v>
      </c>
      <c r="B65" s="45" t="str">
        <f ca="1">IF(C65="", IFERROR(INDEX(INDIRECT(zoneFichierEAN13Valmag),$P64,3),""), "")</f>
        <v/>
      </c>
      <c r="C65" s="44" t="str">
        <f ca="1">IFERROR(INDEX(INDIRECT(zoneFichierEAN13Valmag),$O64,3),"")</f>
        <v xml:space="preserve">OBODY           </v>
      </c>
      <c r="D65" s="19" t="str">
        <f ca="1">IFERROR(INDEX(INDIRECT(zoneFichierEAN13Valmag),$O64,4),"")</f>
        <v>BISCO</v>
      </c>
      <c r="E65" s="33" t="str">
        <f ca="1">IFERROR(INDEX(INDIRECT(zoneFichierFiltreCatalogue),S64,3),"")</f>
        <v>p006-1-03</v>
      </c>
      <c r="F65" s="19"/>
      <c r="G65" s="18"/>
      <c r="H65" s="34" t="str">
        <f ca="1">IFERROR(INDEX(INDIRECT(zoneFichierFiltreCatalogue),S64,6),"")</f>
        <v>fall 2019 presentation_/catalogo fall 19.txt</v>
      </c>
      <c r="R65" s="21"/>
      <c r="S65" s="21"/>
    </row>
    <row r="66" spans="1:20" ht="39" customHeight="1" thickBot="1" x14ac:dyDescent="0.65">
      <c r="A66" s="9" t="str">
        <f ca="1">INDEX(INDIRECT(zoneFichierTraite),$J66+offsetInitialFichierTraite,6)</f>
        <v>UNICA</v>
      </c>
      <c r="B66" s="5" t="str">
        <f ca="1">INDEX(INDIRECT(zoneFichierTraite),$J66+offsetInitialFichierTraite,4)</f>
        <v>OBAGB001-EVS00-614</v>
      </c>
      <c r="C66" s="26" t="str">
        <f ca="1">INDEX(INDIRECT(zoneFichierTraite),$J66+offsetInitialFichierTraite,5)</f>
        <v>CORPS O BAG EVA COMPOUND</v>
      </c>
      <c r="D66" s="27" t="str">
        <f ca="1">INDEX(INDIRECT(zoneFichierTraite),$J66+offsetInitialFichierTraite,13)</f>
        <v>imperial blu</v>
      </c>
      <c r="E66" s="30">
        <f ca="1">INDEX(INDIRECT(zoneFichierTraite),$J66+offsetInitialFichierTraite,7)</f>
        <v>2</v>
      </c>
      <c r="F66" s="28">
        <f ca="1">INDEX(INDIRECT(zoneFichierTraite),$J66+offsetInitialFichierTraite,8)</f>
        <v>14.4</v>
      </c>
      <c r="G66" s="29">
        <f t="shared" ref="G66:G129" ca="1" si="12">ROUNDUP(F66*3,0)</f>
        <v>44</v>
      </c>
      <c r="H66" s="32" t="str">
        <f ca="1">IF(ISNUMBER(N66),codeEAN13(INT(N66/10)),"")</f>
        <v>8APASOG*ajaaea+</v>
      </c>
      <c r="J66" s="15">
        <f t="shared" si="1"/>
        <v>29</v>
      </c>
      <c r="L66" s="5" t="str">
        <f ca="1">INDEX(INDIRECT(zoneFichierTraite),$J66+offsetInitialFichierTraite,1)</f>
        <v>'029</v>
      </c>
      <c r="M66" s="11">
        <f ca="1">INDEX(INDIRECT(zoneFichierTraite),$J66+offsetInitialFichierTraite,9)</f>
        <v>28.8</v>
      </c>
      <c r="N66" s="14">
        <f ca="1">INDEX(INDIRECT(zoneFichierTraite),$J66+offsetInitialFichierTraite,3)</f>
        <v>8050846090040</v>
      </c>
      <c r="O66" s="1">
        <f ca="1">MATCH(N66,INDIRECT(nomFichierEAN13Valmag &amp; "!A:A"),0)</f>
        <v>689</v>
      </c>
      <c r="P66" s="1">
        <f ca="1">MATCH(R66,INDIRECT(nomFichierEAN13Valmag &amp; "!A:A"),0)</f>
        <v>3</v>
      </c>
      <c r="Q66" s="1">
        <f ca="1">MATCH(LEFT(B66,14) &amp; "*",INDIRECT(nomFichierEAN13Valmag &amp; "!B:B"),0)</f>
        <v>3</v>
      </c>
      <c r="R66" s="14">
        <f ca="1">IFERROR(INDEX(INDIRECT(zoneFichierEAN13Valmag),Q66,1),"")</f>
        <v>8025608006386</v>
      </c>
      <c r="S66" s="1">
        <f ca="1">MATCH(B66,INDIRECT(nomFichierFiltreCatalogue &amp; "!B:B"),0)</f>
        <v>6</v>
      </c>
      <c r="T66" s="14"/>
    </row>
    <row r="67" spans="1:20" s="20" customFormat="1" ht="15.75" customHeight="1" x14ac:dyDescent="0.25">
      <c r="A67" s="25">
        <f ca="1">INDEX(INDIRECT(zoneFichierTraite),$J66+offsetInitialFichierTraite,2)</f>
        <v>183</v>
      </c>
      <c r="B67" s="45" t="str">
        <f ca="1">IF(C67="", IFERROR(INDEX(INDIRECT(zoneFichierEAN13Valmag),$P66,3),""), "")</f>
        <v/>
      </c>
      <c r="C67" s="44" t="str">
        <f ca="1">IFERROR(INDEX(INDIRECT(zoneFichierEAN13Valmag),$O66,3),"")</f>
        <v xml:space="preserve"> </v>
      </c>
      <c r="D67" s="19" t="str">
        <f ca="1">IFERROR(INDEX(INDIRECT(zoneFichierEAN13Valmag),$O66,4),"")</f>
        <v xml:space="preserve"> </v>
      </c>
      <c r="E67" s="33" t="str">
        <f ca="1">IFERROR(INDEX(INDIRECT(zoneFichierFiltreCatalogue),S66,3),"")</f>
        <v>p006-1-06</v>
      </c>
      <c r="F67" s="19"/>
      <c r="G67" s="18"/>
      <c r="H67" s="34" t="str">
        <f ca="1">IFERROR(INDEX(INDIRECT(zoneFichierFiltreCatalogue),S66,6),"")</f>
        <v>fall 2019 presentation_/catalogo fall 19.txt</v>
      </c>
      <c r="R67" s="21"/>
      <c r="S67" s="21"/>
    </row>
    <row r="68" spans="1:20" ht="39" customHeight="1" thickBot="1" x14ac:dyDescent="0.65">
      <c r="A68" s="9" t="str">
        <f ca="1">INDEX(INDIRECT(zoneFichierTraite),$J68+offsetInitialFichierTraite,6)</f>
        <v>UNICA</v>
      </c>
      <c r="B68" s="5" t="str">
        <f ca="1">INDEX(INDIRECT(zoneFichierTraite),$J68+offsetInitialFichierTraite,4)</f>
        <v>OBAGB001-EVS00-615</v>
      </c>
      <c r="C68" s="26" t="str">
        <f ca="1">INDEX(INDIRECT(zoneFichierTraite),$J68+offsetInitialFichierTraite,5)</f>
        <v>CORPS O BAG EVA COMPOUND</v>
      </c>
      <c r="D68" s="27" t="str">
        <f ca="1">INDEX(INDIRECT(zoneFichierTraite),$J68+offsetInitialFichierTraite,13)</f>
        <v>military</v>
      </c>
      <c r="E68" s="30">
        <f ca="1">INDEX(INDIRECT(zoneFichierTraite),$J68+offsetInitialFichierTraite,7)</f>
        <v>2</v>
      </c>
      <c r="F68" s="28">
        <f ca="1">INDEX(INDIRECT(zoneFichierTraite),$J68+offsetInitialFichierTraite,8)</f>
        <v>14.4</v>
      </c>
      <c r="G68" s="29">
        <f t="shared" ref="G68:G131" ca="1" si="13">ROUNDUP(F68*3,0)</f>
        <v>44</v>
      </c>
      <c r="H68" s="32" t="str">
        <f ca="1">IF(ISNUMBER(N68),codeEAN13(INT(N68/10)),"")</f>
        <v>8APASOG*ajaage+</v>
      </c>
      <c r="J68" s="15">
        <f t="shared" si="1"/>
        <v>30</v>
      </c>
      <c r="L68" s="5" t="str">
        <f ca="1">INDEX(INDIRECT(zoneFichierTraite),$J68+offsetInitialFichierTraite,1)</f>
        <v>'030</v>
      </c>
      <c r="M68" s="11">
        <f ca="1">INDEX(INDIRECT(zoneFichierTraite),$J68+offsetInitialFichierTraite,9)</f>
        <v>28.8</v>
      </c>
      <c r="N68" s="14">
        <f ca="1">INDEX(INDIRECT(zoneFichierTraite),$J68+offsetInitialFichierTraite,3)</f>
        <v>8050846090064</v>
      </c>
      <c r="O68" s="1">
        <f ca="1">MATCH(N68,INDIRECT(nomFichierEAN13Valmag &amp; "!A:A"),0)</f>
        <v>691</v>
      </c>
      <c r="P68" s="1">
        <f ca="1">MATCH(R68,INDIRECT(nomFichierEAN13Valmag &amp; "!A:A"),0)</f>
        <v>3</v>
      </c>
      <c r="Q68" s="1">
        <f ca="1">MATCH(LEFT(B68,14) &amp; "*",INDIRECT(nomFichierEAN13Valmag &amp; "!B:B"),0)</f>
        <v>3</v>
      </c>
      <c r="R68" s="14">
        <f ca="1">IFERROR(INDEX(INDIRECT(zoneFichierEAN13Valmag),Q68,1),"")</f>
        <v>8025608006386</v>
      </c>
      <c r="S68" s="1">
        <f ca="1">MATCH(B68,INDIRECT(nomFichierFiltreCatalogue &amp; "!B:B"),0)</f>
        <v>7</v>
      </c>
      <c r="T68" s="14"/>
    </row>
    <row r="69" spans="1:20" s="20" customFormat="1" ht="15.75" customHeight="1" x14ac:dyDescent="0.25">
      <c r="A69" s="25">
        <f ca="1">INDEX(INDIRECT(zoneFichierTraite),$J68+offsetInitialFichierTraite,2)</f>
        <v>41</v>
      </c>
      <c r="B69" s="45" t="str">
        <f ca="1">IF(C69="", IFERROR(INDEX(INDIRECT(zoneFichierEAN13Valmag),$P68,3),""), "")</f>
        <v/>
      </c>
      <c r="C69" s="44" t="str">
        <f ca="1">IFERROR(INDEX(INDIRECT(zoneFichierEAN13Valmag),$O68,3),"")</f>
        <v xml:space="preserve"> </v>
      </c>
      <c r="D69" s="19" t="str">
        <f ca="1">IFERROR(INDEX(INDIRECT(zoneFichierEAN13Valmag),$O68,4),"")</f>
        <v xml:space="preserve"> </v>
      </c>
      <c r="E69" s="33" t="str">
        <f ca="1">IFERROR(INDEX(INDIRECT(zoneFichierFiltreCatalogue),S68,3),"")</f>
        <v>p006-1-07</v>
      </c>
      <c r="F69" s="19"/>
      <c r="G69" s="18"/>
      <c r="H69" s="34" t="str">
        <f ca="1">IFERROR(INDEX(INDIRECT(zoneFichierFiltreCatalogue),S68,6),"")</f>
        <v>fall 2019 presentation_/catalogo fall 19.txt</v>
      </c>
      <c r="R69" s="21"/>
      <c r="S69" s="21"/>
    </row>
    <row r="70" spans="1:20" ht="39" customHeight="1" thickBot="1" x14ac:dyDescent="0.65">
      <c r="A70" s="9" t="str">
        <f ca="1">INDEX(INDIRECT(zoneFichierTraite),$J70+offsetInitialFichierTraite,6)</f>
        <v>UNICA</v>
      </c>
      <c r="B70" s="5" t="str">
        <f ca="1">INDEX(INDIRECT(zoneFichierTraite),$J70+offsetInitialFichierTraite,4)</f>
        <v>OBAGB001-EVS00-616</v>
      </c>
      <c r="C70" s="26" t="str">
        <f ca="1">INDEX(INDIRECT(zoneFichierTraite),$J70+offsetInitialFichierTraite,5)</f>
        <v>CORPS O BAG EVA COMPOUND</v>
      </c>
      <c r="D70" s="27" t="str">
        <f ca="1">INDEX(INDIRECT(zoneFichierTraite),$J70+offsetInitialFichierTraite,13)</f>
        <v>ice</v>
      </c>
      <c r="E70" s="30">
        <f ca="1">INDEX(INDIRECT(zoneFichierTraite),$J70+offsetInitialFichierTraite,7)</f>
        <v>2</v>
      </c>
      <c r="F70" s="28">
        <f ca="1">INDEX(INDIRECT(zoneFichierTraite),$J70+offsetInitialFichierTraite,8)</f>
        <v>14.4</v>
      </c>
      <c r="G70" s="29">
        <f t="shared" ref="G70:G133" ca="1" si="14">ROUNDUP(F70*3,0)</f>
        <v>44</v>
      </c>
      <c r="H70" s="32" t="str">
        <f ca="1">IF(ISNUMBER(N70),codeEAN13(INT(N70/10)),"")</f>
        <v>8APASOG*ajaafh+</v>
      </c>
      <c r="J70" s="15">
        <f t="shared" si="1"/>
        <v>31</v>
      </c>
      <c r="L70" s="5" t="str">
        <f ca="1">INDEX(INDIRECT(zoneFichierTraite),$J70+offsetInitialFichierTraite,1)</f>
        <v>'031</v>
      </c>
      <c r="M70" s="11">
        <f ca="1">INDEX(INDIRECT(zoneFichierTraite),$J70+offsetInitialFichierTraite,9)</f>
        <v>28.8</v>
      </c>
      <c r="N70" s="14">
        <f ca="1">INDEX(INDIRECT(zoneFichierTraite),$J70+offsetInitialFichierTraite,3)</f>
        <v>8050846090057</v>
      </c>
      <c r="O70" s="1">
        <f ca="1">MATCH(N70,INDIRECT(nomFichierEAN13Valmag &amp; "!A:A"),0)</f>
        <v>690</v>
      </c>
      <c r="P70" s="1">
        <f ca="1">MATCH(R70,INDIRECT(nomFichierEAN13Valmag &amp; "!A:A"),0)</f>
        <v>3</v>
      </c>
      <c r="Q70" s="1">
        <f ca="1">MATCH(LEFT(B70,14) &amp; "*",INDIRECT(nomFichierEAN13Valmag &amp; "!B:B"),0)</f>
        <v>3</v>
      </c>
      <c r="R70" s="14">
        <f ca="1">IFERROR(INDEX(INDIRECT(zoneFichierEAN13Valmag),Q70,1),"")</f>
        <v>8025608006386</v>
      </c>
      <c r="S70" s="1">
        <f ca="1">MATCH(B70,INDIRECT(nomFichierFiltreCatalogue &amp; "!B:B"),0)</f>
        <v>9</v>
      </c>
      <c r="T70" s="14"/>
    </row>
    <row r="71" spans="1:20" s="20" customFormat="1" ht="15.75" customHeight="1" x14ac:dyDescent="0.25">
      <c r="A71" s="25">
        <f ca="1">INDEX(INDIRECT(zoneFichierTraite),$J70+offsetInitialFichierTraite,2)</f>
        <v>64</v>
      </c>
      <c r="B71" s="45" t="str">
        <f ca="1">IF(C71="", IFERROR(INDEX(INDIRECT(zoneFichierEAN13Valmag),$P70,3),""), "")</f>
        <v/>
      </c>
      <c r="C71" s="44" t="str">
        <f ca="1">IFERROR(INDEX(INDIRECT(zoneFichierEAN13Valmag),$O70,3),"")</f>
        <v xml:space="preserve"> </v>
      </c>
      <c r="D71" s="19" t="str">
        <f ca="1">IFERROR(INDEX(INDIRECT(zoneFichierEAN13Valmag),$O70,4),"")</f>
        <v xml:space="preserve"> </v>
      </c>
      <c r="E71" s="33" t="str">
        <f ca="1">IFERROR(INDEX(INDIRECT(zoneFichierFiltreCatalogue),S70,3),"")</f>
        <v>p006-1-09</v>
      </c>
      <c r="F71" s="19"/>
      <c r="G71" s="18"/>
      <c r="H71" s="34" t="str">
        <f ca="1">IFERROR(INDEX(INDIRECT(zoneFichierFiltreCatalogue),S70,6),"")</f>
        <v>fall 2019 presentation_/catalogo fall 19.txt</v>
      </c>
      <c r="R71" s="21"/>
      <c r="S71" s="21"/>
    </row>
    <row r="72" spans="1:20" ht="39" customHeight="1" thickBot="1" x14ac:dyDescent="0.65">
      <c r="A72" s="9" t="str">
        <f ca="1">INDEX(INDIRECT(zoneFichierTraite),$J72+offsetInitialFichierTraite,6)</f>
        <v>UNICA</v>
      </c>
      <c r="B72" s="5" t="str">
        <f ca="1">INDEX(INDIRECT(zoneFichierTraite),$J72+offsetInitialFichierTraite,4)</f>
        <v>OBAGB002-EVS00-076</v>
      </c>
      <c r="C72" s="26" t="str">
        <f ca="1">INDEX(INDIRECT(zoneFichierTraite),$J72+offsetInitialFichierTraite,5)</f>
        <v>CORPS O BAG MINI EVA COMPOUND</v>
      </c>
      <c r="D72" s="27" t="str">
        <f ca="1">INDEX(INDIRECT(zoneFichierTraite),$J72+offsetInitialFichierTraite,13)</f>
        <v>rosso</v>
      </c>
      <c r="E72" s="30">
        <f ca="1">INDEX(INDIRECT(zoneFichierTraite),$J72+offsetInitialFichierTraite,7)</f>
        <v>2</v>
      </c>
      <c r="F72" s="28">
        <f ca="1">INDEX(INDIRECT(zoneFichierTraite),$J72+offsetInitialFichierTraite,8)</f>
        <v>14.4</v>
      </c>
      <c r="G72" s="29">
        <f t="shared" ref="G72:G135" ca="1" si="15">ROUNDUP(F72*3,0)</f>
        <v>44</v>
      </c>
      <c r="H72" s="32" t="str">
        <f ca="1">IF(ISNUMBER(N72),codeEAN13(INT(N72/10)),"")</f>
        <v>8APAOPA*cbfgce+</v>
      </c>
      <c r="J72" s="15">
        <f t="shared" si="1"/>
        <v>32</v>
      </c>
      <c r="L72" s="5" t="str">
        <f ca="1">INDEX(INDIRECT(zoneFichierTraite),$J72+offsetInitialFichierTraite,1)</f>
        <v>'032</v>
      </c>
      <c r="M72" s="11">
        <f ca="1">INDEX(INDIRECT(zoneFichierTraite),$J72+offsetInitialFichierTraite,9)</f>
        <v>28.8</v>
      </c>
      <c r="N72" s="14">
        <f ca="1">INDEX(INDIRECT(zoneFichierTraite),$J72+offsetInitialFichierTraite,3)</f>
        <v>8050450215624</v>
      </c>
      <c r="O72" s="1">
        <f ca="1">MATCH(N72,INDIRECT(nomFichierEAN13Valmag &amp; "!A:A"),0)</f>
        <v>29</v>
      </c>
      <c r="P72" s="1">
        <f ca="1">MATCH(R72,INDIRECT(nomFichierEAN13Valmag &amp; "!A:A"),0)</f>
        <v>20</v>
      </c>
      <c r="Q72" s="1">
        <f ca="1">MATCH(LEFT(B72,14) &amp; "*",INDIRECT(nomFichierEAN13Valmag &amp; "!B:B"),0)</f>
        <v>20</v>
      </c>
      <c r="R72" s="14">
        <f ca="1">IFERROR(INDEX(INDIRECT(zoneFichierEAN13Valmag),Q72,1),"")</f>
        <v>8050450212647</v>
      </c>
      <c r="S72" s="1">
        <f ca="1">MATCH(B72,INDIRECT(nomFichierFiltreCatalogue &amp; "!B:B"),0)</f>
        <v>17</v>
      </c>
      <c r="T72" s="14"/>
    </row>
    <row r="73" spans="1:20" s="20" customFormat="1" ht="15.75" customHeight="1" x14ac:dyDescent="0.25">
      <c r="A73" s="25">
        <f ca="1">INDEX(INDIRECT(zoneFichierTraite),$J72+offsetInitialFichierTraite,2)</f>
        <v>58</v>
      </c>
      <c r="B73" s="45" t="str">
        <f ca="1">IF(C73="", IFERROR(INDEX(INDIRECT(zoneFichierEAN13Valmag),$P72,3),""), "")</f>
        <v/>
      </c>
      <c r="C73" s="44" t="str">
        <f ca="1">IFERROR(INDEX(INDIRECT(zoneFichierEAN13Valmag),$O72,3),"")</f>
        <v xml:space="preserve">MINIOBODY       </v>
      </c>
      <c r="D73" s="19" t="str">
        <f ca="1">IFERROR(INDEX(INDIRECT(zoneFichierEAN13Valmag),$O72,4),"")</f>
        <v xml:space="preserve">RED  </v>
      </c>
      <c r="E73" s="33" t="str">
        <f ca="1">IFERROR(INDEX(INDIRECT(zoneFichierFiltreCatalogue),S72,3),"")</f>
        <v>p008-1-02</v>
      </c>
      <c r="F73" s="19"/>
      <c r="G73" s="18"/>
      <c r="H73" s="34" t="str">
        <f ca="1">IFERROR(INDEX(INDIRECT(zoneFichierFiltreCatalogue),S72,6),"")</f>
        <v>fall 2019 presentation_/catalogo fall 19.txt</v>
      </c>
      <c r="R73" s="21"/>
      <c r="S73" s="21"/>
    </row>
    <row r="74" spans="1:20" ht="39" customHeight="1" thickBot="1" x14ac:dyDescent="0.65">
      <c r="A74" s="9" t="str">
        <f ca="1">INDEX(INDIRECT(zoneFichierTraite),$J74+offsetInitialFichierTraite,6)</f>
        <v>UNICA</v>
      </c>
      <c r="B74" s="5" t="str">
        <f ca="1">INDEX(INDIRECT(zoneFichierTraite),$J74+offsetInitialFichierTraite,4)</f>
        <v>OBAGB002-EVS00-132</v>
      </c>
      <c r="C74" s="26" t="str">
        <f ca="1">INDEX(INDIRECT(zoneFichierTraite),$J74+offsetInitialFichierTraite,5)</f>
        <v>CORPS O BAG MINI EVA COMPOUND</v>
      </c>
      <c r="D74" s="27" t="str">
        <f ca="1">INDEX(INDIRECT(zoneFichierTraite),$J74+offsetInitialFichierTraite,13)</f>
        <v>biscotto</v>
      </c>
      <c r="E74" s="30">
        <f ca="1">INDEX(INDIRECT(zoneFichierTraite),$J74+offsetInitialFichierTraite,7)</f>
        <v>2</v>
      </c>
      <c r="F74" s="28">
        <f ca="1">INDEX(INDIRECT(zoneFichierTraite),$J74+offsetInitialFichierTraite,8)</f>
        <v>14.4</v>
      </c>
      <c r="G74" s="29">
        <f t="shared" ref="G74:G137" ca="1" si="16">ROUNDUP(F74*3,0)</f>
        <v>44</v>
      </c>
      <c r="H74" s="32" t="str">
        <f ca="1">IF(ISNUMBER(N74),codeEAN13(INT(N74/10)),"")</f>
        <v>8APASOG*aiddih+</v>
      </c>
      <c r="J74" s="15">
        <f t="shared" ref="J74:J136" si="17">J72+1</f>
        <v>33</v>
      </c>
      <c r="L74" s="5" t="str">
        <f ca="1">INDEX(INDIRECT(zoneFichierTraite),$J74+offsetInitialFichierTraite,1)</f>
        <v>'033</v>
      </c>
      <c r="M74" s="11">
        <f ca="1">INDEX(INDIRECT(zoneFichierTraite),$J74+offsetInitialFichierTraite,9)</f>
        <v>28.8</v>
      </c>
      <c r="N74" s="14">
        <f ca="1">INDEX(INDIRECT(zoneFichierTraite),$J74+offsetInitialFichierTraite,3)</f>
        <v>8050846083387</v>
      </c>
      <c r="O74" s="1">
        <f ca="1">MATCH(N74,INDIRECT(nomFichierEAN13Valmag &amp; "!A:A"),0)</f>
        <v>635</v>
      </c>
      <c r="P74" s="1">
        <f ca="1">MATCH(R74,INDIRECT(nomFichierEAN13Valmag &amp; "!A:A"),0)</f>
        <v>20</v>
      </c>
      <c r="Q74" s="1">
        <f ca="1">MATCH(LEFT(B74,14) &amp; "*",INDIRECT(nomFichierEAN13Valmag &amp; "!B:B"),0)</f>
        <v>20</v>
      </c>
      <c r="R74" s="14">
        <f ca="1">IFERROR(INDEX(INDIRECT(zoneFichierEAN13Valmag),Q74,1),"")</f>
        <v>8050450212647</v>
      </c>
      <c r="S74" s="1">
        <f ca="1">MATCH(B74,INDIRECT(nomFichierFiltreCatalogue &amp; "!B:B"),0)</f>
        <v>18</v>
      </c>
      <c r="T74" s="14"/>
    </row>
    <row r="75" spans="1:20" s="20" customFormat="1" ht="15.75" customHeight="1" x14ac:dyDescent="0.25">
      <c r="A75" s="25">
        <f ca="1">INDEX(INDIRECT(zoneFichierTraite),$J74+offsetInitialFichierTraite,2)</f>
        <v>153</v>
      </c>
      <c r="B75" s="45" t="str">
        <f ca="1">IF(C75="", IFERROR(INDEX(INDIRECT(zoneFichierEAN13Valmag),$P74,3),""), "")</f>
        <v/>
      </c>
      <c r="C75" s="44" t="str">
        <f ca="1">IFERROR(INDEX(INDIRECT(zoneFichierEAN13Valmag),$O74,3),"")</f>
        <v xml:space="preserve"> </v>
      </c>
      <c r="D75" s="19" t="str">
        <f ca="1">IFERROR(INDEX(INDIRECT(zoneFichierEAN13Valmag),$O74,4),"")</f>
        <v xml:space="preserve"> </v>
      </c>
      <c r="E75" s="33" t="str">
        <f ca="1">IFERROR(INDEX(INDIRECT(zoneFichierFiltreCatalogue),S74,3),"")</f>
        <v>p008-1-03</v>
      </c>
      <c r="F75" s="19"/>
      <c r="G75" s="18"/>
      <c r="H75" s="34" t="str">
        <f ca="1">IFERROR(INDEX(INDIRECT(zoneFichierFiltreCatalogue),S74,6),"")</f>
        <v>fall 2019 presentation_/catalogo fall 19.txt</v>
      </c>
      <c r="R75" s="21"/>
      <c r="S75" s="21"/>
    </row>
    <row r="76" spans="1:20" ht="39" customHeight="1" thickBot="1" x14ac:dyDescent="0.65">
      <c r="A76" s="9" t="str">
        <f ca="1">INDEX(INDIRECT(zoneFichierTraite),$J76+offsetInitialFichierTraite,6)</f>
        <v>UNICA</v>
      </c>
      <c r="B76" s="5" t="str">
        <f ca="1">INDEX(INDIRECT(zoneFichierTraite),$J76+offsetInitialFichierTraite,4)</f>
        <v>OBAGB002-EVS00-614</v>
      </c>
      <c r="C76" s="26" t="str">
        <f ca="1">INDEX(INDIRECT(zoneFichierTraite),$J76+offsetInitialFichierTraite,5)</f>
        <v>CORPS O BAG MINI EVA COMPOUND</v>
      </c>
      <c r="D76" s="27" t="str">
        <f ca="1">INDEX(INDIRECT(zoneFichierTraite),$J76+offsetInitialFichierTraite,13)</f>
        <v>imperial blu</v>
      </c>
      <c r="E76" s="30">
        <f ca="1">INDEX(INDIRECT(zoneFichierTraite),$J76+offsetInitialFichierTraite,7)</f>
        <v>2</v>
      </c>
      <c r="F76" s="28">
        <f ca="1">INDEX(INDIRECT(zoneFichierTraite),$J76+offsetInitialFichierTraite,8)</f>
        <v>14.4</v>
      </c>
      <c r="G76" s="29">
        <f t="shared" ref="G76:G139" ca="1" si="18">ROUNDUP(F76*3,0)</f>
        <v>44</v>
      </c>
      <c r="H76" s="32" t="str">
        <f ca="1">IF(ISNUMBER(N76),codeEAN13(INT(N76/10)),"")</f>
        <v>8APASOG*ajahed+</v>
      </c>
      <c r="J76" s="15">
        <f t="shared" si="17"/>
        <v>34</v>
      </c>
      <c r="L76" s="5" t="str">
        <f ca="1">INDEX(INDIRECT(zoneFichierTraite),$J76+offsetInitialFichierTraite,1)</f>
        <v>'034</v>
      </c>
      <c r="M76" s="11">
        <f ca="1">INDEX(INDIRECT(zoneFichierTraite),$J76+offsetInitialFichierTraite,9)</f>
        <v>28.8</v>
      </c>
      <c r="N76" s="14">
        <f ca="1">INDEX(INDIRECT(zoneFichierTraite),$J76+offsetInitialFichierTraite,3)</f>
        <v>8050846090743</v>
      </c>
      <c r="O76" s="1">
        <f ca="1">MATCH(N76,INDIRECT(nomFichierEAN13Valmag &amp; "!A:A"),0)</f>
        <v>754</v>
      </c>
      <c r="P76" s="1">
        <f ca="1">MATCH(R76,INDIRECT(nomFichierEAN13Valmag &amp; "!A:A"),0)</f>
        <v>20</v>
      </c>
      <c r="Q76" s="1">
        <f ca="1">MATCH(LEFT(B76,14) &amp; "*",INDIRECT(nomFichierEAN13Valmag &amp; "!B:B"),0)</f>
        <v>20</v>
      </c>
      <c r="R76" s="14">
        <f ca="1">IFERROR(INDEX(INDIRECT(zoneFichierEAN13Valmag),Q76,1),"")</f>
        <v>8050450212647</v>
      </c>
      <c r="S76" s="1">
        <f ca="1">MATCH(B76,INDIRECT(nomFichierFiltreCatalogue &amp; "!B:B"),0)</f>
        <v>23</v>
      </c>
      <c r="T76" s="14"/>
    </row>
    <row r="77" spans="1:20" s="20" customFormat="1" ht="15.75" customHeight="1" x14ac:dyDescent="0.25">
      <c r="A77" s="25">
        <f ca="1">INDEX(INDIRECT(zoneFichierTraite),$J76+offsetInitialFichierTraite,2)</f>
        <v>116</v>
      </c>
      <c r="B77" s="45" t="str">
        <f ca="1">IF(C77="", IFERROR(INDEX(INDIRECT(zoneFichierEAN13Valmag),$P76,3),""), "")</f>
        <v/>
      </c>
      <c r="C77" s="44" t="str">
        <f ca="1">IFERROR(INDEX(INDIRECT(zoneFichierEAN13Valmag),$O76,3),"")</f>
        <v xml:space="preserve"> </v>
      </c>
      <c r="D77" s="19" t="str">
        <f ca="1">IFERROR(INDEX(INDIRECT(zoneFichierEAN13Valmag),$O76,4),"")</f>
        <v xml:space="preserve"> </v>
      </c>
      <c r="E77" s="33" t="str">
        <f ca="1">IFERROR(INDEX(INDIRECT(zoneFichierFiltreCatalogue),S76,3),"")</f>
        <v>p008-1-08</v>
      </c>
      <c r="F77" s="19"/>
      <c r="G77" s="18"/>
      <c r="H77" s="34" t="str">
        <f ca="1">IFERROR(INDEX(INDIRECT(zoneFichierFiltreCatalogue),S76,6),"")</f>
        <v>fall 2019 presentation_/catalogo fall 19.txt</v>
      </c>
      <c r="R77" s="21"/>
      <c r="S77" s="21"/>
    </row>
    <row r="78" spans="1:20" ht="39" customHeight="1" thickBot="1" x14ac:dyDescent="0.65">
      <c r="A78" s="9" t="str">
        <f ca="1">INDEX(INDIRECT(zoneFichierTraite),$J78+offsetInitialFichierTraite,6)</f>
        <v>UNICA</v>
      </c>
      <c r="B78" s="5" t="str">
        <f ca="1">INDEX(INDIRECT(zoneFichierTraite),$J78+offsetInitialFichierTraite,4)</f>
        <v>OBAGB002-EVS00-615</v>
      </c>
      <c r="C78" s="26" t="str">
        <f ca="1">INDEX(INDIRECT(zoneFichierTraite),$J78+offsetInitialFichierTraite,5)</f>
        <v>CORPS O BAG MINI EVA COMPOUND</v>
      </c>
      <c r="D78" s="27" t="str">
        <f ca="1">INDEX(INDIRECT(zoneFichierTraite),$J78+offsetInitialFichierTraite,13)</f>
        <v>military</v>
      </c>
      <c r="E78" s="30">
        <f ca="1">INDEX(INDIRECT(zoneFichierTraite),$J78+offsetInitialFichierTraite,7)</f>
        <v>2</v>
      </c>
      <c r="F78" s="28">
        <f ca="1">INDEX(INDIRECT(zoneFichierTraite),$J78+offsetInitialFichierTraite,8)</f>
        <v>14.4</v>
      </c>
      <c r="G78" s="29">
        <f t="shared" ref="G78:G141" ca="1" si="19">ROUNDUP(F78*3,0)</f>
        <v>44</v>
      </c>
      <c r="H78" s="32" t="str">
        <f ca="1">IF(ISNUMBER(N78),codeEAN13(INT(N78/10)),"")</f>
        <v>8APASOG*ajahed+</v>
      </c>
      <c r="J78" s="15">
        <f t="shared" si="17"/>
        <v>35</v>
      </c>
      <c r="L78" s="5" t="str">
        <f ca="1">INDEX(INDIRECT(zoneFichierTraite),$J78+offsetInitialFichierTraite,1)</f>
        <v>'035</v>
      </c>
      <c r="M78" s="11">
        <f ca="1">INDEX(INDIRECT(zoneFichierTraite),$J78+offsetInitialFichierTraite,9)</f>
        <v>28.8</v>
      </c>
      <c r="N78" s="14">
        <f ca="1">INDEX(INDIRECT(zoneFichierTraite),$J78+offsetInitialFichierTraite,3)</f>
        <v>8050846090743</v>
      </c>
      <c r="O78" s="1">
        <f ca="1">MATCH(N78,INDIRECT(nomFichierEAN13Valmag &amp; "!A:A"),0)</f>
        <v>754</v>
      </c>
      <c r="P78" s="1">
        <f ca="1">MATCH(R78,INDIRECT(nomFichierEAN13Valmag &amp; "!A:A"),0)</f>
        <v>20</v>
      </c>
      <c r="Q78" s="1">
        <f ca="1">MATCH(LEFT(B78,14) &amp; "*",INDIRECT(nomFichierEAN13Valmag &amp; "!B:B"),0)</f>
        <v>20</v>
      </c>
      <c r="R78" s="14">
        <f ca="1">IFERROR(INDEX(INDIRECT(zoneFichierEAN13Valmag),Q78,1),"")</f>
        <v>8050450212647</v>
      </c>
      <c r="S78" s="1">
        <f ca="1">MATCH(B78,INDIRECT(nomFichierFiltreCatalogue &amp; "!B:B"),0)</f>
        <v>20</v>
      </c>
      <c r="T78" s="14"/>
    </row>
    <row r="79" spans="1:20" s="20" customFormat="1" ht="15.75" customHeight="1" x14ac:dyDescent="0.25">
      <c r="A79" s="25">
        <f ca="1">INDEX(INDIRECT(zoneFichierTraite),$J78+offsetInitialFichierTraite,2)</f>
        <v>205</v>
      </c>
      <c r="B79" s="45" t="str">
        <f ca="1">IF(C79="", IFERROR(INDEX(INDIRECT(zoneFichierEAN13Valmag),$P78,3),""), "")</f>
        <v/>
      </c>
      <c r="C79" s="44" t="str">
        <f ca="1">IFERROR(INDEX(INDIRECT(zoneFichierEAN13Valmag),$O78,3),"")</f>
        <v xml:space="preserve"> </v>
      </c>
      <c r="D79" s="19" t="str">
        <f ca="1">IFERROR(INDEX(INDIRECT(zoneFichierEAN13Valmag),$O78,4),"")</f>
        <v xml:space="preserve"> </v>
      </c>
      <c r="E79" s="33" t="str">
        <f ca="1">IFERROR(INDEX(INDIRECT(zoneFichierFiltreCatalogue),S78,3),"")</f>
        <v>p008-1-05</v>
      </c>
      <c r="F79" s="19"/>
      <c r="G79" s="18"/>
      <c r="H79" s="34" t="str">
        <f ca="1">IFERROR(INDEX(INDIRECT(zoneFichierFiltreCatalogue),S78,6),"")</f>
        <v>fall 2019 presentation_/catalogo fall 19.txt</v>
      </c>
      <c r="R79" s="21"/>
      <c r="S79" s="21"/>
    </row>
    <row r="80" spans="1:20" ht="39" customHeight="1" thickBot="1" x14ac:dyDescent="0.65">
      <c r="A80" s="9" t="str">
        <f ca="1">INDEX(INDIRECT(zoneFichierTraite),$J80+offsetInitialFichierTraite,6)</f>
        <v>UNICA</v>
      </c>
      <c r="B80" s="5" t="str">
        <f ca="1">INDEX(INDIRECT(zoneFichierTraite),$J80+offsetInitialFichierTraite,4)</f>
        <v>OBAGB002-EVS00-616</v>
      </c>
      <c r="C80" s="26" t="str">
        <f ca="1">INDEX(INDIRECT(zoneFichierTraite),$J80+offsetInitialFichierTraite,5)</f>
        <v>CORPS O BAG MINI EVA COMPOUND</v>
      </c>
      <c r="D80" s="27" t="str">
        <f ca="1">INDEX(INDIRECT(zoneFichierTraite),$J80+offsetInitialFichierTraite,13)</f>
        <v>ice</v>
      </c>
      <c r="E80" s="30">
        <f ca="1">INDEX(INDIRECT(zoneFichierTraite),$J80+offsetInitialFichierTraite,7)</f>
        <v>2</v>
      </c>
      <c r="F80" s="28">
        <f ca="1">INDEX(INDIRECT(zoneFichierTraite),$J80+offsetInitialFichierTraite,8)</f>
        <v>14.4</v>
      </c>
      <c r="G80" s="29">
        <f t="shared" ref="G80:G143" ca="1" si="20">ROUNDUP(F80*3,0)</f>
        <v>44</v>
      </c>
      <c r="H80" s="32" t="str">
        <f ca="1">IF(ISNUMBER(N80),codeEAN13(INT(N80/10)),"")</f>
        <v>8APAOPA*cbfgce+</v>
      </c>
      <c r="J80" s="15">
        <f t="shared" si="17"/>
        <v>36</v>
      </c>
      <c r="L80" s="5" t="str">
        <f ca="1">INDEX(INDIRECT(zoneFichierTraite),$J80+offsetInitialFichierTraite,1)</f>
        <v>'036</v>
      </c>
      <c r="M80" s="11">
        <f ca="1">INDEX(INDIRECT(zoneFichierTraite),$J80+offsetInitialFichierTraite,9)</f>
        <v>28.8</v>
      </c>
      <c r="N80" s="14">
        <f ca="1">INDEX(INDIRECT(zoneFichierTraite),$J80+offsetInitialFichierTraite,3)</f>
        <v>8050450215624</v>
      </c>
      <c r="O80" s="1">
        <f ca="1">MATCH(N80,INDIRECT(nomFichierEAN13Valmag &amp; "!A:A"),0)</f>
        <v>29</v>
      </c>
      <c r="P80" s="1">
        <f ca="1">MATCH(R80,INDIRECT(nomFichierEAN13Valmag &amp; "!A:A"),0)</f>
        <v>20</v>
      </c>
      <c r="Q80" s="1">
        <f ca="1">MATCH(LEFT(B80,14) &amp; "*",INDIRECT(nomFichierEAN13Valmag &amp; "!B:B"),0)</f>
        <v>20</v>
      </c>
      <c r="R80" s="14">
        <f ca="1">IFERROR(INDEX(INDIRECT(zoneFichierEAN13Valmag),Q80,1),"")</f>
        <v>8050450212647</v>
      </c>
      <c r="S80" s="1">
        <f ca="1">MATCH(B80,INDIRECT(nomFichierFiltreCatalogue &amp; "!B:B"),0)</f>
        <v>22</v>
      </c>
      <c r="T80" s="14"/>
    </row>
    <row r="81" spans="1:20" s="20" customFormat="1" ht="15.75" customHeight="1" x14ac:dyDescent="0.25">
      <c r="A81" s="25">
        <f ca="1">INDEX(INDIRECT(zoneFichierTraite),$J80+offsetInitialFichierTraite,2)</f>
        <v>49</v>
      </c>
      <c r="B81" s="45" t="str">
        <f ca="1">IF(C81="", IFERROR(INDEX(INDIRECT(zoneFichierEAN13Valmag),$P80,3),""), "")</f>
        <v/>
      </c>
      <c r="C81" s="44" t="str">
        <f ca="1">IFERROR(INDEX(INDIRECT(zoneFichierEAN13Valmag),$O80,3),"")</f>
        <v xml:space="preserve">MINIOBODY       </v>
      </c>
      <c r="D81" s="19" t="str">
        <f ca="1">IFERROR(INDEX(INDIRECT(zoneFichierEAN13Valmag),$O80,4),"")</f>
        <v xml:space="preserve">RED  </v>
      </c>
      <c r="E81" s="33" t="str">
        <f ca="1">IFERROR(INDEX(INDIRECT(zoneFichierFiltreCatalogue),S80,3),"")</f>
        <v>p008-1-07</v>
      </c>
      <c r="F81" s="19"/>
      <c r="G81" s="18"/>
      <c r="H81" s="34" t="str">
        <f ca="1">IFERROR(INDEX(INDIRECT(zoneFichierFiltreCatalogue),S80,6),"")</f>
        <v>fall 2019 presentation_/catalogo fall 19.txt</v>
      </c>
      <c r="R81" s="21"/>
      <c r="S81" s="21"/>
    </row>
    <row r="82" spans="1:20" ht="39" customHeight="1" thickBot="1" x14ac:dyDescent="0.65">
      <c r="A82" s="9" t="str">
        <f ca="1">INDEX(INDIRECT(zoneFichierTraite),$J82+offsetInitialFichierTraite,6)</f>
        <v>UNICA</v>
      </c>
      <c r="B82" s="5" t="str">
        <f ca="1">INDEX(INDIRECT(zoneFichierTraite),$J82+offsetInitialFichierTraite,4)</f>
        <v>OBAGB002-EVS18-055</v>
      </c>
      <c r="C82" s="26" t="str">
        <f ca="1">INDEX(INDIRECT(zoneFichierTraite),$J82+offsetInitialFichierTraite,5)</f>
        <v>CORPS O BAG MINI EVA COMPOUND TEXTURE Ã€ CHEVRONS</v>
      </c>
      <c r="D82" s="27" t="str">
        <f ca="1">INDEX(INDIRECT(zoneFichierTraite),$J82+offsetInitialFichierTraite,13)</f>
        <v>nero</v>
      </c>
      <c r="E82" s="30">
        <f ca="1">INDEX(INDIRECT(zoneFichierTraite),$J82+offsetInitialFichierTraite,7)</f>
        <v>2</v>
      </c>
      <c r="F82" s="28">
        <f ca="1">INDEX(INDIRECT(zoneFichierTraite),$J82+offsetInitialFichierTraite,8)</f>
        <v>15.6</v>
      </c>
      <c r="G82" s="29">
        <f t="shared" ref="G82:G145" ca="1" si="21">ROUNDUP(F82*3,0)</f>
        <v>47</v>
      </c>
      <c r="H82" s="32" t="str">
        <f ca="1">IF(ISNUMBER(N82),codeEAN13(INT(N82/10)),"")</f>
        <v>8APASOG*aaddbg+</v>
      </c>
      <c r="J82" s="15">
        <f t="shared" si="17"/>
        <v>37</v>
      </c>
      <c r="L82" s="5" t="str">
        <f ca="1">INDEX(INDIRECT(zoneFichierTraite),$J82+offsetInitialFichierTraite,1)</f>
        <v>'037</v>
      </c>
      <c r="M82" s="11">
        <f ca="1">INDEX(INDIRECT(zoneFichierTraite),$J82+offsetInitialFichierTraite,9)</f>
        <v>31.2</v>
      </c>
      <c r="N82" s="14">
        <f ca="1">INDEX(INDIRECT(zoneFichierTraite),$J82+offsetInitialFichierTraite,3)</f>
        <v>8050846003316</v>
      </c>
      <c r="O82" s="1">
        <f ca="1">MATCH(N82,INDIRECT(nomFichierEAN13Valmag &amp; "!A:A"),0)</f>
        <v>79</v>
      </c>
      <c r="P82" s="1">
        <f ca="1">MATCH(R82,INDIRECT(nomFichierEAN13Valmag &amp; "!A:A"),0)</f>
        <v>78</v>
      </c>
      <c r="Q82" s="1">
        <f ca="1">MATCH(LEFT(B82,14) &amp; "*",INDIRECT(nomFichierEAN13Valmag &amp; "!B:B"),0)</f>
        <v>78</v>
      </c>
      <c r="R82" s="14">
        <f ca="1">IFERROR(INDEX(INDIRECT(zoneFichierEAN13Valmag),Q82,1),"")</f>
        <v>8050846003309</v>
      </c>
      <c r="S82" s="1">
        <f ca="1">MATCH(B82,INDIRECT(nomFichierFiltreCatalogue &amp; "!B:B"),0)</f>
        <v>30</v>
      </c>
      <c r="T82" s="14"/>
    </row>
    <row r="83" spans="1:20" s="20" customFormat="1" ht="15.75" customHeight="1" x14ac:dyDescent="0.25">
      <c r="A83" s="25">
        <f ca="1">INDEX(INDIRECT(zoneFichierTraite),$J82+offsetInitialFichierTraite,2)</f>
        <v>163</v>
      </c>
      <c r="B83" s="45" t="str">
        <f ca="1">IF(C83="", IFERROR(INDEX(INDIRECT(zoneFichierEAN13Valmag),$P82,3),""), "")</f>
        <v/>
      </c>
      <c r="C83" s="44" t="str">
        <f ca="1">IFERROR(INDEX(INDIRECT(zoneFichierEAN13Valmag),$O82,3),"")</f>
        <v>MINIOBODYCHEVRON</v>
      </c>
      <c r="D83" s="19" t="str">
        <f ca="1">IFERROR(INDEX(INDIRECT(zoneFichierEAN13Valmag),$O82,4),"")</f>
        <v>BLACK</v>
      </c>
      <c r="E83" s="33" t="str">
        <f ca="1">IFERROR(INDEX(INDIRECT(zoneFichierFiltreCatalogue),S82,3),"")</f>
        <v>p010-1-01</v>
      </c>
      <c r="F83" s="19"/>
      <c r="G83" s="18"/>
      <c r="H83" s="34" t="str">
        <f ca="1">IFERROR(INDEX(INDIRECT(zoneFichierFiltreCatalogue),S82,6),"")</f>
        <v>fall 2019 presentation_/catalogo fall 19.txt</v>
      </c>
      <c r="R83" s="21"/>
      <c r="S83" s="21"/>
    </row>
    <row r="84" spans="1:20" ht="39" customHeight="1" thickBot="1" x14ac:dyDescent="0.65">
      <c r="A84" s="9" t="str">
        <f ca="1">INDEX(INDIRECT(zoneFichierTraite),$J84+offsetInitialFichierTraite,6)</f>
        <v>UNICA</v>
      </c>
      <c r="B84" s="5" t="str">
        <f ca="1">INDEX(INDIRECT(zoneFichierTraite),$J84+offsetInitialFichierTraite,4)</f>
        <v>OBAGB002-EVS18-067</v>
      </c>
      <c r="C84" s="26" t="str">
        <f ca="1">INDEX(INDIRECT(zoneFichierTraite),$J84+offsetInitialFichierTraite,5)</f>
        <v>CORPS O BAG MINI EVA COMPOUND TEXTURE Ã€ CHEVRONS</v>
      </c>
      <c r="D84" s="27" t="str">
        <f ca="1">INDEX(INDIRECT(zoneFichierTraite),$J84+offsetInitialFichierTraite,13)</f>
        <v>phard</v>
      </c>
      <c r="E84" s="30">
        <f ca="1">INDEX(INDIRECT(zoneFichierTraite),$J84+offsetInitialFichierTraite,7)</f>
        <v>2</v>
      </c>
      <c r="F84" s="28">
        <f ca="1">INDEX(INDIRECT(zoneFichierTraite),$J84+offsetInitialFichierTraite,8)</f>
        <v>15.6</v>
      </c>
      <c r="G84" s="29">
        <f t="shared" ref="G84:G147" ca="1" si="22">ROUNDUP(F84*3,0)</f>
        <v>47</v>
      </c>
      <c r="H84" s="32" t="str">
        <f ca="1">IF(ISNUMBER(N84),codeEAN13(INT(N84/10)),"")</f>
        <v>8APASOG*ajejcf+</v>
      </c>
      <c r="J84" s="15">
        <f t="shared" si="17"/>
        <v>38</v>
      </c>
      <c r="L84" s="5" t="str">
        <f ca="1">INDEX(INDIRECT(zoneFichierTraite),$J84+offsetInitialFichierTraite,1)</f>
        <v>'038</v>
      </c>
      <c r="M84" s="11">
        <f ca="1">INDEX(INDIRECT(zoneFichierTraite),$J84+offsetInitialFichierTraite,9)</f>
        <v>31.2</v>
      </c>
      <c r="N84" s="14">
        <f ca="1">INDEX(INDIRECT(zoneFichierTraite),$J84+offsetInitialFichierTraite,3)</f>
        <v>8050846094925</v>
      </c>
      <c r="O84" s="1">
        <f ca="1">MATCH(N84,INDIRECT(nomFichierEAN13Valmag &amp; "!A:A"),0)</f>
        <v>925</v>
      </c>
      <c r="P84" s="1">
        <f ca="1">MATCH(R84,INDIRECT(nomFichierEAN13Valmag &amp; "!A:A"),0)</f>
        <v>78</v>
      </c>
      <c r="Q84" s="1">
        <f ca="1">MATCH(LEFT(B84,14) &amp; "*",INDIRECT(nomFichierEAN13Valmag &amp; "!B:B"),0)</f>
        <v>78</v>
      </c>
      <c r="R84" s="14">
        <f ca="1">IFERROR(INDEX(INDIRECT(zoneFichierEAN13Valmag),Q84,1),"")</f>
        <v>8050846003309</v>
      </c>
      <c r="S84" s="1">
        <f ca="1">MATCH(B84,INDIRECT(nomFichierFiltreCatalogue &amp; "!B:B"),0)</f>
        <v>32</v>
      </c>
      <c r="T84" s="14"/>
    </row>
    <row r="85" spans="1:20" s="20" customFormat="1" ht="15.75" customHeight="1" x14ac:dyDescent="0.25">
      <c r="A85" s="25">
        <f ca="1">INDEX(INDIRECT(zoneFichierTraite),$J84+offsetInitialFichierTraite,2)</f>
        <v>209</v>
      </c>
      <c r="B85" s="45" t="str">
        <f ca="1">IF(C85="", IFERROR(INDEX(INDIRECT(zoneFichierEAN13Valmag),$P84,3),""), "")</f>
        <v/>
      </c>
      <c r="C85" s="44" t="str">
        <f ca="1">IFERROR(INDEX(INDIRECT(zoneFichierEAN13Valmag),$O84,3),"")</f>
        <v xml:space="preserve"> </v>
      </c>
      <c r="D85" s="19" t="str">
        <f ca="1">IFERROR(INDEX(INDIRECT(zoneFichierEAN13Valmag),$O84,4),"")</f>
        <v xml:space="preserve"> </v>
      </c>
      <c r="E85" s="33" t="str">
        <f ca="1">IFERROR(INDEX(INDIRECT(zoneFichierFiltreCatalogue),S84,3),"")</f>
        <v>p010-1-03</v>
      </c>
      <c r="F85" s="19"/>
      <c r="G85" s="18"/>
      <c r="H85" s="34" t="str">
        <f ca="1">IFERROR(INDEX(INDIRECT(zoneFichierFiltreCatalogue),S84,6),"")</f>
        <v>fall 2019 presentation_/catalogo fall 19.txt</v>
      </c>
      <c r="R85" s="21"/>
      <c r="S85" s="21"/>
    </row>
    <row r="86" spans="1:20" ht="39" customHeight="1" thickBot="1" x14ac:dyDescent="0.65">
      <c r="A86" s="9" t="str">
        <f ca="1">INDEX(INDIRECT(zoneFichierTraite),$J86+offsetInitialFichierTraite,6)</f>
        <v>UNICA</v>
      </c>
      <c r="B86" s="5" t="str">
        <f ca="1">INDEX(INDIRECT(zoneFichierTraite),$J86+offsetInitialFichierTraite,4)</f>
        <v>OBAGB002-EVS18-078</v>
      </c>
      <c r="C86" s="26" t="str">
        <f ca="1">INDEX(INDIRECT(zoneFichierTraite),$J86+offsetInitialFichierTraite,5)</f>
        <v>CORPS O BAG MINI EVA COMPOUND TEXTURE Ã€ CHEVRONS</v>
      </c>
      <c r="D86" s="27" t="str">
        <f ca="1">INDEX(INDIRECT(zoneFichierTraite),$J86+offsetInitialFichierTraite,13)</f>
        <v>sabbia</v>
      </c>
      <c r="E86" s="30">
        <f ca="1">INDEX(INDIRECT(zoneFichierTraite),$J86+offsetInitialFichierTraite,7)</f>
        <v>2</v>
      </c>
      <c r="F86" s="28">
        <f ca="1">INDEX(INDIRECT(zoneFichierTraite),$J86+offsetInitialFichierTraite,8)</f>
        <v>15.6</v>
      </c>
      <c r="G86" s="29">
        <f t="shared" ref="G86:G149" ca="1" si="23">ROUNDUP(F86*3,0)</f>
        <v>47</v>
      </c>
      <c r="H86" s="32" t="str">
        <f ca="1">IF(ISNUMBER(N86),codeEAN13(INT(N86/10)),"")</f>
        <v>8APASOG*ajjgif+</v>
      </c>
      <c r="J86" s="15">
        <f t="shared" si="17"/>
        <v>39</v>
      </c>
      <c r="L86" s="5" t="str">
        <f ca="1">INDEX(INDIRECT(zoneFichierTraite),$J86+offsetInitialFichierTraite,1)</f>
        <v>'039</v>
      </c>
      <c r="M86" s="11">
        <f ca="1">INDEX(INDIRECT(zoneFichierTraite),$J86+offsetInitialFichierTraite,9)</f>
        <v>31.2</v>
      </c>
      <c r="N86" s="14">
        <f ca="1">INDEX(INDIRECT(zoneFichierTraite),$J86+offsetInitialFichierTraite,3)</f>
        <v>8050846099685</v>
      </c>
      <c r="O86" s="1">
        <f ca="1">MATCH(N86,INDIRECT(nomFichierEAN13Valmag &amp; "!A:A"),0)</f>
        <v>937</v>
      </c>
      <c r="P86" s="1">
        <f ca="1">MATCH(R86,INDIRECT(nomFichierEAN13Valmag &amp; "!A:A"),0)</f>
        <v>78</v>
      </c>
      <c r="Q86" s="1">
        <f ca="1">MATCH(LEFT(B86,14) &amp; "*",INDIRECT(nomFichierEAN13Valmag &amp; "!B:B"),0)</f>
        <v>78</v>
      </c>
      <c r="R86" s="14">
        <f ca="1">IFERROR(INDEX(INDIRECT(zoneFichierEAN13Valmag),Q86,1),"")</f>
        <v>8050846003309</v>
      </c>
      <c r="S86" s="1">
        <f ca="1">MATCH(B86,INDIRECT(nomFichierFiltreCatalogue &amp; "!B:B"),0)</f>
        <v>35</v>
      </c>
      <c r="T86" s="14"/>
    </row>
    <row r="87" spans="1:20" s="20" customFormat="1" ht="15.75" customHeight="1" x14ac:dyDescent="0.25">
      <c r="A87" s="25">
        <f ca="1">INDEX(INDIRECT(zoneFichierTraite),$J86+offsetInitialFichierTraite,2)</f>
        <v>133</v>
      </c>
      <c r="B87" s="45" t="str">
        <f ca="1">IF(C87="", IFERROR(INDEX(INDIRECT(zoneFichierEAN13Valmag),$P86,3),""), "")</f>
        <v/>
      </c>
      <c r="C87" s="44" t="str">
        <f ca="1">IFERROR(INDEX(INDIRECT(zoneFichierEAN13Valmag),$O86,3),"")</f>
        <v xml:space="preserve"> </v>
      </c>
      <c r="D87" s="19" t="str">
        <f ca="1">IFERROR(INDEX(INDIRECT(zoneFichierEAN13Valmag),$O86,4),"")</f>
        <v xml:space="preserve"> </v>
      </c>
      <c r="E87" s="33" t="str">
        <f ca="1">IFERROR(INDEX(INDIRECT(zoneFichierFiltreCatalogue),S86,3),"")</f>
        <v>p010-1-06</v>
      </c>
      <c r="F87" s="19"/>
      <c r="G87" s="18"/>
      <c r="H87" s="34" t="str">
        <f ca="1">IFERROR(INDEX(INDIRECT(zoneFichierFiltreCatalogue),S86,6),"")</f>
        <v>fall 2019 presentation_/catalogo fall 19.txt</v>
      </c>
      <c r="R87" s="21"/>
      <c r="S87" s="21"/>
    </row>
    <row r="88" spans="1:20" ht="39" customHeight="1" thickBot="1" x14ac:dyDescent="0.65">
      <c r="A88" s="9" t="str">
        <f ca="1">INDEX(INDIRECT(zoneFichierTraite),$J88+offsetInitialFichierTraite,6)</f>
        <v>UNICA</v>
      </c>
      <c r="B88" s="5" t="str">
        <f ca="1">INDEX(INDIRECT(zoneFichierTraite),$J88+offsetInitialFichierTraite,4)</f>
        <v>OBAGB002-EVS18-371</v>
      </c>
      <c r="C88" s="26" t="str">
        <f ca="1">INDEX(INDIRECT(zoneFichierTraite),$J88+offsetInitialFichierTraite,5)</f>
        <v>CORPS O BAG MINI EVA COMPOUND TEXTURE Ã€ CHEVRONS</v>
      </c>
      <c r="D88" s="27" t="str">
        <f ca="1">INDEX(INDIRECT(zoneFichierTraite),$J88+offsetInitialFichierTraite,13)</f>
        <v>latte</v>
      </c>
      <c r="E88" s="30">
        <f ca="1">INDEX(INDIRECT(zoneFichierTraite),$J88+offsetInitialFichierTraite,7)</f>
        <v>2</v>
      </c>
      <c r="F88" s="28">
        <f ca="1">INDEX(INDIRECT(zoneFichierTraite),$J88+offsetInitialFichierTraite,8)</f>
        <v>15.6</v>
      </c>
      <c r="G88" s="29">
        <f t="shared" ref="G88:G151" ca="1" si="24">ROUNDUP(F88*3,0)</f>
        <v>47</v>
      </c>
      <c r="H88" s="32" t="str">
        <f ca="1">IF(ISNUMBER(N88),codeEAN13(INT(N88/10)),"")</f>
        <v>8APASOG*aaddaj+</v>
      </c>
      <c r="J88" s="15">
        <f t="shared" si="17"/>
        <v>40</v>
      </c>
      <c r="L88" s="5" t="str">
        <f ca="1">INDEX(INDIRECT(zoneFichierTraite),$J88+offsetInitialFichierTraite,1)</f>
        <v>'040</v>
      </c>
      <c r="M88" s="11">
        <f ca="1">INDEX(INDIRECT(zoneFichierTraite),$J88+offsetInitialFichierTraite,9)</f>
        <v>31.2</v>
      </c>
      <c r="N88" s="14">
        <f ca="1">INDEX(INDIRECT(zoneFichierTraite),$J88+offsetInitialFichierTraite,3)</f>
        <v>8050846003309</v>
      </c>
      <c r="O88" s="1">
        <f ca="1">MATCH(N88,INDIRECT(nomFichierEAN13Valmag &amp; "!A:A"),0)</f>
        <v>78</v>
      </c>
      <c r="P88" s="1">
        <f ca="1">MATCH(R88,INDIRECT(nomFichierEAN13Valmag &amp; "!A:A"),0)</f>
        <v>78</v>
      </c>
      <c r="Q88" s="1">
        <f ca="1">MATCH(LEFT(B88,14) &amp; "*",INDIRECT(nomFichierEAN13Valmag &amp; "!B:B"),0)</f>
        <v>78</v>
      </c>
      <c r="R88" s="14">
        <f ca="1">IFERROR(INDEX(INDIRECT(zoneFichierEAN13Valmag),Q88,1),"")</f>
        <v>8050846003309</v>
      </c>
      <c r="S88" s="1">
        <f ca="1">MATCH(B88,INDIRECT(nomFichierFiltreCatalogue &amp; "!B:B"),0)</f>
        <v>31</v>
      </c>
      <c r="T88" s="14"/>
    </row>
    <row r="89" spans="1:20" s="20" customFormat="1" ht="15.75" customHeight="1" x14ac:dyDescent="0.25">
      <c r="A89" s="25">
        <f ca="1">INDEX(INDIRECT(zoneFichierTraite),$J88+offsetInitialFichierTraite,2)</f>
        <v>54</v>
      </c>
      <c r="B89" s="45" t="str">
        <f ca="1">IF(C89="", IFERROR(INDEX(INDIRECT(zoneFichierEAN13Valmag),$P88,3),""), "")</f>
        <v/>
      </c>
      <c r="C89" s="44" t="str">
        <f ca="1">IFERROR(INDEX(INDIRECT(zoneFichierEAN13Valmag),$O88,3),"")</f>
        <v>MINIOBODYCHEVRON</v>
      </c>
      <c r="D89" s="19" t="str">
        <f ca="1">IFERROR(INDEX(INDIRECT(zoneFichierEAN13Valmag),$O88,4),"")</f>
        <v>WHITE</v>
      </c>
      <c r="E89" s="33" t="str">
        <f ca="1">IFERROR(INDEX(INDIRECT(zoneFichierFiltreCatalogue),S88,3),"")</f>
        <v>p010-1-02</v>
      </c>
      <c r="F89" s="19"/>
      <c r="G89" s="18"/>
      <c r="H89" s="34" t="str">
        <f ca="1">IFERROR(INDEX(INDIRECT(zoneFichierFiltreCatalogue),S88,6),"")</f>
        <v>fall 2019 presentation_/catalogo fall 19.txt</v>
      </c>
      <c r="R89" s="21"/>
      <c r="S89" s="21"/>
    </row>
    <row r="90" spans="1:20" ht="39" customHeight="1" thickBot="1" x14ac:dyDescent="0.65">
      <c r="A90" s="9" t="str">
        <f ca="1">INDEX(INDIRECT(zoneFichierTraite),$J90+offsetInitialFichierTraite,6)</f>
        <v>UNICA</v>
      </c>
      <c r="B90" s="5" t="str">
        <f ca="1">INDEX(INDIRECT(zoneFichierTraite),$J90+offsetInitialFichierTraite,4)</f>
        <v>OBAGB002-EVS18-614</v>
      </c>
      <c r="C90" s="26" t="str">
        <f ca="1">INDEX(INDIRECT(zoneFichierTraite),$J90+offsetInitialFichierTraite,5)</f>
        <v>CORPS O BAG MINI EVA COMPOUND TEXTURE Ã€ CHEVRONS</v>
      </c>
      <c r="D90" s="27" t="str">
        <f ca="1">INDEX(INDIRECT(zoneFichierTraite),$J90+offsetInitialFichierTraite,13)</f>
        <v>imperial blu</v>
      </c>
      <c r="E90" s="30">
        <f ca="1">INDEX(INDIRECT(zoneFichierTraite),$J90+offsetInitialFichierTraite,7)</f>
        <v>2</v>
      </c>
      <c r="F90" s="28">
        <f ca="1">INDEX(INDIRECT(zoneFichierTraite),$J90+offsetInitialFichierTraite,8)</f>
        <v>15.6</v>
      </c>
      <c r="G90" s="29">
        <f t="shared" ref="G90:G153" ca="1" si="25">ROUNDUP(F90*3,0)</f>
        <v>47</v>
      </c>
      <c r="H90" s="32" t="str">
        <f ca="1">IF(ISNUMBER(N90),codeEAN13(INT(N90/10)),"")</f>
        <v>8APASOG*ajejfg+</v>
      </c>
      <c r="J90" s="15">
        <f t="shared" si="17"/>
        <v>41</v>
      </c>
      <c r="L90" s="5" t="str">
        <f ca="1">INDEX(INDIRECT(zoneFichierTraite),$J90+offsetInitialFichierTraite,1)</f>
        <v>'041</v>
      </c>
      <c r="M90" s="11">
        <f ca="1">INDEX(INDIRECT(zoneFichierTraite),$J90+offsetInitialFichierTraite,9)</f>
        <v>31.2</v>
      </c>
      <c r="N90" s="14">
        <f ca="1">INDEX(INDIRECT(zoneFichierTraite),$J90+offsetInitialFichierTraite,3)</f>
        <v>8050846094956</v>
      </c>
      <c r="O90" s="1">
        <f ca="1">MATCH(N90,INDIRECT(nomFichierEAN13Valmag &amp; "!A:A"),0)</f>
        <v>927</v>
      </c>
      <c r="P90" s="1">
        <f ca="1">MATCH(R90,INDIRECT(nomFichierEAN13Valmag &amp; "!A:A"),0)</f>
        <v>78</v>
      </c>
      <c r="Q90" s="1">
        <f ca="1">MATCH(LEFT(B90,14) &amp; "*",INDIRECT(nomFichierEAN13Valmag &amp; "!B:B"),0)</f>
        <v>78</v>
      </c>
      <c r="R90" s="14">
        <f ca="1">IFERROR(INDEX(INDIRECT(zoneFichierEAN13Valmag),Q90,1),"")</f>
        <v>8050846003309</v>
      </c>
      <c r="S90" s="1">
        <f ca="1">MATCH(B90,INDIRECT(nomFichierFiltreCatalogue &amp; "!B:B"),0)</f>
        <v>33</v>
      </c>
      <c r="T90" s="14"/>
    </row>
    <row r="91" spans="1:20" s="20" customFormat="1" ht="15.75" customHeight="1" x14ac:dyDescent="0.25">
      <c r="A91" s="25">
        <f ca="1">INDEX(INDIRECT(zoneFichierTraite),$J90+offsetInitialFichierTraite,2)</f>
        <v>189</v>
      </c>
      <c r="B91" s="45" t="str">
        <f ca="1">IF(C91="", IFERROR(INDEX(INDIRECT(zoneFichierEAN13Valmag),$P90,3),""), "")</f>
        <v/>
      </c>
      <c r="C91" s="44" t="str">
        <f ca="1">IFERROR(INDEX(INDIRECT(zoneFichierEAN13Valmag),$O90,3),"")</f>
        <v xml:space="preserve"> </v>
      </c>
      <c r="D91" s="19" t="str">
        <f ca="1">IFERROR(INDEX(INDIRECT(zoneFichierEAN13Valmag),$O90,4),"")</f>
        <v xml:space="preserve"> </v>
      </c>
      <c r="E91" s="33" t="str">
        <f ca="1">IFERROR(INDEX(INDIRECT(zoneFichierFiltreCatalogue),S90,3),"")</f>
        <v>p010-1-04</v>
      </c>
      <c r="F91" s="19"/>
      <c r="G91" s="18"/>
      <c r="H91" s="34" t="str">
        <f ca="1">IFERROR(INDEX(INDIRECT(zoneFichierFiltreCatalogue),S90,6),"")</f>
        <v>fall 2019 presentation_/catalogo fall 19.txt</v>
      </c>
      <c r="R91" s="21"/>
      <c r="S91" s="21"/>
    </row>
    <row r="92" spans="1:20" ht="39" customHeight="1" thickBot="1" x14ac:dyDescent="0.65">
      <c r="A92" s="9" t="str">
        <f ca="1">INDEX(INDIRECT(zoneFichierTraite),$J92+offsetInitialFichierTraite,6)</f>
        <v>UNICA</v>
      </c>
      <c r="B92" s="5" t="str">
        <f ca="1">INDEX(INDIRECT(zoneFichierTraite),$J92+offsetInitialFichierTraite,4)</f>
        <v>OBAGB002-EVS18-615</v>
      </c>
      <c r="C92" s="26" t="str">
        <f ca="1">INDEX(INDIRECT(zoneFichierTraite),$J92+offsetInitialFichierTraite,5)</f>
        <v>CORPS O BAG MINI EVA COMPOUND TEXTURE Ã€ CHEVRONS</v>
      </c>
      <c r="D92" s="27" t="str">
        <f ca="1">INDEX(INDIRECT(zoneFichierTraite),$J92+offsetInitialFichierTraite,13)</f>
        <v>military</v>
      </c>
      <c r="E92" s="30">
        <f ca="1">INDEX(INDIRECT(zoneFichierTraite),$J92+offsetInitialFichierTraite,7)</f>
        <v>2</v>
      </c>
      <c r="F92" s="28">
        <f ca="1">INDEX(INDIRECT(zoneFichierTraite),$J92+offsetInitialFichierTraite,8)</f>
        <v>15.6</v>
      </c>
      <c r="G92" s="29">
        <f t="shared" ref="G92:G155" ca="1" si="26">ROUNDUP(F92*3,0)</f>
        <v>47</v>
      </c>
      <c r="H92" s="32" t="str">
        <f ca="1">IF(ISNUMBER(N92),codeEAN13(INT(N92/10)),"")</f>
        <v>8APASOG*ajejdc+</v>
      </c>
      <c r="J92" s="15">
        <f t="shared" si="17"/>
        <v>42</v>
      </c>
      <c r="L92" s="5" t="str">
        <f ca="1">INDEX(INDIRECT(zoneFichierTraite),$J92+offsetInitialFichierTraite,1)</f>
        <v>'042</v>
      </c>
      <c r="M92" s="11">
        <f ca="1">INDEX(INDIRECT(zoneFichierTraite),$J92+offsetInitialFichierTraite,9)</f>
        <v>31.2</v>
      </c>
      <c r="N92" s="14">
        <f ca="1">INDEX(INDIRECT(zoneFichierTraite),$J92+offsetInitialFichierTraite,3)</f>
        <v>8050846094932</v>
      </c>
      <c r="O92" s="1">
        <f ca="1">MATCH(N92,INDIRECT(nomFichierEAN13Valmag &amp; "!A:A"),0)</f>
        <v>926</v>
      </c>
      <c r="P92" s="1">
        <f ca="1">MATCH(R92,INDIRECT(nomFichierEAN13Valmag &amp; "!A:A"),0)</f>
        <v>78</v>
      </c>
      <c r="Q92" s="1">
        <f ca="1">MATCH(LEFT(B92,14) &amp; "*",INDIRECT(nomFichierEAN13Valmag &amp; "!B:B"),0)</f>
        <v>78</v>
      </c>
      <c r="R92" s="14">
        <f ca="1">IFERROR(INDEX(INDIRECT(zoneFichierEAN13Valmag),Q92,1),"")</f>
        <v>8050846003309</v>
      </c>
      <c r="S92" s="1">
        <f ca="1">MATCH(B92,INDIRECT(nomFichierFiltreCatalogue &amp; "!B:B"),0)</f>
        <v>34</v>
      </c>
      <c r="T92" s="14"/>
    </row>
    <row r="93" spans="1:20" s="20" customFormat="1" ht="15.75" customHeight="1" x14ac:dyDescent="0.25">
      <c r="A93" s="25">
        <f ca="1">INDEX(INDIRECT(zoneFichierTraite),$J92+offsetInitialFichierTraite,2)</f>
        <v>221</v>
      </c>
      <c r="B93" s="45" t="str">
        <f ca="1">IF(C93="", IFERROR(INDEX(INDIRECT(zoneFichierEAN13Valmag),$P92,3),""), "")</f>
        <v/>
      </c>
      <c r="C93" s="44" t="str">
        <f ca="1">IFERROR(INDEX(INDIRECT(zoneFichierEAN13Valmag),$O92,3),"")</f>
        <v xml:space="preserve"> </v>
      </c>
      <c r="D93" s="19" t="str">
        <f ca="1">IFERROR(INDEX(INDIRECT(zoneFichierEAN13Valmag),$O92,4),"")</f>
        <v xml:space="preserve"> </v>
      </c>
      <c r="E93" s="33" t="str">
        <f ca="1">IFERROR(INDEX(INDIRECT(zoneFichierFiltreCatalogue),S92,3),"")</f>
        <v>p010-1-05</v>
      </c>
      <c r="F93" s="19"/>
      <c r="G93" s="18"/>
      <c r="H93" s="34" t="str">
        <f ca="1">IFERROR(INDEX(INDIRECT(zoneFichierFiltreCatalogue),S92,6),"")</f>
        <v>fall 2019 presentation_/catalogo fall 19.txt</v>
      </c>
      <c r="R93" s="21"/>
      <c r="S93" s="21"/>
    </row>
    <row r="94" spans="1:20" ht="39" customHeight="1" thickBot="1" x14ac:dyDescent="0.65">
      <c r="A94" s="9" t="str">
        <f ca="1">INDEX(INDIRECT(zoneFichierTraite),$J94+offsetInitialFichierTraite,6)</f>
        <v>UNICA</v>
      </c>
      <c r="B94" s="5" t="str">
        <f ca="1">INDEX(INDIRECT(zoneFichierTraite),$J94+offsetInitialFichierTraite,4)</f>
        <v>OBAGB033-EVS00-017</v>
      </c>
      <c r="C94" s="26" t="str">
        <f ca="1">INDEX(INDIRECT(zoneFichierTraite),$J94+offsetInitialFichierTraite,5)</f>
        <v>CORPS O BAG URBAN EVA COMPOUND</v>
      </c>
      <c r="D94" s="27" t="str">
        <f ca="1">INDEX(INDIRECT(zoneFichierTraite),$J94+offsetInitialFichierTraite,13)</f>
        <v>blu navy</v>
      </c>
      <c r="E94" s="30">
        <f ca="1">INDEX(INDIRECT(zoneFichierTraite),$J94+offsetInitialFichierTraite,7)</f>
        <v>2</v>
      </c>
      <c r="F94" s="28">
        <f ca="1">INDEX(INDIRECT(zoneFichierTraite),$J94+offsetInitialFichierTraite,8)</f>
        <v>14.16</v>
      </c>
      <c r="G94" s="29">
        <f t="shared" ref="G94:G157" ca="1" si="27">ROUNDUP(F94*3,0)</f>
        <v>43</v>
      </c>
      <c r="H94" s="32" t="str">
        <f ca="1">IF(ISNUMBER(N94),codeEAN13(INT(N94/10)),"")</f>
        <v>8APASOG*adjged+</v>
      </c>
      <c r="J94" s="15">
        <f t="shared" si="17"/>
        <v>43</v>
      </c>
      <c r="L94" s="5" t="str">
        <f ca="1">INDEX(INDIRECT(zoneFichierTraite),$J94+offsetInitialFichierTraite,1)</f>
        <v>'043</v>
      </c>
      <c r="M94" s="11">
        <f ca="1">INDEX(INDIRECT(zoneFichierTraite),$J94+offsetInitialFichierTraite,9)</f>
        <v>28.32</v>
      </c>
      <c r="N94" s="14">
        <f ca="1">INDEX(INDIRECT(zoneFichierTraite),$J94+offsetInitialFichierTraite,3)</f>
        <v>8050846039643</v>
      </c>
      <c r="O94" s="1">
        <f ca="1">MATCH(N94,INDIRECT(nomFichierEAN13Valmag &amp; "!A:A"),0)</f>
        <v>246</v>
      </c>
      <c r="P94" s="1">
        <f ca="1">MATCH(R94,INDIRECT(nomFichierEAN13Valmag &amp; "!A:A"),0)</f>
        <v>246</v>
      </c>
      <c r="Q94" s="1">
        <f ca="1">MATCH(LEFT(B94,14) &amp; "*",INDIRECT(nomFichierEAN13Valmag &amp; "!B:B"),0)</f>
        <v>246</v>
      </c>
      <c r="R94" s="14">
        <f ca="1">IFERROR(INDEX(INDIRECT(zoneFichierEAN13Valmag),Q94,1),"")</f>
        <v>8050846039643</v>
      </c>
      <c r="S94" s="1">
        <f ca="1">MATCH(B94,INDIRECT(nomFichierFiltreCatalogue &amp; "!B:B"),0)</f>
        <v>36</v>
      </c>
      <c r="T94" s="14"/>
    </row>
    <row r="95" spans="1:20" s="20" customFormat="1" ht="15.75" customHeight="1" x14ac:dyDescent="0.25">
      <c r="A95" s="25">
        <f ca="1">INDEX(INDIRECT(zoneFichierTraite),$J94+offsetInitialFichierTraite,2)</f>
        <v>55</v>
      </c>
      <c r="B95" s="45" t="str">
        <f ca="1">IF(C95="", IFERROR(INDEX(INDIRECT(zoneFichierEAN13Valmag),$P94,3),""), "")</f>
        <v/>
      </c>
      <c r="C95" s="44" t="str">
        <f ca="1">IFERROR(INDEX(INDIRECT(zoneFichierEAN13Valmag),$O94,3),"")</f>
        <v xml:space="preserve">OURBAN          </v>
      </c>
      <c r="D95" s="19" t="str">
        <f ca="1">IFERROR(INDEX(INDIRECT(zoneFichierEAN13Valmag),$O94,4),"")</f>
        <v xml:space="preserve">NAVY </v>
      </c>
      <c r="E95" s="33" t="str">
        <f ca="1">IFERROR(INDEX(INDIRECT(zoneFichierFiltreCatalogue),S94,3),"")</f>
        <v>p011-1-01</v>
      </c>
      <c r="F95" s="19"/>
      <c r="G95" s="18"/>
      <c r="H95" s="34" t="str">
        <f ca="1">IFERROR(INDEX(INDIRECT(zoneFichierFiltreCatalogue),S94,6),"")</f>
        <v>fall 2019 presentation_/catalogo fall 19.txt</v>
      </c>
      <c r="R95" s="21"/>
      <c r="S95" s="21"/>
    </row>
    <row r="96" spans="1:20" ht="39" customHeight="1" thickBot="1" x14ac:dyDescent="0.65">
      <c r="A96" s="9" t="str">
        <f ca="1">INDEX(INDIRECT(zoneFichierTraite),$J96+offsetInitialFichierTraite,6)</f>
        <v>UNICA</v>
      </c>
      <c r="B96" s="5" t="str">
        <f ca="1">INDEX(INDIRECT(zoneFichierTraite),$J96+offsetInitialFichierTraite,4)</f>
        <v>OBAGB033-EVS00-038</v>
      </c>
      <c r="C96" s="26" t="str">
        <f ca="1">INDEX(INDIRECT(zoneFichierTraite),$J96+offsetInitialFichierTraite,5)</f>
        <v>CORPS O BAG URBAN EVA COMPOUND</v>
      </c>
      <c r="D96" s="27" t="str">
        <f ca="1">INDEX(INDIRECT(zoneFichierTraite),$J96+offsetInitialFichierTraite,13)</f>
        <v>grafite</v>
      </c>
      <c r="E96" s="30">
        <f ca="1">INDEX(INDIRECT(zoneFichierTraite),$J96+offsetInitialFichierTraite,7)</f>
        <v>2</v>
      </c>
      <c r="F96" s="28">
        <f ca="1">INDEX(INDIRECT(zoneFichierTraite),$J96+offsetInitialFichierTraite,8)</f>
        <v>14.16</v>
      </c>
      <c r="G96" s="29">
        <f t="shared" ref="G96:G159" ca="1" si="28">ROUNDUP(F96*3,0)</f>
        <v>43</v>
      </c>
      <c r="H96" s="32" t="str">
        <f ca="1">IF(ISNUMBER(N96),codeEAN13(INT(N96/10)),"")</f>
        <v>8APASOG*ajbhge+</v>
      </c>
      <c r="J96" s="15">
        <f t="shared" si="17"/>
        <v>44</v>
      </c>
      <c r="L96" s="5" t="str">
        <f ca="1">INDEX(INDIRECT(zoneFichierTraite),$J96+offsetInitialFichierTraite,1)</f>
        <v>'044</v>
      </c>
      <c r="M96" s="11">
        <f ca="1">INDEX(INDIRECT(zoneFichierTraite),$J96+offsetInitialFichierTraite,9)</f>
        <v>28.32</v>
      </c>
      <c r="N96" s="14">
        <f ca="1">INDEX(INDIRECT(zoneFichierTraite),$J96+offsetInitialFichierTraite,3)</f>
        <v>8050846091764</v>
      </c>
      <c r="O96" s="1">
        <f ca="1">MATCH(N96,INDIRECT(nomFichierEAN13Valmag &amp; "!A:A"),0)</f>
        <v>831</v>
      </c>
      <c r="P96" s="1">
        <f ca="1">MATCH(R96,INDIRECT(nomFichierEAN13Valmag &amp; "!A:A"),0)</f>
        <v>246</v>
      </c>
      <c r="Q96" s="1">
        <f ca="1">MATCH(LEFT(B96,14) &amp; "*",INDIRECT(nomFichierEAN13Valmag &amp; "!B:B"),0)</f>
        <v>246</v>
      </c>
      <c r="R96" s="14">
        <f ca="1">IFERROR(INDEX(INDIRECT(zoneFichierEAN13Valmag),Q96,1),"")</f>
        <v>8050846039643</v>
      </c>
      <c r="S96" s="1">
        <f ca="1">MATCH(B96,INDIRECT(nomFichierFiltreCatalogue &amp; "!B:B"),0)</f>
        <v>38</v>
      </c>
      <c r="T96" s="14"/>
    </row>
    <row r="97" spans="1:20" s="20" customFormat="1" ht="15.75" customHeight="1" x14ac:dyDescent="0.25">
      <c r="A97" s="25">
        <f ca="1">INDEX(INDIRECT(zoneFichierTraite),$J96+offsetInitialFichierTraite,2)</f>
        <v>190</v>
      </c>
      <c r="B97" s="45" t="str">
        <f ca="1">IF(C97="", IFERROR(INDEX(INDIRECT(zoneFichierEAN13Valmag),$P96,3),""), "")</f>
        <v/>
      </c>
      <c r="C97" s="44" t="str">
        <f ca="1">IFERROR(INDEX(INDIRECT(zoneFichierEAN13Valmag),$O96,3),"")</f>
        <v xml:space="preserve"> </v>
      </c>
      <c r="D97" s="19" t="str">
        <f ca="1">IFERROR(INDEX(INDIRECT(zoneFichierEAN13Valmag),$O96,4),"")</f>
        <v xml:space="preserve"> </v>
      </c>
      <c r="E97" s="33" t="str">
        <f ca="1">IFERROR(INDEX(INDIRECT(zoneFichierFiltreCatalogue),S96,3),"")</f>
        <v>p011-1-03</v>
      </c>
      <c r="F97" s="19"/>
      <c r="G97" s="18"/>
      <c r="H97" s="34" t="str">
        <f ca="1">IFERROR(INDEX(INDIRECT(zoneFichierFiltreCatalogue),S96,6),"")</f>
        <v>fall 2019 presentation_/catalogo fall 19.txt</v>
      </c>
      <c r="R97" s="21"/>
      <c r="S97" s="21"/>
    </row>
    <row r="98" spans="1:20" ht="39" customHeight="1" thickBot="1" x14ac:dyDescent="0.65">
      <c r="A98" s="9" t="str">
        <f ca="1">INDEX(INDIRECT(zoneFichierTraite),$J98+offsetInitialFichierTraite,6)</f>
        <v>UNICA</v>
      </c>
      <c r="B98" s="5" t="str">
        <f ca="1">INDEX(INDIRECT(zoneFichierTraite),$J98+offsetInitialFichierTraite,4)</f>
        <v>OBAGB033-EVS00-055</v>
      </c>
      <c r="C98" s="26" t="str">
        <f ca="1">INDEX(INDIRECT(zoneFichierTraite),$J98+offsetInitialFichierTraite,5)</f>
        <v>CORPS O BAG URBAN EVA COMPOUND</v>
      </c>
      <c r="D98" s="27" t="str">
        <f ca="1">INDEX(INDIRECT(zoneFichierTraite),$J98+offsetInitialFichierTraite,13)</f>
        <v>nero</v>
      </c>
      <c r="E98" s="30">
        <f ca="1">INDEX(INDIRECT(zoneFichierTraite),$J98+offsetInitialFichierTraite,7)</f>
        <v>2</v>
      </c>
      <c r="F98" s="28">
        <f ca="1">INDEX(INDIRECT(zoneFichierTraite),$J98+offsetInitialFichierTraite,8)</f>
        <v>14.16</v>
      </c>
      <c r="G98" s="29">
        <f t="shared" ref="G98:G161" ca="1" si="29">ROUNDUP(F98*3,0)</f>
        <v>43</v>
      </c>
      <c r="H98" s="32" t="str">
        <f ca="1">IF(ISNUMBER(N98),codeEAN13(INT(N98/10)),"")</f>
        <v>8APASOG*adjgib+</v>
      </c>
      <c r="J98" s="15">
        <f t="shared" si="17"/>
        <v>45</v>
      </c>
      <c r="L98" s="5" t="str">
        <f ca="1">INDEX(INDIRECT(zoneFichierTraite),$J98+offsetInitialFichierTraite,1)</f>
        <v>'045</v>
      </c>
      <c r="M98" s="11">
        <f ca="1">INDEX(INDIRECT(zoneFichierTraite),$J98+offsetInitialFichierTraite,9)</f>
        <v>28.32</v>
      </c>
      <c r="N98" s="14">
        <f ca="1">INDEX(INDIRECT(zoneFichierTraite),$J98+offsetInitialFichierTraite,3)</f>
        <v>8050846039681</v>
      </c>
      <c r="O98" s="1">
        <f ca="1">MATCH(N98,INDIRECT(nomFichierEAN13Valmag &amp; "!A:A"),0)</f>
        <v>249</v>
      </c>
      <c r="P98" s="1">
        <f ca="1">MATCH(R98,INDIRECT(nomFichierEAN13Valmag &amp; "!A:A"),0)</f>
        <v>246</v>
      </c>
      <c r="Q98" s="1">
        <f ca="1">MATCH(LEFT(B98,14) &amp; "*",INDIRECT(nomFichierEAN13Valmag &amp; "!B:B"),0)</f>
        <v>246</v>
      </c>
      <c r="R98" s="14">
        <f ca="1">IFERROR(INDEX(INDIRECT(zoneFichierEAN13Valmag),Q98,1),"")</f>
        <v>8050846039643</v>
      </c>
      <c r="S98" s="1">
        <f ca="1">MATCH(B98,INDIRECT(nomFichierFiltreCatalogue &amp; "!B:B"),0)</f>
        <v>40</v>
      </c>
      <c r="T98" s="14"/>
    </row>
    <row r="99" spans="1:20" s="20" customFormat="1" ht="15.75" customHeight="1" x14ac:dyDescent="0.25">
      <c r="A99" s="25">
        <f ca="1">INDEX(INDIRECT(zoneFichierTraite),$J98+offsetInitialFichierTraite,2)</f>
        <v>82</v>
      </c>
      <c r="B99" s="45" t="str">
        <f ca="1">IF(C99="", IFERROR(INDEX(INDIRECT(zoneFichierEAN13Valmag),$P98,3),""), "")</f>
        <v/>
      </c>
      <c r="C99" s="44" t="str">
        <f ca="1">IFERROR(INDEX(INDIRECT(zoneFichierEAN13Valmag),$O98,3),"")</f>
        <v xml:space="preserve">OURBAN          </v>
      </c>
      <c r="D99" s="19" t="str">
        <f ca="1">IFERROR(INDEX(INDIRECT(zoneFichierEAN13Valmag),$O98,4),"")</f>
        <v>BLACK</v>
      </c>
      <c r="E99" s="33" t="str">
        <f ca="1">IFERROR(INDEX(INDIRECT(zoneFichierFiltreCatalogue),S98,3),"")</f>
        <v>p011-1-05</v>
      </c>
      <c r="F99" s="19"/>
      <c r="G99" s="18"/>
      <c r="H99" s="34" t="str">
        <f ca="1">IFERROR(INDEX(INDIRECT(zoneFichierFiltreCatalogue),S98,6),"")</f>
        <v>fall 2019 presentation_/catalogo fall 19.txt</v>
      </c>
      <c r="R99" s="21"/>
      <c r="S99" s="21"/>
    </row>
    <row r="100" spans="1:20" ht="39" customHeight="1" thickBot="1" x14ac:dyDescent="0.65">
      <c r="A100" s="9" t="str">
        <f ca="1">INDEX(INDIRECT(zoneFichierTraite),$J100+offsetInitialFichierTraite,6)</f>
        <v>UNICA</v>
      </c>
      <c r="B100" s="5" t="str">
        <f ca="1">INDEX(INDIRECT(zoneFichierTraite),$J100+offsetInitialFichierTraite,4)</f>
        <v>OBAGB033-EVS00-078</v>
      </c>
      <c r="C100" s="26" t="str">
        <f ca="1">INDEX(INDIRECT(zoneFichierTraite),$J100+offsetInitialFichierTraite,5)</f>
        <v>CORPS O BAG URBAN EVA COMPOUND</v>
      </c>
      <c r="D100" s="27" t="str">
        <f ca="1">INDEX(INDIRECT(zoneFichierTraite),$J100+offsetInitialFichierTraite,13)</f>
        <v>sabbia</v>
      </c>
      <c r="E100" s="30">
        <f ca="1">INDEX(INDIRECT(zoneFichierTraite),$J100+offsetInitialFichierTraite,7)</f>
        <v>2</v>
      </c>
      <c r="F100" s="28">
        <f ca="1">INDEX(INDIRECT(zoneFichierTraite),$J100+offsetInitialFichierTraite,8)</f>
        <v>14.16</v>
      </c>
      <c r="G100" s="29">
        <f t="shared" ref="G100:G163" ca="1" si="30">ROUNDUP(F100*3,0)</f>
        <v>43</v>
      </c>
      <c r="H100" s="32" t="str">
        <f ca="1">IF(ISNUMBER(N100),codeEAN13(INT(N100/10)),"")</f>
        <v>8APASOG*adjhbb+</v>
      </c>
      <c r="J100" s="15">
        <f t="shared" si="17"/>
        <v>46</v>
      </c>
      <c r="L100" s="5" t="str">
        <f ca="1">INDEX(INDIRECT(zoneFichierTraite),$J100+offsetInitialFichierTraite,1)</f>
        <v>'046</v>
      </c>
      <c r="M100" s="11">
        <f ca="1">INDEX(INDIRECT(zoneFichierTraite),$J100+offsetInitialFichierTraite,9)</f>
        <v>28.32</v>
      </c>
      <c r="N100" s="14">
        <f ca="1">INDEX(INDIRECT(zoneFichierTraite),$J100+offsetInitialFichierTraite,3)</f>
        <v>8050846039711</v>
      </c>
      <c r="O100" s="1">
        <f ca="1">MATCH(N100,INDIRECT(nomFichierEAN13Valmag &amp; "!A:A"),0)</f>
        <v>254</v>
      </c>
      <c r="P100" s="1">
        <f ca="1">MATCH(R100,INDIRECT(nomFichierEAN13Valmag &amp; "!A:A"),0)</f>
        <v>246</v>
      </c>
      <c r="Q100" s="1">
        <f ca="1">MATCH(LEFT(B100,14) &amp; "*",INDIRECT(nomFichierEAN13Valmag &amp; "!B:B"),0)</f>
        <v>246</v>
      </c>
      <c r="R100" s="14">
        <f ca="1">IFERROR(INDEX(INDIRECT(zoneFichierEAN13Valmag),Q100,1),"")</f>
        <v>8050846039643</v>
      </c>
      <c r="S100" s="1">
        <f ca="1">MATCH(B100,INDIRECT(nomFichierFiltreCatalogue &amp; "!B:B"),0)</f>
        <v>41</v>
      </c>
      <c r="T100" s="14"/>
    </row>
    <row r="101" spans="1:20" s="20" customFormat="1" ht="15.75" customHeight="1" x14ac:dyDescent="0.25">
      <c r="A101" s="25">
        <f ca="1">INDEX(INDIRECT(zoneFichierTraite),$J100+offsetInitialFichierTraite,2)</f>
        <v>119</v>
      </c>
      <c r="B101" s="45" t="str">
        <f ca="1">IF(C101="", IFERROR(INDEX(INDIRECT(zoneFichierEAN13Valmag),$P100,3),""), "")</f>
        <v/>
      </c>
      <c r="C101" s="44" t="str">
        <f ca="1">IFERROR(INDEX(INDIRECT(zoneFichierEAN13Valmag),$O100,3),"")</f>
        <v xml:space="preserve">OURBAN          </v>
      </c>
      <c r="D101" s="19" t="str">
        <f ca="1">IFERROR(INDEX(INDIRECT(zoneFichierEAN13Valmag),$O100,4),"")</f>
        <v xml:space="preserve">SAND </v>
      </c>
      <c r="E101" s="33" t="str">
        <f ca="1">IFERROR(INDEX(INDIRECT(zoneFichierFiltreCatalogue),S100,3),"")</f>
        <v>p011-1-06</v>
      </c>
      <c r="F101" s="19"/>
      <c r="G101" s="18"/>
      <c r="H101" s="34" t="str">
        <f ca="1">IFERROR(INDEX(INDIRECT(zoneFichierFiltreCatalogue),S100,6),"")</f>
        <v>fall 2019 presentation_/catalogo fall 19.txt</v>
      </c>
      <c r="R101" s="21"/>
      <c r="S101" s="21"/>
    </row>
    <row r="102" spans="1:20" ht="39" customHeight="1" thickBot="1" x14ac:dyDescent="0.65">
      <c r="A102" s="9" t="str">
        <f ca="1">INDEX(INDIRECT(zoneFichierTraite),$J102+offsetInitialFichierTraite,6)</f>
        <v>UNICA</v>
      </c>
      <c r="B102" s="5" t="str">
        <f ca="1">INDEX(INDIRECT(zoneFichierTraite),$J102+offsetInitialFichierTraite,4)</f>
        <v>OBAGB033-EVS00-615</v>
      </c>
      <c r="C102" s="26" t="str">
        <f ca="1">INDEX(INDIRECT(zoneFichierTraite),$J102+offsetInitialFichierTraite,5)</f>
        <v>CORPS O BAG URBAN EVA COMPOUND</v>
      </c>
      <c r="D102" s="27" t="str">
        <f ca="1">INDEX(INDIRECT(zoneFichierTraite),$J102+offsetInitialFichierTraite,13)</f>
        <v>military</v>
      </c>
      <c r="E102" s="30">
        <f ca="1">INDEX(INDIRECT(zoneFichierTraite),$J102+offsetInitialFichierTraite,7)</f>
        <v>2</v>
      </c>
      <c r="F102" s="28">
        <f ca="1">INDEX(INDIRECT(zoneFichierTraite),$J102+offsetInitialFichierTraite,8)</f>
        <v>14.16</v>
      </c>
      <c r="G102" s="29">
        <f t="shared" ref="G102:G165" ca="1" si="31">ROUNDUP(F102*3,0)</f>
        <v>43</v>
      </c>
      <c r="H102" s="32" t="str">
        <f ca="1">IF(ISNUMBER(N102),codeEAN13(INT(N102/10)),"")</f>
        <v>8APASOG*ajbhii+</v>
      </c>
      <c r="J102" s="15">
        <f t="shared" si="17"/>
        <v>47</v>
      </c>
      <c r="L102" s="5" t="str">
        <f ca="1">INDEX(INDIRECT(zoneFichierTraite),$J102+offsetInitialFichierTraite,1)</f>
        <v>'047</v>
      </c>
      <c r="M102" s="11">
        <f ca="1">INDEX(INDIRECT(zoneFichierTraite),$J102+offsetInitialFichierTraite,9)</f>
        <v>28.32</v>
      </c>
      <c r="N102" s="14">
        <f ca="1">INDEX(INDIRECT(zoneFichierTraite),$J102+offsetInitialFichierTraite,3)</f>
        <v>8050846091788</v>
      </c>
      <c r="O102" s="1">
        <f ca="1">MATCH(N102,INDIRECT(nomFichierEAN13Valmag &amp; "!A:A"),0)</f>
        <v>833</v>
      </c>
      <c r="P102" s="1">
        <f ca="1">MATCH(R102,INDIRECT(nomFichierEAN13Valmag &amp; "!A:A"),0)</f>
        <v>246</v>
      </c>
      <c r="Q102" s="1">
        <f ca="1">MATCH(LEFT(B102,14) &amp; "*",INDIRECT(nomFichierEAN13Valmag &amp; "!B:B"),0)</f>
        <v>246</v>
      </c>
      <c r="R102" s="14">
        <f ca="1">IFERROR(INDEX(INDIRECT(zoneFichierEAN13Valmag),Q102,1),"")</f>
        <v>8050846039643</v>
      </c>
      <c r="S102" s="1">
        <f ca="1">MATCH(B102,INDIRECT(nomFichierFiltreCatalogue &amp; "!B:B"),0)</f>
        <v>44</v>
      </c>
      <c r="T102" s="14"/>
    </row>
    <row r="103" spans="1:20" s="20" customFormat="1" ht="15.75" customHeight="1" x14ac:dyDescent="0.25">
      <c r="A103" s="25">
        <f ca="1">INDEX(INDIRECT(zoneFichierTraite),$J102+offsetInitialFichierTraite,2)</f>
        <v>122</v>
      </c>
      <c r="B103" s="45" t="str">
        <f ca="1">IF(C103="", IFERROR(INDEX(INDIRECT(zoneFichierEAN13Valmag),$P102,3),""), "")</f>
        <v/>
      </c>
      <c r="C103" s="44" t="str">
        <f ca="1">IFERROR(INDEX(INDIRECT(zoneFichierEAN13Valmag),$O102,3),"")</f>
        <v xml:space="preserve"> </v>
      </c>
      <c r="D103" s="19" t="str">
        <f ca="1">IFERROR(INDEX(INDIRECT(zoneFichierEAN13Valmag),$O102,4),"")</f>
        <v xml:space="preserve"> </v>
      </c>
      <c r="E103" s="33" t="str">
        <f ca="1">IFERROR(INDEX(INDIRECT(zoneFichierFiltreCatalogue),S102,3),"")</f>
        <v>p011-1-09</v>
      </c>
      <c r="F103" s="19"/>
      <c r="G103" s="18"/>
      <c r="H103" s="34" t="str">
        <f ca="1">IFERROR(INDEX(INDIRECT(zoneFichierFiltreCatalogue),S102,6),"")</f>
        <v>fall 2019 presentation_/catalogo fall 19.txt</v>
      </c>
      <c r="R103" s="21"/>
      <c r="S103" s="21"/>
    </row>
    <row r="104" spans="1:20" ht="39" customHeight="1" thickBot="1" x14ac:dyDescent="0.65">
      <c r="A104" s="9" t="str">
        <f ca="1">INDEX(INDIRECT(zoneFichierTraite),$J104+offsetInitialFichierTraite,6)</f>
        <v>UNICA</v>
      </c>
      <c r="B104" s="5" t="str">
        <f ca="1">INDEX(INDIRECT(zoneFichierTraite),$J104+offsetInitialFichierTraite,4)</f>
        <v>OBAGB033-EVS09-017</v>
      </c>
      <c r="C104" s="26" t="str">
        <f ca="1">INDEX(INDIRECT(zoneFichierTraite),$J104+offsetInitialFichierTraite,5)</f>
        <v>CORPS O BAG URBAN EVA COMPOUND TEXTURE MATELASSEE</v>
      </c>
      <c r="D104" s="27" t="str">
        <f ca="1">INDEX(INDIRECT(zoneFichierTraite),$J104+offsetInitialFichierTraite,13)</f>
        <v>blu navy</v>
      </c>
      <c r="E104" s="30">
        <f ca="1">INDEX(INDIRECT(zoneFichierTraite),$J104+offsetInitialFichierTraite,7)</f>
        <v>2</v>
      </c>
      <c r="F104" s="28">
        <f ca="1">INDEX(INDIRECT(zoneFichierTraite),$J104+offsetInitialFichierTraite,8)</f>
        <v>16.670000000000002</v>
      </c>
      <c r="G104" s="29">
        <f t="shared" ref="G104:G167" ca="1" si="32">ROUNDUP(F104*3,0)</f>
        <v>51</v>
      </c>
      <c r="H104" s="32" t="str">
        <f ca="1">IF(ISNUMBER(N104),codeEAN13(INT(N104/10)),"")</f>
        <v>8APASOG*ajbhcg+</v>
      </c>
      <c r="J104" s="15">
        <f t="shared" si="17"/>
        <v>48</v>
      </c>
      <c r="L104" s="5" t="str">
        <f ca="1">INDEX(INDIRECT(zoneFichierTraite),$J104+offsetInitialFichierTraite,1)</f>
        <v>'048</v>
      </c>
      <c r="M104" s="11">
        <f ca="1">INDEX(INDIRECT(zoneFichierTraite),$J104+offsetInitialFichierTraite,9)</f>
        <v>33.340000000000003</v>
      </c>
      <c r="N104" s="14">
        <f ca="1">INDEX(INDIRECT(zoneFichierTraite),$J104+offsetInitialFichierTraite,3)</f>
        <v>8050846091726</v>
      </c>
      <c r="O104" s="1">
        <f ca="1">MATCH(N104,INDIRECT(nomFichierEAN13Valmag &amp; "!A:A"),0)</f>
        <v>828</v>
      </c>
      <c r="P104" s="1">
        <f ca="1">MATCH(R104,INDIRECT(nomFichierEAN13Valmag &amp; "!A:A"),0)</f>
        <v>825</v>
      </c>
      <c r="Q104" s="1">
        <f ca="1">MATCH(LEFT(B104,14) &amp; "*",INDIRECT(nomFichierEAN13Valmag &amp; "!B:B"),0)</f>
        <v>825</v>
      </c>
      <c r="R104" s="14">
        <f ca="1">IFERROR(INDEX(INDIRECT(zoneFichierEAN13Valmag),Q104,1),"")</f>
        <v>8050846091696</v>
      </c>
      <c r="S104" s="1">
        <f ca="1">MATCH(B104,INDIRECT(nomFichierFiltreCatalogue &amp; "!B:B"),0)</f>
        <v>45</v>
      </c>
      <c r="T104" s="14"/>
    </row>
    <row r="105" spans="1:20" s="20" customFormat="1" ht="15.75" customHeight="1" x14ac:dyDescent="0.25">
      <c r="A105" s="25">
        <f ca="1">INDEX(INDIRECT(zoneFichierTraite),$J104+offsetInitialFichierTraite,2)</f>
        <v>214</v>
      </c>
      <c r="B105" s="45" t="str">
        <f ca="1">IF(C105="", IFERROR(INDEX(INDIRECT(zoneFichierEAN13Valmag),$P104,3),""), "")</f>
        <v/>
      </c>
      <c r="C105" s="44" t="str">
        <f ca="1">IFERROR(INDEX(INDIRECT(zoneFichierEAN13Valmag),$O104,3),"")</f>
        <v xml:space="preserve"> </v>
      </c>
      <c r="D105" s="19" t="str">
        <f ca="1">IFERROR(INDEX(INDIRECT(zoneFichierEAN13Valmag),$O104,4),"")</f>
        <v xml:space="preserve"> </v>
      </c>
      <c r="E105" s="33" t="str">
        <f ca="1">IFERROR(INDEX(INDIRECT(zoneFichierFiltreCatalogue),S104,3),"")</f>
        <v>p012-1-01</v>
      </c>
      <c r="F105" s="19"/>
      <c r="G105" s="18"/>
      <c r="H105" s="34" t="str">
        <f ca="1">IFERROR(INDEX(INDIRECT(zoneFichierFiltreCatalogue),S104,6),"")</f>
        <v>fall 2019 presentation_/catalogo fall 19.txt</v>
      </c>
      <c r="R105" s="21"/>
      <c r="S105" s="21"/>
    </row>
    <row r="106" spans="1:20" ht="39" customHeight="1" thickBot="1" x14ac:dyDescent="0.65">
      <c r="A106" s="9" t="str">
        <f ca="1">INDEX(INDIRECT(zoneFichierTraite),$J106+offsetInitialFichierTraite,6)</f>
        <v>UNICA</v>
      </c>
      <c r="B106" s="5" t="str">
        <f ca="1">INDEX(INDIRECT(zoneFichierTraite),$J106+offsetInitialFichierTraite,4)</f>
        <v>OBAGB033-EVS09-038</v>
      </c>
      <c r="C106" s="26" t="str">
        <f ca="1">INDEX(INDIRECT(zoneFichierTraite),$J106+offsetInitialFichierTraite,5)</f>
        <v>CORPS O BAG URBAN EVA COMPOUND TEXTURE MATELASSEE</v>
      </c>
      <c r="D106" s="27" t="str">
        <f ca="1">INDEX(INDIRECT(zoneFichierTraite),$J106+offsetInitialFichierTraite,13)</f>
        <v>grafite</v>
      </c>
      <c r="E106" s="30">
        <f ca="1">INDEX(INDIRECT(zoneFichierTraite),$J106+offsetInitialFichierTraite,7)</f>
        <v>1</v>
      </c>
      <c r="F106" s="28">
        <f ca="1">INDEX(INDIRECT(zoneFichierTraite),$J106+offsetInitialFichierTraite,8)</f>
        <v>16.670000000000002</v>
      </c>
      <c r="G106" s="29">
        <f t="shared" ref="G106:G169" ca="1" si="33">ROUNDUP(F106*3,0)</f>
        <v>51</v>
      </c>
      <c r="H106" s="32" t="str">
        <f ca="1">IF(ISNUMBER(N106),codeEAN13(INT(N106/10)),"")</f>
        <v>8APASOG*ajbhbj+</v>
      </c>
      <c r="J106" s="15">
        <f t="shared" si="17"/>
        <v>49</v>
      </c>
      <c r="L106" s="5" t="str">
        <f ca="1">INDEX(INDIRECT(zoneFichierTraite),$J106+offsetInitialFichierTraite,1)</f>
        <v>'049</v>
      </c>
      <c r="M106" s="11">
        <f ca="1">INDEX(INDIRECT(zoneFichierTraite),$J106+offsetInitialFichierTraite,9)</f>
        <v>16.670000000000002</v>
      </c>
      <c r="N106" s="14">
        <f ca="1">INDEX(INDIRECT(zoneFichierTraite),$J106+offsetInitialFichierTraite,3)</f>
        <v>8050846091719</v>
      </c>
      <c r="O106" s="1">
        <f ca="1">MATCH(N106,INDIRECT(nomFichierEAN13Valmag &amp; "!A:A"),0)</f>
        <v>827</v>
      </c>
      <c r="P106" s="1">
        <f ca="1">MATCH(R106,INDIRECT(nomFichierEAN13Valmag &amp; "!A:A"),0)</f>
        <v>825</v>
      </c>
      <c r="Q106" s="1">
        <f ca="1">MATCH(LEFT(B106,14) &amp; "*",INDIRECT(nomFichierEAN13Valmag &amp; "!B:B"),0)</f>
        <v>825</v>
      </c>
      <c r="R106" s="14">
        <f ca="1">IFERROR(INDEX(INDIRECT(zoneFichierEAN13Valmag),Q106,1),"")</f>
        <v>8050846091696</v>
      </c>
      <c r="S106" s="1">
        <f ca="1">MATCH(B106,INDIRECT(nomFichierFiltreCatalogue &amp; "!B:B"),0)</f>
        <v>46</v>
      </c>
      <c r="T106" s="14"/>
    </row>
    <row r="107" spans="1:20" s="20" customFormat="1" ht="15.75" customHeight="1" x14ac:dyDescent="0.25">
      <c r="A107" s="25">
        <f ca="1">INDEX(INDIRECT(zoneFichierTraite),$J106+offsetInitialFichierTraite,2)</f>
        <v>111</v>
      </c>
      <c r="B107" s="45" t="str">
        <f ca="1">IF(C107="", IFERROR(INDEX(INDIRECT(zoneFichierEAN13Valmag),$P106,3),""), "")</f>
        <v/>
      </c>
      <c r="C107" s="44" t="str">
        <f ca="1">IFERROR(INDEX(INDIRECT(zoneFichierEAN13Valmag),$O106,3),"")</f>
        <v xml:space="preserve"> </v>
      </c>
      <c r="D107" s="19" t="str">
        <f ca="1">IFERROR(INDEX(INDIRECT(zoneFichierEAN13Valmag),$O106,4),"")</f>
        <v xml:space="preserve"> </v>
      </c>
      <c r="E107" s="33" t="str">
        <f ca="1">IFERROR(INDEX(INDIRECT(zoneFichierFiltreCatalogue),S106,3),"")</f>
        <v>p012-1-02</v>
      </c>
      <c r="F107" s="19"/>
      <c r="G107" s="18"/>
      <c r="H107" s="34" t="str">
        <f ca="1">IFERROR(INDEX(INDIRECT(zoneFichierFiltreCatalogue),S106,6),"")</f>
        <v>fall 2019 presentation_/catalogo fall 19.txt</v>
      </c>
      <c r="R107" s="21"/>
      <c r="S107" s="21"/>
    </row>
    <row r="108" spans="1:20" ht="39" customHeight="1" thickBot="1" x14ac:dyDescent="0.65">
      <c r="A108" s="9" t="str">
        <f ca="1">INDEX(INDIRECT(zoneFichierTraite),$J108+offsetInitialFichierTraite,6)</f>
        <v>UNICA</v>
      </c>
      <c r="B108" s="5" t="str">
        <f ca="1">INDEX(INDIRECT(zoneFichierTraite),$J108+offsetInitialFichierTraite,4)</f>
        <v>OBAGB033-EVS09-055</v>
      </c>
      <c r="C108" s="26" t="str">
        <f ca="1">INDEX(INDIRECT(zoneFichierTraite),$J108+offsetInitialFichierTraite,5)</f>
        <v>CORPS O BAG URBAN EVA COMPOUND TEXTURE MATELASSEE</v>
      </c>
      <c r="D108" s="27" t="str">
        <f ca="1">INDEX(INDIRECT(zoneFichierTraite),$J108+offsetInitialFichierTraite,13)</f>
        <v>nero</v>
      </c>
      <c r="E108" s="30">
        <f ca="1">INDEX(INDIRECT(zoneFichierTraite),$J108+offsetInitialFichierTraite,7)</f>
        <v>2</v>
      </c>
      <c r="F108" s="28">
        <f ca="1">INDEX(INDIRECT(zoneFichierTraite),$J108+offsetInitialFichierTraite,8)</f>
        <v>16.670000000000002</v>
      </c>
      <c r="G108" s="29">
        <f t="shared" ref="G108:G171" ca="1" si="34">ROUNDUP(F108*3,0)</f>
        <v>51</v>
      </c>
      <c r="H108" s="32" t="str">
        <f ca="1">IF(ISNUMBER(N108),codeEAN13(INT(N108/10)),"")</f>
        <v>8APASOG*ajbhac+</v>
      </c>
      <c r="J108" s="15">
        <f t="shared" si="17"/>
        <v>50</v>
      </c>
      <c r="L108" s="5" t="str">
        <f ca="1">INDEX(INDIRECT(zoneFichierTraite),$J108+offsetInitialFichierTraite,1)</f>
        <v>'050</v>
      </c>
      <c r="M108" s="11">
        <f ca="1">INDEX(INDIRECT(zoneFichierTraite),$J108+offsetInitialFichierTraite,9)</f>
        <v>33.340000000000003</v>
      </c>
      <c r="N108" s="14">
        <f ca="1">INDEX(INDIRECT(zoneFichierTraite),$J108+offsetInitialFichierTraite,3)</f>
        <v>8050846091702</v>
      </c>
      <c r="O108" s="1">
        <f ca="1">MATCH(N108,INDIRECT(nomFichierEAN13Valmag &amp; "!A:A"),0)</f>
        <v>826</v>
      </c>
      <c r="P108" s="1">
        <f ca="1">MATCH(R108,INDIRECT(nomFichierEAN13Valmag &amp; "!A:A"),0)</f>
        <v>825</v>
      </c>
      <c r="Q108" s="1">
        <f ca="1">MATCH(LEFT(B108,14) &amp; "*",INDIRECT(nomFichierEAN13Valmag &amp; "!B:B"),0)</f>
        <v>825</v>
      </c>
      <c r="R108" s="14">
        <f ca="1">IFERROR(INDEX(INDIRECT(zoneFichierEAN13Valmag),Q108,1),"")</f>
        <v>8050846091696</v>
      </c>
      <c r="S108" s="1">
        <f ca="1">MATCH(B108,INDIRECT(nomFichierFiltreCatalogue &amp; "!B:B"),0)</f>
        <v>48</v>
      </c>
      <c r="T108" s="14"/>
    </row>
    <row r="109" spans="1:20" s="20" customFormat="1" ht="15.75" customHeight="1" x14ac:dyDescent="0.25">
      <c r="A109" s="25">
        <f ca="1">INDEX(INDIRECT(zoneFichierTraite),$J108+offsetInitialFichierTraite,2)</f>
        <v>197</v>
      </c>
      <c r="B109" s="45" t="str">
        <f ca="1">IF(C109="", IFERROR(INDEX(INDIRECT(zoneFichierEAN13Valmag),$P108,3),""), "")</f>
        <v/>
      </c>
      <c r="C109" s="44" t="str">
        <f ca="1">IFERROR(INDEX(INDIRECT(zoneFichierEAN13Valmag),$O108,3),"")</f>
        <v xml:space="preserve"> </v>
      </c>
      <c r="D109" s="19" t="str">
        <f ca="1">IFERROR(INDEX(INDIRECT(zoneFichierEAN13Valmag),$O108,4),"")</f>
        <v xml:space="preserve"> </v>
      </c>
      <c r="E109" s="33" t="str">
        <f ca="1">IFERROR(INDEX(INDIRECT(zoneFichierFiltreCatalogue),S108,3),"")</f>
        <v>p012-1-04</v>
      </c>
      <c r="F109" s="19"/>
      <c r="G109" s="18"/>
      <c r="H109" s="34" t="str">
        <f ca="1">IFERROR(INDEX(INDIRECT(zoneFichierFiltreCatalogue),S108,6),"")</f>
        <v>fall 2019 presentation_/catalogo fall 19.txt</v>
      </c>
      <c r="R109" s="21"/>
      <c r="S109" s="21"/>
    </row>
    <row r="110" spans="1:20" ht="39" customHeight="1" thickBot="1" x14ac:dyDescent="0.65">
      <c r="A110" s="9" t="str">
        <f ca="1">INDEX(INDIRECT(zoneFichierTraite),$J110+offsetInitialFichierTraite,6)</f>
        <v>UNICA</v>
      </c>
      <c r="B110" s="5" t="str">
        <f ca="1">INDEX(INDIRECT(zoneFichierTraite),$J110+offsetInitialFichierTraite,4)</f>
        <v>OBAGB033-EVS09-078</v>
      </c>
      <c r="C110" s="26" t="str">
        <f ca="1">INDEX(INDIRECT(zoneFichierTraite),$J110+offsetInitialFichierTraite,5)</f>
        <v>CORPS O BAG URBAN EVA COMPOUND TEXTURE MATELASSEE</v>
      </c>
      <c r="D110" s="27" t="str">
        <f ca="1">INDEX(INDIRECT(zoneFichierTraite),$J110+offsetInitialFichierTraite,13)</f>
        <v>sabbia</v>
      </c>
      <c r="E110" s="30">
        <f ca="1">INDEX(INDIRECT(zoneFichierTraite),$J110+offsetInitialFichierTraite,7)</f>
        <v>1</v>
      </c>
      <c r="F110" s="28">
        <f ca="1">INDEX(INDIRECT(zoneFichierTraite),$J110+offsetInitialFichierTraite,8)</f>
        <v>16.670000000000002</v>
      </c>
      <c r="G110" s="29">
        <f t="shared" ref="G110:G173" ca="1" si="35">ROUNDUP(F110*3,0)</f>
        <v>51</v>
      </c>
      <c r="H110" s="32" t="str">
        <f ca="1">IF(ISNUMBER(N110),codeEAN13(INT(N110/10)),"")</f>
        <v>8APASOG*ajbhdd+</v>
      </c>
      <c r="J110" s="15">
        <f t="shared" si="17"/>
        <v>51</v>
      </c>
      <c r="L110" s="5" t="str">
        <f ca="1">INDEX(INDIRECT(zoneFichierTraite),$J110+offsetInitialFichierTraite,1)</f>
        <v>'051</v>
      </c>
      <c r="M110" s="11">
        <f ca="1">INDEX(INDIRECT(zoneFichierTraite),$J110+offsetInitialFichierTraite,9)</f>
        <v>16.670000000000002</v>
      </c>
      <c r="N110" s="14">
        <f ca="1">INDEX(INDIRECT(zoneFichierTraite),$J110+offsetInitialFichierTraite,3)</f>
        <v>8050846091733</v>
      </c>
      <c r="O110" s="1">
        <f ca="1">MATCH(N110,INDIRECT(nomFichierEAN13Valmag &amp; "!A:A"),0)</f>
        <v>829</v>
      </c>
      <c r="P110" s="1">
        <f ca="1">MATCH(R110,INDIRECT(nomFichierEAN13Valmag &amp; "!A:A"),0)</f>
        <v>825</v>
      </c>
      <c r="Q110" s="1">
        <f ca="1">MATCH(LEFT(B110,14) &amp; "*",INDIRECT(nomFichierEAN13Valmag &amp; "!B:B"),0)</f>
        <v>825</v>
      </c>
      <c r="R110" s="14">
        <f ca="1">IFERROR(INDEX(INDIRECT(zoneFichierEAN13Valmag),Q110,1),"")</f>
        <v>8050846091696</v>
      </c>
      <c r="S110" s="1">
        <f ca="1">MATCH(B110,INDIRECT(nomFichierFiltreCatalogue &amp; "!B:B"),0)</f>
        <v>47</v>
      </c>
      <c r="T110" s="14"/>
    </row>
    <row r="111" spans="1:20" s="20" customFormat="1" ht="15.75" customHeight="1" x14ac:dyDescent="0.25">
      <c r="A111" s="25">
        <f ca="1">INDEX(INDIRECT(zoneFichierTraite),$J110+offsetInitialFichierTraite,2)</f>
        <v>97</v>
      </c>
      <c r="B111" s="45" t="str">
        <f ca="1">IF(C111="", IFERROR(INDEX(INDIRECT(zoneFichierEAN13Valmag),$P110,3),""), "")</f>
        <v/>
      </c>
      <c r="C111" s="44" t="str">
        <f ca="1">IFERROR(INDEX(INDIRECT(zoneFichierEAN13Valmag),$O110,3),"")</f>
        <v xml:space="preserve"> </v>
      </c>
      <c r="D111" s="19" t="str">
        <f ca="1">IFERROR(INDEX(INDIRECT(zoneFichierEAN13Valmag),$O110,4),"")</f>
        <v xml:space="preserve"> </v>
      </c>
      <c r="E111" s="33" t="str">
        <f ca="1">IFERROR(INDEX(INDIRECT(zoneFichierFiltreCatalogue),S110,3),"")</f>
        <v>p012-1-03</v>
      </c>
      <c r="F111" s="19"/>
      <c r="G111" s="18"/>
      <c r="H111" s="34" t="str">
        <f ca="1">IFERROR(INDEX(INDIRECT(zoneFichierFiltreCatalogue),S110,6),"")</f>
        <v>fall 2019 presentation_/catalogo fall 19.txt</v>
      </c>
      <c r="R111" s="21"/>
      <c r="S111" s="21"/>
    </row>
    <row r="112" spans="1:20" ht="39" customHeight="1" thickBot="1" x14ac:dyDescent="0.65">
      <c r="A112" s="9" t="str">
        <f ca="1">INDEX(INDIRECT(zoneFichierTraite),$J112+offsetInitialFichierTraite,6)</f>
        <v>UNICA</v>
      </c>
      <c r="B112" s="5" t="str">
        <f ca="1">INDEX(INDIRECT(zoneFichierTraite),$J112+offsetInitialFichierTraite,4)</f>
        <v>OBAGB033-EVS09-615</v>
      </c>
      <c r="C112" s="26" t="str">
        <f ca="1">INDEX(INDIRECT(zoneFichierTraite),$J112+offsetInitialFichierTraite,5)</f>
        <v>CORPS O BAG URBAN EVA COMPOUND TEXTURE MATELASSEE</v>
      </c>
      <c r="D112" s="27" t="str">
        <f ca="1">INDEX(INDIRECT(zoneFichierTraite),$J112+offsetInitialFichierTraite,13)</f>
        <v>military</v>
      </c>
      <c r="E112" s="30">
        <f ca="1">INDEX(INDIRECT(zoneFichierTraite),$J112+offsetInitialFichierTraite,7)</f>
        <v>1</v>
      </c>
      <c r="F112" s="28">
        <f ca="1">INDEX(INDIRECT(zoneFichierTraite),$J112+offsetInitialFichierTraite,8)</f>
        <v>16.670000000000002</v>
      </c>
      <c r="G112" s="29">
        <f t="shared" ref="G112:G175" ca="1" si="36">ROUNDUP(F112*3,0)</f>
        <v>51</v>
      </c>
      <c r="H112" s="32" t="str">
        <f ca="1">IF(ISNUMBER(N112),codeEAN13(INT(N112/10)),"")</f>
        <v>8APASOG*ajbhea+</v>
      </c>
      <c r="J112" s="15">
        <f t="shared" si="17"/>
        <v>52</v>
      </c>
      <c r="L112" s="5" t="str">
        <f ca="1">INDEX(INDIRECT(zoneFichierTraite),$J112+offsetInitialFichierTraite,1)</f>
        <v>'052</v>
      </c>
      <c r="M112" s="11">
        <f ca="1">INDEX(INDIRECT(zoneFichierTraite),$J112+offsetInitialFichierTraite,9)</f>
        <v>16.670000000000002</v>
      </c>
      <c r="N112" s="14">
        <f ca="1">INDEX(INDIRECT(zoneFichierTraite),$J112+offsetInitialFichierTraite,3)</f>
        <v>8050846091740</v>
      </c>
      <c r="O112" s="1">
        <f ca="1">MATCH(N112,INDIRECT(nomFichierEAN13Valmag &amp; "!A:A"),0)</f>
        <v>830</v>
      </c>
      <c r="P112" s="1">
        <f ca="1">MATCH(R112,INDIRECT(nomFichierEAN13Valmag &amp; "!A:A"),0)</f>
        <v>825</v>
      </c>
      <c r="Q112" s="1">
        <f ca="1">MATCH(LEFT(B112,14) &amp; "*",INDIRECT(nomFichierEAN13Valmag &amp; "!B:B"),0)</f>
        <v>825</v>
      </c>
      <c r="R112" s="14">
        <f ca="1">IFERROR(INDEX(INDIRECT(zoneFichierEAN13Valmag),Q112,1),"")</f>
        <v>8050846091696</v>
      </c>
      <c r="S112" s="1">
        <f ca="1">MATCH(B112,INDIRECT(nomFichierFiltreCatalogue &amp; "!B:B"),0)</f>
        <v>50</v>
      </c>
      <c r="T112" s="14"/>
    </row>
    <row r="113" spans="1:20" s="20" customFormat="1" ht="15.75" customHeight="1" x14ac:dyDescent="0.25">
      <c r="A113" s="25">
        <f ca="1">INDEX(INDIRECT(zoneFichierTraite),$J112+offsetInitialFichierTraite,2)</f>
        <v>139</v>
      </c>
      <c r="B113" s="45" t="str">
        <f ca="1">IF(C113="", IFERROR(INDEX(INDIRECT(zoneFichierEAN13Valmag),$P112,3),""), "")</f>
        <v/>
      </c>
      <c r="C113" s="44" t="str">
        <f ca="1">IFERROR(INDEX(INDIRECT(zoneFichierEAN13Valmag),$O112,3),"")</f>
        <v xml:space="preserve"> </v>
      </c>
      <c r="D113" s="19" t="str">
        <f ca="1">IFERROR(INDEX(INDIRECT(zoneFichierEAN13Valmag),$O112,4),"")</f>
        <v xml:space="preserve"> </v>
      </c>
      <c r="E113" s="33" t="str">
        <f ca="1">IFERROR(INDEX(INDIRECT(zoneFichierFiltreCatalogue),S112,3),"")</f>
        <v>p012-1-06</v>
      </c>
      <c r="F113" s="19"/>
      <c r="G113" s="18"/>
      <c r="H113" s="34" t="str">
        <f ca="1">IFERROR(INDEX(INDIRECT(zoneFichierFiltreCatalogue),S112,6),"")</f>
        <v>fall 2019 presentation_/catalogo fall 19.txt</v>
      </c>
      <c r="R113" s="21"/>
      <c r="S113" s="21"/>
    </row>
    <row r="114" spans="1:20" ht="39" customHeight="1" thickBot="1" x14ac:dyDescent="0.65">
      <c r="A114" s="9" t="str">
        <f ca="1">INDEX(INDIRECT(zoneFichierTraite),$J114+offsetInitialFichierTraite,6)</f>
        <v>UNICA</v>
      </c>
      <c r="B114" s="5" t="str">
        <f ca="1">INDEX(INDIRECT(zoneFichierTraite),$J114+offsetInitialFichierTraite,4)</f>
        <v>OBAGB034-EVS00-017</v>
      </c>
      <c r="C114" s="26" t="str">
        <f ca="1">INDEX(INDIRECT(zoneFichierTraite),$J114+offsetInitialFichierTraite,5)</f>
        <v>CORPS O BAG GLAM EVA COMPOUND</v>
      </c>
      <c r="D114" s="27" t="str">
        <f ca="1">INDEX(INDIRECT(zoneFichierTraite),$J114+offsetInitialFichierTraite,13)</f>
        <v>blu navy</v>
      </c>
      <c r="E114" s="30">
        <f ca="1">INDEX(INDIRECT(zoneFichierTraite),$J114+offsetInitialFichierTraite,7)</f>
        <v>2</v>
      </c>
      <c r="F114" s="28">
        <f ca="1">INDEX(INDIRECT(zoneFichierTraite),$J114+offsetInitialFichierTraite,8)</f>
        <v>12.59</v>
      </c>
      <c r="G114" s="29">
        <f t="shared" ref="G114:G177" ca="1" si="37">ROUNDUP(F114*3,0)</f>
        <v>38</v>
      </c>
      <c r="H114" s="32" t="str">
        <f ca="1">IF(ISNUMBER(N114),codeEAN13(INT(N114/10)),"")</f>
        <v>8APASOG*adjhia+</v>
      </c>
      <c r="J114" s="15">
        <f t="shared" si="17"/>
        <v>53</v>
      </c>
      <c r="L114" s="5" t="str">
        <f ca="1">INDEX(INDIRECT(zoneFichierTraite),$J114+offsetInitialFichierTraite,1)</f>
        <v>'053</v>
      </c>
      <c r="M114" s="11">
        <f ca="1">INDEX(INDIRECT(zoneFichierTraite),$J114+offsetInitialFichierTraite,9)</f>
        <v>25.18</v>
      </c>
      <c r="N114" s="14">
        <f ca="1">INDEX(INDIRECT(zoneFichierTraite),$J114+offsetInitialFichierTraite,3)</f>
        <v>8050846039780</v>
      </c>
      <c r="O114" s="1">
        <f ca="1">MATCH(N114,INDIRECT(nomFichierEAN13Valmag &amp; "!A:A"),0)</f>
        <v>259</v>
      </c>
      <c r="P114" s="1">
        <f ca="1">MATCH(R114,INDIRECT(nomFichierEAN13Valmag &amp; "!A:A"),0)</f>
        <v>259</v>
      </c>
      <c r="Q114" s="1">
        <f ca="1">MATCH(LEFT(B114,14) &amp; "*",INDIRECT(nomFichierEAN13Valmag &amp; "!B:B"),0)</f>
        <v>259</v>
      </c>
      <c r="R114" s="14">
        <f ca="1">IFERROR(INDEX(INDIRECT(zoneFichierEAN13Valmag),Q114,1),"")</f>
        <v>8050846039780</v>
      </c>
      <c r="S114" s="1">
        <f ca="1">MATCH(B114,INDIRECT(nomFichierFiltreCatalogue &amp; "!B:B"),0)</f>
        <v>51</v>
      </c>
      <c r="T114" s="14"/>
    </row>
    <row r="115" spans="1:20" s="20" customFormat="1" ht="15.75" customHeight="1" x14ac:dyDescent="0.25">
      <c r="A115" s="25">
        <f ca="1">INDEX(INDIRECT(zoneFichierTraite),$J114+offsetInitialFichierTraite,2)</f>
        <v>11</v>
      </c>
      <c r="B115" s="45" t="str">
        <f ca="1">IF(C115="", IFERROR(INDEX(INDIRECT(zoneFichierEAN13Valmag),$P114,3),""), "")</f>
        <v/>
      </c>
      <c r="C115" s="44" t="str">
        <f ca="1">IFERROR(INDEX(INDIRECT(zoneFichierEAN13Valmag),$O114,3),"")</f>
        <v xml:space="preserve">OGLAM           </v>
      </c>
      <c r="D115" s="19" t="str">
        <f ca="1">IFERROR(INDEX(INDIRECT(zoneFichierEAN13Valmag),$O114,4),"")</f>
        <v xml:space="preserve">NAVY </v>
      </c>
      <c r="E115" s="33" t="str">
        <f ca="1">IFERROR(INDEX(INDIRECT(zoneFichierFiltreCatalogue),S114,3),"")</f>
        <v>p013-1-01</v>
      </c>
      <c r="F115" s="19"/>
      <c r="G115" s="18"/>
      <c r="H115" s="34" t="str">
        <f ca="1">IFERROR(INDEX(INDIRECT(zoneFichierFiltreCatalogue),S114,6),"")</f>
        <v>fall 2019 presentation_/catalogo fall 19.txt</v>
      </c>
      <c r="R115" s="21"/>
      <c r="S115" s="21"/>
    </row>
    <row r="116" spans="1:20" ht="39" customHeight="1" thickBot="1" x14ac:dyDescent="0.65">
      <c r="A116" s="9" t="str">
        <f ca="1">INDEX(INDIRECT(zoneFichierTraite),$J116+offsetInitialFichierTraite,6)</f>
        <v>UNICA</v>
      </c>
      <c r="B116" s="5" t="str">
        <f ca="1">INDEX(INDIRECT(zoneFichierTraite),$J116+offsetInitialFichierTraite,4)</f>
        <v>OBAGB034-EVS00-038</v>
      </c>
      <c r="C116" s="26" t="str">
        <f ca="1">INDEX(INDIRECT(zoneFichierTraite),$J116+offsetInitialFichierTraite,5)</f>
        <v>CORPS O BAG GLAM EVA COMPOUND</v>
      </c>
      <c r="D116" s="27" t="str">
        <f ca="1">INDEX(INDIRECT(zoneFichierTraite),$J116+offsetInitialFichierTraite,13)</f>
        <v>grafite</v>
      </c>
      <c r="E116" s="30">
        <f ca="1">INDEX(INDIRECT(zoneFichierTraite),$J116+offsetInitialFichierTraite,7)</f>
        <v>2</v>
      </c>
      <c r="F116" s="28">
        <f ca="1">INDEX(INDIRECT(zoneFichierTraite),$J116+offsetInitialFichierTraite,8)</f>
        <v>12.59</v>
      </c>
      <c r="G116" s="29">
        <f t="shared" ref="G116:G179" ca="1" si="38">ROUNDUP(F116*3,0)</f>
        <v>38</v>
      </c>
      <c r="H116" s="32" t="str">
        <f ca="1">IF(ISNUMBER(N116),codeEAN13(INT(N116/10)),"")</f>
        <v>8APASOG*ajadda+</v>
      </c>
      <c r="J116" s="15">
        <f t="shared" si="17"/>
        <v>54</v>
      </c>
      <c r="L116" s="5" t="str">
        <f ca="1">INDEX(INDIRECT(zoneFichierTraite),$J116+offsetInitialFichierTraite,1)</f>
        <v>'054</v>
      </c>
      <c r="M116" s="11">
        <f ca="1">INDEX(INDIRECT(zoneFichierTraite),$J116+offsetInitialFichierTraite,9)</f>
        <v>25.18</v>
      </c>
      <c r="N116" s="14">
        <f ca="1">INDEX(INDIRECT(zoneFichierTraite),$J116+offsetInitialFichierTraite,3)</f>
        <v>8050846090330</v>
      </c>
      <c r="O116" s="1">
        <f ca="1">MATCH(N116,INDIRECT(nomFichierEAN13Valmag &amp; "!A:A"),0)</f>
        <v>717</v>
      </c>
      <c r="P116" s="1">
        <f ca="1">MATCH(R116,INDIRECT(nomFichierEAN13Valmag &amp; "!A:A"),0)</f>
        <v>259</v>
      </c>
      <c r="Q116" s="1">
        <f ca="1">MATCH(LEFT(B116,14) &amp; "*",INDIRECT(nomFichierEAN13Valmag &amp; "!B:B"),0)</f>
        <v>259</v>
      </c>
      <c r="R116" s="14">
        <f ca="1">IFERROR(INDEX(INDIRECT(zoneFichierEAN13Valmag),Q116,1),"")</f>
        <v>8050846039780</v>
      </c>
      <c r="S116" s="1">
        <f ca="1">MATCH(B116,INDIRECT(nomFichierFiltreCatalogue &amp; "!B:B"),0)</f>
        <v>54</v>
      </c>
      <c r="T116" s="14"/>
    </row>
    <row r="117" spans="1:20" s="20" customFormat="1" ht="15.75" customHeight="1" x14ac:dyDescent="0.25">
      <c r="A117" s="25">
        <f ca="1">INDEX(INDIRECT(zoneFichierTraite),$J116+offsetInitialFichierTraite,2)</f>
        <v>210</v>
      </c>
      <c r="B117" s="45" t="str">
        <f ca="1">IF(C117="", IFERROR(INDEX(INDIRECT(zoneFichierEAN13Valmag),$P116,3),""), "")</f>
        <v/>
      </c>
      <c r="C117" s="44" t="str">
        <f ca="1">IFERROR(INDEX(INDIRECT(zoneFichierEAN13Valmag),$O116,3),"")</f>
        <v xml:space="preserve"> </v>
      </c>
      <c r="D117" s="19" t="str">
        <f ca="1">IFERROR(INDEX(INDIRECT(zoneFichierEAN13Valmag),$O116,4),"")</f>
        <v xml:space="preserve"> </v>
      </c>
      <c r="E117" s="33" t="str">
        <f ca="1">IFERROR(INDEX(INDIRECT(zoneFichierFiltreCatalogue),S116,3),"")</f>
        <v>p013-1-04</v>
      </c>
      <c r="F117" s="19"/>
      <c r="G117" s="18"/>
      <c r="H117" s="34" t="str">
        <f ca="1">IFERROR(INDEX(INDIRECT(zoneFichierFiltreCatalogue),S116,6),"")</f>
        <v>fall 2019 presentation_/catalogo fall 19.txt</v>
      </c>
      <c r="R117" s="21"/>
      <c r="S117" s="21"/>
    </row>
    <row r="118" spans="1:20" ht="39" customHeight="1" thickBot="1" x14ac:dyDescent="0.65">
      <c r="A118" s="9" t="str">
        <f ca="1">INDEX(INDIRECT(zoneFichierTraite),$J118+offsetInitialFichierTraite,6)</f>
        <v>UNICA</v>
      </c>
      <c r="B118" s="5" t="str">
        <f ca="1">INDEX(INDIRECT(zoneFichierTraite),$J118+offsetInitialFichierTraite,4)</f>
        <v>OBAGB034-EVS00-055</v>
      </c>
      <c r="C118" s="26" t="str">
        <f ca="1">INDEX(INDIRECT(zoneFichierTraite),$J118+offsetInitialFichierTraite,5)</f>
        <v>CORPS O BAG GLAM EVA COMPOUND</v>
      </c>
      <c r="D118" s="27" t="str">
        <f ca="1">INDEX(INDIRECT(zoneFichierTraite),$J118+offsetInitialFichierTraite,13)</f>
        <v>nero</v>
      </c>
      <c r="E118" s="30">
        <f ca="1">INDEX(INDIRECT(zoneFichierTraite),$J118+offsetInitialFichierTraite,7)</f>
        <v>3</v>
      </c>
      <c r="F118" s="28">
        <f ca="1">INDEX(INDIRECT(zoneFichierTraite),$J118+offsetInitialFichierTraite,8)</f>
        <v>12.59</v>
      </c>
      <c r="G118" s="29">
        <f t="shared" ref="G118:G181" ca="1" si="39">ROUNDUP(F118*3,0)</f>
        <v>38</v>
      </c>
      <c r="H118" s="32" t="str">
        <f ca="1">IF(ISNUMBER(N118),codeEAN13(INT(N118/10)),"")</f>
        <v>8APASOG*adjich+</v>
      </c>
      <c r="J118" s="15">
        <f t="shared" si="17"/>
        <v>55</v>
      </c>
      <c r="L118" s="5" t="str">
        <f ca="1">INDEX(INDIRECT(zoneFichierTraite),$J118+offsetInitialFichierTraite,1)</f>
        <v>'055</v>
      </c>
      <c r="M118" s="11">
        <f ca="1">INDEX(INDIRECT(zoneFichierTraite),$J118+offsetInitialFichierTraite,9)</f>
        <v>37.770000000000003</v>
      </c>
      <c r="N118" s="14">
        <f ca="1">INDEX(INDIRECT(zoneFichierTraite),$J118+offsetInitialFichierTraite,3)</f>
        <v>8050846039827</v>
      </c>
      <c r="O118" s="1">
        <f ca="1">MATCH(N118,INDIRECT(nomFichierEAN13Valmag &amp; "!A:A"),0)</f>
        <v>262</v>
      </c>
      <c r="P118" s="1">
        <f ca="1">MATCH(R118,INDIRECT(nomFichierEAN13Valmag &amp; "!A:A"),0)</f>
        <v>259</v>
      </c>
      <c r="Q118" s="1">
        <f ca="1">MATCH(LEFT(B118,14) &amp; "*",INDIRECT(nomFichierEAN13Valmag &amp; "!B:B"),0)</f>
        <v>259</v>
      </c>
      <c r="R118" s="14">
        <f ca="1">IFERROR(INDEX(INDIRECT(zoneFichierEAN13Valmag),Q118,1),"")</f>
        <v>8050846039780</v>
      </c>
      <c r="S118" s="1">
        <f ca="1">MATCH(B118,INDIRECT(nomFichierFiltreCatalogue &amp; "!B:B"),0)</f>
        <v>52</v>
      </c>
      <c r="T118" s="14"/>
    </row>
    <row r="119" spans="1:20" s="20" customFormat="1" ht="15.75" customHeight="1" x14ac:dyDescent="0.25">
      <c r="A119" s="25">
        <f ca="1">INDEX(INDIRECT(zoneFichierTraite),$J118+offsetInitialFichierTraite,2)</f>
        <v>91</v>
      </c>
      <c r="B119" s="45" t="str">
        <f ca="1">IF(C119="", IFERROR(INDEX(INDIRECT(zoneFichierEAN13Valmag),$P118,3),""), "")</f>
        <v/>
      </c>
      <c r="C119" s="44" t="str">
        <f ca="1">IFERROR(INDEX(INDIRECT(zoneFichierEAN13Valmag),$O118,3),"")</f>
        <v xml:space="preserve">OGLAM           </v>
      </c>
      <c r="D119" s="19" t="str">
        <f ca="1">IFERROR(INDEX(INDIRECT(zoneFichierEAN13Valmag),$O118,4),"")</f>
        <v>BLACK</v>
      </c>
      <c r="E119" s="33" t="str">
        <f ca="1">IFERROR(INDEX(INDIRECT(zoneFichierFiltreCatalogue),S118,3),"")</f>
        <v>p013-1-02</v>
      </c>
      <c r="F119" s="19"/>
      <c r="G119" s="18"/>
      <c r="H119" s="34" t="str">
        <f ca="1">IFERROR(INDEX(INDIRECT(zoneFichierFiltreCatalogue),S118,6),"")</f>
        <v>fall 2019 presentation_/catalogo fall 19.txt</v>
      </c>
      <c r="R119" s="21"/>
      <c r="S119" s="21"/>
    </row>
    <row r="120" spans="1:20" ht="39" customHeight="1" thickBot="1" x14ac:dyDescent="0.65">
      <c r="A120" s="9" t="str">
        <f ca="1">INDEX(INDIRECT(zoneFichierTraite),$J120+offsetInitialFichierTraite,6)</f>
        <v>UNICA</v>
      </c>
      <c r="B120" s="5" t="str">
        <f ca="1">INDEX(INDIRECT(zoneFichierTraite),$J120+offsetInitialFichierTraite,4)</f>
        <v>OBAGB034-EVS00-076</v>
      </c>
      <c r="C120" s="26" t="str">
        <f ca="1">INDEX(INDIRECT(zoneFichierTraite),$J120+offsetInitialFichierTraite,5)</f>
        <v>CORPS O BAG GLAM EVA COMPOUND</v>
      </c>
      <c r="D120" s="27" t="str">
        <f ca="1">INDEX(INDIRECT(zoneFichierTraite),$J120+offsetInitialFichierTraite,13)</f>
        <v>rosso</v>
      </c>
      <c r="E120" s="30">
        <f ca="1">INDEX(INDIRECT(zoneFichierTraite),$J120+offsetInitialFichierTraite,7)</f>
        <v>2</v>
      </c>
      <c r="F120" s="28">
        <f ca="1">INDEX(INDIRECT(zoneFichierTraite),$J120+offsetInitialFichierTraite,8)</f>
        <v>12.59</v>
      </c>
      <c r="G120" s="29">
        <f t="shared" ref="G120:G183" ca="1" si="40">ROUNDUP(F120*3,0)</f>
        <v>38</v>
      </c>
      <c r="H120" s="32" t="str">
        <f ca="1">IF(ISNUMBER(N120),codeEAN13(INT(N120/10)),"")</f>
        <v>8APASOG*adjifi+</v>
      </c>
      <c r="J120" s="15">
        <f t="shared" si="17"/>
        <v>56</v>
      </c>
      <c r="L120" s="5" t="str">
        <f ca="1">INDEX(INDIRECT(zoneFichierTraite),$J120+offsetInitialFichierTraite,1)</f>
        <v>'056</v>
      </c>
      <c r="M120" s="11">
        <f ca="1">INDEX(INDIRECT(zoneFichierTraite),$J120+offsetInitialFichierTraite,9)</f>
        <v>25.18</v>
      </c>
      <c r="N120" s="14">
        <f ca="1">INDEX(INDIRECT(zoneFichierTraite),$J120+offsetInitialFichierTraite,3)</f>
        <v>8050846039858</v>
      </c>
      <c r="O120" s="1">
        <f ca="1">MATCH(N120,INDIRECT(nomFichierEAN13Valmag &amp; "!A:A"),0)</f>
        <v>264</v>
      </c>
      <c r="P120" s="1">
        <f ca="1">MATCH(R120,INDIRECT(nomFichierEAN13Valmag &amp; "!A:A"),0)</f>
        <v>259</v>
      </c>
      <c r="Q120" s="1">
        <f ca="1">MATCH(LEFT(B120,14) &amp; "*",INDIRECT(nomFichierEAN13Valmag &amp; "!B:B"),0)</f>
        <v>259</v>
      </c>
      <c r="R120" s="14">
        <f ca="1">IFERROR(INDEX(INDIRECT(zoneFichierEAN13Valmag),Q120,1),"")</f>
        <v>8050846039780</v>
      </c>
      <c r="S120" s="1">
        <f ca="1">MATCH(B120,INDIRECT(nomFichierFiltreCatalogue &amp; "!B:B"),0)</f>
        <v>56</v>
      </c>
      <c r="T120" s="14"/>
    </row>
    <row r="121" spans="1:20" s="20" customFormat="1" ht="15.75" customHeight="1" x14ac:dyDescent="0.25">
      <c r="A121" s="25">
        <f ca="1">INDEX(INDIRECT(zoneFichierTraite),$J120+offsetInitialFichierTraite,2)</f>
        <v>94</v>
      </c>
      <c r="B121" s="45" t="str">
        <f ca="1">IF(C121="", IFERROR(INDEX(INDIRECT(zoneFichierEAN13Valmag),$P120,3),""), "")</f>
        <v/>
      </c>
      <c r="C121" s="44" t="str">
        <f ca="1">IFERROR(INDEX(INDIRECT(zoneFichierEAN13Valmag),$O120,3),"")</f>
        <v xml:space="preserve">OGLAM           </v>
      </c>
      <c r="D121" s="19" t="str">
        <f ca="1">IFERROR(INDEX(INDIRECT(zoneFichierEAN13Valmag),$O120,4),"")</f>
        <v xml:space="preserve">RED  </v>
      </c>
      <c r="E121" s="33" t="str">
        <f ca="1">IFERROR(INDEX(INDIRECT(zoneFichierFiltreCatalogue),S120,3),"")</f>
        <v>p013-1-06</v>
      </c>
      <c r="F121" s="19"/>
      <c r="G121" s="18"/>
      <c r="H121" s="34" t="str">
        <f ca="1">IFERROR(INDEX(INDIRECT(zoneFichierFiltreCatalogue),S120,6),"")</f>
        <v>fall 2019 presentation_/catalogo fall 19.txt</v>
      </c>
      <c r="R121" s="21"/>
      <c r="S121" s="21"/>
    </row>
    <row r="122" spans="1:20" ht="39" customHeight="1" thickBot="1" x14ac:dyDescent="0.65">
      <c r="A122" s="9" t="str">
        <f ca="1">INDEX(INDIRECT(zoneFichierTraite),$J122+offsetInitialFichierTraite,6)</f>
        <v>UNICA</v>
      </c>
      <c r="B122" s="5" t="str">
        <f ca="1">INDEX(INDIRECT(zoneFichierTraite),$J122+offsetInitialFichierTraite,4)</f>
        <v>OBAGB034-EVS00-078</v>
      </c>
      <c r="C122" s="26" t="str">
        <f ca="1">INDEX(INDIRECT(zoneFichierTraite),$J122+offsetInitialFichierTraite,5)</f>
        <v>CORPS O BAG GLAM EVA COMPOUND</v>
      </c>
      <c r="D122" s="27" t="str">
        <f ca="1">INDEX(INDIRECT(zoneFichierTraite),$J122+offsetInitialFichierTraite,13)</f>
        <v>sabbia</v>
      </c>
      <c r="E122" s="30">
        <f ca="1">INDEX(INDIRECT(zoneFichierTraite),$J122+offsetInitialFichierTraite,7)</f>
        <v>2</v>
      </c>
      <c r="F122" s="28">
        <f ca="1">INDEX(INDIRECT(zoneFichierTraite),$J122+offsetInitialFichierTraite,8)</f>
        <v>12.59</v>
      </c>
      <c r="G122" s="29">
        <f t="shared" ref="G122:G185" ca="1" si="41">ROUNDUP(F122*3,0)</f>
        <v>38</v>
      </c>
      <c r="H122" s="32" t="str">
        <f ca="1">IF(ISNUMBER(N122),codeEAN13(INT(N122/10)),"")</f>
        <v>8APASOG*agciih+</v>
      </c>
      <c r="J122" s="15">
        <f t="shared" si="17"/>
        <v>57</v>
      </c>
      <c r="L122" s="5" t="str">
        <f ca="1">INDEX(INDIRECT(zoneFichierTraite),$J122+offsetInitialFichierTraite,1)</f>
        <v>'057</v>
      </c>
      <c r="M122" s="11">
        <f ca="1">INDEX(INDIRECT(zoneFichierTraite),$J122+offsetInitialFichierTraite,9)</f>
        <v>25.18</v>
      </c>
      <c r="N122" s="14">
        <f ca="1">INDEX(INDIRECT(zoneFichierTraite),$J122+offsetInitialFichierTraite,3)</f>
        <v>8050846062887</v>
      </c>
      <c r="O122" s="1">
        <f ca="1">MATCH(N122,INDIRECT(nomFichierEAN13Valmag &amp; "!A:A"),0)</f>
        <v>536</v>
      </c>
      <c r="P122" s="1">
        <f ca="1">MATCH(R122,INDIRECT(nomFichierEAN13Valmag &amp; "!A:A"),0)</f>
        <v>259</v>
      </c>
      <c r="Q122" s="1">
        <f ca="1">MATCH(LEFT(B122,14) &amp; "*",INDIRECT(nomFichierEAN13Valmag &amp; "!B:B"),0)</f>
        <v>259</v>
      </c>
      <c r="R122" s="14">
        <f ca="1">IFERROR(INDEX(INDIRECT(zoneFichierEAN13Valmag),Q122,1),"")</f>
        <v>8050846039780</v>
      </c>
      <c r="S122" s="1">
        <f ca="1">MATCH(B122,INDIRECT(nomFichierFiltreCatalogue &amp; "!B:B"),0)</f>
        <v>58</v>
      </c>
      <c r="T122" s="14"/>
    </row>
    <row r="123" spans="1:20" s="20" customFormat="1" ht="15.75" customHeight="1" x14ac:dyDescent="0.25">
      <c r="A123" s="25">
        <f ca="1">INDEX(INDIRECT(zoneFichierTraite),$J122+offsetInitialFichierTraite,2)</f>
        <v>148</v>
      </c>
      <c r="B123" s="45" t="str">
        <f ca="1">IF(C123="", IFERROR(INDEX(INDIRECT(zoneFichierEAN13Valmag),$P122,3),""), "")</f>
        <v/>
      </c>
      <c r="C123" s="44" t="str">
        <f ca="1">IFERROR(INDEX(INDIRECT(zoneFichierEAN13Valmag),$O122,3),"")</f>
        <v xml:space="preserve">OGLAM           </v>
      </c>
      <c r="D123" s="19" t="str">
        <f ca="1">IFERROR(INDEX(INDIRECT(zoneFichierEAN13Valmag),$O122,4),"")</f>
        <v xml:space="preserve">SAND </v>
      </c>
      <c r="E123" s="33" t="str">
        <f ca="1">IFERROR(INDEX(INDIRECT(zoneFichierFiltreCatalogue),S122,3),"")</f>
        <v>p013-1-08</v>
      </c>
      <c r="F123" s="19"/>
      <c r="G123" s="18"/>
      <c r="H123" s="34" t="str">
        <f ca="1">IFERROR(INDEX(INDIRECT(zoneFichierFiltreCatalogue),S122,6),"")</f>
        <v>fall 2019 presentation_/catalogo fall 19.txt</v>
      </c>
      <c r="R123" s="21"/>
      <c r="S123" s="21"/>
    </row>
    <row r="124" spans="1:20" ht="39" customHeight="1" thickBot="1" x14ac:dyDescent="0.65">
      <c r="A124" s="9" t="str">
        <f ca="1">INDEX(INDIRECT(zoneFichierTraite),$J124+offsetInitialFichierTraite,6)</f>
        <v>UNICA</v>
      </c>
      <c r="B124" s="5" t="str">
        <f ca="1">INDEX(INDIRECT(zoneFichierTraite),$J124+offsetInitialFichierTraite,4)</f>
        <v>OBAGB034-EVS00-614</v>
      </c>
      <c r="C124" s="26" t="str">
        <f ca="1">INDEX(INDIRECT(zoneFichierTraite),$J124+offsetInitialFichierTraite,5)</f>
        <v>CORPS O BAG GLAM EVA COMPOUND</v>
      </c>
      <c r="D124" s="27" t="str">
        <f ca="1">INDEX(INDIRECT(zoneFichierTraite),$J124+offsetInitialFichierTraite,13)</f>
        <v>imperial blu</v>
      </c>
      <c r="E124" s="30">
        <f ca="1">INDEX(INDIRECT(zoneFichierTraite),$J124+offsetInitialFichierTraite,7)</f>
        <v>2</v>
      </c>
      <c r="F124" s="28">
        <f ca="1">INDEX(INDIRECT(zoneFichierTraite),$J124+offsetInitialFichierTraite,8)</f>
        <v>12.59</v>
      </c>
      <c r="G124" s="29">
        <f t="shared" ref="G124:G187" ca="1" si="42">ROUNDUP(F124*3,0)</f>
        <v>38</v>
      </c>
      <c r="H124" s="32" t="str">
        <f ca="1">IF(ISNUMBER(N124),codeEAN13(INT(N124/10)),"")</f>
        <v>8APASOG*ajadbg+</v>
      </c>
      <c r="J124" s="15">
        <f t="shared" si="17"/>
        <v>58</v>
      </c>
      <c r="L124" s="5" t="str">
        <f ca="1">INDEX(INDIRECT(zoneFichierTraite),$J124+offsetInitialFichierTraite,1)</f>
        <v>'058</v>
      </c>
      <c r="M124" s="11">
        <f ca="1">INDEX(INDIRECT(zoneFichierTraite),$J124+offsetInitialFichierTraite,9)</f>
        <v>25.18</v>
      </c>
      <c r="N124" s="14">
        <f ca="1">INDEX(INDIRECT(zoneFichierTraite),$J124+offsetInitialFichierTraite,3)</f>
        <v>8050846090316</v>
      </c>
      <c r="O124" s="1">
        <f ca="1">MATCH(N124,INDIRECT(nomFichierEAN13Valmag &amp; "!A:A"),0)</f>
        <v>715</v>
      </c>
      <c r="P124" s="1">
        <f ca="1">MATCH(R124,INDIRECT(nomFichierEAN13Valmag &amp; "!A:A"),0)</f>
        <v>259</v>
      </c>
      <c r="Q124" s="1">
        <f ca="1">MATCH(LEFT(B124,14) &amp; "*",INDIRECT(nomFichierEAN13Valmag &amp; "!B:B"),0)</f>
        <v>259</v>
      </c>
      <c r="R124" s="14">
        <f ca="1">IFERROR(INDEX(INDIRECT(zoneFichierEAN13Valmag),Q124,1),"")</f>
        <v>8050846039780</v>
      </c>
      <c r="S124" s="1">
        <f ca="1">MATCH(B124,INDIRECT(nomFichierFiltreCatalogue &amp; "!B:B"),0)</f>
        <v>59</v>
      </c>
      <c r="T124" s="14"/>
    </row>
    <row r="125" spans="1:20" s="20" customFormat="1" ht="15.75" customHeight="1" x14ac:dyDescent="0.25">
      <c r="A125" s="25">
        <f ca="1">INDEX(INDIRECT(zoneFichierTraite),$J124+offsetInitialFichierTraite,2)</f>
        <v>98</v>
      </c>
      <c r="B125" s="45" t="str">
        <f ca="1">IF(C125="", IFERROR(INDEX(INDIRECT(zoneFichierEAN13Valmag),$P124,3),""), "")</f>
        <v/>
      </c>
      <c r="C125" s="44" t="str">
        <f ca="1">IFERROR(INDEX(INDIRECT(zoneFichierEAN13Valmag),$O124,3),"")</f>
        <v xml:space="preserve"> </v>
      </c>
      <c r="D125" s="19" t="str">
        <f ca="1">IFERROR(INDEX(INDIRECT(zoneFichierEAN13Valmag),$O124,4),"")</f>
        <v xml:space="preserve"> </v>
      </c>
      <c r="E125" s="33" t="str">
        <f ca="1">IFERROR(INDEX(INDIRECT(zoneFichierFiltreCatalogue),S124,3),"")</f>
        <v>p013-1-09</v>
      </c>
      <c r="F125" s="19"/>
      <c r="G125" s="18"/>
      <c r="H125" s="34" t="str">
        <f ca="1">IFERROR(INDEX(INDIRECT(zoneFichierFiltreCatalogue),S124,6),"")</f>
        <v>fall 2019 presentation_/catalogo fall 19.txt</v>
      </c>
      <c r="R125" s="21"/>
      <c r="S125" s="21"/>
    </row>
    <row r="126" spans="1:20" ht="39" customHeight="1" thickBot="1" x14ac:dyDescent="0.65">
      <c r="A126" s="9" t="str">
        <f ca="1">INDEX(INDIRECT(zoneFichierTraite),$J126+offsetInitialFichierTraite,6)</f>
        <v>UNICA</v>
      </c>
      <c r="B126" s="5" t="str">
        <f ca="1">INDEX(INDIRECT(zoneFichierTraite),$J126+offsetInitialFichierTraite,4)</f>
        <v>OBAGB034-EVS00-615</v>
      </c>
      <c r="C126" s="26" t="str">
        <f ca="1">INDEX(INDIRECT(zoneFichierTraite),$J126+offsetInitialFichierTraite,5)</f>
        <v>CORPS O BAG GLAM EVA COMPOUND</v>
      </c>
      <c r="D126" s="27" t="str">
        <f ca="1">INDEX(INDIRECT(zoneFichierTraite),$J126+offsetInitialFichierTraite,13)</f>
        <v>military</v>
      </c>
      <c r="E126" s="30">
        <f ca="1">INDEX(INDIRECT(zoneFichierTraite),$J126+offsetInitialFichierTraite,7)</f>
        <v>2</v>
      </c>
      <c r="F126" s="28">
        <f ca="1">INDEX(INDIRECT(zoneFichierTraite),$J126+offsetInitialFichierTraite,8)</f>
        <v>12.59</v>
      </c>
      <c r="G126" s="29">
        <f t="shared" ref="G126:G189" ca="1" si="43">ROUNDUP(F126*3,0)</f>
        <v>38</v>
      </c>
      <c r="H126" s="32" t="str">
        <f ca="1">IF(ISNUMBER(N126),codeEAN13(INT(N126/10)),"")</f>
        <v>8APASOG*ajadeh+</v>
      </c>
      <c r="J126" s="15">
        <f t="shared" si="17"/>
        <v>59</v>
      </c>
      <c r="L126" s="5" t="str">
        <f ca="1">INDEX(INDIRECT(zoneFichierTraite),$J126+offsetInitialFichierTraite,1)</f>
        <v>'059</v>
      </c>
      <c r="M126" s="11">
        <f ca="1">INDEX(INDIRECT(zoneFichierTraite),$J126+offsetInitialFichierTraite,9)</f>
        <v>25.18</v>
      </c>
      <c r="N126" s="14">
        <f ca="1">INDEX(INDIRECT(zoneFichierTraite),$J126+offsetInitialFichierTraite,3)</f>
        <v>8050846090347</v>
      </c>
      <c r="O126" s="1">
        <f ca="1">MATCH(N126,INDIRECT(nomFichierEAN13Valmag &amp; "!A:A"),0)</f>
        <v>718</v>
      </c>
      <c r="P126" s="1">
        <f ca="1">MATCH(R126,INDIRECT(nomFichierEAN13Valmag &amp; "!A:A"),0)</f>
        <v>259</v>
      </c>
      <c r="Q126" s="1">
        <f ca="1">MATCH(LEFT(B126,14) &amp; "*",INDIRECT(nomFichierEAN13Valmag &amp; "!B:B"),0)</f>
        <v>259</v>
      </c>
      <c r="R126" s="14">
        <f ca="1">IFERROR(INDEX(INDIRECT(zoneFichierEAN13Valmag),Q126,1),"")</f>
        <v>8050846039780</v>
      </c>
      <c r="S126" s="1">
        <f ca="1">MATCH(B126,INDIRECT(nomFichierFiltreCatalogue &amp; "!B:B"),0)</f>
        <v>61</v>
      </c>
      <c r="T126" s="14"/>
    </row>
    <row r="127" spans="1:20" s="20" customFormat="1" ht="15.75" customHeight="1" x14ac:dyDescent="0.25">
      <c r="A127" s="25">
        <f ca="1">INDEX(INDIRECT(zoneFichierTraite),$J126+offsetInitialFichierTraite,2)</f>
        <v>33</v>
      </c>
      <c r="B127" s="45" t="str">
        <f ca="1">IF(C127="", IFERROR(INDEX(INDIRECT(zoneFichierEAN13Valmag),$P126,3),""), "")</f>
        <v/>
      </c>
      <c r="C127" s="44" t="str">
        <f ca="1">IFERROR(INDEX(INDIRECT(zoneFichierEAN13Valmag),$O126,3),"")</f>
        <v xml:space="preserve"> </v>
      </c>
      <c r="D127" s="19" t="str">
        <f ca="1">IFERROR(INDEX(INDIRECT(zoneFichierEAN13Valmag),$O126,4),"")</f>
        <v xml:space="preserve"> </v>
      </c>
      <c r="E127" s="33" t="str">
        <f ca="1">IFERROR(INDEX(INDIRECT(zoneFichierFiltreCatalogue),S126,3),"")</f>
        <v>p013-1-11</v>
      </c>
      <c r="F127" s="19"/>
      <c r="G127" s="18"/>
      <c r="H127" s="34" t="str">
        <f ca="1">IFERROR(INDEX(INDIRECT(zoneFichierFiltreCatalogue),S126,6),"")</f>
        <v>fall 2019 presentation_/catalogo fall 19.txt</v>
      </c>
      <c r="R127" s="21"/>
      <c r="S127" s="21"/>
    </row>
    <row r="128" spans="1:20" ht="39" customHeight="1" thickBot="1" x14ac:dyDescent="0.65">
      <c r="A128" s="9" t="str">
        <f ca="1">INDEX(INDIRECT(zoneFichierTraite),$J128+offsetInitialFichierTraite,6)</f>
        <v>UNICA</v>
      </c>
      <c r="B128" s="5" t="str">
        <f ca="1">INDEX(INDIRECT(zoneFichierTraite),$J128+offsetInitialFichierTraite,4)</f>
        <v>OBAGB034-EVS00-616</v>
      </c>
      <c r="C128" s="26" t="str">
        <f ca="1">INDEX(INDIRECT(zoneFichierTraite),$J128+offsetInitialFichierTraite,5)</f>
        <v>CORPS O BAG GLAM EVA COMPOUND</v>
      </c>
      <c r="D128" s="27" t="str">
        <f ca="1">INDEX(INDIRECT(zoneFichierTraite),$J128+offsetInitialFichierTraite,13)</f>
        <v>ice</v>
      </c>
      <c r="E128" s="30">
        <f ca="1">INDEX(INDIRECT(zoneFichierTraite),$J128+offsetInitialFichierTraite,7)</f>
        <v>2</v>
      </c>
      <c r="F128" s="28">
        <f ca="1">INDEX(INDIRECT(zoneFichierTraite),$J128+offsetInitialFichierTraite,8)</f>
        <v>12.59</v>
      </c>
      <c r="G128" s="29">
        <f t="shared" ref="G128:G191" ca="1" si="44">ROUNDUP(F128*3,0)</f>
        <v>38</v>
      </c>
      <c r="H128" s="32" t="str">
        <f ca="1">IF(ISNUMBER(N128),codeEAN13(INT(N128/10)),"")</f>
        <v>8APASOG*ajadgb+</v>
      </c>
      <c r="J128" s="15">
        <f t="shared" si="17"/>
        <v>60</v>
      </c>
      <c r="L128" s="5" t="str">
        <f ca="1">INDEX(INDIRECT(zoneFichierTraite),$J128+offsetInitialFichierTraite,1)</f>
        <v>'060</v>
      </c>
      <c r="M128" s="11">
        <f ca="1">INDEX(INDIRECT(zoneFichierTraite),$J128+offsetInitialFichierTraite,9)</f>
        <v>25.18</v>
      </c>
      <c r="N128" s="14">
        <f ca="1">INDEX(INDIRECT(zoneFichierTraite),$J128+offsetInitialFichierTraite,3)</f>
        <v>8050846090361</v>
      </c>
      <c r="O128" s="1">
        <f ca="1">MATCH(N128,INDIRECT(nomFichierEAN13Valmag &amp; "!A:A"),0)</f>
        <v>720</v>
      </c>
      <c r="P128" s="1">
        <f ca="1">MATCH(R128,INDIRECT(nomFichierEAN13Valmag &amp; "!A:A"),0)</f>
        <v>259</v>
      </c>
      <c r="Q128" s="1">
        <f ca="1">MATCH(LEFT(B128,14) &amp; "*",INDIRECT(nomFichierEAN13Valmag &amp; "!B:B"),0)</f>
        <v>259</v>
      </c>
      <c r="R128" s="14">
        <f ca="1">IFERROR(INDEX(INDIRECT(zoneFichierEAN13Valmag),Q128,1),"")</f>
        <v>8050846039780</v>
      </c>
      <c r="S128" s="1">
        <f ca="1">MATCH(B128,INDIRECT(nomFichierFiltreCatalogue &amp; "!B:B"),0)</f>
        <v>62</v>
      </c>
      <c r="T128" s="14"/>
    </row>
    <row r="129" spans="1:20" s="20" customFormat="1" ht="15.75" customHeight="1" x14ac:dyDescent="0.25">
      <c r="A129" s="25">
        <f ca="1">INDEX(INDIRECT(zoneFichierTraite),$J128+offsetInitialFichierTraite,2)</f>
        <v>56</v>
      </c>
      <c r="B129" s="45" t="str">
        <f ca="1">IF(C129="", IFERROR(INDEX(INDIRECT(zoneFichierEAN13Valmag),$P128,3),""), "")</f>
        <v/>
      </c>
      <c r="C129" s="44" t="str">
        <f ca="1">IFERROR(INDEX(INDIRECT(zoneFichierEAN13Valmag),$O128,3),"")</f>
        <v xml:space="preserve"> </v>
      </c>
      <c r="D129" s="19" t="str">
        <f ca="1">IFERROR(INDEX(INDIRECT(zoneFichierEAN13Valmag),$O128,4),"")</f>
        <v xml:space="preserve"> </v>
      </c>
      <c r="E129" s="33" t="str">
        <f ca="1">IFERROR(INDEX(INDIRECT(zoneFichierFiltreCatalogue),S128,3),"")</f>
        <v>p013-1-12</v>
      </c>
      <c r="F129" s="19"/>
      <c r="G129" s="18"/>
      <c r="H129" s="34" t="str">
        <f ca="1">IFERROR(INDEX(INDIRECT(zoneFichierFiltreCatalogue),S128,6),"")</f>
        <v>fall 2019 presentation_/catalogo fall 19.txt</v>
      </c>
      <c r="R129" s="21"/>
      <c r="S129" s="21"/>
    </row>
    <row r="130" spans="1:20" ht="39" customHeight="1" thickBot="1" x14ac:dyDescent="0.65">
      <c r="A130" s="9" t="str">
        <f ca="1">INDEX(INDIRECT(zoneFichierTraite),$J130+offsetInitialFichierTraite,6)</f>
        <v>UNICA</v>
      </c>
      <c r="B130" s="5" t="str">
        <f ca="1">INDEX(INDIRECT(zoneFichierTraite),$J130+offsetInitialFichierTraite,4)</f>
        <v>OBAGB056-TESBK-055</v>
      </c>
      <c r="C130" s="26" t="str">
        <f ca="1">INDEX(INDIRECT(zoneFichierTraite),$J130+offsetInitialFichierTraite,5)</f>
        <v>CORPS O BAG MARKET EN TISSU DOUDOUNE Ã€ CHEVRONS</v>
      </c>
      <c r="D130" s="27" t="str">
        <f ca="1">INDEX(INDIRECT(zoneFichierTraite),$J130+offsetInitialFichierTraite,13)</f>
        <v>nero</v>
      </c>
      <c r="E130" s="30">
        <f ca="1">INDEX(INDIRECT(zoneFichierTraite),$J130+offsetInitialFichierTraite,7)</f>
        <v>2</v>
      </c>
      <c r="F130" s="28">
        <f ca="1">INDEX(INDIRECT(zoneFichierTraite),$J130+offsetInitialFichierTraite,8)</f>
        <v>18.52</v>
      </c>
      <c r="G130" s="29">
        <f t="shared" ref="G130:G193" ca="1" si="45">ROUNDUP(F130*3,0)</f>
        <v>56</v>
      </c>
      <c r="H130" s="32" t="str">
        <f ca="1">IF(ISNUMBER(N130),codeEAN13(INT(N130/10)),"")</f>
        <v>8APASOG*ajahaf+</v>
      </c>
      <c r="J130" s="15">
        <f t="shared" si="17"/>
        <v>61</v>
      </c>
      <c r="L130" s="5" t="str">
        <f ca="1">INDEX(INDIRECT(zoneFichierTraite),$J130+offsetInitialFichierTraite,1)</f>
        <v>'061</v>
      </c>
      <c r="M130" s="11">
        <f ca="1">INDEX(INDIRECT(zoneFichierTraite),$J130+offsetInitialFichierTraite,9)</f>
        <v>37.04</v>
      </c>
      <c r="N130" s="14">
        <f ca="1">INDEX(INDIRECT(zoneFichierTraite),$J130+offsetInitialFichierTraite,3)</f>
        <v>8050846090705</v>
      </c>
      <c r="O130" s="1">
        <f ca="1">MATCH(N130,INDIRECT(nomFichierEAN13Valmag &amp; "!A:A"),0)</f>
        <v>752</v>
      </c>
      <c r="P130" s="1">
        <f ca="1">MATCH(R130,INDIRECT(nomFichierEAN13Valmag &amp; "!A:A"),0)</f>
        <v>752</v>
      </c>
      <c r="Q130" s="1">
        <f ca="1">MATCH(LEFT(B130,14) &amp; "*",INDIRECT(nomFichierEAN13Valmag &amp; "!B:B"),0)</f>
        <v>752</v>
      </c>
      <c r="R130" s="14">
        <f ca="1">IFERROR(INDEX(INDIRECT(zoneFichierEAN13Valmag),Q130,1),"")</f>
        <v>8050846090705</v>
      </c>
      <c r="S130" s="1">
        <f ca="1">MATCH(B130,INDIRECT(nomFichierFiltreCatalogue &amp; "!B:B"),0)</f>
        <v>120</v>
      </c>
      <c r="T130" s="14"/>
    </row>
    <row r="131" spans="1:20" s="20" customFormat="1" ht="15.75" customHeight="1" x14ac:dyDescent="0.25">
      <c r="A131" s="25">
        <f ca="1">INDEX(INDIRECT(zoneFichierTraite),$J130+offsetInitialFichierTraite,2)</f>
        <v>184</v>
      </c>
      <c r="B131" s="45" t="str">
        <f ca="1">IF(C131="", IFERROR(INDEX(INDIRECT(zoneFichierEAN13Valmag),$P130,3),""), "")</f>
        <v/>
      </c>
      <c r="C131" s="44" t="str">
        <f ca="1">IFERROR(INDEX(INDIRECT(zoneFichierEAN13Valmag),$O130,3),"")</f>
        <v xml:space="preserve"> </v>
      </c>
      <c r="D131" s="19" t="str">
        <f ca="1">IFERROR(INDEX(INDIRECT(zoneFichierEAN13Valmag),$O130,4),"")</f>
        <v xml:space="preserve"> </v>
      </c>
      <c r="E131" s="33" t="str">
        <f ca="1">IFERROR(INDEX(INDIRECT(zoneFichierFiltreCatalogue),S130,3),"")</f>
        <v>p022-1-01</v>
      </c>
      <c r="F131" s="19"/>
      <c r="G131" s="18"/>
      <c r="H131" s="34" t="str">
        <f ca="1">IFERROR(INDEX(INDIRECT(zoneFichierFiltreCatalogue),S130,6),"")</f>
        <v>fall 2019 presentation_/catalogo fall 19.txt</v>
      </c>
      <c r="R131" s="21"/>
      <c r="S131" s="21"/>
    </row>
    <row r="132" spans="1:20" ht="39" customHeight="1" thickBot="1" x14ac:dyDescent="0.65">
      <c r="A132" s="9" t="str">
        <f ca="1">INDEX(INDIRECT(zoneFichierTraite),$J132+offsetInitialFichierTraite,6)</f>
        <v>UNICA</v>
      </c>
      <c r="B132" s="5" t="str">
        <f ca="1">INDEX(INDIRECT(zoneFichierTraite),$J132+offsetInitialFichierTraite,4)</f>
        <v>OBAGB056-TESBN-615</v>
      </c>
      <c r="C132" s="26" t="str">
        <f ca="1">INDEX(INDIRECT(zoneFichierTraite),$J132+offsetInitialFichierTraite,5)</f>
        <v>CORPS O BAG MARKET EN TISSU DOUDOUNE Ã€ CHECK</v>
      </c>
      <c r="D132" s="27" t="str">
        <f ca="1">INDEX(INDIRECT(zoneFichierTraite),$J132+offsetInitialFichierTraite,13)</f>
        <v>military</v>
      </c>
      <c r="E132" s="30">
        <f ca="1">INDEX(INDIRECT(zoneFichierTraite),$J132+offsetInitialFichierTraite,7)</f>
        <v>2</v>
      </c>
      <c r="F132" s="28">
        <f ca="1">INDEX(INDIRECT(zoneFichierTraite),$J132+offsetInitialFichierTraite,8)</f>
        <v>18.52</v>
      </c>
      <c r="G132" s="29">
        <f t="shared" ref="G132:G195" ca="1" si="46">ROUNDUP(F132*3,0)</f>
        <v>56</v>
      </c>
      <c r="H132" s="32" t="str">
        <f ca="1">IF(ISNUMBER(N132),codeEAN13(INT(N132/10)),"")</f>
        <v>8APASOG*ajahbc+</v>
      </c>
      <c r="J132" s="15">
        <f t="shared" si="17"/>
        <v>62</v>
      </c>
      <c r="L132" s="5" t="str">
        <f ca="1">INDEX(INDIRECT(zoneFichierTraite),$J132+offsetInitialFichierTraite,1)</f>
        <v>'062</v>
      </c>
      <c r="M132" s="11">
        <f ca="1">INDEX(INDIRECT(zoneFichierTraite),$J132+offsetInitialFichierTraite,9)</f>
        <v>37.04</v>
      </c>
      <c r="N132" s="14">
        <f ca="1">INDEX(INDIRECT(zoneFichierTraite),$J132+offsetInitialFichierTraite,3)</f>
        <v>8050846090712</v>
      </c>
      <c r="O132" s="1">
        <f ca="1">MATCH(N132,INDIRECT(nomFichierEAN13Valmag &amp; "!A:A"),0)</f>
        <v>753</v>
      </c>
      <c r="P132" s="1">
        <f ca="1">MATCH(R132,INDIRECT(nomFichierEAN13Valmag &amp; "!A:A"),0)</f>
        <v>753</v>
      </c>
      <c r="Q132" s="1">
        <f ca="1">MATCH(LEFT(B132,14) &amp; "*",INDIRECT(nomFichierEAN13Valmag &amp; "!B:B"),0)</f>
        <v>753</v>
      </c>
      <c r="R132" s="14">
        <f ca="1">IFERROR(INDEX(INDIRECT(zoneFichierEAN13Valmag),Q132,1),"")</f>
        <v>8050846090712</v>
      </c>
      <c r="S132" s="1">
        <f ca="1">MATCH(B132,INDIRECT(nomFichierFiltreCatalogue &amp; "!B:B"),0)</f>
        <v>121</v>
      </c>
      <c r="T132" s="14"/>
    </row>
    <row r="133" spans="1:20" s="20" customFormat="1" ht="15.75" customHeight="1" x14ac:dyDescent="0.25">
      <c r="A133" s="25">
        <f ca="1">INDEX(INDIRECT(zoneFichierTraite),$J132+offsetInitialFichierTraite,2)</f>
        <v>12</v>
      </c>
      <c r="B133" s="45" t="str">
        <f ca="1">IF(C133="", IFERROR(INDEX(INDIRECT(zoneFichierEAN13Valmag),$P132,3),""), "")</f>
        <v/>
      </c>
      <c r="C133" s="44" t="str">
        <f ca="1">IFERROR(INDEX(INDIRECT(zoneFichierEAN13Valmag),$O132,3),"")</f>
        <v xml:space="preserve"> </v>
      </c>
      <c r="D133" s="19" t="str">
        <f ca="1">IFERROR(INDEX(INDIRECT(zoneFichierEAN13Valmag),$O132,4),"")</f>
        <v xml:space="preserve"> </v>
      </c>
      <c r="E133" s="33" t="str">
        <f ca="1">IFERROR(INDEX(INDIRECT(zoneFichierFiltreCatalogue),S132,3),"")</f>
        <v>p022-2-01</v>
      </c>
      <c r="F133" s="19"/>
      <c r="G133" s="18"/>
      <c r="H133" s="34" t="str">
        <f ca="1">IFERROR(INDEX(INDIRECT(zoneFichierFiltreCatalogue),S132,6),"")</f>
        <v>fall 2019 presentation_/catalogo fall 19.txt</v>
      </c>
      <c r="R133" s="21"/>
      <c r="S133" s="21"/>
    </row>
    <row r="134" spans="1:20" ht="39" customHeight="1" thickBot="1" x14ac:dyDescent="0.65">
      <c r="A134" s="9" t="str">
        <f ca="1">INDEX(INDIRECT(zoneFichierTraite),$J134+offsetInitialFichierTraite,6)</f>
        <v>UNICA</v>
      </c>
      <c r="B134" s="5" t="str">
        <f ca="1">INDEX(INDIRECT(zoneFichierTraite),$J134+offsetInitialFichierTraite,4)</f>
        <v>OBAGB206-EVS00-076</v>
      </c>
      <c r="C134" s="26" t="str">
        <f ca="1">INDEX(INDIRECT(zoneFichierTraite),$J134+offsetInitialFichierTraite,5)</f>
        <v>CORPS INFERIEUR O POCKET EVA COMPOUND</v>
      </c>
      <c r="D134" s="27" t="str">
        <f ca="1">INDEX(INDIRECT(zoneFichierTraite),$J134+offsetInitialFichierTraite,13)</f>
        <v>rosso</v>
      </c>
      <c r="E134" s="30">
        <f ca="1">INDEX(INDIRECT(zoneFichierTraite),$J134+offsetInitialFichierTraite,7)</f>
        <v>2</v>
      </c>
      <c r="F134" s="28">
        <f ca="1">INDEX(INDIRECT(zoneFichierTraite),$J134+offsetInitialFichierTraite,8)</f>
        <v>4.8</v>
      </c>
      <c r="G134" s="29">
        <f t="shared" ref="G134:G197" ca="1" si="47">ROUNDUP(F134*3,0)</f>
        <v>15</v>
      </c>
      <c r="H134" s="32" t="str">
        <f ca="1">IF(ISNUMBER(N134),codeEAN13(INT(N134/10)),"")</f>
        <v>8APGKTJ*bhiigd+</v>
      </c>
      <c r="J134" s="15">
        <f t="shared" si="17"/>
        <v>63</v>
      </c>
      <c r="L134" s="5" t="str">
        <f ca="1">INDEX(INDIRECT(zoneFichierTraite),$J134+offsetInitialFichierTraite,1)</f>
        <v>'063</v>
      </c>
      <c r="M134" s="11">
        <f ca="1">INDEX(INDIRECT(zoneFichierTraite),$J134+offsetInitialFichierTraite,9)</f>
        <v>9.6</v>
      </c>
      <c r="N134" s="14">
        <f ca="1">INDEX(INDIRECT(zoneFichierTraite),$J134+offsetInitialFichierTraite,3)</f>
        <v>8056099178863</v>
      </c>
      <c r="O134" s="1">
        <f ca="1">MATCH(N134,INDIRECT(nomFichierEAN13Valmag &amp; "!A:A"),0)</f>
        <v>1048</v>
      </c>
      <c r="P134" s="1">
        <f ca="1">MATCH(R134,INDIRECT(nomFichierEAN13Valmag &amp; "!A:A"),0)</f>
        <v>32</v>
      </c>
      <c r="Q134" s="1">
        <f ca="1">MATCH(LEFT(B134,14) &amp; "*",INDIRECT(nomFichierEAN13Valmag &amp; "!B:B"),0)</f>
        <v>32</v>
      </c>
      <c r="R134" s="14">
        <f ca="1">IFERROR(INDEX(INDIRECT(zoneFichierEAN13Valmag),Q134,1),"")</f>
        <v>8050450215655</v>
      </c>
      <c r="S134" s="1">
        <f ca="1">MATCH(B134,INDIRECT(nomFichierFiltreCatalogue &amp; "!B:B"),0)</f>
        <v>95</v>
      </c>
      <c r="T134" s="14"/>
    </row>
    <row r="135" spans="1:20" s="20" customFormat="1" ht="15.75" customHeight="1" x14ac:dyDescent="0.25">
      <c r="A135" s="25">
        <f ca="1">INDEX(INDIRECT(zoneFichierTraite),$J134+offsetInitialFichierTraite,2)</f>
        <v>50</v>
      </c>
      <c r="B135" s="45" t="str">
        <f ca="1">IF(C135="", IFERROR(INDEX(INDIRECT(zoneFichierEAN13Valmag),$P134,3),""), "")</f>
        <v/>
      </c>
      <c r="C135" s="44" t="str">
        <f ca="1">IFERROR(INDEX(INDIRECT(zoneFichierEAN13Valmag),$O134,3),"")</f>
        <v xml:space="preserve">COQUOPOCKET     </v>
      </c>
      <c r="D135" s="19" t="str">
        <f ca="1">IFERROR(INDEX(INDIRECT(zoneFichierEAN13Valmag),$O134,4),"")</f>
        <v xml:space="preserve">RED  </v>
      </c>
      <c r="E135" s="33" t="str">
        <f ca="1">IFERROR(INDEX(INDIRECT(zoneFichierFiltreCatalogue),S134,3),"")</f>
        <v>p018-1-06</v>
      </c>
      <c r="F135" s="19"/>
      <c r="G135" s="18"/>
      <c r="H135" s="34" t="str">
        <f ca="1">IFERROR(INDEX(INDIRECT(zoneFichierFiltreCatalogue),S134,6),"")</f>
        <v>fall 2019 presentation_/catalogo fall 19.txt</v>
      </c>
      <c r="R135" s="21"/>
      <c r="S135" s="21"/>
    </row>
    <row r="136" spans="1:20" ht="39" customHeight="1" thickBot="1" x14ac:dyDescent="0.65">
      <c r="A136" s="9" t="str">
        <f ca="1">INDEX(INDIRECT(zoneFichierTraite),$J136+offsetInitialFichierTraite,6)</f>
        <v>UNICA</v>
      </c>
      <c r="B136" s="5" t="str">
        <f ca="1">INDEX(INDIRECT(zoneFichierTraite),$J136+offsetInitialFichierTraite,4)</f>
        <v>OBAGB206-EVS00-144</v>
      </c>
      <c r="C136" s="26" t="str">
        <f ca="1">INDEX(INDIRECT(zoneFichierTraite),$J136+offsetInitialFichierTraite,5)</f>
        <v>CORPS INFERIEUR O POCKET EVA COMPOUND</v>
      </c>
      <c r="D136" s="27" t="str">
        <f ca="1">INDEX(INDIRECT(zoneFichierTraite),$J136+offsetInitialFichierTraite,13)</f>
        <v>ginestra</v>
      </c>
      <c r="E136" s="30">
        <f ca="1">INDEX(INDIRECT(zoneFichierTraite),$J136+offsetInitialFichierTraite,7)</f>
        <v>2</v>
      </c>
      <c r="F136" s="28">
        <f ca="1">INDEX(INDIRECT(zoneFichierTraite),$J136+offsetInitialFichierTraite,8)</f>
        <v>4.8</v>
      </c>
      <c r="G136" s="29">
        <f t="shared" ref="G136:G199" ca="1" si="48">ROUNDUP(F136*3,0)</f>
        <v>15</v>
      </c>
      <c r="H136" s="32" t="str">
        <f ca="1">IF(ISNUMBER(N136),codeEAN13(INT(N136/10)),"")</f>
        <v>8APASOG*ajbjgc+</v>
      </c>
      <c r="J136" s="15">
        <f t="shared" si="17"/>
        <v>64</v>
      </c>
      <c r="L136" s="5" t="str">
        <f ca="1">INDEX(INDIRECT(zoneFichierTraite),$J136+offsetInitialFichierTraite,1)</f>
        <v>'064</v>
      </c>
      <c r="M136" s="11">
        <f ca="1">INDEX(INDIRECT(zoneFichierTraite),$J136+offsetInitialFichierTraite,9)</f>
        <v>9.6</v>
      </c>
      <c r="N136" s="14">
        <f ca="1">INDEX(INDIRECT(zoneFichierTraite),$J136+offsetInitialFichierTraite,3)</f>
        <v>8050846091962</v>
      </c>
      <c r="O136" s="1">
        <f ca="1">MATCH(N136,INDIRECT(nomFichierEAN13Valmag &amp; "!A:A"),0)</f>
        <v>850</v>
      </c>
      <c r="P136" s="1">
        <f ca="1">MATCH(R136,INDIRECT(nomFichierEAN13Valmag &amp; "!A:A"),0)</f>
        <v>32</v>
      </c>
      <c r="Q136" s="1">
        <f ca="1">MATCH(LEFT(B136,14) &amp; "*",INDIRECT(nomFichierEAN13Valmag &amp; "!B:B"),0)</f>
        <v>32</v>
      </c>
      <c r="R136" s="14">
        <f ca="1">IFERROR(INDEX(INDIRECT(zoneFichierEAN13Valmag),Q136,1),"")</f>
        <v>8050450215655</v>
      </c>
      <c r="S136" s="1">
        <f ca="1">MATCH(B136,INDIRECT(nomFichierFiltreCatalogue &amp; "!B:B"),0)</f>
        <v>98</v>
      </c>
      <c r="T136" s="14"/>
    </row>
    <row r="137" spans="1:20" s="20" customFormat="1" ht="15.75" customHeight="1" x14ac:dyDescent="0.25">
      <c r="A137" s="25">
        <f ca="1">INDEX(INDIRECT(zoneFichierTraite),$J136+offsetInitialFichierTraite,2)</f>
        <v>164</v>
      </c>
      <c r="B137" s="45" t="str">
        <f ca="1">IF(C137="", IFERROR(INDEX(INDIRECT(zoneFichierEAN13Valmag),$P136,3),""), "")</f>
        <v/>
      </c>
      <c r="C137" s="44" t="str">
        <f ca="1">IFERROR(INDEX(INDIRECT(zoneFichierEAN13Valmag),$O136,3),"")</f>
        <v xml:space="preserve"> </v>
      </c>
      <c r="D137" s="19" t="str">
        <f ca="1">IFERROR(INDEX(INDIRECT(zoneFichierEAN13Valmag),$O136,4),"")</f>
        <v xml:space="preserve"> </v>
      </c>
      <c r="E137" s="33" t="str">
        <f ca="1">IFERROR(INDEX(INDIRECT(zoneFichierFiltreCatalogue),S136,3),"")</f>
        <v>p018-1-09</v>
      </c>
      <c r="F137" s="19"/>
      <c r="G137" s="18"/>
      <c r="H137" s="34" t="str">
        <f ca="1">IFERROR(INDEX(INDIRECT(zoneFichierFiltreCatalogue),S136,6),"")</f>
        <v>fall 2019 presentation_/catalogo fall 19.txt</v>
      </c>
      <c r="R137" s="21"/>
      <c r="S137" s="21"/>
    </row>
    <row r="138" spans="1:20" ht="39" customHeight="1" thickBot="1" x14ac:dyDescent="0.65">
      <c r="A138" s="9" t="str">
        <f ca="1">INDEX(INDIRECT(zoneFichierTraite),$J138+offsetInitialFichierTraite,6)</f>
        <v>UNICA</v>
      </c>
      <c r="B138" s="5" t="str">
        <f ca="1">INDEX(INDIRECT(zoneFichierTraite),$J138+offsetInitialFichierTraite,4)</f>
        <v>OBAGB206-EVS00-158</v>
      </c>
      <c r="C138" s="26" t="str">
        <f ca="1">INDEX(INDIRECT(zoneFichierTraite),$J138+offsetInitialFichierTraite,5)</f>
        <v>CORPS INFERIEUR O POCKET EVA COMPOUND</v>
      </c>
      <c r="D138" s="27" t="str">
        <f ca="1">INDEX(INDIRECT(zoneFichierTraite),$J138+offsetInitialFichierTraite,13)</f>
        <v>vulcano</v>
      </c>
      <c r="E138" s="30">
        <f ca="1">INDEX(INDIRECT(zoneFichierTraite),$J138+offsetInitialFichierTraite,7)</f>
        <v>2</v>
      </c>
      <c r="F138" s="28">
        <f ca="1">INDEX(INDIRECT(zoneFichierTraite),$J138+offsetInitialFichierTraite,8)</f>
        <v>4.8</v>
      </c>
      <c r="G138" s="29">
        <f t="shared" ref="G138:G201" ca="1" si="49">ROUNDUP(F138*3,0)</f>
        <v>15</v>
      </c>
      <c r="H138" s="32" t="str">
        <f ca="1">IF(ISNUMBER(N138),codeEAN13(INT(N138/10)),"")</f>
        <v>8APAPNI*fjabbh+</v>
      </c>
      <c r="J138" s="15">
        <f t="shared" ref="J138:J200" si="50">J136+1</f>
        <v>65</v>
      </c>
      <c r="L138" s="5" t="str">
        <f ca="1">INDEX(INDIRECT(zoneFichierTraite),$J138+offsetInitialFichierTraite,1)</f>
        <v>'065</v>
      </c>
      <c r="M138" s="11">
        <f ca="1">INDEX(INDIRECT(zoneFichierTraite),$J138+offsetInitialFichierTraite,9)</f>
        <v>9.6</v>
      </c>
      <c r="N138" s="14">
        <f ca="1">INDEX(INDIRECT(zoneFichierTraite),$J138+offsetInitialFichierTraite,3)</f>
        <v>8050538590117</v>
      </c>
      <c r="O138" s="1">
        <f ca="1">MATCH(N138,INDIRECT(nomFichierEAN13Valmag &amp; "!A:A"),0)</f>
        <v>44</v>
      </c>
      <c r="P138" s="1">
        <f ca="1">MATCH(R138,INDIRECT(nomFichierEAN13Valmag &amp; "!A:A"),0)</f>
        <v>32</v>
      </c>
      <c r="Q138" s="1">
        <f ca="1">MATCH(LEFT(B138,14) &amp; "*",INDIRECT(nomFichierEAN13Valmag &amp; "!B:B"),0)</f>
        <v>32</v>
      </c>
      <c r="R138" s="14">
        <f ca="1">IFERROR(INDEX(INDIRECT(zoneFichierEAN13Valmag),Q138,1),"")</f>
        <v>8050450215655</v>
      </c>
      <c r="S138" s="1">
        <f ca="1">MATCH(B138,INDIRECT(nomFichierFiltreCatalogue &amp; "!B:B"),0)</f>
        <v>102</v>
      </c>
      <c r="T138" s="14"/>
    </row>
    <row r="139" spans="1:20" s="20" customFormat="1" ht="15.75" customHeight="1" x14ac:dyDescent="0.25">
      <c r="A139" s="25">
        <f ca="1">INDEX(INDIRECT(zoneFichierTraite),$J138+offsetInitialFichierTraite,2)</f>
        <v>141</v>
      </c>
      <c r="B139" s="45" t="str">
        <f ca="1">IF(C139="", IFERROR(INDEX(INDIRECT(zoneFichierEAN13Valmag),$P138,3),""), "")</f>
        <v/>
      </c>
      <c r="C139" s="44" t="str">
        <f ca="1">IFERROR(INDEX(INDIRECT(zoneFichierEAN13Valmag),$O138,3),"")</f>
        <v xml:space="preserve">COQUOPOCKET     </v>
      </c>
      <c r="D139" s="19" t="str">
        <f ca="1">IFERROR(INDEX(INDIRECT(zoneFichierEAN13Valmag),$O138,4),"")</f>
        <v xml:space="preserve">VOLC </v>
      </c>
      <c r="E139" s="33" t="str">
        <f ca="1">IFERROR(INDEX(INDIRECT(zoneFichierFiltreCatalogue),S138,3),"")</f>
        <v>p018-1-13</v>
      </c>
      <c r="F139" s="19"/>
      <c r="G139" s="18"/>
      <c r="H139" s="34" t="str">
        <f ca="1">IFERROR(INDEX(INDIRECT(zoneFichierFiltreCatalogue),S138,6),"")</f>
        <v>fall 2019 presentation_/catalogo fall 19.txt</v>
      </c>
      <c r="R139" s="21"/>
      <c r="S139" s="21"/>
    </row>
    <row r="140" spans="1:20" ht="39" customHeight="1" thickBot="1" x14ac:dyDescent="0.65">
      <c r="A140" s="9" t="str">
        <f ca="1">INDEX(INDIRECT(zoneFichierTraite),$J140+offsetInitialFichierTraite,6)</f>
        <v>UNICA</v>
      </c>
      <c r="B140" s="5" t="str">
        <f ca="1">INDEX(INDIRECT(zoneFichierTraite),$J140+offsetInitialFichierTraite,4)</f>
        <v>OBAGB206-EVS00-614</v>
      </c>
      <c r="C140" s="26" t="str">
        <f ca="1">INDEX(INDIRECT(zoneFichierTraite),$J140+offsetInitialFichierTraite,5)</f>
        <v>CORPS INFERIEUR O POCKET EVA COMPOUND</v>
      </c>
      <c r="D140" s="27" t="str">
        <f ca="1">INDEX(INDIRECT(zoneFichierTraite),$J140+offsetInitialFichierTraite,13)</f>
        <v>imperial blu</v>
      </c>
      <c r="E140" s="30">
        <f ca="1">INDEX(INDIRECT(zoneFichierTraite),$J140+offsetInitialFichierTraite,7)</f>
        <v>2</v>
      </c>
      <c r="F140" s="28">
        <f ca="1">INDEX(INDIRECT(zoneFichierTraite),$J140+offsetInitialFichierTraite,8)</f>
        <v>4.8</v>
      </c>
      <c r="G140" s="29">
        <f t="shared" ref="G140:G203" ca="1" si="51">ROUNDUP(F140*3,0)</f>
        <v>15</v>
      </c>
      <c r="H140" s="32" t="str">
        <f ca="1">IF(ISNUMBER(N140),codeEAN13(INT(N140/10)),"")</f>
        <v>8APASOG*ajbjff+</v>
      </c>
      <c r="J140" s="15">
        <f t="shared" si="50"/>
        <v>66</v>
      </c>
      <c r="L140" s="5" t="str">
        <f ca="1">INDEX(INDIRECT(zoneFichierTraite),$J140+offsetInitialFichierTraite,1)</f>
        <v>'066</v>
      </c>
      <c r="M140" s="11">
        <f ca="1">INDEX(INDIRECT(zoneFichierTraite),$J140+offsetInitialFichierTraite,9)</f>
        <v>9.6</v>
      </c>
      <c r="N140" s="14">
        <f ca="1">INDEX(INDIRECT(zoneFichierTraite),$J140+offsetInitialFichierTraite,3)</f>
        <v>8050846091955</v>
      </c>
      <c r="O140" s="1">
        <f ca="1">MATCH(N140,INDIRECT(nomFichierEAN13Valmag &amp; "!A:A"),0)</f>
        <v>849</v>
      </c>
      <c r="P140" s="1">
        <f ca="1">MATCH(R140,INDIRECT(nomFichierEAN13Valmag &amp; "!A:A"),0)</f>
        <v>32</v>
      </c>
      <c r="Q140" s="1">
        <f ca="1">MATCH(LEFT(B140,14) &amp; "*",INDIRECT(nomFichierEAN13Valmag &amp; "!B:B"),0)</f>
        <v>32</v>
      </c>
      <c r="R140" s="14">
        <f ca="1">IFERROR(INDEX(INDIRECT(zoneFichierEAN13Valmag),Q140,1),"")</f>
        <v>8050450215655</v>
      </c>
      <c r="S140" s="1">
        <f ca="1">MATCH(B140,INDIRECT(nomFichierFiltreCatalogue &amp; "!B:B"),0)</f>
        <v>97</v>
      </c>
      <c r="T140" s="14"/>
    </row>
    <row r="141" spans="1:20" s="20" customFormat="1" ht="15.75" customHeight="1" x14ac:dyDescent="0.25">
      <c r="A141" s="25">
        <f ca="1">INDEX(INDIRECT(zoneFichierTraite),$J140+offsetInitialFichierTraite,2)</f>
        <v>123</v>
      </c>
      <c r="B141" s="45" t="str">
        <f ca="1">IF(C141="", IFERROR(INDEX(INDIRECT(zoneFichierEAN13Valmag),$P140,3),""), "")</f>
        <v/>
      </c>
      <c r="C141" s="44" t="str">
        <f ca="1">IFERROR(INDEX(INDIRECT(zoneFichierEAN13Valmag),$O140,3),"")</f>
        <v xml:space="preserve"> </v>
      </c>
      <c r="D141" s="19" t="str">
        <f ca="1">IFERROR(INDEX(INDIRECT(zoneFichierEAN13Valmag),$O140,4),"")</f>
        <v xml:space="preserve"> </v>
      </c>
      <c r="E141" s="33" t="str">
        <f ca="1">IFERROR(INDEX(INDIRECT(zoneFichierFiltreCatalogue),S140,3),"")</f>
        <v>p018-1-08</v>
      </c>
      <c r="F141" s="19"/>
      <c r="G141" s="18"/>
      <c r="H141" s="34" t="str">
        <f ca="1">IFERROR(INDEX(INDIRECT(zoneFichierFiltreCatalogue),S140,6),"")</f>
        <v>fall 2019 presentation_/catalogo fall 19.txt</v>
      </c>
      <c r="R141" s="21"/>
      <c r="S141" s="21"/>
    </row>
    <row r="142" spans="1:20" ht="39" customHeight="1" thickBot="1" x14ac:dyDescent="0.65">
      <c r="A142" s="9" t="str">
        <f ca="1">INDEX(INDIRECT(zoneFichierTraite),$J142+offsetInitialFichierTraite,6)</f>
        <v>UNICA</v>
      </c>
      <c r="B142" s="5" t="str">
        <f ca="1">INDEX(INDIRECT(zoneFichierTraite),$J142+offsetInitialFichierTraite,4)</f>
        <v>OBAGB206-EVS00-615</v>
      </c>
      <c r="C142" s="26" t="str">
        <f ca="1">INDEX(INDIRECT(zoneFichierTraite),$J142+offsetInitialFichierTraite,5)</f>
        <v>CORPS INFERIEUR O POCKET EVA COMPOUND</v>
      </c>
      <c r="D142" s="27" t="str">
        <f ca="1">INDEX(INDIRECT(zoneFichierTraite),$J142+offsetInitialFichierTraite,13)</f>
        <v>military</v>
      </c>
      <c r="E142" s="30">
        <f ca="1">INDEX(INDIRECT(zoneFichierTraite),$J142+offsetInitialFichierTraite,7)</f>
        <v>2</v>
      </c>
      <c r="F142" s="28">
        <f ca="1">INDEX(INDIRECT(zoneFichierTraite),$J142+offsetInitialFichierTraite,8)</f>
        <v>4.8</v>
      </c>
      <c r="G142" s="29">
        <f t="shared" ref="G142:G205" ca="1" si="52">ROUNDUP(F142*3,0)</f>
        <v>15</v>
      </c>
      <c r="H142" s="32" t="str">
        <f ca="1">IF(ISNUMBER(N142),codeEAN13(INT(N142/10)),"")</f>
        <v>8APASOG*ajbjig+</v>
      </c>
      <c r="J142" s="15">
        <f t="shared" si="50"/>
        <v>67</v>
      </c>
      <c r="L142" s="5" t="str">
        <f ca="1">INDEX(INDIRECT(zoneFichierTraite),$J142+offsetInitialFichierTraite,1)</f>
        <v>'067</v>
      </c>
      <c r="M142" s="11">
        <f ca="1">INDEX(INDIRECT(zoneFichierTraite),$J142+offsetInitialFichierTraite,9)</f>
        <v>9.6</v>
      </c>
      <c r="N142" s="14">
        <f ca="1">INDEX(INDIRECT(zoneFichierTraite),$J142+offsetInitialFichierTraite,3)</f>
        <v>8050846091986</v>
      </c>
      <c r="O142" s="1">
        <f ca="1">MATCH(N142,INDIRECT(nomFichierEAN13Valmag &amp; "!A:A"),0)</f>
        <v>852</v>
      </c>
      <c r="P142" s="1">
        <f ca="1">MATCH(R142,INDIRECT(nomFichierEAN13Valmag &amp; "!A:A"),0)</f>
        <v>32</v>
      </c>
      <c r="Q142" s="1">
        <f ca="1">MATCH(LEFT(B142,14) &amp; "*",INDIRECT(nomFichierEAN13Valmag &amp; "!B:B"),0)</f>
        <v>32</v>
      </c>
      <c r="R142" s="14">
        <f ca="1">IFERROR(INDEX(INDIRECT(zoneFichierEAN13Valmag),Q142,1),"")</f>
        <v>8050450215655</v>
      </c>
      <c r="S142" s="1">
        <f ca="1">MATCH(B142,INDIRECT(nomFichierFiltreCatalogue &amp; "!B:B"),0)</f>
        <v>99</v>
      </c>
      <c r="T142" s="14"/>
    </row>
    <row r="143" spans="1:20" s="20" customFormat="1" ht="15.75" customHeight="1" x14ac:dyDescent="0.25">
      <c r="A143" s="25">
        <f ca="1">INDEX(INDIRECT(zoneFichierTraite),$J142+offsetInitialFichierTraite,2)</f>
        <v>37</v>
      </c>
      <c r="B143" s="45" t="str">
        <f ca="1">IF(C143="", IFERROR(INDEX(INDIRECT(zoneFichierEAN13Valmag),$P142,3),""), "")</f>
        <v/>
      </c>
      <c r="C143" s="44" t="str">
        <f ca="1">IFERROR(INDEX(INDIRECT(zoneFichierEAN13Valmag),$O142,3),"")</f>
        <v xml:space="preserve"> </v>
      </c>
      <c r="D143" s="19" t="str">
        <f ca="1">IFERROR(INDEX(INDIRECT(zoneFichierEAN13Valmag),$O142,4),"")</f>
        <v xml:space="preserve"> </v>
      </c>
      <c r="E143" s="33" t="str">
        <f ca="1">IFERROR(INDEX(INDIRECT(zoneFichierFiltreCatalogue),S142,3),"")</f>
        <v>p018-1-10</v>
      </c>
      <c r="F143" s="19"/>
      <c r="G143" s="18"/>
      <c r="H143" s="34" t="str">
        <f ca="1">IFERROR(INDEX(INDIRECT(zoneFichierFiltreCatalogue),S142,6),"")</f>
        <v>fall 2019 presentation_/catalogo fall 19.txt</v>
      </c>
      <c r="R143" s="21"/>
      <c r="S143" s="21"/>
    </row>
    <row r="144" spans="1:20" ht="39" customHeight="1" thickBot="1" x14ac:dyDescent="0.65">
      <c r="A144" s="9" t="str">
        <f ca="1">INDEX(INDIRECT(zoneFichierTraite),$J144+offsetInitialFichierTraite,6)</f>
        <v>UNICA</v>
      </c>
      <c r="B144" s="5" t="str">
        <f ca="1">INDEX(INDIRECT(zoneFichierTraite),$J144+offsetInitialFichierTraite,4)</f>
        <v>OBAGB206-EVS00-616</v>
      </c>
      <c r="C144" s="26" t="str">
        <f ca="1">INDEX(INDIRECT(zoneFichierTraite),$J144+offsetInitialFichierTraite,5)</f>
        <v>CORPS INFERIEUR O POCKET EVA COMPOUND</v>
      </c>
      <c r="D144" s="27" t="str">
        <f ca="1">INDEX(INDIRECT(zoneFichierTraite),$J144+offsetInitialFichierTraite,13)</f>
        <v>ice</v>
      </c>
      <c r="E144" s="30">
        <f ca="1">INDEX(INDIRECT(zoneFichierTraite),$J144+offsetInitialFichierTraite,7)</f>
        <v>2</v>
      </c>
      <c r="F144" s="28">
        <f ca="1">INDEX(INDIRECT(zoneFichierTraite),$J144+offsetInitialFichierTraite,8)</f>
        <v>4.8</v>
      </c>
      <c r="G144" s="29">
        <f t="shared" ref="G144:G207" ca="1" si="53">ROUNDUP(F144*3,0)</f>
        <v>15</v>
      </c>
      <c r="H144" s="32" t="str">
        <f ca="1">IF(ISNUMBER(N144),codeEAN13(INT(N144/10)),"")</f>
        <v>8APASOG*ajbjhj+</v>
      </c>
      <c r="J144" s="15">
        <f t="shared" si="50"/>
        <v>68</v>
      </c>
      <c r="L144" s="5" t="str">
        <f ca="1">INDEX(INDIRECT(zoneFichierTraite),$J144+offsetInitialFichierTraite,1)</f>
        <v>'068</v>
      </c>
      <c r="M144" s="11">
        <f ca="1">INDEX(INDIRECT(zoneFichierTraite),$J144+offsetInitialFichierTraite,9)</f>
        <v>9.6</v>
      </c>
      <c r="N144" s="14">
        <f ca="1">INDEX(INDIRECT(zoneFichierTraite),$J144+offsetInitialFichierTraite,3)</f>
        <v>8050846091979</v>
      </c>
      <c r="O144" s="1">
        <f ca="1">MATCH(N144,INDIRECT(nomFichierEAN13Valmag &amp; "!A:A"),0)</f>
        <v>851</v>
      </c>
      <c r="P144" s="1">
        <f ca="1">MATCH(R144,INDIRECT(nomFichierEAN13Valmag &amp; "!A:A"),0)</f>
        <v>32</v>
      </c>
      <c r="Q144" s="1">
        <f ca="1">MATCH(LEFT(B144,14) &amp; "*",INDIRECT(nomFichierEAN13Valmag &amp; "!B:B"),0)</f>
        <v>32</v>
      </c>
      <c r="R144" s="14">
        <f ca="1">IFERROR(INDEX(INDIRECT(zoneFichierEAN13Valmag),Q144,1),"")</f>
        <v>8050450215655</v>
      </c>
      <c r="S144" s="1">
        <f ca="1">MATCH(B144,INDIRECT(nomFichierFiltreCatalogue &amp; "!B:B"),0)</f>
        <v>101</v>
      </c>
      <c r="T144" s="14"/>
    </row>
    <row r="145" spans="1:20" s="20" customFormat="1" ht="15.75" customHeight="1" x14ac:dyDescent="0.25">
      <c r="A145" s="25">
        <f ca="1">INDEX(INDIRECT(zoneFichierTraite),$J144+offsetInitialFichierTraite,2)</f>
        <v>154</v>
      </c>
      <c r="B145" s="45" t="str">
        <f ca="1">IF(C145="", IFERROR(INDEX(INDIRECT(zoneFichierEAN13Valmag),$P144,3),""), "")</f>
        <v/>
      </c>
      <c r="C145" s="44" t="str">
        <f ca="1">IFERROR(INDEX(INDIRECT(zoneFichierEAN13Valmag),$O144,3),"")</f>
        <v xml:space="preserve"> </v>
      </c>
      <c r="D145" s="19" t="str">
        <f ca="1">IFERROR(INDEX(INDIRECT(zoneFichierEAN13Valmag),$O144,4),"")</f>
        <v xml:space="preserve"> </v>
      </c>
      <c r="E145" s="33" t="str">
        <f ca="1">IFERROR(INDEX(INDIRECT(zoneFichierFiltreCatalogue),S144,3),"")</f>
        <v>p018-1-12</v>
      </c>
      <c r="F145" s="19"/>
      <c r="G145" s="18"/>
      <c r="H145" s="34" t="str">
        <f ca="1">IFERROR(INDEX(INDIRECT(zoneFichierFiltreCatalogue),S144,6),"")</f>
        <v>fall 2019 presentation_/catalogo fall 19.txt</v>
      </c>
      <c r="R145" s="21"/>
      <c r="S145" s="21"/>
    </row>
    <row r="146" spans="1:20" ht="39" customHeight="1" thickBot="1" x14ac:dyDescent="0.65">
      <c r="A146" s="9" t="str">
        <f ca="1">INDEX(INDIRECT(zoneFichierTraite),$J146+offsetInitialFichierTraite,6)</f>
        <v>UNICA</v>
      </c>
      <c r="B146" s="5" t="str">
        <f ca="1">INDEX(INDIRECT(zoneFichierTraite),$J146+offsetInitialFichierTraite,4)</f>
        <v>OBAGB426-ECSD3-227</v>
      </c>
      <c r="C146" s="26" t="str">
        <f ca="1">INDEX(INDIRECT(zoneFichierTraite),$J146+offsetInitialFichierTraite,5)</f>
        <v>CORPS COMPLET O BAG TOTE EN FAUX CUIR IMPRIME MARIGOLD</v>
      </c>
      <c r="D146" s="27" t="str">
        <f ca="1">INDEX(INDIRECT(zoneFichierTraite),$J146+offsetInitialFichierTraite,13)</f>
        <v>bianco/nero</v>
      </c>
      <c r="E146" s="30">
        <f ca="1">INDEX(INDIRECT(zoneFichierTraite),$J146+offsetInitialFichierTraite,7)</f>
        <v>2</v>
      </c>
      <c r="F146" s="28">
        <f ca="1">INDEX(INDIRECT(zoneFichierTraite),$J146+offsetInitialFichierTraite,8)</f>
        <v>31.48</v>
      </c>
      <c r="G146" s="29">
        <f t="shared" ref="G146:G209" ca="1" si="54">ROUNDUP(F146*3,0)</f>
        <v>95</v>
      </c>
      <c r="H146" s="32" t="str">
        <f ca="1">IF(ISNUMBER(N146),codeEAN13(INT(N146/10)),"")</f>
        <v>8APASOG*ajbghc+</v>
      </c>
      <c r="J146" s="15">
        <f t="shared" si="50"/>
        <v>69</v>
      </c>
      <c r="L146" s="5" t="str">
        <f ca="1">INDEX(INDIRECT(zoneFichierTraite),$J146+offsetInitialFichierTraite,1)</f>
        <v>'069</v>
      </c>
      <c r="M146" s="11">
        <f ca="1">INDEX(INDIRECT(zoneFichierTraite),$J146+offsetInitialFichierTraite,9)</f>
        <v>62.96</v>
      </c>
      <c r="N146" s="14">
        <f ca="1">INDEX(INDIRECT(zoneFichierTraite),$J146+offsetInitialFichierTraite,3)</f>
        <v>8050846091672</v>
      </c>
      <c r="O146" s="1">
        <f ca="1">MATCH(N146,INDIRECT(nomFichierEAN13Valmag &amp; "!A:A"),0)</f>
        <v>823</v>
      </c>
      <c r="P146" s="1">
        <f ca="1">MATCH(R146,INDIRECT(nomFichierEAN13Valmag &amp; "!A:A"),0)</f>
        <v>823</v>
      </c>
      <c r="Q146" s="1">
        <f ca="1">MATCH(LEFT(B146,14) &amp; "*",INDIRECT(nomFichierEAN13Valmag &amp; "!B:B"),0)</f>
        <v>823</v>
      </c>
      <c r="R146" s="14">
        <f ca="1">IFERROR(INDEX(INDIRECT(zoneFichierEAN13Valmag),Q146,1),"")</f>
        <v>8050846091672</v>
      </c>
      <c r="S146" s="1">
        <f ca="1">MATCH(B146,INDIRECT(nomFichierFiltreCatalogue &amp; "!B:B"),0)</f>
        <v>563</v>
      </c>
      <c r="T146" s="14"/>
    </row>
    <row r="147" spans="1:20" s="20" customFormat="1" ht="15.75" customHeight="1" x14ac:dyDescent="0.25">
      <c r="A147" s="25">
        <f ca="1">INDEX(INDIRECT(zoneFichierTraite),$J146+offsetInitialFichierTraite,2)</f>
        <v>142</v>
      </c>
      <c r="B147" s="45" t="str">
        <f ca="1">IF(C147="", IFERROR(INDEX(INDIRECT(zoneFichierEAN13Valmag),$P146,3),""), "")</f>
        <v/>
      </c>
      <c r="C147" s="44" t="str">
        <f ca="1">IFERROR(INDEX(INDIRECT(zoneFichierEAN13Valmag),$O146,3),"")</f>
        <v xml:space="preserve"> </v>
      </c>
      <c r="D147" s="19" t="str">
        <f ca="1">IFERROR(INDEX(INDIRECT(zoneFichierEAN13Valmag),$O146,4),"")</f>
        <v xml:space="preserve"> </v>
      </c>
      <c r="E147" s="33" t="str">
        <f ca="1">IFERROR(INDEX(INDIRECT(zoneFichierFiltreCatalogue),S146,3),"")</f>
        <v>p141-2-01</v>
      </c>
      <c r="F147" s="19"/>
      <c r="G147" s="18"/>
      <c r="H147" s="34" t="str">
        <f ca="1">IFERROR(INDEX(INDIRECT(zoneFichierFiltreCatalogue),S146,6),"")</f>
        <v>fall 2019 presentation_/catalogo fall 19.txt</v>
      </c>
      <c r="R147" s="21"/>
      <c r="S147" s="21"/>
    </row>
    <row r="148" spans="1:20" ht="39" customHeight="1" thickBot="1" x14ac:dyDescent="0.65">
      <c r="A148" s="9" t="str">
        <f ca="1">INDEX(INDIRECT(zoneFichierTraite),$J148+offsetInitialFichierTraite,6)</f>
        <v>UNICA</v>
      </c>
      <c r="B148" s="5" t="str">
        <f ca="1">INDEX(INDIRECT(zoneFichierTraite),$J148+offsetInitialFichierTraite,4)</f>
        <v>OBAGC534-ECS29-017</v>
      </c>
      <c r="C148" s="26" t="str">
        <f ca="1">INDEX(INDIRECT(zoneFichierTraite),$J148+offsetInitialFichierTraite,5)</f>
        <v>FERMETURE Ã€ BANDEAU AVEC BOUCLE O BAG GLAM EN FAUX CUIR IMPRIME COCO</v>
      </c>
      <c r="D148" s="27" t="str">
        <f ca="1">INDEX(INDIRECT(zoneFichierTraite),$J148+offsetInitialFichierTraite,13)</f>
        <v>blu navy</v>
      </c>
      <c r="E148" s="30">
        <f ca="1">INDEX(INDIRECT(zoneFichierTraite),$J148+offsetInitialFichierTraite,7)</f>
        <v>1</v>
      </c>
      <c r="F148" s="28">
        <f ca="1">INDEX(INDIRECT(zoneFichierTraite),$J148+offsetInitialFichierTraite,8)</f>
        <v>8.89</v>
      </c>
      <c r="G148" s="29">
        <f t="shared" ref="G148:G211" ca="1" si="55">ROUNDUP(F148*3,0)</f>
        <v>27</v>
      </c>
      <c r="H148" s="32" t="str">
        <f ca="1">IF(ISNUMBER(N148),codeEAN13(INT(N148/10)),"")</f>
        <v>8APASOG*ajagjj+</v>
      </c>
      <c r="J148" s="15">
        <f t="shared" si="50"/>
        <v>70</v>
      </c>
      <c r="L148" s="5" t="str">
        <f ca="1">INDEX(INDIRECT(zoneFichierTraite),$J148+offsetInitialFichierTraite,1)</f>
        <v>'070</v>
      </c>
      <c r="M148" s="11">
        <f ca="1">INDEX(INDIRECT(zoneFichierTraite),$J148+offsetInitialFichierTraite,9)</f>
        <v>8.89</v>
      </c>
      <c r="N148" s="14">
        <f ca="1">INDEX(INDIRECT(zoneFichierTraite),$J148+offsetInitialFichierTraite,3)</f>
        <v>8050846090699</v>
      </c>
      <c r="O148" s="1">
        <f ca="1">MATCH(N148,INDIRECT(nomFichierEAN13Valmag &amp; "!A:A"),0)</f>
        <v>751</v>
      </c>
      <c r="P148" s="1">
        <f ca="1">MATCH(R148,INDIRECT(nomFichierEAN13Valmag &amp; "!A:A"),0)</f>
        <v>750</v>
      </c>
      <c r="Q148" s="1">
        <f ca="1">MATCH(LEFT(B148,14) &amp; "*",INDIRECT(nomFichierEAN13Valmag &amp; "!B:B"),0)</f>
        <v>750</v>
      </c>
      <c r="R148" s="14">
        <f ca="1">IFERROR(INDEX(INDIRECT(zoneFichierEAN13Valmag),Q148,1),"")</f>
        <v>8050846090682</v>
      </c>
      <c r="S148" s="1">
        <f ca="1">MATCH(B148,INDIRECT(nomFichierFiltreCatalogue &amp; "!B:B"),0)</f>
        <v>513</v>
      </c>
      <c r="T148" s="14"/>
    </row>
    <row r="149" spans="1:20" s="20" customFormat="1" ht="15.75" customHeight="1" x14ac:dyDescent="0.25">
      <c r="A149" s="25">
        <f ca="1">INDEX(INDIRECT(zoneFichierTraite),$J148+offsetInitialFichierTraite,2)</f>
        <v>89</v>
      </c>
      <c r="B149" s="45" t="str">
        <f ca="1">IF(C149="", IFERROR(INDEX(INDIRECT(zoneFichierEAN13Valmag),$P148,3),""), "")</f>
        <v/>
      </c>
      <c r="C149" s="44" t="str">
        <f ca="1">IFERROR(INDEX(INDIRECT(zoneFichierEAN13Valmag),$O148,3),"")</f>
        <v xml:space="preserve"> </v>
      </c>
      <c r="D149" s="19" t="str">
        <f ca="1">IFERROR(INDEX(INDIRECT(zoneFichierEAN13Valmag),$O148,4),"")</f>
        <v xml:space="preserve"> </v>
      </c>
      <c r="E149" s="33" t="str">
        <f ca="1">IFERROR(INDEX(INDIRECT(zoneFichierFiltreCatalogue),S148,3),"")</f>
        <v>p128-2-01</v>
      </c>
      <c r="F149" s="19"/>
      <c r="G149" s="18"/>
      <c r="H149" s="34" t="str">
        <f ca="1">IFERROR(INDEX(INDIRECT(zoneFichierFiltreCatalogue),S148,6),"")</f>
        <v>fall 2019 presentation_/catalogo fall 19.txt</v>
      </c>
      <c r="R149" s="21"/>
      <c r="S149" s="21"/>
    </row>
    <row r="150" spans="1:20" ht="39" customHeight="1" thickBot="1" x14ac:dyDescent="0.65">
      <c r="A150" s="9" t="str">
        <f ca="1">INDEX(INDIRECT(zoneFichierTraite),$J150+offsetInitialFichierTraite,6)</f>
        <v>UNICA</v>
      </c>
      <c r="B150" s="5" t="str">
        <f ca="1">INDEX(INDIRECT(zoneFichierTraite),$J150+offsetInitialFichierTraite,4)</f>
        <v>OBAGC534-ECS29-084</v>
      </c>
      <c r="C150" s="26" t="str">
        <f ca="1">INDEX(INDIRECT(zoneFichierTraite),$J150+offsetInitialFichierTraite,5)</f>
        <v>FERMETURE Ã€ BANDEAU AVEC BOUCLE O BAG GLAM EN FAUX CUIR IMPRIME COCO</v>
      </c>
      <c r="D150" s="27" t="str">
        <f ca="1">INDEX(INDIRECT(zoneFichierTraite),$J150+offsetInitialFichierTraite,13)</f>
        <v>testa di moro</v>
      </c>
      <c r="E150" s="30">
        <f ca="1">INDEX(INDIRECT(zoneFichierTraite),$J150+offsetInitialFichierTraite,7)</f>
        <v>1</v>
      </c>
      <c r="F150" s="28">
        <f ca="1">INDEX(INDIRECT(zoneFichierTraite),$J150+offsetInitialFichierTraite,8)</f>
        <v>8.89</v>
      </c>
      <c r="G150" s="29">
        <f t="shared" ref="G150:G213" ca="1" si="56">ROUNDUP(F150*3,0)</f>
        <v>27</v>
      </c>
      <c r="H150" s="32" t="str">
        <f ca="1">IF(ISNUMBER(N150),codeEAN13(INT(N150/10)),"")</f>
        <v>8APASOG*ajagic+</v>
      </c>
      <c r="J150" s="15">
        <f t="shared" si="50"/>
        <v>71</v>
      </c>
      <c r="L150" s="5" t="str">
        <f ca="1">INDEX(INDIRECT(zoneFichierTraite),$J150+offsetInitialFichierTraite,1)</f>
        <v>'071</v>
      </c>
      <c r="M150" s="11">
        <f ca="1">INDEX(INDIRECT(zoneFichierTraite),$J150+offsetInitialFichierTraite,9)</f>
        <v>8.89</v>
      </c>
      <c r="N150" s="14">
        <f ca="1">INDEX(INDIRECT(zoneFichierTraite),$J150+offsetInitialFichierTraite,3)</f>
        <v>8050846090682</v>
      </c>
      <c r="O150" s="1">
        <f ca="1">MATCH(N150,INDIRECT(nomFichierEAN13Valmag &amp; "!A:A"),0)</f>
        <v>750</v>
      </c>
      <c r="P150" s="1">
        <f ca="1">MATCH(R150,INDIRECT(nomFichierEAN13Valmag &amp; "!A:A"),0)</f>
        <v>750</v>
      </c>
      <c r="Q150" s="1">
        <f ca="1">MATCH(LEFT(B150,14) &amp; "*",INDIRECT(nomFichierEAN13Valmag &amp; "!B:B"),0)</f>
        <v>750</v>
      </c>
      <c r="R150" s="14">
        <f ca="1">IFERROR(INDEX(INDIRECT(zoneFichierEAN13Valmag),Q150,1),"")</f>
        <v>8050846090682</v>
      </c>
      <c r="S150" s="1">
        <f ca="1">MATCH(B150,INDIRECT(nomFichierFiltreCatalogue &amp; "!B:B"),0)</f>
        <v>514</v>
      </c>
      <c r="T150" s="14"/>
    </row>
    <row r="151" spans="1:20" s="20" customFormat="1" ht="15.75" customHeight="1" x14ac:dyDescent="0.25">
      <c r="A151" s="25">
        <f ca="1">INDEX(INDIRECT(zoneFichierTraite),$J150+offsetInitialFichierTraite,2)</f>
        <v>218</v>
      </c>
      <c r="B151" s="45" t="str">
        <f ca="1">IF(C151="", IFERROR(INDEX(INDIRECT(zoneFichierEAN13Valmag),$P150,3),""), "")</f>
        <v/>
      </c>
      <c r="C151" s="44" t="str">
        <f ca="1">IFERROR(INDEX(INDIRECT(zoneFichierEAN13Valmag),$O150,3),"")</f>
        <v xml:space="preserve"> </v>
      </c>
      <c r="D151" s="19" t="str">
        <f ca="1">IFERROR(INDEX(INDIRECT(zoneFichierEAN13Valmag),$O150,4),"")</f>
        <v xml:space="preserve"> </v>
      </c>
      <c r="E151" s="33" t="str">
        <f ca="1">IFERROR(INDEX(INDIRECT(zoneFichierFiltreCatalogue),S150,3),"")</f>
        <v>p128-2-02</v>
      </c>
      <c r="F151" s="19"/>
      <c r="G151" s="18"/>
      <c r="H151" s="34" t="str">
        <f ca="1">IFERROR(INDEX(INDIRECT(zoneFichierFiltreCatalogue),S150,6),"")</f>
        <v>fall 2019 presentation_/catalogo fall 19.txt</v>
      </c>
      <c r="R151" s="21"/>
      <c r="S151" s="21"/>
    </row>
    <row r="152" spans="1:20" ht="39" customHeight="1" thickBot="1" x14ac:dyDescent="0.65">
      <c r="A152" s="9" t="str">
        <f ca="1">INDEX(INDIRECT(zoneFichierTraite),$J152+offsetInitialFichierTraite,6)</f>
        <v>UNICA</v>
      </c>
      <c r="B152" s="5" t="str">
        <f ca="1">INDEX(INDIRECT(zoneFichierTraite),$J152+offsetInitialFichierTraite,4)</f>
        <v>OBAGC534-ECSC4-371</v>
      </c>
      <c r="C152" s="26" t="str">
        <f ca="1">INDEX(INDIRECT(zoneFichierTraite),$J152+offsetInitialFichierTraite,5)</f>
        <v>FERMETURE Ã€ BANDEAU AVEC BOUCLE O BAG GLAM EN FAUX CUIR EFFET GRIFFE + CLOUS</v>
      </c>
      <c r="D152" s="27" t="str">
        <f ca="1">INDEX(INDIRECT(zoneFichierTraite),$J152+offsetInitialFichierTraite,13)</f>
        <v>latte</v>
      </c>
      <c r="E152" s="30">
        <f ca="1">INDEX(INDIRECT(zoneFichierTraite),$J152+offsetInitialFichierTraite,7)</f>
        <v>1</v>
      </c>
      <c r="F152" s="28">
        <f ca="1">INDEX(INDIRECT(zoneFichierTraite),$J152+offsetInitialFichierTraite,8)</f>
        <v>11.85</v>
      </c>
      <c r="G152" s="29">
        <f t="shared" ref="G152:G215" ca="1" si="57">ROUNDUP(F152*3,0)</f>
        <v>36</v>
      </c>
      <c r="H152" s="32" t="str">
        <f ca="1">IF(ISNUMBER(N152),codeEAN13(INT(N152/10)),"")</f>
        <v>8APASOG*ajaggi+</v>
      </c>
      <c r="J152" s="15">
        <f t="shared" si="50"/>
        <v>72</v>
      </c>
      <c r="L152" s="5" t="str">
        <f ca="1">INDEX(INDIRECT(zoneFichierTraite),$J152+offsetInitialFichierTraite,1)</f>
        <v>'072</v>
      </c>
      <c r="M152" s="11">
        <f ca="1">INDEX(INDIRECT(zoneFichierTraite),$J152+offsetInitialFichierTraite,9)</f>
        <v>11.85</v>
      </c>
      <c r="N152" s="14">
        <f ca="1">INDEX(INDIRECT(zoneFichierTraite),$J152+offsetInitialFichierTraite,3)</f>
        <v>8050846090668</v>
      </c>
      <c r="O152" s="1">
        <f ca="1">MATCH(N152,INDIRECT(nomFichierEAN13Valmag &amp; "!A:A"),0)</f>
        <v>748</v>
      </c>
      <c r="P152" s="1">
        <f ca="1">MATCH(R152,INDIRECT(nomFichierEAN13Valmag &amp; "!A:A"),0)</f>
        <v>748</v>
      </c>
      <c r="Q152" s="1">
        <f ca="1">MATCH(LEFT(B152,14) &amp; "*",INDIRECT(nomFichierEAN13Valmag &amp; "!B:B"),0)</f>
        <v>748</v>
      </c>
      <c r="R152" s="14">
        <f ca="1">IFERROR(INDEX(INDIRECT(zoneFichierEAN13Valmag),Q152,1),"")</f>
        <v>8050846090668</v>
      </c>
      <c r="S152" s="1">
        <f ca="1">MATCH(B152,INDIRECT(nomFichierFiltreCatalogue &amp; "!B:B"),0)</f>
        <v>519</v>
      </c>
      <c r="T152" s="14"/>
    </row>
    <row r="153" spans="1:20" s="20" customFormat="1" ht="15.75" customHeight="1" x14ac:dyDescent="0.25">
      <c r="A153" s="25">
        <f ca="1">INDEX(INDIRECT(zoneFichierTraite),$J152+offsetInitialFichierTraite,2)</f>
        <v>173</v>
      </c>
      <c r="B153" s="45" t="str">
        <f ca="1">IF(C153="", IFERROR(INDEX(INDIRECT(zoneFichierEAN13Valmag),$P152,3),""), "")</f>
        <v/>
      </c>
      <c r="C153" s="44" t="str">
        <f ca="1">IFERROR(INDEX(INDIRECT(zoneFichierEAN13Valmag),$O152,3),"")</f>
        <v xml:space="preserve"> </v>
      </c>
      <c r="D153" s="19" t="str">
        <f ca="1">IFERROR(INDEX(INDIRECT(zoneFichierEAN13Valmag),$O152,4),"")</f>
        <v xml:space="preserve"> </v>
      </c>
      <c r="E153" s="33" t="str">
        <f ca="1">IFERROR(INDEX(INDIRECT(zoneFichierFiltreCatalogue),S152,3),"")</f>
        <v>p130-2-02</v>
      </c>
      <c r="F153" s="19"/>
      <c r="G153" s="18"/>
      <c r="H153" s="34" t="str">
        <f ca="1">IFERROR(INDEX(INDIRECT(zoneFichierFiltreCatalogue),S152,6),"")</f>
        <v>fall 2019 presentation_/catalogo fall 19.txt</v>
      </c>
      <c r="R153" s="21"/>
      <c r="S153" s="21"/>
    </row>
    <row r="154" spans="1:20" ht="39" customHeight="1" thickBot="1" x14ac:dyDescent="0.65">
      <c r="A154" s="9" t="str">
        <f ca="1">INDEX(INDIRECT(zoneFichierTraite),$J154+offsetInitialFichierTraite,6)</f>
        <v>UNICA</v>
      </c>
      <c r="B154" s="5" t="str">
        <f ca="1">INDEX(INDIRECT(zoneFichierTraite),$J154+offsetInitialFichierTraite,4)</f>
        <v>OBAGC534-ECSC9-055</v>
      </c>
      <c r="C154" s="26" t="str">
        <f ca="1">INDEX(INDIRECT(zoneFichierTraite),$J154+offsetInitialFichierTraite,5)</f>
        <v>FERMETURE Ã€ BANDEAU AVEC BOUCLE O BAG GLAM EN FAUX CUIR IMPRIME ATHLEISURE</v>
      </c>
      <c r="D154" s="27" t="str">
        <f ca="1">INDEX(INDIRECT(zoneFichierTraite),$J154+offsetInitialFichierTraite,13)</f>
        <v>nero</v>
      </c>
      <c r="E154" s="30">
        <f ca="1">INDEX(INDIRECT(zoneFichierTraite),$J154+offsetInitialFichierTraite,7)</f>
        <v>1</v>
      </c>
      <c r="F154" s="28">
        <f ca="1">INDEX(INDIRECT(zoneFichierTraite),$J154+offsetInitialFichierTraite,8)</f>
        <v>8.89</v>
      </c>
      <c r="G154" s="29">
        <f t="shared" ref="G154:G217" ca="1" si="58">ROUNDUP(F154*3,0)</f>
        <v>27</v>
      </c>
      <c r="H154" s="32" t="str">
        <f ca="1">IF(ISNUMBER(N154),codeEAN13(INT(N154/10)),"")</f>
        <v>8APASOG*ajagee+</v>
      </c>
      <c r="J154" s="15">
        <f t="shared" si="50"/>
        <v>73</v>
      </c>
      <c r="L154" s="5" t="str">
        <f ca="1">INDEX(INDIRECT(zoneFichierTraite),$J154+offsetInitialFichierTraite,1)</f>
        <v>'073</v>
      </c>
      <c r="M154" s="11">
        <f ca="1">INDEX(INDIRECT(zoneFichierTraite),$J154+offsetInitialFichierTraite,9)</f>
        <v>8.89</v>
      </c>
      <c r="N154" s="14">
        <f ca="1">INDEX(INDIRECT(zoneFichierTraite),$J154+offsetInitialFichierTraite,3)</f>
        <v>8050846090644</v>
      </c>
      <c r="O154" s="1">
        <f ca="1">MATCH(N154,INDIRECT(nomFichierEAN13Valmag &amp; "!A:A"),0)</f>
        <v>746</v>
      </c>
      <c r="P154" s="1">
        <f ca="1">MATCH(R154,INDIRECT(nomFichierEAN13Valmag &amp; "!A:A"),0)</f>
        <v>746</v>
      </c>
      <c r="Q154" s="1">
        <f ca="1">MATCH(LEFT(B154,14) &amp; "*",INDIRECT(nomFichierEAN13Valmag &amp; "!B:B"),0)</f>
        <v>746</v>
      </c>
      <c r="R154" s="14">
        <f ca="1">IFERROR(INDEX(INDIRECT(zoneFichierEAN13Valmag),Q154,1),"")</f>
        <v>8050846090644</v>
      </c>
      <c r="S154" s="1">
        <f ca="1">MATCH(B154,INDIRECT(nomFichierFiltreCatalogue &amp; "!B:B"),0)</f>
        <v>511</v>
      </c>
      <c r="T154" s="14"/>
    </row>
    <row r="155" spans="1:20" s="20" customFormat="1" ht="15.75" customHeight="1" x14ac:dyDescent="0.25">
      <c r="A155" s="25">
        <f ca="1">INDEX(INDIRECT(zoneFichierTraite),$J154+offsetInitialFichierTraite,2)</f>
        <v>99</v>
      </c>
      <c r="B155" s="45" t="str">
        <f ca="1">IF(C155="", IFERROR(INDEX(INDIRECT(zoneFichierEAN13Valmag),$P154,3),""), "")</f>
        <v/>
      </c>
      <c r="C155" s="44" t="str">
        <f ca="1">IFERROR(INDEX(INDIRECT(zoneFichierEAN13Valmag),$O154,3),"")</f>
        <v xml:space="preserve"> </v>
      </c>
      <c r="D155" s="19" t="str">
        <f ca="1">IFERROR(INDEX(INDIRECT(zoneFichierEAN13Valmag),$O154,4),"")</f>
        <v xml:space="preserve"> </v>
      </c>
      <c r="E155" s="33" t="str">
        <f ca="1">IFERROR(INDEX(INDIRECT(zoneFichierFiltreCatalogue),S154,3),"")</f>
        <v>p128-1-01</v>
      </c>
      <c r="F155" s="19"/>
      <c r="G155" s="18"/>
      <c r="H155" s="34" t="str">
        <f ca="1">IFERROR(INDEX(INDIRECT(zoneFichierFiltreCatalogue),S154,6),"")</f>
        <v>fall 2019 presentation_/catalogo fall 19.txt</v>
      </c>
      <c r="R155" s="21"/>
      <c r="S155" s="21"/>
    </row>
    <row r="156" spans="1:20" ht="39" customHeight="1" thickBot="1" x14ac:dyDescent="0.65">
      <c r="A156" s="9" t="str">
        <f ca="1">INDEX(INDIRECT(zoneFichierTraite),$J156+offsetInitialFichierTraite,6)</f>
        <v>UNICA</v>
      </c>
      <c r="B156" s="5" t="str">
        <f ca="1">INDEX(INDIRECT(zoneFichierTraite),$J156+offsetInitialFichierTraite,4)</f>
        <v>OBAGC534-ECSC9-137</v>
      </c>
      <c r="C156" s="26" t="str">
        <f ca="1">INDEX(INDIRECT(zoneFichierTraite),$J156+offsetInitialFichierTraite,5)</f>
        <v>FERMETURE Ã€ BANDEAU AVEC BOUCLE O BAG GLAM EN FAUX CUIR IMPRIME ATHLEISURE</v>
      </c>
      <c r="D156" s="27" t="str">
        <f ca="1">INDEX(INDIRECT(zoneFichierTraite),$J156+offsetInitialFichierTraite,13)</f>
        <v>bluette</v>
      </c>
      <c r="E156" s="30">
        <f ca="1">INDEX(INDIRECT(zoneFichierTraite),$J156+offsetInitialFichierTraite,7)</f>
        <v>1</v>
      </c>
      <c r="F156" s="28">
        <f ca="1">INDEX(INDIRECT(zoneFichierTraite),$J156+offsetInitialFichierTraite,8)</f>
        <v>8.89</v>
      </c>
      <c r="G156" s="29">
        <f t="shared" ref="G156:G219" ca="1" si="59">ROUNDUP(F156*3,0)</f>
        <v>27</v>
      </c>
      <c r="H156" s="32" t="str">
        <f ca="1">IF(ISNUMBER(N156),codeEAN13(INT(N156/10)),"")</f>
        <v>8APASOG*ajagfb+</v>
      </c>
      <c r="J156" s="15">
        <f t="shared" si="50"/>
        <v>74</v>
      </c>
      <c r="L156" s="5" t="str">
        <f ca="1">INDEX(INDIRECT(zoneFichierTraite),$J156+offsetInitialFichierTraite,1)</f>
        <v>'074</v>
      </c>
      <c r="M156" s="11">
        <f ca="1">INDEX(INDIRECT(zoneFichierTraite),$J156+offsetInitialFichierTraite,9)</f>
        <v>8.89</v>
      </c>
      <c r="N156" s="14">
        <f ca="1">INDEX(INDIRECT(zoneFichierTraite),$J156+offsetInitialFichierTraite,3)</f>
        <v>8050846090651</v>
      </c>
      <c r="O156" s="1">
        <f ca="1">MATCH(N156,INDIRECT(nomFichierEAN13Valmag &amp; "!A:A"),0)</f>
        <v>747</v>
      </c>
      <c r="P156" s="1">
        <f ca="1">MATCH(R156,INDIRECT(nomFichierEAN13Valmag &amp; "!A:A"),0)</f>
        <v>746</v>
      </c>
      <c r="Q156" s="1">
        <f ca="1">MATCH(LEFT(B156,14) &amp; "*",INDIRECT(nomFichierEAN13Valmag &amp; "!B:B"),0)</f>
        <v>746</v>
      </c>
      <c r="R156" s="14">
        <f ca="1">IFERROR(INDEX(INDIRECT(zoneFichierEAN13Valmag),Q156,1),"")</f>
        <v>8050846090644</v>
      </c>
      <c r="S156" s="1">
        <f ca="1">MATCH(B156,INDIRECT(nomFichierFiltreCatalogue &amp; "!B:B"),0)</f>
        <v>512</v>
      </c>
      <c r="T156" s="14"/>
    </row>
    <row r="157" spans="1:20" s="20" customFormat="1" ht="15.75" customHeight="1" x14ac:dyDescent="0.25">
      <c r="A157" s="25">
        <f ca="1">INDEX(INDIRECT(zoneFichierTraite),$J156+offsetInitialFichierTraite,2)</f>
        <v>114</v>
      </c>
      <c r="B157" s="45" t="str">
        <f ca="1">IF(C157="", IFERROR(INDEX(INDIRECT(zoneFichierEAN13Valmag),$P156,3),""), "")</f>
        <v/>
      </c>
      <c r="C157" s="44" t="str">
        <f ca="1">IFERROR(INDEX(INDIRECT(zoneFichierEAN13Valmag),$O156,3),"")</f>
        <v xml:space="preserve"> </v>
      </c>
      <c r="D157" s="19" t="str">
        <f ca="1">IFERROR(INDEX(INDIRECT(zoneFichierEAN13Valmag),$O156,4),"")</f>
        <v xml:space="preserve"> </v>
      </c>
      <c r="E157" s="33" t="str">
        <f ca="1">IFERROR(INDEX(INDIRECT(zoneFichierFiltreCatalogue),S156,3),"")</f>
        <v>p128-1-02</v>
      </c>
      <c r="F157" s="19"/>
      <c r="G157" s="18"/>
      <c r="H157" s="34" t="str">
        <f ca="1">IFERROR(INDEX(INDIRECT(zoneFichierFiltreCatalogue),S156,6),"")</f>
        <v>fall 2019 presentation_/catalogo fall 19.txt</v>
      </c>
      <c r="R157" s="21"/>
      <c r="S157" s="21"/>
    </row>
    <row r="158" spans="1:20" ht="39" customHeight="1" thickBot="1" x14ac:dyDescent="0.65">
      <c r="A158" s="9" t="str">
        <f ca="1">INDEX(INDIRECT(zoneFichierTraite),$J158+offsetInitialFichierTraite,6)</f>
        <v>UNICA</v>
      </c>
      <c r="B158" s="5" t="str">
        <f ca="1">INDEX(INDIRECT(zoneFichierTraite),$J158+offsetInitialFichierTraite,4)</f>
        <v>OBAGC534-ECSD1-615</v>
      </c>
      <c r="C158" s="26" t="str">
        <f ca="1">INDEX(INDIRECT(zoneFichierTraite),$J158+offsetInitialFichierTraite,5)</f>
        <v>FERMETURE Ã€ BANDEAU AVEC BOUCLE O BAG GLAM EN FAUX CUIR IMPRIME FLEURS GEOMETRIQUES</v>
      </c>
      <c r="D158" s="27" t="str">
        <f ca="1">INDEX(INDIRECT(zoneFichierTraite),$J158+offsetInitialFichierTraite,13)</f>
        <v>military</v>
      </c>
      <c r="E158" s="30">
        <f ca="1">INDEX(INDIRECT(zoneFichierTraite),$J158+offsetInitialFichierTraite,7)</f>
        <v>1</v>
      </c>
      <c r="F158" s="28">
        <f ca="1">INDEX(INDIRECT(zoneFichierTraite),$J158+offsetInitialFichierTraite,8)</f>
        <v>10</v>
      </c>
      <c r="G158" s="29">
        <f t="shared" ref="G158:G221" ca="1" si="60">ROUNDUP(F158*3,0)</f>
        <v>30</v>
      </c>
      <c r="H158" s="32" t="str">
        <f ca="1">IF(ISNUMBER(N158),codeEAN13(INT(N158/10)),"")</f>
        <v>8APASOG*ajagca+</v>
      </c>
      <c r="J158" s="15">
        <f t="shared" si="50"/>
        <v>75</v>
      </c>
      <c r="L158" s="5" t="str">
        <f ca="1">INDEX(INDIRECT(zoneFichierTraite),$J158+offsetInitialFichierTraite,1)</f>
        <v>'075</v>
      </c>
      <c r="M158" s="11">
        <f ca="1">INDEX(INDIRECT(zoneFichierTraite),$J158+offsetInitialFichierTraite,9)</f>
        <v>10</v>
      </c>
      <c r="N158" s="14">
        <f ca="1">INDEX(INDIRECT(zoneFichierTraite),$J158+offsetInitialFichierTraite,3)</f>
        <v>8050846090620</v>
      </c>
      <c r="O158" s="1">
        <f ca="1">MATCH(N158,INDIRECT(nomFichierEAN13Valmag &amp; "!A:A"),0)</f>
        <v>744</v>
      </c>
      <c r="P158" s="1">
        <f ca="1">MATCH(R158,INDIRECT(nomFichierEAN13Valmag &amp; "!A:A"),0)</f>
        <v>744</v>
      </c>
      <c r="Q158" s="1">
        <f ca="1">MATCH(LEFT(B158,14) &amp; "*",INDIRECT(nomFichierEAN13Valmag &amp; "!B:B"),0)</f>
        <v>744</v>
      </c>
      <c r="R158" s="14">
        <f ca="1">IFERROR(INDEX(INDIRECT(zoneFichierEAN13Valmag),Q158,1),"")</f>
        <v>8050846090620</v>
      </c>
      <c r="S158" s="1">
        <f ca="1">MATCH(B158,INDIRECT(nomFichierFiltreCatalogue &amp; "!B:B"),0)</f>
        <v>515</v>
      </c>
      <c r="T158" s="14"/>
    </row>
    <row r="159" spans="1:20" s="20" customFormat="1" ht="15.75" customHeight="1" x14ac:dyDescent="0.25">
      <c r="A159" s="25">
        <f ca="1">INDEX(INDIRECT(zoneFichierTraite),$J158+offsetInitialFichierTraite,2)</f>
        <v>2</v>
      </c>
      <c r="B159" s="45" t="str">
        <f ca="1">IF(C159="", IFERROR(INDEX(INDIRECT(zoneFichierEAN13Valmag),$P158,3),""), "")</f>
        <v/>
      </c>
      <c r="C159" s="44" t="str">
        <f ca="1">IFERROR(INDEX(INDIRECT(zoneFichierEAN13Valmag),$O158,3),"")</f>
        <v xml:space="preserve"> </v>
      </c>
      <c r="D159" s="19" t="str">
        <f ca="1">IFERROR(INDEX(INDIRECT(zoneFichierEAN13Valmag),$O158,4),"")</f>
        <v xml:space="preserve"> </v>
      </c>
      <c r="E159" s="33" t="str">
        <f ca="1">IFERROR(INDEX(INDIRECT(zoneFichierFiltreCatalogue),S158,3),"")</f>
        <v>p129-1-01</v>
      </c>
      <c r="F159" s="19"/>
      <c r="G159" s="18"/>
      <c r="H159" s="34" t="str">
        <f ca="1">IFERROR(INDEX(INDIRECT(zoneFichierFiltreCatalogue),S158,6),"")</f>
        <v>fall 2019 presentation_/catalogo fall 19.txt</v>
      </c>
      <c r="R159" s="21"/>
      <c r="S159" s="21"/>
    </row>
    <row r="160" spans="1:20" ht="39" customHeight="1" thickBot="1" x14ac:dyDescent="0.65">
      <c r="A160" s="9" t="str">
        <f ca="1">INDEX(INDIRECT(zoneFichierTraite),$J160+offsetInitialFichierTraite,6)</f>
        <v>UNICA</v>
      </c>
      <c r="B160" s="5" t="str">
        <f ca="1">INDEX(INDIRECT(zoneFichierTraite),$J160+offsetInitialFichierTraite,4)</f>
        <v>OBAGC534-ECSD2-227</v>
      </c>
      <c r="C160" s="26" t="str">
        <f ca="1">INDEX(INDIRECT(zoneFichierTraite),$J160+offsetInitialFichierTraite,5)</f>
        <v>FERMETURE Ã€ BANDEAU AVEC BOUCLE O BAG GLAM EN FAUX CUIR IMPRIME GEOMETRIC LILY</v>
      </c>
      <c r="D160" s="27" t="str">
        <f ca="1">INDEX(INDIRECT(zoneFichierTraite),$J160+offsetInitialFichierTraite,13)</f>
        <v>bianco/nero</v>
      </c>
      <c r="E160" s="30">
        <f ca="1">INDEX(INDIRECT(zoneFichierTraite),$J160+offsetInitialFichierTraite,7)</f>
        <v>1</v>
      </c>
      <c r="F160" s="28">
        <f ca="1">INDEX(INDIRECT(zoneFichierTraite),$J160+offsetInitialFichierTraite,8)</f>
        <v>10</v>
      </c>
      <c r="G160" s="29">
        <f t="shared" ref="G160:G223" ca="1" si="61">ROUNDUP(F160*3,0)</f>
        <v>30</v>
      </c>
      <c r="H160" s="32" t="str">
        <f ca="1">IF(ISNUMBER(N160),codeEAN13(INT(N160/10)),"")</f>
        <v>8APASOG*ajafcb+</v>
      </c>
      <c r="J160" s="15">
        <f t="shared" si="50"/>
        <v>76</v>
      </c>
      <c r="L160" s="5" t="str">
        <f ca="1">INDEX(INDIRECT(zoneFichierTraite),$J160+offsetInitialFichierTraite,1)</f>
        <v>'076</v>
      </c>
      <c r="M160" s="11">
        <f ca="1">INDEX(INDIRECT(zoneFichierTraite),$J160+offsetInitialFichierTraite,9)</f>
        <v>10</v>
      </c>
      <c r="N160" s="14">
        <f ca="1">INDEX(INDIRECT(zoneFichierTraite),$J160+offsetInitialFichierTraite,3)</f>
        <v>8050846090521</v>
      </c>
      <c r="O160" s="1">
        <f ca="1">MATCH(N160,INDIRECT(nomFichierEAN13Valmag &amp; "!A:A"),0)</f>
        <v>736</v>
      </c>
      <c r="P160" s="1">
        <f ca="1">MATCH(R160,INDIRECT(nomFichierEAN13Valmag &amp; "!A:A"),0)</f>
        <v>736</v>
      </c>
      <c r="Q160" s="1">
        <f ca="1">MATCH(LEFT(B160,14) &amp; "*",INDIRECT(nomFichierEAN13Valmag &amp; "!B:B"),0)</f>
        <v>736</v>
      </c>
      <c r="R160" s="14">
        <f ca="1">IFERROR(INDEX(INDIRECT(zoneFichierEAN13Valmag),Q160,1),"")</f>
        <v>8050846090521</v>
      </c>
      <c r="S160" s="1">
        <f ca="1">MATCH(B160,INDIRECT(nomFichierFiltreCatalogue &amp; "!B:B"),0)</f>
        <v>516</v>
      </c>
      <c r="T160" s="14"/>
    </row>
    <row r="161" spans="1:20" s="20" customFormat="1" ht="15.75" customHeight="1" x14ac:dyDescent="0.25">
      <c r="A161" s="25">
        <f ca="1">INDEX(INDIRECT(zoneFichierTraite),$J160+offsetInitialFichierTraite,2)</f>
        <v>211</v>
      </c>
      <c r="B161" s="45" t="str">
        <f ca="1">IF(C161="", IFERROR(INDEX(INDIRECT(zoneFichierEAN13Valmag),$P160,3),""), "")</f>
        <v/>
      </c>
      <c r="C161" s="44" t="str">
        <f ca="1">IFERROR(INDEX(INDIRECT(zoneFichierEAN13Valmag),$O160,3),"")</f>
        <v xml:space="preserve"> </v>
      </c>
      <c r="D161" s="19" t="str">
        <f ca="1">IFERROR(INDEX(INDIRECT(zoneFichierEAN13Valmag),$O160,4),"")</f>
        <v xml:space="preserve"> </v>
      </c>
      <c r="E161" s="33" t="str">
        <f ca="1">IFERROR(INDEX(INDIRECT(zoneFichierFiltreCatalogue),S160,3),"")</f>
        <v>p129-2-01</v>
      </c>
      <c r="F161" s="19"/>
      <c r="G161" s="18"/>
      <c r="H161" s="34" t="str">
        <f ca="1">IFERROR(INDEX(INDIRECT(zoneFichierFiltreCatalogue),S160,6),"")</f>
        <v>fall 2019 presentation_/catalogo fall 19.txt</v>
      </c>
      <c r="R161" s="21"/>
      <c r="S161" s="21"/>
    </row>
    <row r="162" spans="1:20" ht="39" customHeight="1" thickBot="1" x14ac:dyDescent="0.65">
      <c r="A162" s="9" t="str">
        <f ca="1">INDEX(INDIRECT(zoneFichierTraite),$J162+offsetInitialFichierTraite,6)</f>
        <v>UNICA</v>
      </c>
      <c r="B162" s="5" t="str">
        <f ca="1">INDEX(INDIRECT(zoneFichierTraite),$J162+offsetInitialFichierTraite,4)</f>
        <v>OBAGC534-ECSD6-615</v>
      </c>
      <c r="C162" s="26" t="str">
        <f ca="1">INDEX(INDIRECT(zoneFichierTraite),$J162+offsetInitialFichierTraite,5)</f>
        <v>FERMETURE Ã€ BANDEAU AVEC BOUCLE O BAG GLAM EN FAUX CUIR IMPRIME DIANTHUS</v>
      </c>
      <c r="D162" s="27" t="str">
        <f ca="1">INDEX(INDIRECT(zoneFichierTraite),$J162+offsetInitialFichierTraite,13)</f>
        <v>military</v>
      </c>
      <c r="E162" s="30">
        <f ca="1">INDEX(INDIRECT(zoneFichierTraite),$J162+offsetInitialFichierTraite,7)</f>
        <v>1</v>
      </c>
      <c r="F162" s="28">
        <f ca="1">INDEX(INDIRECT(zoneFichierTraite),$J162+offsetInitialFichierTraite,8)</f>
        <v>10</v>
      </c>
      <c r="G162" s="29">
        <f t="shared" ref="G162:G225" ca="1" si="62">ROUNDUP(F162*3,0)</f>
        <v>30</v>
      </c>
      <c r="H162" s="32" t="str">
        <f ca="1">IF(ISNUMBER(N162),codeEAN13(INT(N162/10)),"")</f>
        <v>8APASOG*ajagdh+</v>
      </c>
      <c r="J162" s="15">
        <f t="shared" si="50"/>
        <v>77</v>
      </c>
      <c r="L162" s="5" t="str">
        <f ca="1">INDEX(INDIRECT(zoneFichierTraite),$J162+offsetInitialFichierTraite,1)</f>
        <v>'077</v>
      </c>
      <c r="M162" s="11">
        <f ca="1">INDEX(INDIRECT(zoneFichierTraite),$J162+offsetInitialFichierTraite,9)</f>
        <v>10</v>
      </c>
      <c r="N162" s="14">
        <f ca="1">INDEX(INDIRECT(zoneFichierTraite),$J162+offsetInitialFichierTraite,3)</f>
        <v>8050846090637</v>
      </c>
      <c r="O162" s="1">
        <f ca="1">MATCH(N162,INDIRECT(nomFichierEAN13Valmag &amp; "!A:A"),0)</f>
        <v>745</v>
      </c>
      <c r="P162" s="1">
        <f ca="1">MATCH(R162,INDIRECT(nomFichierEAN13Valmag &amp; "!A:A"),0)</f>
        <v>745</v>
      </c>
      <c r="Q162" s="1">
        <f ca="1">MATCH(LEFT(B162,14) &amp; "*",INDIRECT(nomFichierEAN13Valmag &amp; "!B:B"),0)</f>
        <v>745</v>
      </c>
      <c r="R162" s="14">
        <f ca="1">IFERROR(INDEX(INDIRECT(zoneFichierEAN13Valmag),Q162,1),"")</f>
        <v>8050846090637</v>
      </c>
      <c r="S162" s="1">
        <f ca="1">MATCH(B162,INDIRECT(nomFichierFiltreCatalogue &amp; "!B:B"),0)</f>
        <v>517</v>
      </c>
      <c r="T162" s="14"/>
    </row>
    <row r="163" spans="1:20" s="20" customFormat="1" ht="15.75" customHeight="1" x14ac:dyDescent="0.25">
      <c r="A163" s="25">
        <f ca="1">INDEX(INDIRECT(zoneFichierTraite),$J162+offsetInitialFichierTraite,2)</f>
        <v>203</v>
      </c>
      <c r="B163" s="45" t="str">
        <f ca="1">IF(C163="", IFERROR(INDEX(INDIRECT(zoneFichierEAN13Valmag),$P162,3),""), "")</f>
        <v/>
      </c>
      <c r="C163" s="44" t="str">
        <f ca="1">IFERROR(INDEX(INDIRECT(zoneFichierEAN13Valmag),$O162,3),"")</f>
        <v xml:space="preserve"> </v>
      </c>
      <c r="D163" s="19" t="str">
        <f ca="1">IFERROR(INDEX(INDIRECT(zoneFichierEAN13Valmag),$O162,4),"")</f>
        <v xml:space="preserve"> </v>
      </c>
      <c r="E163" s="33" t="str">
        <f ca="1">IFERROR(INDEX(INDIRECT(zoneFichierFiltreCatalogue),S162,3),"")</f>
        <v>p130-1-01</v>
      </c>
      <c r="F163" s="19"/>
      <c r="G163" s="18"/>
      <c r="H163" s="34" t="str">
        <f ca="1">IFERROR(INDEX(INDIRECT(zoneFichierFiltreCatalogue),S162,6),"")</f>
        <v>fall 2019 presentation_/catalogo fall 19.txt</v>
      </c>
      <c r="R163" s="21"/>
      <c r="S163" s="21"/>
    </row>
    <row r="164" spans="1:20" ht="39" customHeight="1" thickBot="1" x14ac:dyDescent="0.65">
      <c r="A164" s="9" t="str">
        <f ca="1">INDEX(INDIRECT(zoneFichierTraite),$J164+offsetInitialFichierTraite,6)</f>
        <v>UNICA</v>
      </c>
      <c r="B164" s="5" t="str">
        <f ca="1">INDEX(INDIRECT(zoneFichierTraite),$J164+offsetInitialFichierTraite,4)</f>
        <v>OBAGP006-ECSD2-227</v>
      </c>
      <c r="C164" s="26" t="str">
        <f ca="1">INDEX(INDIRECT(zoneFichierTraite),$J164+offsetInitialFichierTraite,5)</f>
        <v>RABAT O POCKET EN FAUX CUIR IMPRIME GEOMETRIC LILY</v>
      </c>
      <c r="D164" s="27" t="str">
        <f ca="1">INDEX(INDIRECT(zoneFichierTraite),$J164+offsetInitialFichierTraite,13)</f>
        <v>bianco/nero</v>
      </c>
      <c r="E164" s="30">
        <f ca="1">INDEX(INDIRECT(zoneFichierTraite),$J164+offsetInitialFichierTraite,7)</f>
        <v>2</v>
      </c>
      <c r="F164" s="28">
        <f ca="1">INDEX(INDIRECT(zoneFichierTraite),$J164+offsetInitialFichierTraite,8)</f>
        <v>11.85</v>
      </c>
      <c r="G164" s="29">
        <f t="shared" ref="G164:G227" ca="1" si="63">ROUNDUP(F164*3,0)</f>
        <v>36</v>
      </c>
      <c r="H164" s="32" t="str">
        <f ca="1">IF(ISNUMBER(N164),codeEAN13(INT(N164/10)),"")</f>
        <v>8APASOG*ajcabd+</v>
      </c>
      <c r="J164" s="15">
        <f t="shared" si="50"/>
        <v>78</v>
      </c>
      <c r="L164" s="5" t="str">
        <f ca="1">INDEX(INDIRECT(zoneFichierTraite),$J164+offsetInitialFichierTraite,1)</f>
        <v>'078</v>
      </c>
      <c r="M164" s="11">
        <f ca="1">INDEX(INDIRECT(zoneFichierTraite),$J164+offsetInitialFichierTraite,9)</f>
        <v>23.7</v>
      </c>
      <c r="N164" s="14">
        <f ca="1">INDEX(INDIRECT(zoneFichierTraite),$J164+offsetInitialFichierTraite,3)</f>
        <v>8050846092013</v>
      </c>
      <c r="O164" s="1">
        <f ca="1">MATCH(N164,INDIRECT(nomFichierEAN13Valmag &amp; "!A:A"),0)</f>
        <v>855</v>
      </c>
      <c r="P164" s="1">
        <f ca="1">MATCH(R164,INDIRECT(nomFichierEAN13Valmag &amp; "!A:A"),0)</f>
        <v>855</v>
      </c>
      <c r="Q164" s="1">
        <f ca="1">MATCH(LEFT(B164,14) &amp; "*",INDIRECT(nomFichierEAN13Valmag &amp; "!B:B"),0)</f>
        <v>855</v>
      </c>
      <c r="R164" s="14">
        <f ca="1">IFERROR(INDEX(INDIRECT(zoneFichierEAN13Valmag),Q164,1),"")</f>
        <v>8050846092013</v>
      </c>
      <c r="S164" s="1">
        <f ca="1">MATCH(B164,INDIRECT(nomFichierFiltreCatalogue &amp; "!B:B"),0)</f>
        <v>456</v>
      </c>
      <c r="T164" s="14"/>
    </row>
    <row r="165" spans="1:20" s="20" customFormat="1" ht="15.75" customHeight="1" x14ac:dyDescent="0.25">
      <c r="A165" s="25">
        <f ca="1">INDEX(INDIRECT(zoneFichierTraite),$J164+offsetInitialFichierTraite,2)</f>
        <v>149</v>
      </c>
      <c r="B165" s="45" t="str">
        <f ca="1">IF(C165="", IFERROR(INDEX(INDIRECT(zoneFichierEAN13Valmag),$P164,3),""), "")</f>
        <v/>
      </c>
      <c r="C165" s="44" t="str">
        <f ca="1">IFERROR(INDEX(INDIRECT(zoneFichierEAN13Valmag),$O164,3),"")</f>
        <v xml:space="preserve"> </v>
      </c>
      <c r="D165" s="19" t="str">
        <f ca="1">IFERROR(INDEX(INDIRECT(zoneFichierEAN13Valmag),$O164,4),"")</f>
        <v xml:space="preserve"> </v>
      </c>
      <c r="E165" s="33" t="str">
        <f ca="1">IFERROR(INDEX(INDIRECT(zoneFichierFiltreCatalogue),S164,3),"")</f>
        <v>p110-1-01</v>
      </c>
      <c r="F165" s="19"/>
      <c r="G165" s="18"/>
      <c r="H165" s="34" t="str">
        <f ca="1">IFERROR(INDEX(INDIRECT(zoneFichierFiltreCatalogue),S164,6),"")</f>
        <v>fall 2019 presentation_/catalogo fall 19.txt</v>
      </c>
      <c r="R165" s="21"/>
      <c r="S165" s="21"/>
    </row>
    <row r="166" spans="1:20" ht="39" customHeight="1" thickBot="1" x14ac:dyDescent="0.65">
      <c r="A166" s="9" t="str">
        <f ca="1">INDEX(INDIRECT(zoneFichierTraite),$J166+offsetInitialFichierTraite,6)</f>
        <v>UNICA</v>
      </c>
      <c r="B166" s="5" t="str">
        <f ca="1">INDEX(INDIRECT(zoneFichierTraite),$J166+offsetInitialFichierTraite,4)</f>
        <v>OBAGP006-ECSD6-615</v>
      </c>
      <c r="C166" s="26" t="str">
        <f ca="1">INDEX(INDIRECT(zoneFichierTraite),$J166+offsetInitialFichierTraite,5)</f>
        <v>RABAT O POCKET EN FAUX CUIR IMPRIME DIANTHUS</v>
      </c>
      <c r="D166" s="27" t="str">
        <f ca="1">INDEX(INDIRECT(zoneFichierTraite),$J166+offsetInitialFichierTraite,13)</f>
        <v>military</v>
      </c>
      <c r="E166" s="30">
        <f ca="1">INDEX(INDIRECT(zoneFichierTraite),$J166+offsetInitialFichierTraite,7)</f>
        <v>2</v>
      </c>
      <c r="F166" s="28">
        <f ca="1">INDEX(INDIRECT(zoneFichierTraite),$J166+offsetInitialFichierTraite,8)</f>
        <v>11.85</v>
      </c>
      <c r="G166" s="29">
        <f t="shared" ref="G166:G229" ca="1" si="64">ROUNDUP(F166*3,0)</f>
        <v>36</v>
      </c>
      <c r="H166" s="32" t="str">
        <f ca="1">IF(ISNUMBER(N166),codeEAN13(INT(N166/10)),"")</f>
        <v>8APASOG*ajbjjd+</v>
      </c>
      <c r="J166" s="15">
        <f t="shared" si="50"/>
        <v>79</v>
      </c>
      <c r="L166" s="5" t="str">
        <f ca="1">INDEX(INDIRECT(zoneFichierTraite),$J166+offsetInitialFichierTraite,1)</f>
        <v>'079</v>
      </c>
      <c r="M166" s="11">
        <f ca="1">INDEX(INDIRECT(zoneFichierTraite),$J166+offsetInitialFichierTraite,9)</f>
        <v>23.7</v>
      </c>
      <c r="N166" s="14">
        <f ca="1">INDEX(INDIRECT(zoneFichierTraite),$J166+offsetInitialFichierTraite,3)</f>
        <v>8050846091993</v>
      </c>
      <c r="O166" s="1">
        <f ca="1">MATCH(N166,INDIRECT(nomFichierEAN13Valmag &amp; "!A:A"),0)</f>
        <v>853</v>
      </c>
      <c r="P166" s="1">
        <f ca="1">MATCH(R166,INDIRECT(nomFichierEAN13Valmag &amp; "!A:A"),0)</f>
        <v>853</v>
      </c>
      <c r="Q166" s="1">
        <f ca="1">MATCH(LEFT(B166,14) &amp; "*",INDIRECT(nomFichierEAN13Valmag &amp; "!B:B"),0)</f>
        <v>853</v>
      </c>
      <c r="R166" s="14">
        <f ca="1">IFERROR(INDEX(INDIRECT(zoneFichierEAN13Valmag),Q166,1),"")</f>
        <v>8050846091993</v>
      </c>
      <c r="S166" s="1">
        <f ca="1">MATCH(B166,INDIRECT(nomFichierFiltreCatalogue &amp; "!B:B"),0)</f>
        <v>457</v>
      </c>
      <c r="T166" s="14"/>
    </row>
    <row r="167" spans="1:20" s="20" customFormat="1" ht="15.75" customHeight="1" x14ac:dyDescent="0.25">
      <c r="A167" s="25">
        <f ca="1">INDEX(INDIRECT(zoneFichierTraite),$J166+offsetInitialFichierTraite,2)</f>
        <v>115</v>
      </c>
      <c r="B167" s="45" t="str">
        <f ca="1">IF(C167="", IFERROR(INDEX(INDIRECT(zoneFichierEAN13Valmag),$P166,3),""), "")</f>
        <v/>
      </c>
      <c r="C167" s="44" t="str">
        <f ca="1">IFERROR(INDEX(INDIRECT(zoneFichierEAN13Valmag),$O166,3),"")</f>
        <v xml:space="preserve"> </v>
      </c>
      <c r="D167" s="19" t="str">
        <f ca="1">IFERROR(INDEX(INDIRECT(zoneFichierEAN13Valmag),$O166,4),"")</f>
        <v xml:space="preserve"> </v>
      </c>
      <c r="E167" s="33" t="str">
        <f ca="1">IFERROR(INDEX(INDIRECT(zoneFichierFiltreCatalogue),S166,3),"")</f>
        <v>p110-2-01</v>
      </c>
      <c r="F167" s="19"/>
      <c r="G167" s="18"/>
      <c r="H167" s="34" t="str">
        <f ca="1">IFERROR(INDEX(INDIRECT(zoneFichierFiltreCatalogue),S166,6),"")</f>
        <v>fall 2019 presentation_/catalogo fall 19.txt</v>
      </c>
      <c r="R167" s="21"/>
      <c r="S167" s="21"/>
    </row>
    <row r="168" spans="1:20" ht="39" customHeight="1" thickBot="1" x14ac:dyDescent="0.65">
      <c r="A168" s="9" t="str">
        <f ca="1">INDEX(INDIRECT(zoneFichierTraite),$J168+offsetInitialFichierTraite,6)</f>
        <v>UNICA</v>
      </c>
      <c r="B168" s="5" t="str">
        <f ca="1">INDEX(INDIRECT(zoneFichierTraite),$J168+offsetInitialFichierTraite,4)</f>
        <v>OBAGP006-FAS09-067</v>
      </c>
      <c r="C168" s="26" t="str">
        <f ca="1">INDEX(INDIRECT(zoneFichierTraite),$J168+offsetInitialFichierTraite,5)</f>
        <v>RABAT O POCKET EN FAUSSE FOURRURE LAPIN REX</v>
      </c>
      <c r="D168" s="27" t="str">
        <f ca="1">INDEX(INDIRECT(zoneFichierTraite),$J168+offsetInitialFichierTraite,13)</f>
        <v>phard</v>
      </c>
      <c r="E168" s="30">
        <f ca="1">INDEX(INDIRECT(zoneFichierTraite),$J168+offsetInitialFichierTraite,7)</f>
        <v>2</v>
      </c>
      <c r="F168" s="28">
        <f ca="1">INDEX(INDIRECT(zoneFichierTraite),$J168+offsetInitialFichierTraite,8)</f>
        <v>18</v>
      </c>
      <c r="G168" s="29">
        <f t="shared" ref="G168:G231" ca="1" si="65">ROUNDUP(F168*3,0)</f>
        <v>54</v>
      </c>
      <c r="H168" s="32" t="str">
        <f ca="1">IF(ISNUMBER(N168),codeEAN13(INT(N168/10)),"")</f>
        <v>8APGKTJ*bhhfef+</v>
      </c>
      <c r="J168" s="15">
        <f t="shared" si="50"/>
        <v>80</v>
      </c>
      <c r="L168" s="5" t="str">
        <f ca="1">INDEX(INDIRECT(zoneFichierTraite),$J168+offsetInitialFichierTraite,1)</f>
        <v>'080</v>
      </c>
      <c r="M168" s="11">
        <f ca="1">INDEX(INDIRECT(zoneFichierTraite),$J168+offsetInitialFichierTraite,9)</f>
        <v>36</v>
      </c>
      <c r="N168" s="14">
        <f ca="1">INDEX(INDIRECT(zoneFichierTraite),$J168+offsetInitialFichierTraite,3)</f>
        <v>8056099177545</v>
      </c>
      <c r="O168" s="1">
        <f ca="1">MATCH(N168,INDIRECT(nomFichierEAN13Valmag &amp; "!A:A"),0)</f>
        <v>1039</v>
      </c>
      <c r="P168" s="1">
        <f ca="1">MATCH(R168,INDIRECT(nomFichierEAN13Valmag &amp; "!A:A"),0)</f>
        <v>47</v>
      </c>
      <c r="Q168" s="1">
        <f ca="1">MATCH(LEFT(B168,14) &amp; "*",INDIRECT(nomFichierEAN13Valmag &amp; "!B:B"),0)</f>
        <v>47</v>
      </c>
      <c r="R168" s="14">
        <f ca="1">IFERROR(INDEX(INDIRECT(zoneFichierEAN13Valmag),Q168,1),"")</f>
        <v>8050538590490</v>
      </c>
      <c r="S168" s="1">
        <f ca="1">MATCH(B168,INDIRECT(nomFichierFiltreCatalogue &amp; "!B:B"),0)</f>
        <v>464</v>
      </c>
      <c r="T168" s="14"/>
    </row>
    <row r="169" spans="1:20" s="20" customFormat="1" ht="15.75" customHeight="1" x14ac:dyDescent="0.25">
      <c r="A169" s="25">
        <f ca="1">INDEX(INDIRECT(zoneFichierTraite),$J168+offsetInitialFichierTraite,2)</f>
        <v>134</v>
      </c>
      <c r="B169" s="45" t="str">
        <f ca="1">IF(C169="", IFERROR(INDEX(INDIRECT(zoneFichierEAN13Valmag),$P168,3),""), "")</f>
        <v/>
      </c>
      <c r="C169" s="44" t="str">
        <f ca="1">IFERROR(INDEX(INDIRECT(zoneFichierEAN13Valmag),$O168,3),"")</f>
        <v xml:space="preserve">FLAPECOFOU      </v>
      </c>
      <c r="D169" s="19" t="str">
        <f ca="1">IFERROR(INDEX(INDIRECT(zoneFichierEAN13Valmag),$O168,4),"")</f>
        <v>LAPHA</v>
      </c>
      <c r="E169" s="33" t="str">
        <f ca="1">IFERROR(INDEX(INDIRECT(zoneFichierFiltreCatalogue),S168,3),"")</f>
        <v>p112-1-05</v>
      </c>
      <c r="F169" s="19"/>
      <c r="G169" s="18"/>
      <c r="H169" s="34" t="str">
        <f ca="1">IFERROR(INDEX(INDIRECT(zoneFichierFiltreCatalogue),S168,6),"")</f>
        <v>fall 2019 presentation_/catalogo fall 19.txt</v>
      </c>
      <c r="R169" s="21"/>
      <c r="S169" s="21"/>
    </row>
    <row r="170" spans="1:20" ht="39" customHeight="1" thickBot="1" x14ac:dyDescent="0.65">
      <c r="A170" s="9" t="str">
        <f ca="1">INDEX(INDIRECT(zoneFichierTraite),$J170+offsetInitialFichierTraite,6)</f>
        <v>UNICA</v>
      </c>
      <c r="B170" s="5" t="str">
        <f ca="1">INDEX(INDIRECT(zoneFichierTraite),$J170+offsetInitialFichierTraite,4)</f>
        <v>OBAGP006-FAS09-615</v>
      </c>
      <c r="C170" s="26" t="str">
        <f ca="1">INDEX(INDIRECT(zoneFichierTraite),$J170+offsetInitialFichierTraite,5)</f>
        <v>RABAT O POCKET EN FAUSSE FOURRURE LAPIN REX</v>
      </c>
      <c r="D170" s="27" t="str">
        <f ca="1">INDEX(INDIRECT(zoneFichierTraite),$J170+offsetInitialFichierTraite,13)</f>
        <v>military</v>
      </c>
      <c r="E170" s="30">
        <f ca="1">INDEX(INDIRECT(zoneFichierTraite),$J170+offsetInitialFichierTraite,7)</f>
        <v>2</v>
      </c>
      <c r="F170" s="28">
        <f ca="1">INDEX(INDIRECT(zoneFichierTraite),$J170+offsetInitialFichierTraite,8)</f>
        <v>18</v>
      </c>
      <c r="G170" s="29">
        <f t="shared" ref="G170:G233" ca="1" si="66">ROUNDUP(F170*3,0)</f>
        <v>54</v>
      </c>
      <c r="H170" s="32" t="str">
        <f ca="1">IF(ISNUMBER(N170),codeEAN13(INT(N170/10)),"")</f>
        <v>8APASOG*ajeiii+</v>
      </c>
      <c r="J170" s="15">
        <f t="shared" si="50"/>
        <v>81</v>
      </c>
      <c r="L170" s="5" t="str">
        <f ca="1">INDEX(INDIRECT(zoneFichierTraite),$J170+offsetInitialFichierTraite,1)</f>
        <v>'081</v>
      </c>
      <c r="M170" s="11">
        <f ca="1">INDEX(INDIRECT(zoneFichierTraite),$J170+offsetInitialFichierTraite,9)</f>
        <v>36</v>
      </c>
      <c r="N170" s="14">
        <f ca="1">INDEX(INDIRECT(zoneFichierTraite),$J170+offsetInitialFichierTraite,3)</f>
        <v>8050846094888</v>
      </c>
      <c r="O170" s="1">
        <f ca="1">MATCH(N170,INDIRECT(nomFichierEAN13Valmag &amp; "!A:A"),0)</f>
        <v>923</v>
      </c>
      <c r="P170" s="1">
        <f ca="1">MATCH(R170,INDIRECT(nomFichierEAN13Valmag &amp; "!A:A"),0)</f>
        <v>47</v>
      </c>
      <c r="Q170" s="1">
        <f ca="1">MATCH(LEFT(B170,14) &amp; "*",INDIRECT(nomFichierEAN13Valmag &amp; "!B:B"),0)</f>
        <v>47</v>
      </c>
      <c r="R170" s="14">
        <f ca="1">IFERROR(INDEX(INDIRECT(zoneFichierEAN13Valmag),Q170,1),"")</f>
        <v>8050538590490</v>
      </c>
      <c r="S170" s="1">
        <f ca="1">MATCH(B170,INDIRECT(nomFichierFiltreCatalogue &amp; "!B:B"),0)</f>
        <v>460</v>
      </c>
      <c r="T170" s="14"/>
    </row>
    <row r="171" spans="1:20" s="20" customFormat="1" ht="15.75" customHeight="1" x14ac:dyDescent="0.25">
      <c r="A171" s="25">
        <f ca="1">INDEX(INDIRECT(zoneFichierTraite),$J170+offsetInitialFichierTraite,2)</f>
        <v>65</v>
      </c>
      <c r="B171" s="45" t="str">
        <f ca="1">IF(C171="", IFERROR(INDEX(INDIRECT(zoneFichierEAN13Valmag),$P170,3),""), "")</f>
        <v/>
      </c>
      <c r="C171" s="44" t="str">
        <f ca="1">IFERROR(INDEX(INDIRECT(zoneFichierEAN13Valmag),$O170,3),"")</f>
        <v xml:space="preserve"> </v>
      </c>
      <c r="D171" s="19" t="str">
        <f ca="1">IFERROR(INDEX(INDIRECT(zoneFichierEAN13Valmag),$O170,4),"")</f>
        <v xml:space="preserve"> </v>
      </c>
      <c r="E171" s="33" t="str">
        <f ca="1">IFERROR(INDEX(INDIRECT(zoneFichierFiltreCatalogue),S170,3),"")</f>
        <v>p112-1-01</v>
      </c>
      <c r="F171" s="19"/>
      <c r="G171" s="18"/>
      <c r="H171" s="34" t="str">
        <f ca="1">IFERROR(INDEX(INDIRECT(zoneFichierFiltreCatalogue),S170,6),"")</f>
        <v>fall 2019 presentation_/catalogo fall 19.txt</v>
      </c>
      <c r="R171" s="21"/>
      <c r="S171" s="21"/>
    </row>
    <row r="172" spans="1:20" ht="39" customHeight="1" thickBot="1" x14ac:dyDescent="0.65">
      <c r="A172" s="9" t="str">
        <f ca="1">INDEX(INDIRECT(zoneFichierTraite),$J172+offsetInitialFichierTraite,6)</f>
        <v>UNICA</v>
      </c>
      <c r="B172" s="5" t="str">
        <f ca="1">INDEX(INDIRECT(zoneFichierTraite),$J172+offsetInitialFichierTraite,4)</f>
        <v>OBAGP006-TESBG-227</v>
      </c>
      <c r="C172" s="26" t="str">
        <f ca="1">INDEX(INDIRECT(zoneFichierTraite),$J172+offsetInitialFichierTraite,5)</f>
        <v>REVERS O POCKET EN TISSU PRINCE DE GALLES + FLEURS</v>
      </c>
      <c r="D172" s="27" t="str">
        <f ca="1">INDEX(INDIRECT(zoneFichierTraite),$J172+offsetInitialFichierTraite,13)</f>
        <v>bianco/nero</v>
      </c>
      <c r="E172" s="30">
        <f ca="1">INDEX(INDIRECT(zoneFichierTraite),$J172+offsetInitialFichierTraite,7)</f>
        <v>2</v>
      </c>
      <c r="F172" s="28">
        <f ca="1">INDEX(INDIRECT(zoneFichierTraite),$J172+offsetInitialFichierTraite,8)</f>
        <v>12.59</v>
      </c>
      <c r="G172" s="29">
        <f t="shared" ref="G172:G235" ca="1" si="67">ROUNDUP(F172*3,0)</f>
        <v>38</v>
      </c>
      <c r="H172" s="32" t="str">
        <f ca="1">IF(ISNUMBER(N172),codeEAN13(INT(N172/10)),"")</f>
        <v>8APASOG*ajcbed+</v>
      </c>
      <c r="J172" s="15">
        <f t="shared" si="50"/>
        <v>82</v>
      </c>
      <c r="L172" s="5" t="str">
        <f ca="1">INDEX(INDIRECT(zoneFichierTraite),$J172+offsetInitialFichierTraite,1)</f>
        <v>'082</v>
      </c>
      <c r="M172" s="11">
        <f ca="1">INDEX(INDIRECT(zoneFichierTraite),$J172+offsetInitialFichierTraite,9)</f>
        <v>25.18</v>
      </c>
      <c r="N172" s="14">
        <f ca="1">INDEX(INDIRECT(zoneFichierTraite),$J172+offsetInitialFichierTraite,3)</f>
        <v>8050846092143</v>
      </c>
      <c r="O172" s="1">
        <f ca="1">MATCH(N172,INDIRECT(nomFichierEAN13Valmag &amp; "!A:A"),0)</f>
        <v>867</v>
      </c>
      <c r="P172" s="1">
        <f ca="1">MATCH(R172,INDIRECT(nomFichierEAN13Valmag &amp; "!A:A"),0)</f>
        <v>867</v>
      </c>
      <c r="Q172" s="1">
        <f ca="1">MATCH(LEFT(B172,14) &amp; "*",INDIRECT(nomFichierEAN13Valmag &amp; "!B:B"),0)</f>
        <v>867</v>
      </c>
      <c r="R172" s="14">
        <f ca="1">IFERROR(INDEX(INDIRECT(zoneFichierEAN13Valmag),Q172,1),"")</f>
        <v>8050846092143</v>
      </c>
      <c r="S172" s="1">
        <f ca="1">MATCH(B172,INDIRECT(nomFichierFiltreCatalogue &amp; "!B:B"),0)</f>
        <v>459</v>
      </c>
      <c r="T172" s="14"/>
    </row>
    <row r="173" spans="1:20" s="20" customFormat="1" ht="15.75" customHeight="1" x14ac:dyDescent="0.25">
      <c r="A173" s="25">
        <f ca="1">INDEX(INDIRECT(zoneFichierTraite),$J172+offsetInitialFichierTraite,2)</f>
        <v>78</v>
      </c>
      <c r="B173" s="45" t="str">
        <f ca="1">IF(C173="", IFERROR(INDEX(INDIRECT(zoneFichierEAN13Valmag),$P172,3),""), "")</f>
        <v/>
      </c>
      <c r="C173" s="44" t="str">
        <f ca="1">IFERROR(INDEX(INDIRECT(zoneFichierEAN13Valmag),$O172,3),"")</f>
        <v xml:space="preserve"> </v>
      </c>
      <c r="D173" s="19" t="str">
        <f ca="1">IFERROR(INDEX(INDIRECT(zoneFichierEAN13Valmag),$O172,4),"")</f>
        <v xml:space="preserve"> </v>
      </c>
      <c r="E173" s="33" t="str">
        <f ca="1">IFERROR(INDEX(INDIRECT(zoneFichierFiltreCatalogue),S172,3),"")</f>
        <v>p111-2-01</v>
      </c>
      <c r="F173" s="19"/>
      <c r="G173" s="18"/>
      <c r="H173" s="34" t="str">
        <f ca="1">IFERROR(INDEX(INDIRECT(zoneFichierFiltreCatalogue),S172,6),"")</f>
        <v>fall 2019 presentation_/catalogo fall 19.txt</v>
      </c>
      <c r="R173" s="21"/>
      <c r="S173" s="21"/>
    </row>
    <row r="174" spans="1:20" ht="39" customHeight="1" thickBot="1" x14ac:dyDescent="0.65">
      <c r="A174" s="9" t="str">
        <f ca="1">INDEX(INDIRECT(zoneFichierTraite),$J174+offsetInitialFichierTraite,6)</f>
        <v>UNICA</v>
      </c>
      <c r="B174" s="5" t="str">
        <f ca="1">INDEX(INDIRECT(zoneFichierTraite),$J174+offsetInitialFichierTraite,4)</f>
        <v>OBAGP034-ECSC3-615</v>
      </c>
      <c r="C174" s="26" t="str">
        <f ca="1">INDEX(INDIRECT(zoneFichierTraite),$J174+offsetInitialFichierTraite,5)</f>
        <v>RABAT O BAG GLAM EN FAUX CUIR SUÃˆDE + CLOUS</v>
      </c>
      <c r="D174" s="27" t="str">
        <f ca="1">INDEX(INDIRECT(zoneFichierTraite),$J174+offsetInitialFichierTraite,13)</f>
        <v>military</v>
      </c>
      <c r="E174" s="30">
        <f ca="1">INDEX(INDIRECT(zoneFichierTraite),$J174+offsetInitialFichierTraite,7)</f>
        <v>1</v>
      </c>
      <c r="F174" s="28">
        <f ca="1">INDEX(INDIRECT(zoneFichierTraite),$J174+offsetInitialFichierTraite,8)</f>
        <v>16.670000000000002</v>
      </c>
      <c r="G174" s="29">
        <f t="shared" ref="G174:G237" ca="1" si="68">ROUNDUP(F174*3,0)</f>
        <v>51</v>
      </c>
      <c r="H174" s="32" t="str">
        <f ca="1">IF(ISNUMBER(N174),codeEAN13(INT(N174/10)),"")</f>
        <v>8APASOG*ajafah+</v>
      </c>
      <c r="J174" s="15">
        <f t="shared" si="50"/>
        <v>83</v>
      </c>
      <c r="L174" s="5" t="str">
        <f ca="1">INDEX(INDIRECT(zoneFichierTraite),$J174+offsetInitialFichierTraite,1)</f>
        <v>'083</v>
      </c>
      <c r="M174" s="11">
        <f ca="1">INDEX(INDIRECT(zoneFichierTraite),$J174+offsetInitialFichierTraite,9)</f>
        <v>16.670000000000002</v>
      </c>
      <c r="N174" s="14">
        <f ca="1">INDEX(INDIRECT(zoneFichierTraite),$J174+offsetInitialFichierTraite,3)</f>
        <v>8050846090507</v>
      </c>
      <c r="O174" s="1">
        <f ca="1">MATCH(N174,INDIRECT(nomFichierEAN13Valmag &amp; "!A:A"),0)</f>
        <v>734</v>
      </c>
      <c r="P174" s="1">
        <f ca="1">MATCH(R174,INDIRECT(nomFichierEAN13Valmag &amp; "!A:A"),0)</f>
        <v>733</v>
      </c>
      <c r="Q174" s="1">
        <f ca="1">MATCH(LEFT(B174,14) &amp; "*",INDIRECT(nomFichierEAN13Valmag &amp; "!B:B"),0)</f>
        <v>733</v>
      </c>
      <c r="R174" s="14">
        <f ca="1">IFERROR(INDEX(INDIRECT(zoneFichierEAN13Valmag),Q174,1),"")</f>
        <v>8050846090491</v>
      </c>
      <c r="S174" s="1">
        <f ca="1">MATCH(B174,INDIRECT(nomFichierFiltreCatalogue &amp; "!B:B"),0)</f>
        <v>483</v>
      </c>
      <c r="T174" s="14"/>
    </row>
    <row r="175" spans="1:20" s="20" customFormat="1" ht="15.75" customHeight="1" x14ac:dyDescent="0.25">
      <c r="A175" s="25">
        <f ca="1">INDEX(INDIRECT(zoneFichierTraite),$J174+offsetInitialFichierTraite,2)</f>
        <v>30</v>
      </c>
      <c r="B175" s="45" t="str">
        <f ca="1">IF(C175="", IFERROR(INDEX(INDIRECT(zoneFichierEAN13Valmag),$P174,3),""), "")</f>
        <v/>
      </c>
      <c r="C175" s="44" t="str">
        <f ca="1">IFERROR(INDEX(INDIRECT(zoneFichierEAN13Valmag),$O174,3),"")</f>
        <v xml:space="preserve"> </v>
      </c>
      <c r="D175" s="19" t="str">
        <f ca="1">IFERROR(INDEX(INDIRECT(zoneFichierEAN13Valmag),$O174,4),"")</f>
        <v xml:space="preserve"> </v>
      </c>
      <c r="E175" s="33" t="str">
        <f ca="1">IFERROR(INDEX(INDIRECT(zoneFichierFiltreCatalogue),S174,3),"")</f>
        <v>p116-1-02</v>
      </c>
      <c r="F175" s="19"/>
      <c r="G175" s="18"/>
      <c r="H175" s="34" t="str">
        <f ca="1">IFERROR(INDEX(INDIRECT(zoneFichierFiltreCatalogue),S174,6),"")</f>
        <v>fall 2019 presentation_/catalogo fall 19.txt</v>
      </c>
      <c r="R175" s="21"/>
      <c r="S175" s="21"/>
    </row>
    <row r="176" spans="1:20" ht="39" customHeight="1" thickBot="1" x14ac:dyDescent="0.65">
      <c r="A176" s="9" t="str">
        <f ca="1">INDEX(INDIRECT(zoneFichierTraite),$J176+offsetInitialFichierTraite,6)</f>
        <v>UNICA</v>
      </c>
      <c r="B176" s="5" t="str">
        <f ca="1">INDEX(INDIRECT(zoneFichierTraite),$J176+offsetInitialFichierTraite,4)</f>
        <v>OBAGP034-ECSC4-055</v>
      </c>
      <c r="C176" s="26" t="str">
        <f ca="1">INDEX(INDIRECT(zoneFichierTraite),$J176+offsetInitialFichierTraite,5)</f>
        <v>RABAT O BAG GLAM EN FAUX CUIR EFFET GRIFFE + CLOUS</v>
      </c>
      <c r="D176" s="27" t="str">
        <f ca="1">INDEX(INDIRECT(zoneFichierTraite),$J176+offsetInitialFichierTraite,13)</f>
        <v>nero</v>
      </c>
      <c r="E176" s="30">
        <f ca="1">INDEX(INDIRECT(zoneFichierTraite),$J176+offsetInitialFichierTraite,7)</f>
        <v>1</v>
      </c>
      <c r="F176" s="28">
        <f ca="1">INDEX(INDIRECT(zoneFichierTraite),$J176+offsetInitialFichierTraite,8)</f>
        <v>16.670000000000002</v>
      </c>
      <c r="G176" s="29">
        <f t="shared" ref="G176:G239" ca="1" si="69">ROUNDUP(F176*3,0)</f>
        <v>51</v>
      </c>
      <c r="H176" s="32" t="str">
        <f ca="1">IF(ISNUMBER(N176),codeEAN13(INT(N176/10)),"")</f>
        <v>8APASOG*ajaefd+</v>
      </c>
      <c r="J176" s="15">
        <f t="shared" si="50"/>
        <v>84</v>
      </c>
      <c r="L176" s="5" t="str">
        <f ca="1">INDEX(INDIRECT(zoneFichierTraite),$J176+offsetInitialFichierTraite,1)</f>
        <v>'084</v>
      </c>
      <c r="M176" s="11">
        <f ca="1">INDEX(INDIRECT(zoneFichierTraite),$J176+offsetInitialFichierTraite,9)</f>
        <v>16.670000000000002</v>
      </c>
      <c r="N176" s="14">
        <f ca="1">INDEX(INDIRECT(zoneFichierTraite),$J176+offsetInitialFichierTraite,3)</f>
        <v>8050846090453</v>
      </c>
      <c r="O176" s="1">
        <f ca="1">MATCH(N176,INDIRECT(nomFichierEAN13Valmag &amp; "!A:A"),0)</f>
        <v>729</v>
      </c>
      <c r="P176" s="1">
        <f ca="1">MATCH(R176,INDIRECT(nomFichierEAN13Valmag &amp; "!A:A"),0)</f>
        <v>727</v>
      </c>
      <c r="Q176" s="1">
        <f ca="1">MATCH(LEFT(B176,14) &amp; "*",INDIRECT(nomFichierEAN13Valmag &amp; "!B:B"),0)</f>
        <v>727</v>
      </c>
      <c r="R176" s="14">
        <f ca="1">IFERROR(INDEX(INDIRECT(zoneFichierEAN13Valmag),Q176,1),"")</f>
        <v>8050846090439</v>
      </c>
      <c r="S176" s="1">
        <f ca="1">MATCH(B176,INDIRECT(nomFichierFiltreCatalogue &amp; "!B:B"),0)</f>
        <v>484</v>
      </c>
      <c r="T176" s="14"/>
    </row>
    <row r="177" spans="1:20" s="20" customFormat="1" ht="15.75" customHeight="1" x14ac:dyDescent="0.25">
      <c r="A177" s="25">
        <f ca="1">INDEX(INDIRECT(zoneFichierTraite),$J176+offsetInitialFichierTraite,2)</f>
        <v>165</v>
      </c>
      <c r="B177" s="45" t="str">
        <f ca="1">IF(C177="", IFERROR(INDEX(INDIRECT(zoneFichierEAN13Valmag),$P176,3),""), "")</f>
        <v/>
      </c>
      <c r="C177" s="44" t="str">
        <f ca="1">IFERROR(INDEX(INDIRECT(zoneFichierEAN13Valmag),$O176,3),"")</f>
        <v xml:space="preserve"> </v>
      </c>
      <c r="D177" s="19" t="str">
        <f ca="1">IFERROR(INDEX(INDIRECT(zoneFichierEAN13Valmag),$O176,4),"")</f>
        <v xml:space="preserve"> </v>
      </c>
      <c r="E177" s="33" t="str">
        <f ca="1">IFERROR(INDEX(INDIRECT(zoneFichierFiltreCatalogue),S176,3),"")</f>
        <v>p116-2-01</v>
      </c>
      <c r="F177" s="19"/>
      <c r="G177" s="18"/>
      <c r="H177" s="34" t="str">
        <f ca="1">IFERROR(INDEX(INDIRECT(zoneFichierFiltreCatalogue),S176,6),"")</f>
        <v>fall 2019 presentation_/catalogo fall 19.txt</v>
      </c>
      <c r="R177" s="21"/>
      <c r="S177" s="21"/>
    </row>
    <row r="178" spans="1:20" ht="39" customHeight="1" thickBot="1" x14ac:dyDescent="0.65">
      <c r="A178" s="9" t="str">
        <f ca="1">INDEX(INDIRECT(zoneFichierTraite),$J178+offsetInitialFichierTraite,6)</f>
        <v>UNICA</v>
      </c>
      <c r="B178" s="5" t="str">
        <f ca="1">INDEX(INDIRECT(zoneFichierTraite),$J178+offsetInitialFichierTraite,4)</f>
        <v>OBAGP034-ECSC4-371</v>
      </c>
      <c r="C178" s="26" t="str">
        <f ca="1">INDEX(INDIRECT(zoneFichierTraite),$J178+offsetInitialFichierTraite,5)</f>
        <v>RABAT O BAG GLAM EN FAUX CUIR EFFET GRIFFE + CLOUS</v>
      </c>
      <c r="D178" s="27" t="str">
        <f ca="1">INDEX(INDIRECT(zoneFichierTraite),$J178+offsetInitialFichierTraite,13)</f>
        <v>latte</v>
      </c>
      <c r="E178" s="30">
        <f ca="1">INDEX(INDIRECT(zoneFichierTraite),$J178+offsetInitialFichierTraite,7)</f>
        <v>1</v>
      </c>
      <c r="F178" s="28">
        <f ca="1">INDEX(INDIRECT(zoneFichierTraite),$J178+offsetInitialFichierTraite,8)</f>
        <v>16.670000000000002</v>
      </c>
      <c r="G178" s="29">
        <f t="shared" ref="G178:G241" ca="1" si="70">ROUNDUP(F178*3,0)</f>
        <v>51</v>
      </c>
      <c r="H178" s="32" t="str">
        <f ca="1">IF(ISNUMBER(N178),codeEAN13(INT(N178/10)),"")</f>
        <v>8APASOG*ajaedj+</v>
      </c>
      <c r="J178" s="15">
        <f t="shared" si="50"/>
        <v>85</v>
      </c>
      <c r="L178" s="5" t="str">
        <f ca="1">INDEX(INDIRECT(zoneFichierTraite),$J178+offsetInitialFichierTraite,1)</f>
        <v>'085</v>
      </c>
      <c r="M178" s="11">
        <f ca="1">INDEX(INDIRECT(zoneFichierTraite),$J178+offsetInitialFichierTraite,9)</f>
        <v>16.670000000000002</v>
      </c>
      <c r="N178" s="14">
        <f ca="1">INDEX(INDIRECT(zoneFichierTraite),$J178+offsetInitialFichierTraite,3)</f>
        <v>8050846090439</v>
      </c>
      <c r="O178" s="1">
        <f ca="1">MATCH(N178,INDIRECT(nomFichierEAN13Valmag &amp; "!A:A"),0)</f>
        <v>727</v>
      </c>
      <c r="P178" s="1">
        <f ca="1">MATCH(R178,INDIRECT(nomFichierEAN13Valmag &amp; "!A:A"),0)</f>
        <v>727</v>
      </c>
      <c r="Q178" s="1">
        <f ca="1">MATCH(LEFT(B178,14) &amp; "*",INDIRECT(nomFichierEAN13Valmag &amp; "!B:B"),0)</f>
        <v>727</v>
      </c>
      <c r="R178" s="14">
        <f ca="1">IFERROR(INDEX(INDIRECT(zoneFichierEAN13Valmag),Q178,1),"")</f>
        <v>8050846090439</v>
      </c>
      <c r="S178" s="1">
        <f ca="1">MATCH(B178,INDIRECT(nomFichierFiltreCatalogue &amp; "!B:B"),0)</f>
        <v>485</v>
      </c>
      <c r="T178" s="14"/>
    </row>
    <row r="179" spans="1:20" s="20" customFormat="1" ht="15.75" customHeight="1" x14ac:dyDescent="0.25">
      <c r="A179" s="25">
        <f ca="1">INDEX(INDIRECT(zoneFichierTraite),$J178+offsetInitialFichierTraite,2)</f>
        <v>3</v>
      </c>
      <c r="B179" s="45" t="str">
        <f ca="1">IF(C179="", IFERROR(INDEX(INDIRECT(zoneFichierEAN13Valmag),$P178,3),""), "")</f>
        <v/>
      </c>
      <c r="C179" s="44" t="str">
        <f ca="1">IFERROR(INDEX(INDIRECT(zoneFichierEAN13Valmag),$O178,3),"")</f>
        <v xml:space="preserve"> </v>
      </c>
      <c r="D179" s="19" t="str">
        <f ca="1">IFERROR(INDEX(INDIRECT(zoneFichierEAN13Valmag),$O178,4),"")</f>
        <v xml:space="preserve"> </v>
      </c>
      <c r="E179" s="33" t="str">
        <f ca="1">IFERROR(INDEX(INDIRECT(zoneFichierFiltreCatalogue),S178,3),"")</f>
        <v>p116-2-02</v>
      </c>
      <c r="F179" s="19"/>
      <c r="G179" s="18"/>
      <c r="H179" s="34" t="str">
        <f ca="1">IFERROR(INDEX(INDIRECT(zoneFichierFiltreCatalogue),S178,6),"")</f>
        <v>fall 2019 presentation_/catalogo fall 19.txt</v>
      </c>
      <c r="R179" s="21"/>
      <c r="S179" s="21"/>
    </row>
    <row r="180" spans="1:20" ht="39" customHeight="1" thickBot="1" x14ac:dyDescent="0.65">
      <c r="A180" s="9" t="str">
        <f ca="1">INDEX(INDIRECT(zoneFichierTraite),$J180+offsetInitialFichierTraite,6)</f>
        <v>UNICA</v>
      </c>
      <c r="B180" s="5" t="str">
        <f ca="1">INDEX(INDIRECT(zoneFichierTraite),$J180+offsetInitialFichierTraite,4)</f>
        <v>OBAGP034-ECSD1-615</v>
      </c>
      <c r="C180" s="26" t="str">
        <f ca="1">INDEX(INDIRECT(zoneFichierTraite),$J180+offsetInitialFichierTraite,5)</f>
        <v>RABAT O BAG GLAM EN FAUX CUIR IMPRIME FLEURS GEOMETRIQUES</v>
      </c>
      <c r="D180" s="27" t="str">
        <f ca="1">INDEX(INDIRECT(zoneFichierTraite),$J180+offsetInitialFichierTraite,13)</f>
        <v>military</v>
      </c>
      <c r="E180" s="30">
        <f ca="1">INDEX(INDIRECT(zoneFichierTraite),$J180+offsetInitialFichierTraite,7)</f>
        <v>1</v>
      </c>
      <c r="F180" s="28">
        <f ca="1">INDEX(INDIRECT(zoneFichierTraite),$J180+offsetInitialFichierTraite,8)</f>
        <v>15.56</v>
      </c>
      <c r="G180" s="29">
        <f t="shared" ref="G180:G243" ca="1" si="71">ROUNDUP(F180*3,0)</f>
        <v>47</v>
      </c>
      <c r="H180" s="32" t="str">
        <f ca="1">IF(ISNUMBER(N180),codeEAN13(INT(N180/10)),"")</f>
        <v>8APASOG*ajaeeg+</v>
      </c>
      <c r="J180" s="15">
        <f t="shared" si="50"/>
        <v>86</v>
      </c>
      <c r="L180" s="5" t="str">
        <f ca="1">INDEX(INDIRECT(zoneFichierTraite),$J180+offsetInitialFichierTraite,1)</f>
        <v>'086</v>
      </c>
      <c r="M180" s="11">
        <f ca="1">INDEX(INDIRECT(zoneFichierTraite),$J180+offsetInitialFichierTraite,9)</f>
        <v>15.56</v>
      </c>
      <c r="N180" s="14">
        <f ca="1">INDEX(INDIRECT(zoneFichierTraite),$J180+offsetInitialFichierTraite,3)</f>
        <v>8050846090446</v>
      </c>
      <c r="O180" s="1">
        <f ca="1">MATCH(N180,INDIRECT(nomFichierEAN13Valmag &amp; "!A:A"),0)</f>
        <v>728</v>
      </c>
      <c r="P180" s="1">
        <f ca="1">MATCH(R180,INDIRECT(nomFichierEAN13Valmag &amp; "!A:A"),0)</f>
        <v>728</v>
      </c>
      <c r="Q180" s="1">
        <f ca="1">MATCH(LEFT(B180,14) &amp; "*",INDIRECT(nomFichierEAN13Valmag &amp; "!B:B"),0)</f>
        <v>728</v>
      </c>
      <c r="R180" s="14">
        <f ca="1">IFERROR(INDEX(INDIRECT(zoneFichierEAN13Valmag),Q180,1),"")</f>
        <v>8050846090446</v>
      </c>
      <c r="S180" s="1">
        <f ca="1">MATCH(B180,INDIRECT(nomFichierFiltreCatalogue &amp; "!B:B"),0)</f>
        <v>486</v>
      </c>
      <c r="T180" s="14"/>
    </row>
    <row r="181" spans="1:20" s="20" customFormat="1" ht="15.75" customHeight="1" x14ac:dyDescent="0.25">
      <c r="A181" s="25">
        <f ca="1">INDEX(INDIRECT(zoneFichierTraite),$J180+offsetInitialFichierTraite,2)</f>
        <v>151</v>
      </c>
      <c r="B181" s="45" t="str">
        <f ca="1">IF(C181="", IFERROR(INDEX(INDIRECT(zoneFichierEAN13Valmag),$P180,3),""), "")</f>
        <v/>
      </c>
      <c r="C181" s="44" t="str">
        <f ca="1">IFERROR(INDEX(INDIRECT(zoneFichierEAN13Valmag),$O180,3),"")</f>
        <v xml:space="preserve"> </v>
      </c>
      <c r="D181" s="19" t="str">
        <f ca="1">IFERROR(INDEX(INDIRECT(zoneFichierEAN13Valmag),$O180,4),"")</f>
        <v xml:space="preserve"> </v>
      </c>
      <c r="E181" s="33" t="str">
        <f ca="1">IFERROR(INDEX(INDIRECT(zoneFichierFiltreCatalogue),S180,3),"")</f>
        <v>p117-1-01</v>
      </c>
      <c r="F181" s="19"/>
      <c r="G181" s="18"/>
      <c r="H181" s="34" t="str">
        <f ca="1">IFERROR(INDEX(INDIRECT(zoneFichierFiltreCatalogue),S180,6),"")</f>
        <v>fall 2019 presentation_/catalogo fall 19.txt</v>
      </c>
      <c r="R181" s="21"/>
      <c r="S181" s="21"/>
    </row>
    <row r="182" spans="1:20" ht="39" customHeight="1" thickBot="1" x14ac:dyDescent="0.65">
      <c r="A182" s="9" t="str">
        <f ca="1">INDEX(INDIRECT(zoneFichierTraite),$J182+offsetInitialFichierTraite,6)</f>
        <v>UNICA</v>
      </c>
      <c r="B182" s="5" t="str">
        <f ca="1">INDEX(INDIRECT(zoneFichierTraite),$J182+offsetInitialFichierTraite,4)</f>
        <v>OBAGP034-ECSD2-227</v>
      </c>
      <c r="C182" s="26" t="str">
        <f ca="1">INDEX(INDIRECT(zoneFichierTraite),$J182+offsetInitialFichierTraite,5)</f>
        <v>RABAT O BAG GLAM EN FAUX CUIR IMPRIME GEOMETRIC LILY</v>
      </c>
      <c r="D182" s="27" t="str">
        <f ca="1">INDEX(INDIRECT(zoneFichierTraite),$J182+offsetInitialFichierTraite,13)</f>
        <v>bianco/nero</v>
      </c>
      <c r="E182" s="30">
        <f ca="1">INDEX(INDIRECT(zoneFichierTraite),$J182+offsetInitialFichierTraite,7)</f>
        <v>1</v>
      </c>
      <c r="F182" s="28">
        <f ca="1">INDEX(INDIRECT(zoneFichierTraite),$J182+offsetInitialFichierTraite,8)</f>
        <v>15.56</v>
      </c>
      <c r="G182" s="29">
        <f t="shared" ref="G182:G245" ca="1" si="72">ROUNDUP(F182*3,0)</f>
        <v>47</v>
      </c>
      <c r="H182" s="32" t="str">
        <f ca="1">IF(ISNUMBER(N182),codeEAN13(INT(N182/10)),"")</f>
        <v>8APASOG*ajadhi+</v>
      </c>
      <c r="J182" s="15">
        <f t="shared" si="50"/>
        <v>87</v>
      </c>
      <c r="L182" s="5" t="str">
        <f ca="1">INDEX(INDIRECT(zoneFichierTraite),$J182+offsetInitialFichierTraite,1)</f>
        <v>'087</v>
      </c>
      <c r="M182" s="11">
        <f ca="1">INDEX(INDIRECT(zoneFichierTraite),$J182+offsetInitialFichierTraite,9)</f>
        <v>15.56</v>
      </c>
      <c r="N182" s="14">
        <f ca="1">INDEX(INDIRECT(zoneFichierTraite),$J182+offsetInitialFichierTraite,3)</f>
        <v>8050846090378</v>
      </c>
      <c r="O182" s="1">
        <f ca="1">MATCH(N182,INDIRECT(nomFichierEAN13Valmag &amp; "!A:A"),0)</f>
        <v>721</v>
      </c>
      <c r="P182" s="1">
        <f ca="1">MATCH(R182,INDIRECT(nomFichierEAN13Valmag &amp; "!A:A"),0)</f>
        <v>721</v>
      </c>
      <c r="Q182" s="1">
        <f ca="1">MATCH(LEFT(B182,14) &amp; "*",INDIRECT(nomFichierEAN13Valmag &amp; "!B:B"),0)</f>
        <v>721</v>
      </c>
      <c r="R182" s="14">
        <f ca="1">IFERROR(INDEX(INDIRECT(zoneFichierEAN13Valmag),Q182,1),"")</f>
        <v>8050846090378</v>
      </c>
      <c r="S182" s="1">
        <f ca="1">MATCH(B182,INDIRECT(nomFichierFiltreCatalogue &amp; "!B:B"),0)</f>
        <v>487</v>
      </c>
      <c r="T182" s="14"/>
    </row>
    <row r="183" spans="1:20" s="20" customFormat="1" ht="15.75" customHeight="1" x14ac:dyDescent="0.25">
      <c r="A183" s="25">
        <f ca="1">INDEX(INDIRECT(zoneFichierTraite),$J182+offsetInitialFichierTraite,2)</f>
        <v>17</v>
      </c>
      <c r="B183" s="45" t="str">
        <f ca="1">IF(C183="", IFERROR(INDEX(INDIRECT(zoneFichierEAN13Valmag),$P182,3),""), "")</f>
        <v/>
      </c>
      <c r="C183" s="44" t="str">
        <f ca="1">IFERROR(INDEX(INDIRECT(zoneFichierEAN13Valmag),$O182,3),"")</f>
        <v xml:space="preserve"> </v>
      </c>
      <c r="D183" s="19" t="str">
        <f ca="1">IFERROR(INDEX(INDIRECT(zoneFichierEAN13Valmag),$O182,4),"")</f>
        <v xml:space="preserve"> </v>
      </c>
      <c r="E183" s="33" t="str">
        <f ca="1">IFERROR(INDEX(INDIRECT(zoneFichierFiltreCatalogue),S182,3),"")</f>
        <v>p117-2-01</v>
      </c>
      <c r="F183" s="19"/>
      <c r="G183" s="18"/>
      <c r="H183" s="34" t="str">
        <f ca="1">IFERROR(INDEX(INDIRECT(zoneFichierFiltreCatalogue),S182,6),"")</f>
        <v>fall 2019 presentation_/catalogo fall 19.txt</v>
      </c>
      <c r="R183" s="21"/>
      <c r="S183" s="21"/>
    </row>
    <row r="184" spans="1:20" ht="39" customHeight="1" thickBot="1" x14ac:dyDescent="0.65">
      <c r="A184" s="9" t="str">
        <f ca="1">INDEX(INDIRECT(zoneFichierTraite),$J184+offsetInitialFichierTraite,6)</f>
        <v>UNICA</v>
      </c>
      <c r="B184" s="5" t="str">
        <f ca="1">INDEX(INDIRECT(zoneFichierTraite),$J184+offsetInitialFichierTraite,4)</f>
        <v>OBAGP034-ECSD4-227</v>
      </c>
      <c r="C184" s="26" t="str">
        <f ca="1">INDEX(INDIRECT(zoneFichierTraite),$J184+offsetInitialFichierTraite,5)</f>
        <v>RABAT O BAG GLAM EN FAUX CUIR IMPRIME MARIGOLD 3D</v>
      </c>
      <c r="D184" s="27" t="str">
        <f ca="1">INDEX(INDIRECT(zoneFichierTraite),$J184+offsetInitialFichierTraite,13)</f>
        <v>bianco/nero</v>
      </c>
      <c r="E184" s="30">
        <f ca="1">INDEX(INDIRECT(zoneFichierTraite),$J184+offsetInitialFichierTraite,7)</f>
        <v>1</v>
      </c>
      <c r="F184" s="28">
        <f ca="1">INDEX(INDIRECT(zoneFichierTraite),$J184+offsetInitialFichierTraite,8)</f>
        <v>20</v>
      </c>
      <c r="G184" s="29">
        <f t="shared" ref="G184:G247" ca="1" si="73">ROUNDUP(F184*3,0)</f>
        <v>60</v>
      </c>
      <c r="H184" s="32" t="str">
        <f ca="1">IF(ISNUMBER(N184),codeEAN13(INT(N184/10)),"")</f>
        <v>8APASOG*ajaecc+</v>
      </c>
      <c r="J184" s="15">
        <f t="shared" si="50"/>
        <v>88</v>
      </c>
      <c r="L184" s="5" t="str">
        <f ca="1">INDEX(INDIRECT(zoneFichierTraite),$J184+offsetInitialFichierTraite,1)</f>
        <v>'088</v>
      </c>
      <c r="M184" s="11">
        <f ca="1">INDEX(INDIRECT(zoneFichierTraite),$J184+offsetInitialFichierTraite,9)</f>
        <v>20</v>
      </c>
      <c r="N184" s="14">
        <f ca="1">INDEX(INDIRECT(zoneFichierTraite),$J184+offsetInitialFichierTraite,3)</f>
        <v>8050846090422</v>
      </c>
      <c r="O184" s="1">
        <f ca="1">MATCH(N184,INDIRECT(nomFichierEAN13Valmag &amp; "!A:A"),0)</f>
        <v>726</v>
      </c>
      <c r="P184" s="1">
        <f ca="1">MATCH(R184,INDIRECT(nomFichierEAN13Valmag &amp; "!A:A"),0)</f>
        <v>726</v>
      </c>
      <c r="Q184" s="1">
        <f ca="1">MATCH(LEFT(B184,14) &amp; "*",INDIRECT(nomFichierEAN13Valmag &amp; "!B:B"),0)</f>
        <v>726</v>
      </c>
      <c r="R184" s="14">
        <f ca="1">IFERROR(INDEX(INDIRECT(zoneFichierEAN13Valmag),Q184,1),"")</f>
        <v>8050846090422</v>
      </c>
      <c r="S184" s="1">
        <f ca="1">MATCH(B184,INDIRECT(nomFichierFiltreCatalogue &amp; "!B:B"),0)</f>
        <v>488</v>
      </c>
      <c r="T184" s="14"/>
    </row>
    <row r="185" spans="1:20" s="20" customFormat="1" ht="15.75" customHeight="1" x14ac:dyDescent="0.25">
      <c r="A185" s="25">
        <f ca="1">INDEX(INDIRECT(zoneFichierTraite),$J184+offsetInitialFichierTraite,2)</f>
        <v>47</v>
      </c>
      <c r="B185" s="45" t="str">
        <f ca="1">IF(C185="", IFERROR(INDEX(INDIRECT(zoneFichierEAN13Valmag),$P184,3),""), "")</f>
        <v/>
      </c>
      <c r="C185" s="44" t="str">
        <f ca="1">IFERROR(INDEX(INDIRECT(zoneFichierEAN13Valmag),$O184,3),"")</f>
        <v xml:space="preserve"> </v>
      </c>
      <c r="D185" s="19" t="str">
        <f ca="1">IFERROR(INDEX(INDIRECT(zoneFichierEAN13Valmag),$O184,4),"")</f>
        <v xml:space="preserve"> </v>
      </c>
      <c r="E185" s="33" t="str">
        <f ca="1">IFERROR(INDEX(INDIRECT(zoneFichierFiltreCatalogue),S184,3),"")</f>
        <v>p118-1-01</v>
      </c>
      <c r="F185" s="19"/>
      <c r="G185" s="18"/>
      <c r="H185" s="34" t="str">
        <f ca="1">IFERROR(INDEX(INDIRECT(zoneFichierFiltreCatalogue),S184,6),"")</f>
        <v>fall 2019 presentation_/catalogo fall 19.txt</v>
      </c>
      <c r="R185" s="21"/>
      <c r="S185" s="21"/>
    </row>
    <row r="186" spans="1:20" ht="39" customHeight="1" thickBot="1" x14ac:dyDescent="0.65">
      <c r="A186" s="9" t="str">
        <f ca="1">INDEX(INDIRECT(zoneFichierTraite),$J186+offsetInitialFichierTraite,6)</f>
        <v>UNICA</v>
      </c>
      <c r="B186" s="5" t="str">
        <f ca="1">INDEX(INDIRECT(zoneFichierTraite),$J186+offsetInitialFichierTraite,4)</f>
        <v>OBAGP106-ECSC4-227</v>
      </c>
      <c r="C186" s="26" t="str">
        <f ca="1">INDEX(INDIRECT(zoneFichierTraite),$J186+offsetInitialFichierTraite,5)</f>
        <v>RABAT AVEC BANDEAU O POCKET EN FAUX CUIR EFFET GRIFFE + CLOUS</v>
      </c>
      <c r="D186" s="27" t="str">
        <f ca="1">INDEX(INDIRECT(zoneFichierTraite),$J186+offsetInitialFichierTraite,13)</f>
        <v>bianco/nero</v>
      </c>
      <c r="E186" s="30">
        <f ca="1">INDEX(INDIRECT(zoneFichierTraite),$J186+offsetInitialFichierTraite,7)</f>
        <v>2</v>
      </c>
      <c r="F186" s="28">
        <f ca="1">INDEX(INDIRECT(zoneFichierTraite),$J186+offsetInitialFichierTraite,8)</f>
        <v>15.56</v>
      </c>
      <c r="G186" s="29">
        <f t="shared" ref="G186:G249" ca="1" si="74">ROUNDUP(F186*3,0)</f>
        <v>47</v>
      </c>
      <c r="H186" s="32" t="str">
        <f ca="1">IF(ISNUMBER(N186),codeEAN13(INT(N186/10)),"")</f>
        <v>8APASOG*ajcaca+</v>
      </c>
      <c r="J186" s="15">
        <f t="shared" si="50"/>
        <v>89</v>
      </c>
      <c r="L186" s="5" t="str">
        <f ca="1">INDEX(INDIRECT(zoneFichierTraite),$J186+offsetInitialFichierTraite,1)</f>
        <v>'089</v>
      </c>
      <c r="M186" s="11">
        <f ca="1">INDEX(INDIRECT(zoneFichierTraite),$J186+offsetInitialFichierTraite,9)</f>
        <v>31.12</v>
      </c>
      <c r="N186" s="14">
        <f ca="1">INDEX(INDIRECT(zoneFichierTraite),$J186+offsetInitialFichierTraite,3)</f>
        <v>8050846092020</v>
      </c>
      <c r="O186" s="1">
        <f ca="1">MATCH(N186,INDIRECT(nomFichierEAN13Valmag &amp; "!A:A"),0)</f>
        <v>856</v>
      </c>
      <c r="P186" s="1">
        <f ca="1">MATCH(R186,INDIRECT(nomFichierEAN13Valmag &amp; "!A:A"),0)</f>
        <v>856</v>
      </c>
      <c r="Q186" s="1">
        <f ca="1">MATCH(LEFT(B186,14) &amp; "*",INDIRECT(nomFichierEAN13Valmag &amp; "!B:B"),0)</f>
        <v>856</v>
      </c>
      <c r="R186" s="14">
        <f ca="1">IFERROR(INDEX(INDIRECT(zoneFichierEAN13Valmag),Q186,1),"")</f>
        <v>8050846092020</v>
      </c>
      <c r="S186" s="1">
        <f ca="1">MATCH(B186,INDIRECT(nomFichierFiltreCatalogue &amp; "!B:B"),0)</f>
        <v>467</v>
      </c>
      <c r="T186" s="14"/>
    </row>
    <row r="187" spans="1:20" s="20" customFormat="1" ht="15.75" customHeight="1" x14ac:dyDescent="0.25">
      <c r="A187" s="25">
        <f ca="1">INDEX(INDIRECT(zoneFichierTraite),$J186+offsetInitialFichierTraite,2)</f>
        <v>69</v>
      </c>
      <c r="B187" s="45" t="str">
        <f ca="1">IF(C187="", IFERROR(INDEX(INDIRECT(zoneFichierEAN13Valmag),$P186,3),""), "")</f>
        <v/>
      </c>
      <c r="C187" s="44" t="str">
        <f ca="1">IFERROR(INDEX(INDIRECT(zoneFichierEAN13Valmag),$O186,3),"")</f>
        <v xml:space="preserve"> </v>
      </c>
      <c r="D187" s="19" t="str">
        <f ca="1">IFERROR(INDEX(INDIRECT(zoneFichierEAN13Valmag),$O186,4),"")</f>
        <v xml:space="preserve"> </v>
      </c>
      <c r="E187" s="33" t="str">
        <f ca="1">IFERROR(INDEX(INDIRECT(zoneFichierFiltreCatalogue),S186,3),"")</f>
        <v>p113-1-01</v>
      </c>
      <c r="F187" s="19"/>
      <c r="G187" s="18"/>
      <c r="H187" s="34" t="str">
        <f ca="1">IFERROR(INDEX(INDIRECT(zoneFichierFiltreCatalogue),S186,6),"")</f>
        <v>fall 2019 presentation_/catalogo fall 19.txt</v>
      </c>
      <c r="R187" s="21"/>
      <c r="S187" s="21"/>
    </row>
    <row r="188" spans="1:20" ht="39" customHeight="1" thickBot="1" x14ac:dyDescent="0.65">
      <c r="A188" s="9" t="str">
        <f ca="1">INDEX(INDIRECT(zoneFichierTraite),$J188+offsetInitialFichierTraite,6)</f>
        <v>UNICA</v>
      </c>
      <c r="B188" s="5" t="str">
        <f ca="1">INDEX(INDIRECT(zoneFichierTraite),$J188+offsetInitialFichierTraite,4)</f>
        <v>OBAGP134-ECSC4-227</v>
      </c>
      <c r="C188" s="26" t="str">
        <f ca="1">INDEX(INDIRECT(zoneFichierTraite),$J188+offsetInitialFichierTraite,5)</f>
        <v>RABAT AVEC BANDEAU O BAG GLAM EN FAUX CUIR EFFET GRIFFE + CLOUS</v>
      </c>
      <c r="D188" s="27" t="str">
        <f ca="1">INDEX(INDIRECT(zoneFichierTraite),$J188+offsetInitialFichierTraite,13)</f>
        <v>bianco/nero</v>
      </c>
      <c r="E188" s="30">
        <f ca="1">INDEX(INDIRECT(zoneFichierTraite),$J188+offsetInitialFichierTraite,7)</f>
        <v>2</v>
      </c>
      <c r="F188" s="28">
        <f ca="1">INDEX(INDIRECT(zoneFichierTraite),$J188+offsetInitialFichierTraite,8)</f>
        <v>20</v>
      </c>
      <c r="G188" s="29">
        <f t="shared" ref="G188:G251" ca="1" si="75">ROUNDUP(F188*3,0)</f>
        <v>60</v>
      </c>
      <c r="H188" s="32" t="str">
        <f ca="1">IF(ISNUMBER(N188),codeEAN13(INT(N188/10)),"")</f>
        <v>8APASOG*ajaega+</v>
      </c>
      <c r="J188" s="15">
        <f t="shared" si="50"/>
        <v>90</v>
      </c>
      <c r="L188" s="5" t="str">
        <f ca="1">INDEX(INDIRECT(zoneFichierTraite),$J188+offsetInitialFichierTraite,1)</f>
        <v>'090</v>
      </c>
      <c r="M188" s="11">
        <f ca="1">INDEX(INDIRECT(zoneFichierTraite),$J188+offsetInitialFichierTraite,9)</f>
        <v>40</v>
      </c>
      <c r="N188" s="14">
        <f ca="1">INDEX(INDIRECT(zoneFichierTraite),$J188+offsetInitialFichierTraite,3)</f>
        <v>8050846090460</v>
      </c>
      <c r="O188" s="1">
        <f ca="1">MATCH(N188,INDIRECT(nomFichierEAN13Valmag &amp; "!A:A"),0)</f>
        <v>730</v>
      </c>
      <c r="P188" s="1">
        <f ca="1">MATCH(R188,INDIRECT(nomFichierEAN13Valmag &amp; "!A:A"),0)</f>
        <v>730</v>
      </c>
      <c r="Q188" s="1">
        <f ca="1">MATCH(LEFT(B188,14) &amp; "*",INDIRECT(nomFichierEAN13Valmag &amp; "!B:B"),0)</f>
        <v>730</v>
      </c>
      <c r="R188" s="14">
        <f ca="1">IFERROR(INDEX(INDIRECT(zoneFichierEAN13Valmag),Q188,1),"")</f>
        <v>8050846090460</v>
      </c>
      <c r="S188" s="1">
        <f ca="1">MATCH(B188,INDIRECT(nomFichierFiltreCatalogue &amp; "!B:B"),0)</f>
        <v>489</v>
      </c>
      <c r="T188" s="14"/>
    </row>
    <row r="189" spans="1:20" s="20" customFormat="1" ht="15.75" customHeight="1" x14ac:dyDescent="0.25">
      <c r="A189" s="25">
        <f ca="1">INDEX(INDIRECT(zoneFichierTraite),$J188+offsetInitialFichierTraite,2)</f>
        <v>137</v>
      </c>
      <c r="B189" s="45" t="str">
        <f ca="1">IF(C189="", IFERROR(INDEX(INDIRECT(zoneFichierEAN13Valmag),$P188,3),""), "")</f>
        <v/>
      </c>
      <c r="C189" s="44" t="str">
        <f ca="1">IFERROR(INDEX(INDIRECT(zoneFichierEAN13Valmag),$O188,3),"")</f>
        <v xml:space="preserve"> </v>
      </c>
      <c r="D189" s="19" t="str">
        <f ca="1">IFERROR(INDEX(INDIRECT(zoneFichierEAN13Valmag),$O188,4),"")</f>
        <v xml:space="preserve"> </v>
      </c>
      <c r="E189" s="33" t="str">
        <f ca="1">IFERROR(INDEX(INDIRECT(zoneFichierFiltreCatalogue),S188,3),"")</f>
        <v>p118-2-01</v>
      </c>
      <c r="F189" s="19"/>
      <c r="G189" s="18"/>
      <c r="H189" s="34" t="str">
        <f ca="1">IFERROR(INDEX(INDIRECT(zoneFichierFiltreCatalogue),S188,6),"")</f>
        <v>fall 2019 presentation_/catalogo fall 19.txt</v>
      </c>
      <c r="R189" s="21"/>
      <c r="S189" s="21"/>
    </row>
    <row r="190" spans="1:20" ht="39" customHeight="1" thickBot="1" x14ac:dyDescent="0.65">
      <c r="A190" s="9" t="str">
        <f ca="1">INDEX(INDIRECT(zoneFichierTraite),$J190+offsetInitialFichierTraite,6)</f>
        <v>UNICA</v>
      </c>
      <c r="B190" s="5" t="str">
        <f ca="1">INDEX(INDIRECT(zoneFichierTraite),$J190+offsetInitialFichierTraite,4)</f>
        <v>OBAGP206-ECS03-067</v>
      </c>
      <c r="C190" s="26" t="str">
        <f ca="1">INDEX(INDIRECT(zoneFichierTraite),$J190+offsetInitialFichierTraite,5)</f>
        <v>RABAT AVEC BOUCLE O POCKET EN FAUX CUIR SUÃˆDE</v>
      </c>
      <c r="D190" s="27" t="str">
        <f ca="1">INDEX(INDIRECT(zoneFichierTraite),$J190+offsetInitialFichierTraite,13)</f>
        <v>phard</v>
      </c>
      <c r="E190" s="30">
        <f ca="1">INDEX(INDIRECT(zoneFichierTraite),$J190+offsetInitialFichierTraite,7)</f>
        <v>2</v>
      </c>
      <c r="F190" s="28">
        <f ca="1">INDEX(INDIRECT(zoneFichierTraite),$J190+offsetInitialFichierTraite,8)</f>
        <v>12.59</v>
      </c>
      <c r="G190" s="29">
        <f t="shared" ref="G190:G253" ca="1" si="76">ROUNDUP(F190*3,0)</f>
        <v>38</v>
      </c>
      <c r="H190" s="32" t="str">
        <f ca="1">IF(ISNUMBER(N190),codeEAN13(INT(N190/10)),"")</f>
        <v>8APASOG*ajcagi+</v>
      </c>
      <c r="J190" s="15">
        <f t="shared" si="50"/>
        <v>91</v>
      </c>
      <c r="L190" s="5" t="str">
        <f ca="1">INDEX(INDIRECT(zoneFichierTraite),$J190+offsetInitialFichierTraite,1)</f>
        <v>'091</v>
      </c>
      <c r="M190" s="11">
        <f ca="1">INDEX(INDIRECT(zoneFichierTraite),$J190+offsetInitialFichierTraite,9)</f>
        <v>25.18</v>
      </c>
      <c r="N190" s="14">
        <f ca="1">INDEX(INDIRECT(zoneFichierTraite),$J190+offsetInitialFichierTraite,3)</f>
        <v>8050846092068</v>
      </c>
      <c r="O190" s="1">
        <f ca="1">MATCH(N190,INDIRECT(nomFichierEAN13Valmag &amp; "!A:A"),0)</f>
        <v>860</v>
      </c>
      <c r="P190" s="1">
        <f ca="1">MATCH(R190,INDIRECT(nomFichierEAN13Valmag &amp; "!A:A"),0)</f>
        <v>859</v>
      </c>
      <c r="Q190" s="1">
        <f ca="1">MATCH(LEFT(B190,14) &amp; "*",INDIRECT(nomFichierEAN13Valmag &amp; "!B:B"),0)</f>
        <v>859</v>
      </c>
      <c r="R190" s="14">
        <f ca="1">IFERROR(INDEX(INDIRECT(zoneFichierEAN13Valmag),Q190,1),"")</f>
        <v>8050846092051</v>
      </c>
      <c r="S190" s="1">
        <f ca="1">MATCH(B190,INDIRECT(nomFichierFiltreCatalogue &amp; "!B:B"),0)</f>
        <v>470</v>
      </c>
      <c r="T190" s="14"/>
    </row>
    <row r="191" spans="1:20" s="20" customFormat="1" ht="15.75" customHeight="1" x14ac:dyDescent="0.25">
      <c r="A191" s="25">
        <f ca="1">INDEX(INDIRECT(zoneFichierTraite),$J190+offsetInitialFichierTraite,2)</f>
        <v>42</v>
      </c>
      <c r="B191" s="45" t="str">
        <f ca="1">IF(C191="", IFERROR(INDEX(INDIRECT(zoneFichierEAN13Valmag),$P190,3),""), "")</f>
        <v/>
      </c>
      <c r="C191" s="44" t="str">
        <f ca="1">IFERROR(INDEX(INDIRECT(zoneFichierEAN13Valmag),$O190,3),"")</f>
        <v xml:space="preserve"> </v>
      </c>
      <c r="D191" s="19" t="str">
        <f ca="1">IFERROR(INDEX(INDIRECT(zoneFichierEAN13Valmag),$O190,4),"")</f>
        <v xml:space="preserve"> </v>
      </c>
      <c r="E191" s="33" t="str">
        <f ca="1">IFERROR(INDEX(INDIRECT(zoneFichierFiltreCatalogue),S190,3),"")</f>
        <v>p114-1-01</v>
      </c>
      <c r="F191" s="19"/>
      <c r="G191" s="18"/>
      <c r="H191" s="34" t="str">
        <f ca="1">IFERROR(INDEX(INDIRECT(zoneFichierFiltreCatalogue),S190,6),"")</f>
        <v>fall 2019 presentation_/catalogo fall 19.txt</v>
      </c>
      <c r="R191" s="21"/>
      <c r="S191" s="21"/>
    </row>
    <row r="192" spans="1:20" ht="39" customHeight="1" thickBot="1" x14ac:dyDescent="0.65">
      <c r="A192" s="9" t="str">
        <f ca="1">INDEX(INDIRECT(zoneFichierTraite),$J192+offsetInitialFichierTraite,6)</f>
        <v>UNICA</v>
      </c>
      <c r="B192" s="5" t="str">
        <f ca="1">INDEX(INDIRECT(zoneFichierTraite),$J192+offsetInitialFichierTraite,4)</f>
        <v>OBAGP206-ECS03-615</v>
      </c>
      <c r="C192" s="26" t="str">
        <f ca="1">INDEX(INDIRECT(zoneFichierTraite),$J192+offsetInitialFichierTraite,5)</f>
        <v>RABAT AVEC BOUCLE O POCKET EN FAUX CUIR SUÃˆDE</v>
      </c>
      <c r="D192" s="27" t="str">
        <f ca="1">INDEX(INDIRECT(zoneFichierTraite),$J192+offsetInitialFichierTraite,13)</f>
        <v>military</v>
      </c>
      <c r="E192" s="30">
        <f ca="1">INDEX(INDIRECT(zoneFichierTraite),$J192+offsetInitialFichierTraite,7)</f>
        <v>2</v>
      </c>
      <c r="F192" s="28">
        <f ca="1">INDEX(INDIRECT(zoneFichierTraite),$J192+offsetInitialFichierTraite,8)</f>
        <v>12.59</v>
      </c>
      <c r="G192" s="29">
        <f t="shared" ref="G192:G255" ca="1" si="77">ROUNDUP(F192*3,0)</f>
        <v>38</v>
      </c>
      <c r="H192" s="32" t="str">
        <f ca="1">IF(ISNUMBER(N192),codeEAN13(INT(N192/10)),"")</f>
        <v>8APASOG*ajcafb+</v>
      </c>
      <c r="J192" s="15">
        <f t="shared" si="50"/>
        <v>92</v>
      </c>
      <c r="L192" s="5" t="str">
        <f ca="1">INDEX(INDIRECT(zoneFichierTraite),$J192+offsetInitialFichierTraite,1)</f>
        <v>'092</v>
      </c>
      <c r="M192" s="11">
        <f ca="1">INDEX(INDIRECT(zoneFichierTraite),$J192+offsetInitialFichierTraite,9)</f>
        <v>25.18</v>
      </c>
      <c r="N192" s="14">
        <f ca="1">INDEX(INDIRECT(zoneFichierTraite),$J192+offsetInitialFichierTraite,3)</f>
        <v>8050846092051</v>
      </c>
      <c r="O192" s="1">
        <f ca="1">MATCH(N192,INDIRECT(nomFichierEAN13Valmag &amp; "!A:A"),0)</f>
        <v>859</v>
      </c>
      <c r="P192" s="1">
        <f ca="1">MATCH(R192,INDIRECT(nomFichierEAN13Valmag &amp; "!A:A"),0)</f>
        <v>859</v>
      </c>
      <c r="Q192" s="1">
        <f ca="1">MATCH(LEFT(B192,14) &amp; "*",INDIRECT(nomFichierEAN13Valmag &amp; "!B:B"),0)</f>
        <v>859</v>
      </c>
      <c r="R192" s="14">
        <f ca="1">IFERROR(INDEX(INDIRECT(zoneFichierEAN13Valmag),Q192,1),"")</f>
        <v>8050846092051</v>
      </c>
      <c r="S192" s="1">
        <f ca="1">MATCH(B192,INDIRECT(nomFichierFiltreCatalogue &amp; "!B:B"),0)</f>
        <v>471</v>
      </c>
      <c r="T192" s="14"/>
    </row>
    <row r="193" spans="1:20" s="20" customFormat="1" ht="15.75" customHeight="1" x14ac:dyDescent="0.25">
      <c r="A193" s="25">
        <f ca="1">INDEX(INDIRECT(zoneFichierTraite),$J192+offsetInitialFichierTraite,2)</f>
        <v>66</v>
      </c>
      <c r="B193" s="45" t="str">
        <f ca="1">IF(C193="", IFERROR(INDEX(INDIRECT(zoneFichierEAN13Valmag),$P192,3),""), "")</f>
        <v/>
      </c>
      <c r="C193" s="44" t="str">
        <f ca="1">IFERROR(INDEX(INDIRECT(zoneFichierEAN13Valmag),$O192,3),"")</f>
        <v xml:space="preserve"> </v>
      </c>
      <c r="D193" s="19" t="str">
        <f ca="1">IFERROR(INDEX(INDIRECT(zoneFichierEAN13Valmag),$O192,4),"")</f>
        <v xml:space="preserve"> </v>
      </c>
      <c r="E193" s="33" t="str">
        <f ca="1">IFERROR(INDEX(INDIRECT(zoneFichierFiltreCatalogue),S192,3),"")</f>
        <v>p114-1-02</v>
      </c>
      <c r="F193" s="19"/>
      <c r="G193" s="18"/>
      <c r="H193" s="34" t="str">
        <f ca="1">IFERROR(INDEX(INDIRECT(zoneFichierFiltreCatalogue),S192,6),"")</f>
        <v>fall 2019 presentation_/catalogo fall 19.txt</v>
      </c>
      <c r="R193" s="21"/>
      <c r="S193" s="21"/>
    </row>
    <row r="194" spans="1:20" ht="39" customHeight="1" thickBot="1" x14ac:dyDescent="0.65">
      <c r="A194" s="9" t="str">
        <f ca="1">INDEX(INDIRECT(zoneFichierTraite),$J194+offsetInitialFichierTraite,6)</f>
        <v>UNICA</v>
      </c>
      <c r="B194" s="5" t="str">
        <f ca="1">INDEX(INDIRECT(zoneFichierTraite),$J194+offsetInitialFichierTraite,4)</f>
        <v>OBAGP206-ECS29-017</v>
      </c>
      <c r="C194" s="26" t="str">
        <f ca="1">INDEX(INDIRECT(zoneFichierTraite),$J194+offsetInitialFichierTraite,5)</f>
        <v>RABAT AVEC BOUCLE O POCKET EN FAUX CUIR IMPRIME COCO</v>
      </c>
      <c r="D194" s="27" t="str">
        <f ca="1">INDEX(INDIRECT(zoneFichierTraite),$J194+offsetInitialFichierTraite,13)</f>
        <v>blu navy</v>
      </c>
      <c r="E194" s="30">
        <f ca="1">INDEX(INDIRECT(zoneFichierTraite),$J194+offsetInitialFichierTraite,7)</f>
        <v>2</v>
      </c>
      <c r="F194" s="28">
        <f ca="1">INDEX(INDIRECT(zoneFichierTraite),$J194+offsetInitialFichierTraite,8)</f>
        <v>13.33</v>
      </c>
      <c r="G194" s="29">
        <f t="shared" ref="G194:G257" ca="1" si="78">ROUNDUP(F194*3,0)</f>
        <v>40</v>
      </c>
      <c r="H194" s="32" t="str">
        <f ca="1">IF(ISNUMBER(N194),codeEAN13(INT(N194/10)),"")</f>
        <v>8APASOG*ajcadh+</v>
      </c>
      <c r="J194" s="15">
        <f t="shared" si="50"/>
        <v>93</v>
      </c>
      <c r="L194" s="5" t="str">
        <f ca="1">INDEX(INDIRECT(zoneFichierTraite),$J194+offsetInitialFichierTraite,1)</f>
        <v>'093</v>
      </c>
      <c r="M194" s="11">
        <f ca="1">INDEX(INDIRECT(zoneFichierTraite),$J194+offsetInitialFichierTraite,9)</f>
        <v>26.66</v>
      </c>
      <c r="N194" s="14">
        <f ca="1">INDEX(INDIRECT(zoneFichierTraite),$J194+offsetInitialFichierTraite,3)</f>
        <v>8050846092037</v>
      </c>
      <c r="O194" s="1">
        <f ca="1">MATCH(N194,INDIRECT(nomFichierEAN13Valmag &amp; "!A:A"),0)</f>
        <v>857</v>
      </c>
      <c r="P194" s="1">
        <f ca="1">MATCH(R194,INDIRECT(nomFichierEAN13Valmag &amp; "!A:A"),0)</f>
        <v>857</v>
      </c>
      <c r="Q194" s="1">
        <f ca="1">MATCH(LEFT(B194,14) &amp; "*",INDIRECT(nomFichierEAN13Valmag &amp; "!B:B"),0)</f>
        <v>857</v>
      </c>
      <c r="R194" s="14">
        <f ca="1">IFERROR(INDEX(INDIRECT(zoneFichierEAN13Valmag),Q194,1),"")</f>
        <v>8050846092037</v>
      </c>
      <c r="S194" s="1">
        <f ca="1">MATCH(B194,INDIRECT(nomFichierFiltreCatalogue &amp; "!B:B"),0)</f>
        <v>472</v>
      </c>
      <c r="T194" s="14"/>
    </row>
    <row r="195" spans="1:20" s="20" customFormat="1" ht="15.75" customHeight="1" x14ac:dyDescent="0.25">
      <c r="A195" s="25">
        <f ca="1">INDEX(INDIRECT(zoneFichierTraite),$J194+offsetInitialFichierTraite,2)</f>
        <v>26</v>
      </c>
      <c r="B195" s="45" t="str">
        <f ca="1">IF(C195="", IFERROR(INDEX(INDIRECT(zoneFichierEAN13Valmag),$P194,3),""), "")</f>
        <v/>
      </c>
      <c r="C195" s="44" t="str">
        <f ca="1">IFERROR(INDEX(INDIRECT(zoneFichierEAN13Valmag),$O194,3),"")</f>
        <v xml:space="preserve"> </v>
      </c>
      <c r="D195" s="19" t="str">
        <f ca="1">IFERROR(INDEX(INDIRECT(zoneFichierEAN13Valmag),$O194,4),"")</f>
        <v xml:space="preserve"> </v>
      </c>
      <c r="E195" s="33" t="str">
        <f ca="1">IFERROR(INDEX(INDIRECT(zoneFichierFiltreCatalogue),S194,3),"")</f>
        <v>p114-2-01</v>
      </c>
      <c r="F195" s="19"/>
      <c r="G195" s="18"/>
      <c r="H195" s="34" t="str">
        <f ca="1">IFERROR(INDEX(INDIRECT(zoneFichierFiltreCatalogue),S194,6),"")</f>
        <v>fall 2019 presentation_/catalogo fall 19.txt</v>
      </c>
      <c r="R195" s="21"/>
      <c r="S195" s="21"/>
    </row>
    <row r="196" spans="1:20" ht="39" customHeight="1" thickBot="1" x14ac:dyDescent="0.65">
      <c r="A196" s="9" t="str">
        <f ca="1">INDEX(INDIRECT(zoneFichierTraite),$J196+offsetInitialFichierTraite,6)</f>
        <v>UNICA</v>
      </c>
      <c r="B196" s="5" t="str">
        <f ca="1">INDEX(INDIRECT(zoneFichierTraite),$J196+offsetInitialFichierTraite,4)</f>
        <v>OBAGP206-ECS29-084</v>
      </c>
      <c r="C196" s="26" t="str">
        <f ca="1">INDEX(INDIRECT(zoneFichierTraite),$J196+offsetInitialFichierTraite,5)</f>
        <v>RABAT AVEC BOUCLE O POCKET EN FAUX CUIR IMPRIME COCO</v>
      </c>
      <c r="D196" s="27" t="str">
        <f ca="1">INDEX(INDIRECT(zoneFichierTraite),$J196+offsetInitialFichierTraite,13)</f>
        <v>testa di moro</v>
      </c>
      <c r="E196" s="30">
        <f ca="1">INDEX(INDIRECT(zoneFichierTraite),$J196+offsetInitialFichierTraite,7)</f>
        <v>2</v>
      </c>
      <c r="F196" s="28">
        <f ca="1">INDEX(INDIRECT(zoneFichierTraite),$J196+offsetInitialFichierTraite,8)</f>
        <v>13.33</v>
      </c>
      <c r="G196" s="29">
        <f t="shared" ref="G196:G259" ca="1" si="79">ROUNDUP(F196*3,0)</f>
        <v>40</v>
      </c>
      <c r="H196" s="32" t="str">
        <f ca="1">IF(ISNUMBER(N196),codeEAN13(INT(N196/10)),"")</f>
        <v>8APASOG*ajcaee+</v>
      </c>
      <c r="J196" s="15">
        <f t="shared" si="50"/>
        <v>94</v>
      </c>
      <c r="L196" s="5" t="str">
        <f ca="1">INDEX(INDIRECT(zoneFichierTraite),$J196+offsetInitialFichierTraite,1)</f>
        <v>'094</v>
      </c>
      <c r="M196" s="11">
        <f ca="1">INDEX(INDIRECT(zoneFichierTraite),$J196+offsetInitialFichierTraite,9)</f>
        <v>26.66</v>
      </c>
      <c r="N196" s="14">
        <f ca="1">INDEX(INDIRECT(zoneFichierTraite),$J196+offsetInitialFichierTraite,3)</f>
        <v>8050846092044</v>
      </c>
      <c r="O196" s="1">
        <f ca="1">MATCH(N196,INDIRECT(nomFichierEAN13Valmag &amp; "!A:A"),0)</f>
        <v>858</v>
      </c>
      <c r="P196" s="1">
        <f ca="1">MATCH(R196,INDIRECT(nomFichierEAN13Valmag &amp; "!A:A"),0)</f>
        <v>857</v>
      </c>
      <c r="Q196" s="1">
        <f ca="1">MATCH(LEFT(B196,14) &amp; "*",INDIRECT(nomFichierEAN13Valmag &amp; "!B:B"),0)</f>
        <v>857</v>
      </c>
      <c r="R196" s="14">
        <f ca="1">IFERROR(INDEX(INDIRECT(zoneFichierEAN13Valmag),Q196,1),"")</f>
        <v>8050846092037</v>
      </c>
      <c r="S196" s="1">
        <f ca="1">MATCH(B196,INDIRECT(nomFichierFiltreCatalogue &amp; "!B:B"),0)</f>
        <v>473</v>
      </c>
      <c r="T196" s="14"/>
    </row>
    <row r="197" spans="1:20" s="20" customFormat="1" ht="15.75" customHeight="1" x14ac:dyDescent="0.25">
      <c r="A197" s="25">
        <f ca="1">INDEX(INDIRECT(zoneFichierTraite),$J196+offsetInitialFichierTraite,2)</f>
        <v>100</v>
      </c>
      <c r="B197" s="45" t="str">
        <f ca="1">IF(C197="", IFERROR(INDEX(INDIRECT(zoneFichierEAN13Valmag),$P196,3),""), "")</f>
        <v/>
      </c>
      <c r="C197" s="44" t="str">
        <f ca="1">IFERROR(INDEX(INDIRECT(zoneFichierEAN13Valmag),$O196,3),"")</f>
        <v xml:space="preserve"> </v>
      </c>
      <c r="D197" s="19" t="str">
        <f ca="1">IFERROR(INDEX(INDIRECT(zoneFichierEAN13Valmag),$O196,4),"")</f>
        <v xml:space="preserve"> </v>
      </c>
      <c r="E197" s="33" t="str">
        <f ca="1">IFERROR(INDEX(INDIRECT(zoneFichierFiltreCatalogue),S196,3),"")</f>
        <v>p114-2-02</v>
      </c>
      <c r="F197" s="19"/>
      <c r="G197" s="18"/>
      <c r="H197" s="34" t="str">
        <f ca="1">IFERROR(INDEX(INDIRECT(zoneFichierFiltreCatalogue),S196,6),"")</f>
        <v>fall 2019 presentation_/catalogo fall 19.txt</v>
      </c>
      <c r="R197" s="21"/>
      <c r="S197" s="21"/>
    </row>
    <row r="198" spans="1:20" ht="39" customHeight="1" thickBot="1" x14ac:dyDescent="0.65">
      <c r="A198" s="9" t="str">
        <f ca="1">INDEX(INDIRECT(zoneFichierTraite),$J198+offsetInitialFichierTraite,6)</f>
        <v>UNICA</v>
      </c>
      <c r="B198" s="5" t="str">
        <f ca="1">INDEX(INDIRECT(zoneFichierTraite),$J198+offsetInitialFichierTraite,4)</f>
        <v>OBAGPA06-ECSC8-055</v>
      </c>
      <c r="C198" s="26" t="str">
        <f ca="1">INDEX(INDIRECT(zoneFichierTraite),$J198+offsetInitialFichierTraite,5)</f>
        <v>RABAT TOURNIQUET O POCKET EN FAUX CUIR ACTIVE STRIPES</v>
      </c>
      <c r="D198" s="27" t="str">
        <f ca="1">INDEX(INDIRECT(zoneFichierTraite),$J198+offsetInitialFichierTraite,13)</f>
        <v>nero</v>
      </c>
      <c r="E198" s="30">
        <f ca="1">INDEX(INDIRECT(zoneFichierTraite),$J198+offsetInitialFichierTraite,7)</f>
        <v>2</v>
      </c>
      <c r="F198" s="28">
        <f ca="1">INDEX(INDIRECT(zoneFichierTraite),$J198+offsetInitialFichierTraite,8)</f>
        <v>11.85</v>
      </c>
      <c r="G198" s="29">
        <f t="shared" ref="G198:G261" ca="1" si="80">ROUNDUP(F198*3,0)</f>
        <v>36</v>
      </c>
      <c r="H198" s="32" t="str">
        <f ca="1">IF(ISNUMBER(N198),codeEAN13(INT(N198/10)),"")</f>
        <v>8APASOG*ajcajj+</v>
      </c>
      <c r="J198" s="15">
        <f t="shared" si="50"/>
        <v>95</v>
      </c>
      <c r="L198" s="5" t="str">
        <f ca="1">INDEX(INDIRECT(zoneFichierTraite),$J198+offsetInitialFichierTraite,1)</f>
        <v>'095</v>
      </c>
      <c r="M198" s="11">
        <f ca="1">INDEX(INDIRECT(zoneFichierTraite),$J198+offsetInitialFichierTraite,9)</f>
        <v>23.7</v>
      </c>
      <c r="N198" s="14">
        <f ca="1">INDEX(INDIRECT(zoneFichierTraite),$J198+offsetInitialFichierTraite,3)</f>
        <v>8050846092099</v>
      </c>
      <c r="O198" s="1">
        <f ca="1">MATCH(N198,INDIRECT(nomFichierEAN13Valmag &amp; "!A:A"),0)</f>
        <v>862</v>
      </c>
      <c r="P198" s="1">
        <f ca="1">MATCH(R198,INDIRECT(nomFichierEAN13Valmag &amp; "!A:A"),0)</f>
        <v>861</v>
      </c>
      <c r="Q198" s="1">
        <f ca="1">MATCH(LEFT(B198,14) &amp; "*",INDIRECT(nomFichierEAN13Valmag &amp; "!B:B"),0)</f>
        <v>861</v>
      </c>
      <c r="R198" s="14">
        <f ca="1">IFERROR(INDEX(INDIRECT(zoneFichierEAN13Valmag),Q198,1),"")</f>
        <v>8050846092082</v>
      </c>
      <c r="S198" s="1">
        <f ca="1">MATCH(B198,INDIRECT(nomFichierFiltreCatalogue &amp; "!B:B"),0)</f>
        <v>468</v>
      </c>
      <c r="T198" s="14"/>
    </row>
    <row r="199" spans="1:20" s="20" customFormat="1" ht="15.75" customHeight="1" x14ac:dyDescent="0.25">
      <c r="A199" s="25">
        <f ca="1">INDEX(INDIRECT(zoneFichierTraite),$J198+offsetInitialFichierTraite,2)</f>
        <v>166</v>
      </c>
      <c r="B199" s="45" t="str">
        <f ca="1">IF(C199="", IFERROR(INDEX(INDIRECT(zoneFichierEAN13Valmag),$P198,3),""), "")</f>
        <v/>
      </c>
      <c r="C199" s="44" t="str">
        <f ca="1">IFERROR(INDEX(INDIRECT(zoneFichierEAN13Valmag),$O198,3),"")</f>
        <v xml:space="preserve"> </v>
      </c>
      <c r="D199" s="19" t="str">
        <f ca="1">IFERROR(INDEX(INDIRECT(zoneFichierEAN13Valmag),$O198,4),"")</f>
        <v xml:space="preserve"> </v>
      </c>
      <c r="E199" s="33" t="str">
        <f ca="1">IFERROR(INDEX(INDIRECT(zoneFichierFiltreCatalogue),S198,3),"")</f>
        <v>p113-2-01</v>
      </c>
      <c r="F199" s="19"/>
      <c r="G199" s="18"/>
      <c r="H199" s="34" t="str">
        <f ca="1">IFERROR(INDEX(INDIRECT(zoneFichierFiltreCatalogue),S198,6),"")</f>
        <v>fall 2019 presentation_/catalogo fall 19.txt</v>
      </c>
      <c r="R199" s="21"/>
      <c r="S199" s="21"/>
    </row>
    <row r="200" spans="1:20" ht="39" customHeight="1" thickBot="1" x14ac:dyDescent="0.65">
      <c r="A200" s="9" t="str">
        <f ca="1">INDEX(INDIRECT(zoneFichierTraite),$J200+offsetInitialFichierTraite,6)</f>
        <v>UNICA</v>
      </c>
      <c r="B200" s="5" t="str">
        <f ca="1">INDEX(INDIRECT(zoneFichierTraite),$J200+offsetInitialFichierTraite,4)</f>
        <v>OBAGPA06-ECSC8-137</v>
      </c>
      <c r="C200" s="26" t="str">
        <f ca="1">INDEX(INDIRECT(zoneFichierTraite),$J200+offsetInitialFichierTraite,5)</f>
        <v>RABAT TOURNIQUET O POCKET EN FAUX CUIR ACTIVE STRIPES</v>
      </c>
      <c r="D200" s="27" t="str">
        <f ca="1">INDEX(INDIRECT(zoneFichierTraite),$J200+offsetInitialFichierTraite,13)</f>
        <v>bluette</v>
      </c>
      <c r="E200" s="30">
        <f ca="1">INDEX(INDIRECT(zoneFichierTraite),$J200+offsetInitialFichierTraite,7)</f>
        <v>2</v>
      </c>
      <c r="F200" s="28">
        <f ca="1">INDEX(INDIRECT(zoneFichierTraite),$J200+offsetInitialFichierTraite,8)</f>
        <v>11.85</v>
      </c>
      <c r="G200" s="29">
        <f t="shared" ref="G200:G263" ca="1" si="81">ROUNDUP(F200*3,0)</f>
        <v>36</v>
      </c>
      <c r="H200" s="32" t="str">
        <f ca="1">IF(ISNUMBER(N200),codeEAN13(INT(N200/10)),"")</f>
        <v>8APASOG*ajcaic+</v>
      </c>
      <c r="J200" s="15">
        <f t="shared" si="50"/>
        <v>96</v>
      </c>
      <c r="L200" s="5" t="str">
        <f ca="1">INDEX(INDIRECT(zoneFichierTraite),$J200+offsetInitialFichierTraite,1)</f>
        <v>'096</v>
      </c>
      <c r="M200" s="11">
        <f ca="1">INDEX(INDIRECT(zoneFichierTraite),$J200+offsetInitialFichierTraite,9)</f>
        <v>23.7</v>
      </c>
      <c r="N200" s="14">
        <f ca="1">INDEX(INDIRECT(zoneFichierTraite),$J200+offsetInitialFichierTraite,3)</f>
        <v>8050846092082</v>
      </c>
      <c r="O200" s="1">
        <f ca="1">MATCH(N200,INDIRECT(nomFichierEAN13Valmag &amp; "!A:A"),0)</f>
        <v>861</v>
      </c>
      <c r="P200" s="1">
        <f ca="1">MATCH(R200,INDIRECT(nomFichierEAN13Valmag &amp; "!A:A"),0)</f>
        <v>861</v>
      </c>
      <c r="Q200" s="1">
        <f ca="1">MATCH(LEFT(B200,14) &amp; "*",INDIRECT(nomFichierEAN13Valmag &amp; "!B:B"),0)</f>
        <v>861</v>
      </c>
      <c r="R200" s="14">
        <f ca="1">IFERROR(INDEX(INDIRECT(zoneFichierEAN13Valmag),Q200,1),"")</f>
        <v>8050846092082</v>
      </c>
      <c r="S200" s="1">
        <f ca="1">MATCH(B200,INDIRECT(nomFichierFiltreCatalogue &amp; "!B:B"),0)</f>
        <v>469</v>
      </c>
      <c r="T200" s="14"/>
    </row>
    <row r="201" spans="1:20" s="20" customFormat="1" ht="15.75" customHeight="1" x14ac:dyDescent="0.25">
      <c r="A201" s="25">
        <f ca="1">INDEX(INDIRECT(zoneFichierTraite),$J200+offsetInitialFichierTraite,2)</f>
        <v>150</v>
      </c>
      <c r="B201" s="45" t="str">
        <f ca="1">IF(C201="", IFERROR(INDEX(INDIRECT(zoneFichierEAN13Valmag),$P200,3),""), "")</f>
        <v/>
      </c>
      <c r="C201" s="44" t="str">
        <f ca="1">IFERROR(INDEX(INDIRECT(zoneFichierEAN13Valmag),$O200,3),"")</f>
        <v xml:space="preserve"> </v>
      </c>
      <c r="D201" s="19" t="str">
        <f ca="1">IFERROR(INDEX(INDIRECT(zoneFichierEAN13Valmag),$O200,4),"")</f>
        <v xml:space="preserve"> </v>
      </c>
      <c r="E201" s="33" t="str">
        <f ca="1">IFERROR(INDEX(INDIRECT(zoneFichierFiltreCatalogue),S200,3),"")</f>
        <v>p113-2-02</v>
      </c>
      <c r="F201" s="19"/>
      <c r="G201" s="18"/>
      <c r="H201" s="34" t="str">
        <f ca="1">IFERROR(INDEX(INDIRECT(zoneFichierFiltreCatalogue),S200,6),"")</f>
        <v>fall 2019 presentation_/catalogo fall 19.txt</v>
      </c>
      <c r="R201" s="21"/>
      <c r="S201" s="21"/>
    </row>
    <row r="202" spans="1:20" ht="39" customHeight="1" thickBot="1" x14ac:dyDescent="0.65">
      <c r="A202" s="9" t="str">
        <f ca="1">INDEX(INDIRECT(zoneFichierTraite),$J202+offsetInitialFichierTraite,6)</f>
        <v>UNICA</v>
      </c>
      <c r="B202" s="5" t="str">
        <f ca="1">INDEX(INDIRECT(zoneFichierTraite),$J202+offsetInitialFichierTraite,4)</f>
        <v>OBAGPB34-ECS29-017</v>
      </c>
      <c r="C202" s="26" t="str">
        <f ca="1">INDEX(INDIRECT(zoneFichierTraite),$J202+offsetInitialFichierTraite,5)</f>
        <v>RABAT BASIC O BAG GLAM EN FAUX CUIR IMPRIME COCO</v>
      </c>
      <c r="D202" s="27" t="str">
        <f ca="1">INDEX(INDIRECT(zoneFichierTraite),$J202+offsetInitialFichierTraite,13)</f>
        <v>blu navy</v>
      </c>
      <c r="E202" s="30">
        <f ca="1">INDEX(INDIRECT(zoneFichierTraite),$J202+offsetInitialFichierTraite,7)</f>
        <v>1</v>
      </c>
      <c r="F202" s="28">
        <f ca="1">INDEX(INDIRECT(zoneFichierTraite),$J202+offsetInitialFichierTraite,8)</f>
        <v>12.59</v>
      </c>
      <c r="G202" s="29">
        <f t="shared" ref="G202:G265" ca="1" si="82">ROUNDUP(F202*3,0)</f>
        <v>38</v>
      </c>
      <c r="H202" s="32" t="str">
        <f ca="1">IF(ISNUMBER(N202),codeEAN13(INT(N202/10)),"")</f>
        <v>8APASOG*ajaeie+</v>
      </c>
      <c r="J202" s="15">
        <f t="shared" ref="J202:J264" si="83">J200+1</f>
        <v>97</v>
      </c>
      <c r="L202" s="5" t="str">
        <f ca="1">INDEX(INDIRECT(zoneFichierTraite),$J202+offsetInitialFichierTraite,1)</f>
        <v>'097</v>
      </c>
      <c r="M202" s="11">
        <f ca="1">INDEX(INDIRECT(zoneFichierTraite),$J202+offsetInitialFichierTraite,9)</f>
        <v>12.59</v>
      </c>
      <c r="N202" s="14">
        <f ca="1">INDEX(INDIRECT(zoneFichierTraite),$J202+offsetInitialFichierTraite,3)</f>
        <v>8050846090484</v>
      </c>
      <c r="O202" s="1">
        <f ca="1">MATCH(N202,INDIRECT(nomFichierEAN13Valmag &amp; "!A:A"),0)</f>
        <v>732</v>
      </c>
      <c r="P202" s="1">
        <f ca="1">MATCH(R202,INDIRECT(nomFichierEAN13Valmag &amp; "!A:A"),0)</f>
        <v>731</v>
      </c>
      <c r="Q202" s="1">
        <f ca="1">MATCH(LEFT(B202,14) &amp; "*",INDIRECT(nomFichierEAN13Valmag &amp; "!B:B"),0)</f>
        <v>731</v>
      </c>
      <c r="R202" s="14">
        <f ca="1">IFERROR(INDEX(INDIRECT(zoneFichierEAN13Valmag),Q202,1),"")</f>
        <v>8050846090477</v>
      </c>
      <c r="S202" s="1">
        <f ca="1">MATCH(B202,INDIRECT(nomFichierFiltreCatalogue &amp; "!B:B"),0)</f>
        <v>494</v>
      </c>
      <c r="T202" s="14"/>
    </row>
    <row r="203" spans="1:20" s="20" customFormat="1" ht="15.75" customHeight="1" x14ac:dyDescent="0.25">
      <c r="A203" s="25">
        <f ca="1">INDEX(INDIRECT(zoneFichierTraite),$J202+offsetInitialFichierTraite,2)</f>
        <v>21</v>
      </c>
      <c r="B203" s="45" t="str">
        <f ca="1">IF(C203="", IFERROR(INDEX(INDIRECT(zoneFichierEAN13Valmag),$P202,3),""), "")</f>
        <v/>
      </c>
      <c r="C203" s="44" t="str">
        <f ca="1">IFERROR(INDEX(INDIRECT(zoneFichierEAN13Valmag),$O202,3),"")</f>
        <v xml:space="preserve"> </v>
      </c>
      <c r="D203" s="19" t="str">
        <f ca="1">IFERROR(INDEX(INDIRECT(zoneFichierEAN13Valmag),$O202,4),"")</f>
        <v xml:space="preserve"> </v>
      </c>
      <c r="E203" s="33" t="str">
        <f ca="1">IFERROR(INDEX(INDIRECT(zoneFichierFiltreCatalogue),S202,3),"")</f>
        <v>p120-1-01</v>
      </c>
      <c r="F203" s="19"/>
      <c r="G203" s="18"/>
      <c r="H203" s="34" t="str">
        <f ca="1">IFERROR(INDEX(INDIRECT(zoneFichierFiltreCatalogue),S202,6),"")</f>
        <v>fall 2019 presentation_/catalogo fall 19.txt</v>
      </c>
      <c r="R203" s="21"/>
      <c r="S203" s="21"/>
    </row>
    <row r="204" spans="1:20" ht="39" customHeight="1" thickBot="1" x14ac:dyDescent="0.65">
      <c r="A204" s="9" t="str">
        <f ca="1">INDEX(INDIRECT(zoneFichierTraite),$J204+offsetInitialFichierTraite,6)</f>
        <v>UNICA</v>
      </c>
      <c r="B204" s="5" t="str">
        <f ca="1">INDEX(INDIRECT(zoneFichierTraite),$J204+offsetInitialFichierTraite,4)</f>
        <v>OBAGPB34-ECS29-084</v>
      </c>
      <c r="C204" s="26" t="str">
        <f ca="1">INDEX(INDIRECT(zoneFichierTraite),$J204+offsetInitialFichierTraite,5)</f>
        <v>RABAT BASIC O BAG GLAM EN FAUX CUIR IMPRIME COCO</v>
      </c>
      <c r="D204" s="27" t="str">
        <f ca="1">INDEX(INDIRECT(zoneFichierTraite),$J204+offsetInitialFichierTraite,13)</f>
        <v>testa di moro</v>
      </c>
      <c r="E204" s="30">
        <f ca="1">INDEX(INDIRECT(zoneFichierTraite),$J204+offsetInitialFichierTraite,7)</f>
        <v>1</v>
      </c>
      <c r="F204" s="28">
        <f ca="1">INDEX(INDIRECT(zoneFichierTraite),$J204+offsetInitialFichierTraite,8)</f>
        <v>12.59</v>
      </c>
      <c r="G204" s="29">
        <f t="shared" ref="G204:G267" ca="1" si="84">ROUNDUP(F204*3,0)</f>
        <v>38</v>
      </c>
      <c r="H204" s="32" t="str">
        <f ca="1">IF(ISNUMBER(N204),codeEAN13(INT(N204/10)),"")</f>
        <v>8APASOG*ajaehh+</v>
      </c>
      <c r="J204" s="15">
        <f t="shared" si="83"/>
        <v>98</v>
      </c>
      <c r="L204" s="5" t="str">
        <f ca="1">INDEX(INDIRECT(zoneFichierTraite),$J204+offsetInitialFichierTraite,1)</f>
        <v>'098</v>
      </c>
      <c r="M204" s="11">
        <f ca="1">INDEX(INDIRECT(zoneFichierTraite),$J204+offsetInitialFichierTraite,9)</f>
        <v>12.59</v>
      </c>
      <c r="N204" s="14">
        <f ca="1">INDEX(INDIRECT(zoneFichierTraite),$J204+offsetInitialFichierTraite,3)</f>
        <v>8050846090477</v>
      </c>
      <c r="O204" s="1">
        <f ca="1">MATCH(N204,INDIRECT(nomFichierEAN13Valmag &amp; "!A:A"),0)</f>
        <v>731</v>
      </c>
      <c r="P204" s="1">
        <f ca="1">MATCH(R204,INDIRECT(nomFichierEAN13Valmag &amp; "!A:A"),0)</f>
        <v>731</v>
      </c>
      <c r="Q204" s="1">
        <f ca="1">MATCH(LEFT(B204,14) &amp; "*",INDIRECT(nomFichierEAN13Valmag &amp; "!B:B"),0)</f>
        <v>731</v>
      </c>
      <c r="R204" s="14">
        <f ca="1">IFERROR(INDEX(INDIRECT(zoneFichierEAN13Valmag),Q204,1),"")</f>
        <v>8050846090477</v>
      </c>
      <c r="S204" s="1">
        <f ca="1">MATCH(B204,INDIRECT(nomFichierFiltreCatalogue &amp; "!B:B"),0)</f>
        <v>495</v>
      </c>
      <c r="T204" s="14"/>
    </row>
    <row r="205" spans="1:20" s="20" customFormat="1" ht="15.75" customHeight="1" x14ac:dyDescent="0.25">
      <c r="A205" s="25">
        <f ca="1">INDEX(INDIRECT(zoneFichierTraite),$J204+offsetInitialFichierTraite,2)</f>
        <v>105</v>
      </c>
      <c r="B205" s="45" t="str">
        <f ca="1">IF(C205="", IFERROR(INDEX(INDIRECT(zoneFichierEAN13Valmag),$P204,3),""), "")</f>
        <v/>
      </c>
      <c r="C205" s="44" t="str">
        <f ca="1">IFERROR(INDEX(INDIRECT(zoneFichierEAN13Valmag),$O204,3),"")</f>
        <v xml:space="preserve"> </v>
      </c>
      <c r="D205" s="19" t="str">
        <f ca="1">IFERROR(INDEX(INDIRECT(zoneFichierEAN13Valmag),$O204,4),"")</f>
        <v xml:space="preserve"> </v>
      </c>
      <c r="E205" s="33" t="str">
        <f ca="1">IFERROR(INDEX(INDIRECT(zoneFichierFiltreCatalogue),S204,3),"")</f>
        <v>p120-1-02</v>
      </c>
      <c r="F205" s="19"/>
      <c r="G205" s="18"/>
      <c r="H205" s="34" t="str">
        <f ca="1">IFERROR(INDEX(INDIRECT(zoneFichierFiltreCatalogue),S204,6),"")</f>
        <v>fall 2019 presentation_/catalogo fall 19.txt</v>
      </c>
      <c r="R205" s="21"/>
      <c r="S205" s="21"/>
    </row>
    <row r="206" spans="1:20" ht="39" customHeight="1" thickBot="1" x14ac:dyDescent="0.65">
      <c r="A206" s="9" t="str">
        <f ca="1">INDEX(INDIRECT(zoneFichierTraite),$J206+offsetInitialFichierTraite,6)</f>
        <v>UNICA</v>
      </c>
      <c r="B206" s="5" t="str">
        <f ca="1">INDEX(INDIRECT(zoneFichierTraite),$J206+offsetInitialFichierTraite,4)</f>
        <v>OBAGPB34-ECSD5-137</v>
      </c>
      <c r="C206" s="26" t="str">
        <f ca="1">INDEX(INDIRECT(zoneFichierTraite),$J206+offsetInitialFichierTraite,5)</f>
        <v>RABAT BASIC O BAG GLAM EN FAUX CUIR IMPRIME PATCH ACTIVE</v>
      </c>
      <c r="D206" s="27" t="str">
        <f ca="1">INDEX(INDIRECT(zoneFichierTraite),$J206+offsetInitialFichierTraite,13)</f>
        <v>bluette</v>
      </c>
      <c r="E206" s="30">
        <f ca="1">INDEX(INDIRECT(zoneFichierTraite),$J206+offsetInitialFichierTraite,7)</f>
        <v>1</v>
      </c>
      <c r="F206" s="28">
        <f ca="1">INDEX(INDIRECT(zoneFichierTraite),$J206+offsetInitialFichierTraite,8)</f>
        <v>13.33</v>
      </c>
      <c r="G206" s="29">
        <f t="shared" ref="G206:G269" ca="1" si="85">ROUNDUP(F206*3,0)</f>
        <v>40</v>
      </c>
      <c r="H206" s="32" t="str">
        <f ca="1">IF(ISNUMBER(N206),codeEAN13(INT(N206/10)),"")</f>
        <v>8APASOG*ajaeai+</v>
      </c>
      <c r="J206" s="15">
        <f t="shared" si="83"/>
        <v>99</v>
      </c>
      <c r="L206" s="5" t="str">
        <f ca="1">INDEX(INDIRECT(zoneFichierTraite),$J206+offsetInitialFichierTraite,1)</f>
        <v>'099</v>
      </c>
      <c r="M206" s="11">
        <f ca="1">INDEX(INDIRECT(zoneFichierTraite),$J206+offsetInitialFichierTraite,9)</f>
        <v>13.33</v>
      </c>
      <c r="N206" s="14">
        <f ca="1">INDEX(INDIRECT(zoneFichierTraite),$J206+offsetInitialFichierTraite,3)</f>
        <v>8050846090408</v>
      </c>
      <c r="O206" s="1">
        <f ca="1">MATCH(N206,INDIRECT(nomFichierEAN13Valmag &amp; "!A:A"),0)</f>
        <v>724</v>
      </c>
      <c r="P206" s="1">
        <f ca="1">MATCH(R206,INDIRECT(nomFichierEAN13Valmag &amp; "!A:A"),0)</f>
        <v>724</v>
      </c>
      <c r="Q206" s="1">
        <f ca="1">MATCH(LEFT(B206,14) &amp; "*",INDIRECT(nomFichierEAN13Valmag &amp; "!B:B"),0)</f>
        <v>724</v>
      </c>
      <c r="R206" s="14">
        <f ca="1">IFERROR(INDEX(INDIRECT(zoneFichierEAN13Valmag),Q206,1),"")</f>
        <v>8050846090408</v>
      </c>
      <c r="S206" s="1">
        <f ca="1">MATCH(B206,INDIRECT(nomFichierFiltreCatalogue &amp; "!B:B"),0)</f>
        <v>490</v>
      </c>
      <c r="T206" s="14"/>
    </row>
    <row r="207" spans="1:20" s="20" customFormat="1" ht="15.75" customHeight="1" x14ac:dyDescent="0.25">
      <c r="A207" s="25">
        <f ca="1">INDEX(INDIRECT(zoneFichierTraite),$J206+offsetInitialFichierTraite,2)</f>
        <v>120</v>
      </c>
      <c r="B207" s="45" t="str">
        <f ca="1">IF(C207="", IFERROR(INDEX(INDIRECT(zoneFichierEAN13Valmag),$P206,3),""), "")</f>
        <v/>
      </c>
      <c r="C207" s="44" t="str">
        <f ca="1">IFERROR(INDEX(INDIRECT(zoneFichierEAN13Valmag),$O206,3),"")</f>
        <v xml:space="preserve"> </v>
      </c>
      <c r="D207" s="19" t="str">
        <f ca="1">IFERROR(INDEX(INDIRECT(zoneFichierEAN13Valmag),$O206,4),"")</f>
        <v xml:space="preserve"> </v>
      </c>
      <c r="E207" s="33" t="str">
        <f ca="1">IFERROR(INDEX(INDIRECT(zoneFichierFiltreCatalogue),S206,3),"")</f>
        <v>p119-1-01</v>
      </c>
      <c r="F207" s="19"/>
      <c r="G207" s="18"/>
      <c r="H207" s="34" t="str">
        <f ca="1">IFERROR(INDEX(INDIRECT(zoneFichierFiltreCatalogue),S206,6),"")</f>
        <v>fall 2019 presentation_/catalogo fall 19.txt</v>
      </c>
      <c r="R207" s="21"/>
      <c r="S207" s="21"/>
    </row>
    <row r="208" spans="1:20" ht="39" customHeight="1" thickBot="1" x14ac:dyDescent="0.65">
      <c r="A208" s="9" t="str">
        <f ca="1">INDEX(INDIRECT(zoneFichierTraite),$J208+offsetInitialFichierTraite,6)</f>
        <v>UNICA</v>
      </c>
      <c r="B208" s="5" t="str">
        <f ca="1">INDEX(INDIRECT(zoneFichierTraite),$J208+offsetInitialFichierTraite,4)</f>
        <v>OBAGPB34-ECSD5-371</v>
      </c>
      <c r="C208" s="26" t="str">
        <f ca="1">INDEX(INDIRECT(zoneFichierTraite),$J208+offsetInitialFichierTraite,5)</f>
        <v>RABAT BASIC O BAG GLAM EN FAUX CUIR IMPRIME PATCH ACTIVE</v>
      </c>
      <c r="D208" s="27" t="str">
        <f ca="1">INDEX(INDIRECT(zoneFichierTraite),$J208+offsetInitialFichierTraite,13)</f>
        <v>latte</v>
      </c>
      <c r="E208" s="30">
        <f ca="1">INDEX(INDIRECT(zoneFichierTraite),$J208+offsetInitialFichierTraite,7)</f>
        <v>1</v>
      </c>
      <c r="F208" s="28">
        <f ca="1">INDEX(INDIRECT(zoneFichierTraite),$J208+offsetInitialFichierTraite,8)</f>
        <v>13.33</v>
      </c>
      <c r="G208" s="29">
        <f t="shared" ref="G208:G271" ca="1" si="86">ROUNDUP(F208*3,0)</f>
        <v>40</v>
      </c>
      <c r="H208" s="32" t="str">
        <f ca="1">IF(ISNUMBER(N208),codeEAN13(INT(N208/10)),"")</f>
        <v>8APASOG*ajaebf+</v>
      </c>
      <c r="J208" s="15">
        <f t="shared" si="83"/>
        <v>100</v>
      </c>
      <c r="L208" s="5" t="str">
        <f ca="1">INDEX(INDIRECT(zoneFichierTraite),$J208+offsetInitialFichierTraite,1)</f>
        <v>'100</v>
      </c>
      <c r="M208" s="11">
        <f ca="1">INDEX(INDIRECT(zoneFichierTraite),$J208+offsetInitialFichierTraite,9)</f>
        <v>13.33</v>
      </c>
      <c r="N208" s="14">
        <f ca="1">INDEX(INDIRECT(zoneFichierTraite),$J208+offsetInitialFichierTraite,3)</f>
        <v>8050846090415</v>
      </c>
      <c r="O208" s="1">
        <f ca="1">MATCH(N208,INDIRECT(nomFichierEAN13Valmag &amp; "!A:A"),0)</f>
        <v>725</v>
      </c>
      <c r="P208" s="1">
        <f ca="1">MATCH(R208,INDIRECT(nomFichierEAN13Valmag &amp; "!A:A"),0)</f>
        <v>724</v>
      </c>
      <c r="Q208" s="1">
        <f ca="1">MATCH(LEFT(B208,14) &amp; "*",INDIRECT(nomFichierEAN13Valmag &amp; "!B:B"),0)</f>
        <v>724</v>
      </c>
      <c r="R208" s="14">
        <f ca="1">IFERROR(INDEX(INDIRECT(zoneFichierEAN13Valmag),Q208,1),"")</f>
        <v>8050846090408</v>
      </c>
      <c r="S208" s="1">
        <f ca="1">MATCH(B208,INDIRECT(nomFichierFiltreCatalogue &amp; "!B:B"),0)</f>
        <v>491</v>
      </c>
      <c r="T208" s="14"/>
    </row>
    <row r="209" spans="1:20" s="20" customFormat="1" ht="15.75" customHeight="1" x14ac:dyDescent="0.25">
      <c r="A209" s="25">
        <f ca="1">INDEX(INDIRECT(zoneFichierTraite),$J208+offsetInitialFichierTraite,2)</f>
        <v>18</v>
      </c>
      <c r="B209" s="45" t="str">
        <f ca="1">IF(C209="", IFERROR(INDEX(INDIRECT(zoneFichierEAN13Valmag),$P208,3),""), "")</f>
        <v/>
      </c>
      <c r="C209" s="44" t="str">
        <f ca="1">IFERROR(INDEX(INDIRECT(zoneFichierEAN13Valmag),$O208,3),"")</f>
        <v xml:space="preserve"> </v>
      </c>
      <c r="D209" s="19" t="str">
        <f ca="1">IFERROR(INDEX(INDIRECT(zoneFichierEAN13Valmag),$O208,4),"")</f>
        <v xml:space="preserve"> </v>
      </c>
      <c r="E209" s="33" t="str">
        <f ca="1">IFERROR(INDEX(INDIRECT(zoneFichierFiltreCatalogue),S208,3),"")</f>
        <v>p119-1-02</v>
      </c>
      <c r="F209" s="19"/>
      <c r="G209" s="18"/>
      <c r="H209" s="34" t="str">
        <f ca="1">IFERROR(INDEX(INDIRECT(zoneFichierFiltreCatalogue),S208,6),"")</f>
        <v>fall 2019 presentation_/catalogo fall 19.txt</v>
      </c>
      <c r="R209" s="21"/>
      <c r="S209" s="21"/>
    </row>
    <row r="210" spans="1:20" ht="39" customHeight="1" thickBot="1" x14ac:dyDescent="0.65">
      <c r="A210" s="9" t="str">
        <f ca="1">INDEX(INDIRECT(zoneFichierTraite),$J210+offsetInitialFichierTraite,6)</f>
        <v>UNICA</v>
      </c>
      <c r="B210" s="5" t="str">
        <f ca="1">INDEX(INDIRECT(zoneFichierTraite),$J210+offsetInitialFichierTraite,4)</f>
        <v>OBAGPC48-ECSE2-017</v>
      </c>
      <c r="C210" s="26" t="str">
        <f ca="1">INDEX(INDIRECT(zoneFichierTraite),$J210+offsetInitialFichierTraite,5)</f>
        <v>RABAT AVEC CHAINE O BAG SHEEN EN FAUX CUIR EFFET GRIFFE ARABESQUE</v>
      </c>
      <c r="D210" s="27" t="str">
        <f ca="1">INDEX(INDIRECT(zoneFichierTraite),$J210+offsetInitialFichierTraite,13)</f>
        <v>blu navy</v>
      </c>
      <c r="E210" s="30">
        <f ca="1">INDEX(INDIRECT(zoneFichierTraite),$J210+offsetInitialFichierTraite,7)</f>
        <v>1</v>
      </c>
      <c r="F210" s="28">
        <f ca="1">INDEX(INDIRECT(zoneFichierTraite),$J210+offsetInitialFichierTraite,8)</f>
        <v>20</v>
      </c>
      <c r="G210" s="29">
        <f t="shared" ref="G210:G273" ca="1" si="87">ROUNDUP(F210*3,0)</f>
        <v>60</v>
      </c>
      <c r="H210" s="32" t="str">
        <f ca="1">IF(ISNUMBER(N210),codeEAN13(INT(N210/10)),"")</f>
        <v>8APASOG*ajicjj+</v>
      </c>
      <c r="J210" s="15">
        <f t="shared" si="83"/>
        <v>101</v>
      </c>
      <c r="L210" s="5" t="str">
        <f ca="1">INDEX(INDIRECT(zoneFichierTraite),$J210+offsetInitialFichierTraite,1)</f>
        <v>'101</v>
      </c>
      <c r="M210" s="11">
        <f ca="1">INDEX(INDIRECT(zoneFichierTraite),$J210+offsetInitialFichierTraite,9)</f>
        <v>20</v>
      </c>
      <c r="N210" s="14">
        <f ca="1">INDEX(INDIRECT(zoneFichierTraite),$J210+offsetInitialFichierTraite,3)</f>
        <v>8050846098299</v>
      </c>
      <c r="O210" s="1">
        <f ca="1">MATCH(N210,INDIRECT(nomFichierEAN13Valmag &amp; "!A:A"),0)</f>
        <v>932</v>
      </c>
      <c r="P210" s="1">
        <f ca="1">MATCH(R210,INDIRECT(nomFichierEAN13Valmag &amp; "!A:A"),0)</f>
        <v>932</v>
      </c>
      <c r="Q210" s="1">
        <f ca="1">MATCH(LEFT(B210,14) &amp; "*",INDIRECT(nomFichierEAN13Valmag &amp; "!B:B"),0)</f>
        <v>932</v>
      </c>
      <c r="R210" s="14">
        <f ca="1">IFERROR(INDEX(INDIRECT(zoneFichierEAN13Valmag),Q210,1),"")</f>
        <v>8050846098299</v>
      </c>
      <c r="S210" s="1">
        <f ca="1">MATCH(B210,INDIRECT(nomFichierFiltreCatalogue &amp; "!B:B"),0)</f>
        <v>497</v>
      </c>
      <c r="T210" s="14"/>
    </row>
    <row r="211" spans="1:20" s="20" customFormat="1" ht="15.75" customHeight="1" x14ac:dyDescent="0.25">
      <c r="A211" s="25">
        <f ca="1">INDEX(INDIRECT(zoneFichierTraite),$J210+offsetInitialFichierTraite,2)</f>
        <v>169</v>
      </c>
      <c r="B211" s="45" t="str">
        <f ca="1">IF(C211="", IFERROR(INDEX(INDIRECT(zoneFichierEAN13Valmag),$P210,3),""), "")</f>
        <v/>
      </c>
      <c r="C211" s="44" t="str">
        <f ca="1">IFERROR(INDEX(INDIRECT(zoneFichierEAN13Valmag),$O210,3),"")</f>
        <v xml:space="preserve"> </v>
      </c>
      <c r="D211" s="19" t="str">
        <f ca="1">IFERROR(INDEX(INDIRECT(zoneFichierEAN13Valmag),$O210,4),"")</f>
        <v xml:space="preserve"> </v>
      </c>
      <c r="E211" s="33" t="str">
        <f ca="1">IFERROR(INDEX(INDIRECT(zoneFichierFiltreCatalogue),S210,3),"")</f>
        <v>p121-2-01</v>
      </c>
      <c r="F211" s="19"/>
      <c r="G211" s="18"/>
      <c r="H211" s="34" t="str">
        <f ca="1">IFERROR(INDEX(INDIRECT(zoneFichierFiltreCatalogue),S210,6),"")</f>
        <v>fall 2019 presentation_/catalogo fall 19.txt</v>
      </c>
      <c r="R211" s="21"/>
      <c r="S211" s="21"/>
    </row>
    <row r="212" spans="1:20" ht="39" customHeight="1" thickBot="1" x14ac:dyDescent="0.65">
      <c r="A212" s="9" t="str">
        <f ca="1">INDEX(INDIRECT(zoneFichierTraite),$J212+offsetInitialFichierTraite,6)</f>
        <v>UNICA</v>
      </c>
      <c r="B212" s="5" t="str">
        <f ca="1">INDEX(INDIRECT(zoneFichierTraite),$J212+offsetInitialFichierTraite,4)</f>
        <v>OBAGPC48-ECSE3-055</v>
      </c>
      <c r="C212" s="26" t="str">
        <f ca="1">INDEX(INDIRECT(zoneFichierTraite),$J212+offsetInitialFichierTraite,5)</f>
        <v>RABAT AVEC CHAINE O BAG SHEEN EN FAUX CUIR EFFET GRIFFE ORCHIDEE</v>
      </c>
      <c r="D212" s="27" t="str">
        <f ca="1">INDEX(INDIRECT(zoneFichierTraite),$J212+offsetInitialFichierTraite,13)</f>
        <v>nero</v>
      </c>
      <c r="E212" s="30">
        <f ca="1">INDEX(INDIRECT(zoneFichierTraite),$J212+offsetInitialFichierTraite,7)</f>
        <v>1</v>
      </c>
      <c r="F212" s="28">
        <f ca="1">INDEX(INDIRECT(zoneFichierTraite),$J212+offsetInitialFichierTraite,8)</f>
        <v>20</v>
      </c>
      <c r="G212" s="29">
        <f t="shared" ref="G212:G275" ca="1" si="88">ROUNDUP(F212*3,0)</f>
        <v>60</v>
      </c>
      <c r="H212" s="32" t="str">
        <f ca="1">IF(ISNUMBER(N212),codeEAN13(INT(N212/10)),"")</f>
        <v>8APASOG*ajjgbg+</v>
      </c>
      <c r="J212" s="15">
        <f t="shared" si="83"/>
        <v>102</v>
      </c>
      <c r="L212" s="5" t="str">
        <f ca="1">INDEX(INDIRECT(zoneFichierTraite),$J212+offsetInitialFichierTraite,1)</f>
        <v>'102</v>
      </c>
      <c r="M212" s="11">
        <f ca="1">INDEX(INDIRECT(zoneFichierTraite),$J212+offsetInitialFichierTraite,9)</f>
        <v>20</v>
      </c>
      <c r="N212" s="14">
        <f ca="1">INDEX(INDIRECT(zoneFichierTraite),$J212+offsetInitialFichierTraite,3)</f>
        <v>8050846099616</v>
      </c>
      <c r="O212" s="1">
        <f ca="1">MATCH(N212,INDIRECT(nomFichierEAN13Valmag &amp; "!A:A"),0)</f>
        <v>933</v>
      </c>
      <c r="P212" s="1">
        <f ca="1">MATCH(R212,INDIRECT(nomFichierEAN13Valmag &amp; "!A:A"),0)</f>
        <v>933</v>
      </c>
      <c r="Q212" s="1">
        <f ca="1">MATCH(LEFT(B212,14) &amp; "*",INDIRECT(nomFichierEAN13Valmag &amp; "!B:B"),0)</f>
        <v>933</v>
      </c>
      <c r="R212" s="14">
        <f ca="1">IFERROR(INDEX(INDIRECT(zoneFichierEAN13Valmag),Q212,1),"")</f>
        <v>8050846099616</v>
      </c>
      <c r="S212" s="1">
        <f ca="1">MATCH(B212,INDIRECT(nomFichierFiltreCatalogue &amp; "!B:B"),0)</f>
        <v>496</v>
      </c>
      <c r="T212" s="14"/>
    </row>
    <row r="213" spans="1:20" s="20" customFormat="1" ht="15.75" customHeight="1" x14ac:dyDescent="0.25">
      <c r="A213" s="25">
        <f ca="1">INDEX(INDIRECT(zoneFichierTraite),$J212+offsetInitialFichierTraite,2)</f>
        <v>51</v>
      </c>
      <c r="B213" s="45" t="str">
        <f ca="1">IF(C213="", IFERROR(INDEX(INDIRECT(zoneFichierEAN13Valmag),$P212,3),""), "")</f>
        <v/>
      </c>
      <c r="C213" s="44" t="str">
        <f ca="1">IFERROR(INDEX(INDIRECT(zoneFichierEAN13Valmag),$O212,3),"")</f>
        <v xml:space="preserve"> </v>
      </c>
      <c r="D213" s="19" t="str">
        <f ca="1">IFERROR(INDEX(INDIRECT(zoneFichierEAN13Valmag),$O212,4),"")</f>
        <v xml:space="preserve"> </v>
      </c>
      <c r="E213" s="33" t="str">
        <f ca="1">IFERROR(INDEX(INDIRECT(zoneFichierFiltreCatalogue),S212,3),"")</f>
        <v>p121-1-01</v>
      </c>
      <c r="F213" s="19"/>
      <c r="G213" s="18"/>
      <c r="H213" s="34" t="str">
        <f ca="1">IFERROR(INDEX(INDIRECT(zoneFichierFiltreCatalogue),S212,6),"")</f>
        <v>fall 2019 presentation_/catalogo fall 19.txt</v>
      </c>
      <c r="R213" s="21"/>
      <c r="S213" s="21"/>
    </row>
    <row r="214" spans="1:20" ht="39" customHeight="1" thickBot="1" x14ac:dyDescent="0.65">
      <c r="A214" s="9" t="str">
        <f ca="1">INDEX(INDIRECT(zoneFichierTraite),$J214+offsetInitialFichierTraite,6)</f>
        <v>UNICA</v>
      </c>
      <c r="B214" s="5" t="str">
        <f ca="1">INDEX(INDIRECT(zoneFichierTraite),$J214+offsetInitialFichierTraite,4)</f>
        <v>OBAGPF34-ECSC9-055</v>
      </c>
      <c r="C214" s="26" t="str">
        <f ca="1">INDEX(INDIRECT(zoneFichierTraite),$J214+offsetInitialFichierTraite,5)</f>
        <v>RABAT TROUE Ã€ BANDEAU O BAG GLAM EN FAUX CUIR IMPRIME ATHLEISURE</v>
      </c>
      <c r="D214" s="27" t="str">
        <f ca="1">INDEX(INDIRECT(zoneFichierTraite),$J214+offsetInitialFichierTraite,13)</f>
        <v>nero</v>
      </c>
      <c r="E214" s="30">
        <f ca="1">INDEX(INDIRECT(zoneFichierTraite),$J214+offsetInitialFichierTraite,7)</f>
        <v>1</v>
      </c>
      <c r="F214" s="28">
        <f ca="1">INDEX(INDIRECT(zoneFichierTraite),$J214+offsetInitialFichierTraite,8)</f>
        <v>20</v>
      </c>
      <c r="G214" s="29">
        <f t="shared" ref="G214:G277" ca="1" si="89">ROUNDUP(F214*3,0)</f>
        <v>60</v>
      </c>
      <c r="H214" s="32" t="str">
        <f ca="1">IF(ISNUMBER(N214),codeEAN13(INT(N214/10)),"")</f>
        <v>8APASOG*ajadif+</v>
      </c>
      <c r="J214" s="15">
        <f t="shared" si="83"/>
        <v>103</v>
      </c>
      <c r="L214" s="5" t="str">
        <f ca="1">INDEX(INDIRECT(zoneFichierTraite),$J214+offsetInitialFichierTraite,1)</f>
        <v>'103</v>
      </c>
      <c r="M214" s="11">
        <f ca="1">INDEX(INDIRECT(zoneFichierTraite),$J214+offsetInitialFichierTraite,9)</f>
        <v>20</v>
      </c>
      <c r="N214" s="14">
        <f ca="1">INDEX(INDIRECT(zoneFichierTraite),$J214+offsetInitialFichierTraite,3)</f>
        <v>8050846090385</v>
      </c>
      <c r="O214" s="1">
        <f ca="1">MATCH(N214,INDIRECT(nomFichierEAN13Valmag &amp; "!A:A"),0)</f>
        <v>722</v>
      </c>
      <c r="P214" s="1">
        <f ca="1">MATCH(R214,INDIRECT(nomFichierEAN13Valmag &amp; "!A:A"),0)</f>
        <v>722</v>
      </c>
      <c r="Q214" s="1">
        <f ca="1">MATCH(LEFT(B214,14) &amp; "*",INDIRECT(nomFichierEAN13Valmag &amp; "!B:B"),0)</f>
        <v>722</v>
      </c>
      <c r="R214" s="14">
        <f ca="1">IFERROR(INDEX(INDIRECT(zoneFichierEAN13Valmag),Q214,1),"")</f>
        <v>8050846090385</v>
      </c>
      <c r="S214" s="1">
        <f ca="1">MATCH(B214,INDIRECT(nomFichierFiltreCatalogue &amp; "!B:B"),0)</f>
        <v>492</v>
      </c>
      <c r="T214" s="14"/>
    </row>
    <row r="215" spans="1:20" s="20" customFormat="1" ht="15.75" customHeight="1" x14ac:dyDescent="0.25">
      <c r="A215" s="25">
        <f ca="1">INDEX(INDIRECT(zoneFichierTraite),$J214+offsetInitialFichierTraite,2)</f>
        <v>194</v>
      </c>
      <c r="B215" s="45" t="str">
        <f ca="1">IF(C215="", IFERROR(INDEX(INDIRECT(zoneFichierEAN13Valmag),$P214,3),""), "")</f>
        <v/>
      </c>
      <c r="C215" s="44" t="str">
        <f ca="1">IFERROR(INDEX(INDIRECT(zoneFichierEAN13Valmag),$O214,3),"")</f>
        <v xml:space="preserve"> </v>
      </c>
      <c r="D215" s="19" t="str">
        <f ca="1">IFERROR(INDEX(INDIRECT(zoneFichierEAN13Valmag),$O214,4),"")</f>
        <v xml:space="preserve"> </v>
      </c>
      <c r="E215" s="33" t="str">
        <f ca="1">IFERROR(INDEX(INDIRECT(zoneFichierFiltreCatalogue),S214,3),"")</f>
        <v>p119-2-01</v>
      </c>
      <c r="F215" s="19"/>
      <c r="G215" s="18"/>
      <c r="H215" s="34" t="str">
        <f ca="1">IFERROR(INDEX(INDIRECT(zoneFichierFiltreCatalogue),S214,6),"")</f>
        <v>fall 2019 presentation_/catalogo fall 19.txt</v>
      </c>
      <c r="R215" s="21"/>
      <c r="S215" s="21"/>
    </row>
    <row r="216" spans="1:20" ht="39" customHeight="1" thickBot="1" x14ac:dyDescent="0.65">
      <c r="A216" s="9" t="str">
        <f ca="1">INDEX(INDIRECT(zoneFichierTraite),$J216+offsetInitialFichierTraite,6)</f>
        <v>UNICA</v>
      </c>
      <c r="B216" s="5" t="str">
        <f ca="1">INDEX(INDIRECT(zoneFichierTraite),$J216+offsetInitialFichierTraite,4)</f>
        <v>OBAGPF34-ECSC9-137</v>
      </c>
      <c r="C216" s="26" t="str">
        <f ca="1">INDEX(INDIRECT(zoneFichierTraite),$J216+offsetInitialFichierTraite,5)</f>
        <v>RABAT TROUE Ã€ BANDEAU O BAG GLAM EN FAUX CUIR IMPRIME ATHLEISURE</v>
      </c>
      <c r="D216" s="27" t="str">
        <f ca="1">INDEX(INDIRECT(zoneFichierTraite),$J216+offsetInitialFichierTraite,13)</f>
        <v>bluette</v>
      </c>
      <c r="E216" s="30">
        <f ca="1">INDEX(INDIRECT(zoneFichierTraite),$J216+offsetInitialFichierTraite,7)</f>
        <v>1</v>
      </c>
      <c r="F216" s="28">
        <f ca="1">INDEX(INDIRECT(zoneFichierTraite),$J216+offsetInitialFichierTraite,8)</f>
        <v>20</v>
      </c>
      <c r="G216" s="29">
        <f t="shared" ref="G216:G279" ca="1" si="90">ROUNDUP(F216*3,0)</f>
        <v>60</v>
      </c>
      <c r="H216" s="32" t="str">
        <f ca="1">IF(ISNUMBER(N216),codeEAN13(INT(N216/10)),"")</f>
        <v>8APASOG*ajadjc+</v>
      </c>
      <c r="J216" s="15">
        <f t="shared" si="83"/>
        <v>104</v>
      </c>
      <c r="L216" s="5" t="str">
        <f ca="1">INDEX(INDIRECT(zoneFichierTraite),$J216+offsetInitialFichierTraite,1)</f>
        <v>'104</v>
      </c>
      <c r="M216" s="11">
        <f ca="1">INDEX(INDIRECT(zoneFichierTraite),$J216+offsetInitialFichierTraite,9)</f>
        <v>20</v>
      </c>
      <c r="N216" s="14">
        <f ca="1">INDEX(INDIRECT(zoneFichierTraite),$J216+offsetInitialFichierTraite,3)</f>
        <v>8050846090392</v>
      </c>
      <c r="O216" s="1">
        <f ca="1">MATCH(N216,INDIRECT(nomFichierEAN13Valmag &amp; "!A:A"),0)</f>
        <v>723</v>
      </c>
      <c r="P216" s="1">
        <f ca="1">MATCH(R216,INDIRECT(nomFichierEAN13Valmag &amp; "!A:A"),0)</f>
        <v>722</v>
      </c>
      <c r="Q216" s="1">
        <f ca="1">MATCH(LEFT(B216,14) &amp; "*",INDIRECT(nomFichierEAN13Valmag &amp; "!B:B"),0)</f>
        <v>722</v>
      </c>
      <c r="R216" s="14">
        <f ca="1">IFERROR(INDEX(INDIRECT(zoneFichierEAN13Valmag),Q216,1),"")</f>
        <v>8050846090385</v>
      </c>
      <c r="S216" s="1">
        <f ca="1">MATCH(B216,INDIRECT(nomFichierFiltreCatalogue &amp; "!B:B"),0)</f>
        <v>493</v>
      </c>
      <c r="T216" s="14"/>
    </row>
    <row r="217" spans="1:20" s="20" customFormat="1" ht="15.75" customHeight="1" x14ac:dyDescent="0.25">
      <c r="A217" s="25">
        <f ca="1">INDEX(INDIRECT(zoneFichierTraite),$J216+offsetInitialFichierTraite,2)</f>
        <v>106</v>
      </c>
      <c r="B217" s="45" t="str">
        <f ca="1">IF(C217="", IFERROR(INDEX(INDIRECT(zoneFichierEAN13Valmag),$P216,3),""), "")</f>
        <v/>
      </c>
      <c r="C217" s="44" t="str">
        <f ca="1">IFERROR(INDEX(INDIRECT(zoneFichierEAN13Valmag),$O216,3),"")</f>
        <v xml:space="preserve"> </v>
      </c>
      <c r="D217" s="19" t="str">
        <f ca="1">IFERROR(INDEX(INDIRECT(zoneFichierEAN13Valmag),$O216,4),"")</f>
        <v xml:space="preserve"> </v>
      </c>
      <c r="E217" s="33" t="str">
        <f ca="1">IFERROR(INDEX(INDIRECT(zoneFichierFiltreCatalogue),S216,3),"")</f>
        <v>p119-2-02</v>
      </c>
      <c r="F217" s="19"/>
      <c r="G217" s="18"/>
      <c r="H217" s="34" t="str">
        <f ca="1">IFERROR(INDEX(INDIRECT(zoneFichierFiltreCatalogue),S216,6),"")</f>
        <v>fall 2019 presentation_/catalogo fall 19.txt</v>
      </c>
      <c r="R217" s="21"/>
      <c r="S217" s="21"/>
    </row>
    <row r="218" spans="1:20" ht="39" customHeight="1" thickBot="1" x14ac:dyDescent="0.65">
      <c r="A218" s="9" t="str">
        <f ca="1">INDEX(INDIRECT(zoneFichierTraite),$J218+offsetInitialFichierTraite,6)</f>
        <v>UNICA</v>
      </c>
      <c r="B218" s="5" t="str">
        <f ca="1">INDEX(INDIRECT(zoneFichierTraite),$J218+offsetInitialFichierTraite,4)</f>
        <v>OBAGPK06-ECS00-076</v>
      </c>
      <c r="C218" s="26" t="str">
        <f ca="1">INDEX(INDIRECT(zoneFichierTraite),$J218+offsetInitialFichierTraite,5)</f>
        <v>RABAT EN CARTABLE O POCKET EN FAUX CUIR</v>
      </c>
      <c r="D218" s="27" t="str">
        <f ca="1">INDEX(INDIRECT(zoneFichierTraite),$J218+offsetInitialFichierTraite,13)</f>
        <v>rosso</v>
      </c>
      <c r="E218" s="30">
        <f ca="1">INDEX(INDIRECT(zoneFichierTraite),$J218+offsetInitialFichierTraite,7)</f>
        <v>2</v>
      </c>
      <c r="F218" s="28">
        <f ca="1">INDEX(INDIRECT(zoneFichierTraite),$J218+offsetInitialFichierTraite,8)</f>
        <v>13.33</v>
      </c>
      <c r="G218" s="29">
        <f t="shared" ref="G218:G281" ca="1" si="91">ROUNDUP(F218*3,0)</f>
        <v>40</v>
      </c>
      <c r="H218" s="32" t="str">
        <f ca="1">IF(ISNUMBER(N218),codeEAN13(INT(N218/10)),"")</f>
        <v>8APASOG*ajcbcj+</v>
      </c>
      <c r="J218" s="15">
        <f t="shared" si="83"/>
        <v>105</v>
      </c>
      <c r="L218" s="5" t="str">
        <f ca="1">INDEX(INDIRECT(zoneFichierTraite),$J218+offsetInitialFichierTraite,1)</f>
        <v>'105</v>
      </c>
      <c r="M218" s="11">
        <f ca="1">INDEX(INDIRECT(zoneFichierTraite),$J218+offsetInitialFichierTraite,9)</f>
        <v>26.66</v>
      </c>
      <c r="N218" s="14">
        <f ca="1">INDEX(INDIRECT(zoneFichierTraite),$J218+offsetInitialFichierTraite,3)</f>
        <v>8050846092129</v>
      </c>
      <c r="O218" s="1">
        <f ca="1">MATCH(N218,INDIRECT(nomFichierEAN13Valmag &amp; "!A:A"),0)</f>
        <v>865</v>
      </c>
      <c r="P218" s="1">
        <f ca="1">MATCH(R218,INDIRECT(nomFichierEAN13Valmag &amp; "!A:A"),0)</f>
        <v>863</v>
      </c>
      <c r="Q218" s="1">
        <f ca="1">MATCH(LEFT(B218,14) &amp; "*",INDIRECT(nomFichierEAN13Valmag &amp; "!B:B"),0)</f>
        <v>863</v>
      </c>
      <c r="R218" s="14">
        <f ca="1">IFERROR(INDEX(INDIRECT(zoneFichierEAN13Valmag),Q218,1),"")</f>
        <v>8050846092105</v>
      </c>
      <c r="S218" s="1">
        <f ca="1">MATCH(B218,INDIRECT(nomFichierFiltreCatalogue &amp; "!B:B"),0)</f>
        <v>478</v>
      </c>
      <c r="T218" s="14"/>
    </row>
    <row r="219" spans="1:20" s="20" customFormat="1" ht="15.75" customHeight="1" x14ac:dyDescent="0.25">
      <c r="A219" s="25">
        <f ca="1">INDEX(INDIRECT(zoneFichierTraite),$J218+offsetInitialFichierTraite,2)</f>
        <v>112</v>
      </c>
      <c r="B219" s="45" t="str">
        <f ca="1">IF(C219="", IFERROR(INDEX(INDIRECT(zoneFichierEAN13Valmag),$P218,3),""), "")</f>
        <v/>
      </c>
      <c r="C219" s="44" t="str">
        <f ca="1">IFERROR(INDEX(INDIRECT(zoneFichierEAN13Valmag),$O218,3),"")</f>
        <v xml:space="preserve"> </v>
      </c>
      <c r="D219" s="19" t="str">
        <f ca="1">IFERROR(INDEX(INDIRECT(zoneFichierEAN13Valmag),$O218,4),"")</f>
        <v xml:space="preserve"> </v>
      </c>
      <c r="E219" s="33" t="str">
        <f ca="1">IFERROR(INDEX(INDIRECT(zoneFichierFiltreCatalogue),S218,3),"")</f>
        <v>p115-2-01</v>
      </c>
      <c r="F219" s="19"/>
      <c r="G219" s="18"/>
      <c r="H219" s="34" t="str">
        <f ca="1">IFERROR(INDEX(INDIRECT(zoneFichierFiltreCatalogue),S218,6),"")</f>
        <v>fall 2019 presentation_/catalogo fall 19.txt</v>
      </c>
      <c r="R219" s="21"/>
      <c r="S219" s="21"/>
    </row>
    <row r="220" spans="1:20" ht="39" customHeight="1" thickBot="1" x14ac:dyDescent="0.65">
      <c r="A220" s="9" t="str">
        <f ca="1">INDEX(INDIRECT(zoneFichierTraite),$J220+offsetInitialFichierTraite,6)</f>
        <v>UNICA</v>
      </c>
      <c r="B220" s="5" t="str">
        <f ca="1">INDEX(INDIRECT(zoneFichierTraite),$J220+offsetInitialFichierTraite,4)</f>
        <v>OBAGPK06-ECS00-144</v>
      </c>
      <c r="C220" s="26" t="str">
        <f ca="1">INDEX(INDIRECT(zoneFichierTraite),$J220+offsetInitialFichierTraite,5)</f>
        <v>RABAT EN CARTABLE O POCKET EN FAUX CUIR</v>
      </c>
      <c r="D220" s="27" t="str">
        <f ca="1">INDEX(INDIRECT(zoneFichierTraite),$J220+offsetInitialFichierTraite,13)</f>
        <v>ginestra</v>
      </c>
      <c r="E220" s="30">
        <f ca="1">INDEX(INDIRECT(zoneFichierTraite),$J220+offsetInitialFichierTraite,7)</f>
        <v>2</v>
      </c>
      <c r="F220" s="28">
        <f ca="1">INDEX(INDIRECT(zoneFichierTraite),$J220+offsetInitialFichierTraite,8)</f>
        <v>13.33</v>
      </c>
      <c r="G220" s="29">
        <f t="shared" ref="G220:G283" ca="1" si="92">ROUNDUP(F220*3,0)</f>
        <v>40</v>
      </c>
      <c r="H220" s="32" t="str">
        <f ca="1">IF(ISNUMBER(N220),codeEAN13(INT(N220/10)),"")</f>
        <v>8APASOG*ajcbaf+</v>
      </c>
      <c r="J220" s="15">
        <f t="shared" si="83"/>
        <v>106</v>
      </c>
      <c r="L220" s="5" t="str">
        <f ca="1">INDEX(INDIRECT(zoneFichierTraite),$J220+offsetInitialFichierTraite,1)</f>
        <v>'106</v>
      </c>
      <c r="M220" s="11">
        <f ca="1">INDEX(INDIRECT(zoneFichierTraite),$J220+offsetInitialFichierTraite,9)</f>
        <v>26.66</v>
      </c>
      <c r="N220" s="14">
        <f ca="1">INDEX(INDIRECT(zoneFichierTraite),$J220+offsetInitialFichierTraite,3)</f>
        <v>8050846092105</v>
      </c>
      <c r="O220" s="1">
        <f ca="1">MATCH(N220,INDIRECT(nomFichierEAN13Valmag &amp; "!A:A"),0)</f>
        <v>863</v>
      </c>
      <c r="P220" s="1">
        <f ca="1">MATCH(R220,INDIRECT(nomFichierEAN13Valmag &amp; "!A:A"),0)</f>
        <v>863</v>
      </c>
      <c r="Q220" s="1">
        <f ca="1">MATCH(LEFT(B220,14) &amp; "*",INDIRECT(nomFichierEAN13Valmag &amp; "!B:B"),0)</f>
        <v>863</v>
      </c>
      <c r="R220" s="14">
        <f ca="1">IFERROR(INDEX(INDIRECT(zoneFichierEAN13Valmag),Q220,1),"")</f>
        <v>8050846092105</v>
      </c>
      <c r="S220" s="1">
        <f ca="1">MATCH(B220,INDIRECT(nomFichierFiltreCatalogue &amp; "!B:B"),0)</f>
        <v>481</v>
      </c>
      <c r="T220" s="14"/>
    </row>
    <row r="221" spans="1:20" s="20" customFormat="1" ht="15.75" customHeight="1" x14ac:dyDescent="0.25">
      <c r="A221" s="25">
        <f ca="1">INDEX(INDIRECT(zoneFichierTraite),$J220+offsetInitialFichierTraite,2)</f>
        <v>143</v>
      </c>
      <c r="B221" s="45" t="str">
        <f ca="1">IF(C221="", IFERROR(INDEX(INDIRECT(zoneFichierEAN13Valmag),$P220,3),""), "")</f>
        <v/>
      </c>
      <c r="C221" s="44" t="str">
        <f ca="1">IFERROR(INDEX(INDIRECT(zoneFichierEAN13Valmag),$O220,3),"")</f>
        <v xml:space="preserve"> </v>
      </c>
      <c r="D221" s="19" t="str">
        <f ca="1">IFERROR(INDEX(INDIRECT(zoneFichierEAN13Valmag),$O220,4),"")</f>
        <v xml:space="preserve"> </v>
      </c>
      <c r="E221" s="33" t="str">
        <f ca="1">IFERROR(INDEX(INDIRECT(zoneFichierFiltreCatalogue),S220,3),"")</f>
        <v>p115-2-04</v>
      </c>
      <c r="F221" s="19"/>
      <c r="G221" s="18"/>
      <c r="H221" s="34" t="str">
        <f ca="1">IFERROR(INDEX(INDIRECT(zoneFichierFiltreCatalogue),S220,6),"")</f>
        <v>fall 2019 presentation_/catalogo fall 19.txt</v>
      </c>
      <c r="R221" s="21"/>
      <c r="S221" s="21"/>
    </row>
    <row r="222" spans="1:20" ht="39" customHeight="1" thickBot="1" x14ac:dyDescent="0.65">
      <c r="A222" s="9" t="str">
        <f ca="1">INDEX(INDIRECT(zoneFichierTraite),$J222+offsetInitialFichierTraite,6)</f>
        <v>UNICA</v>
      </c>
      <c r="B222" s="5" t="str">
        <f ca="1">INDEX(INDIRECT(zoneFichierTraite),$J222+offsetInitialFichierTraite,4)</f>
        <v>OBAGS001-TESBG-227</v>
      </c>
      <c r="C222" s="26" t="str">
        <f ca="1">INDEX(INDIRECT(zoneFichierTraite),$J222+offsetInitialFichierTraite,5)</f>
        <v>POCHETTE INTERIEURE FERMETURE ECLAIR O BAG MINI EN TISSU PRINCE DE GALLES+ FLEURS</v>
      </c>
      <c r="D222" s="27" t="str">
        <f ca="1">INDEX(INDIRECT(zoneFichierTraite),$J222+offsetInitialFichierTraite,13)</f>
        <v>bianco/nero</v>
      </c>
      <c r="E222" s="30">
        <f ca="1">INDEX(INDIRECT(zoneFichierTraite),$J222+offsetInitialFichierTraite,7)</f>
        <v>2</v>
      </c>
      <c r="F222" s="28">
        <f ca="1">INDEX(INDIRECT(zoneFichierTraite),$J222+offsetInitialFichierTraite,8)</f>
        <v>13.33</v>
      </c>
      <c r="G222" s="29">
        <f t="shared" ref="G222:G285" ca="1" si="93">ROUNDUP(F222*3,0)</f>
        <v>40</v>
      </c>
      <c r="H222" s="32" t="str">
        <f ca="1">IF(ISNUMBER(N222),codeEAN13(INT(N222/10)),"")</f>
        <v>8APASOG*ajacaa+</v>
      </c>
      <c r="J222" s="15">
        <f t="shared" si="83"/>
        <v>107</v>
      </c>
      <c r="L222" s="5" t="str">
        <f ca="1">INDEX(INDIRECT(zoneFichierTraite),$J222+offsetInitialFichierTraite,1)</f>
        <v>'107</v>
      </c>
      <c r="M222" s="11">
        <f ca="1">INDEX(INDIRECT(zoneFichierTraite),$J222+offsetInitialFichierTraite,9)</f>
        <v>26.66</v>
      </c>
      <c r="N222" s="14">
        <f ca="1">INDEX(INDIRECT(zoneFichierTraite),$J222+offsetInitialFichierTraite,3)</f>
        <v>8050846090200</v>
      </c>
      <c r="O222" s="1">
        <f ca="1">MATCH(N222,INDIRECT(nomFichierEAN13Valmag &amp; "!A:A"),0)</f>
        <v>704</v>
      </c>
      <c r="P222" s="1">
        <f ca="1">MATCH(R222,INDIRECT(nomFichierEAN13Valmag &amp; "!A:A"),0)</f>
        <v>704</v>
      </c>
      <c r="Q222" s="1">
        <f ca="1">MATCH(LEFT(B222,14) &amp; "*",INDIRECT(nomFichierEAN13Valmag &amp; "!B:B"),0)</f>
        <v>704</v>
      </c>
      <c r="R222" s="14">
        <f ca="1">IFERROR(INDEX(INDIRECT(zoneFichierEAN13Valmag),Q222,1),"")</f>
        <v>8050846090200</v>
      </c>
      <c r="S222" s="1">
        <f ca="1">MATCH(B222,INDIRECT(nomFichierFiltreCatalogue &amp; "!B:B"),0)</f>
        <v>372</v>
      </c>
      <c r="T222" s="14"/>
    </row>
    <row r="223" spans="1:20" s="20" customFormat="1" ht="15.75" customHeight="1" x14ac:dyDescent="0.25">
      <c r="A223" s="25">
        <f ca="1">INDEX(INDIRECT(zoneFichierTraite),$J222+offsetInitialFichierTraite,2)</f>
        <v>159</v>
      </c>
      <c r="B223" s="45" t="str">
        <f ca="1">IF(C223="", IFERROR(INDEX(INDIRECT(zoneFichierEAN13Valmag),$P222,3),""), "")</f>
        <v/>
      </c>
      <c r="C223" s="44" t="str">
        <f ca="1">IFERROR(INDEX(INDIRECT(zoneFichierEAN13Valmag),$O222,3),"")</f>
        <v xml:space="preserve"> </v>
      </c>
      <c r="D223" s="19" t="str">
        <f ca="1">IFERROR(INDEX(INDIRECT(zoneFichierEAN13Valmag),$O222,4),"")</f>
        <v xml:space="preserve"> </v>
      </c>
      <c r="E223" s="33" t="str">
        <f ca="1">IFERROR(INDEX(INDIRECT(zoneFichierFiltreCatalogue),S222,3),"")</f>
        <v>p084-1-01</v>
      </c>
      <c r="F223" s="19"/>
      <c r="G223" s="18"/>
      <c r="H223" s="34" t="str">
        <f ca="1">IFERROR(INDEX(INDIRECT(zoneFichierFiltreCatalogue),S222,6),"")</f>
        <v>fall 2019 presentation_/catalogo fall 19.txt</v>
      </c>
      <c r="R223" s="21"/>
      <c r="S223" s="21"/>
    </row>
    <row r="224" spans="1:20" ht="39" customHeight="1" thickBot="1" x14ac:dyDescent="0.65">
      <c r="A224" s="9" t="str">
        <f ca="1">INDEX(INDIRECT(zoneFichierTraite),$J224+offsetInitialFichierTraite,6)</f>
        <v>UNICA</v>
      </c>
      <c r="B224" s="5" t="str">
        <f ca="1">INDEX(INDIRECT(zoneFichierTraite),$J224+offsetInitialFichierTraite,4)</f>
        <v>OBAGS001-TESBK-055</v>
      </c>
      <c r="C224" s="26" t="str">
        <f ca="1">INDEX(INDIRECT(zoneFichierTraite),$J224+offsetInitialFichierTraite,5)</f>
        <v>POCHETTE INTERIEURE FERMETURE ECLAIR O BAG EN TISSU DOUDOUNE Ã€ CHEVRONS</v>
      </c>
      <c r="D224" s="27" t="str">
        <f ca="1">INDEX(INDIRECT(zoneFichierTraite),$J224+offsetInitialFichierTraite,13)</f>
        <v>nero</v>
      </c>
      <c r="E224" s="30">
        <f ca="1">INDEX(INDIRECT(zoneFichierTraite),$J224+offsetInitialFichierTraite,7)</f>
        <v>2</v>
      </c>
      <c r="F224" s="28">
        <f ca="1">INDEX(INDIRECT(zoneFichierTraite),$J224+offsetInitialFichierTraite,8)</f>
        <v>11.85</v>
      </c>
      <c r="G224" s="29">
        <f t="shared" ref="G224:G287" ca="1" si="94">ROUNDUP(F224*3,0)</f>
        <v>36</v>
      </c>
      <c r="H224" s="32" t="str">
        <f ca="1">IF(ISNUMBER(N224),codeEAN13(INT(N224/10)),"")</f>
        <v>8APASOG*ajaadd+</v>
      </c>
      <c r="J224" s="15">
        <f t="shared" si="83"/>
        <v>108</v>
      </c>
      <c r="L224" s="5" t="str">
        <f ca="1">INDEX(INDIRECT(zoneFichierTraite),$J224+offsetInitialFichierTraite,1)</f>
        <v>'108</v>
      </c>
      <c r="M224" s="11">
        <f ca="1">INDEX(INDIRECT(zoneFichierTraite),$J224+offsetInitialFichierTraite,9)</f>
        <v>23.7</v>
      </c>
      <c r="N224" s="14">
        <f ca="1">INDEX(INDIRECT(zoneFichierTraite),$J224+offsetInitialFichierTraite,3)</f>
        <v>8050846090033</v>
      </c>
      <c r="O224" s="1">
        <f ca="1">MATCH(N224,INDIRECT(nomFichierEAN13Valmag &amp; "!A:A"),0)</f>
        <v>688</v>
      </c>
      <c r="P224" s="1">
        <f ca="1">MATCH(R224,INDIRECT(nomFichierEAN13Valmag &amp; "!A:A"),0)</f>
        <v>687</v>
      </c>
      <c r="Q224" s="1">
        <f ca="1">MATCH(LEFT(B224,14) &amp; "*",INDIRECT(nomFichierEAN13Valmag &amp; "!B:B"),0)</f>
        <v>687</v>
      </c>
      <c r="R224" s="14">
        <f ca="1">IFERROR(INDEX(INDIRECT(zoneFichierEAN13Valmag),Q224,1),"")</f>
        <v>8050846090026</v>
      </c>
      <c r="S224" s="1">
        <f ca="1">MATCH(B224,INDIRECT(nomFichierFiltreCatalogue &amp; "!B:B"),0)</f>
        <v>373</v>
      </c>
      <c r="T224" s="14"/>
    </row>
    <row r="225" spans="1:20" s="20" customFormat="1" ht="15.75" customHeight="1" x14ac:dyDescent="0.25">
      <c r="A225" s="25">
        <f ca="1">INDEX(INDIRECT(zoneFichierTraite),$J224+offsetInitialFichierTraite,2)</f>
        <v>215</v>
      </c>
      <c r="B225" s="45" t="str">
        <f ca="1">IF(C225="", IFERROR(INDEX(INDIRECT(zoneFichierEAN13Valmag),$P224,3),""), "")</f>
        <v/>
      </c>
      <c r="C225" s="44" t="str">
        <f ca="1">IFERROR(INDEX(INDIRECT(zoneFichierEAN13Valmag),$O224,3),"")</f>
        <v xml:space="preserve"> </v>
      </c>
      <c r="D225" s="19" t="str">
        <f ca="1">IFERROR(INDEX(INDIRECT(zoneFichierEAN13Valmag),$O224,4),"")</f>
        <v xml:space="preserve"> </v>
      </c>
      <c r="E225" s="33" t="str">
        <f ca="1">IFERROR(INDEX(INDIRECT(zoneFichierFiltreCatalogue),S224,3),"")</f>
        <v>p084-2-01</v>
      </c>
      <c r="F225" s="19"/>
      <c r="G225" s="18"/>
      <c r="H225" s="34" t="str">
        <f ca="1">IFERROR(INDEX(INDIRECT(zoneFichierFiltreCatalogue),S224,6),"")</f>
        <v>fall 2019 presentation_/catalogo fall 19.txt</v>
      </c>
      <c r="R225" s="21"/>
      <c r="S225" s="21"/>
    </row>
    <row r="226" spans="1:20" ht="39" customHeight="1" thickBot="1" x14ac:dyDescent="0.65">
      <c r="A226" s="9" t="str">
        <f ca="1">INDEX(INDIRECT(zoneFichierTraite),$J226+offsetInitialFichierTraite,6)</f>
        <v>UNICA</v>
      </c>
      <c r="B226" s="5" t="str">
        <f ca="1">INDEX(INDIRECT(zoneFichierTraite),$J226+offsetInitialFichierTraite,4)</f>
        <v>OBAGS001-TESBK-137</v>
      </c>
      <c r="C226" s="26" t="str">
        <f ca="1">INDEX(INDIRECT(zoneFichierTraite),$J226+offsetInitialFichierTraite,5)</f>
        <v>POCHETTE INTERIEURE FERMETURE ECLAIR O BAG EN TISSU DOUDOUNE Ã€ CHEVRONS</v>
      </c>
      <c r="D226" s="27" t="str">
        <f ca="1">INDEX(INDIRECT(zoneFichierTraite),$J226+offsetInitialFichierTraite,13)</f>
        <v>bluette</v>
      </c>
      <c r="E226" s="30">
        <f ca="1">INDEX(INDIRECT(zoneFichierTraite),$J226+offsetInitialFichierTraite,7)</f>
        <v>2</v>
      </c>
      <c r="F226" s="28">
        <f ca="1">INDEX(INDIRECT(zoneFichierTraite),$J226+offsetInitialFichierTraite,8)</f>
        <v>11.85</v>
      </c>
      <c r="G226" s="29">
        <f t="shared" ref="G226:G289" ca="1" si="95">ROUNDUP(F226*3,0)</f>
        <v>36</v>
      </c>
      <c r="H226" s="32" t="str">
        <f ca="1">IF(ISNUMBER(N226),codeEAN13(INT(N226/10)),"")</f>
        <v>8APASOG*ajaacg+</v>
      </c>
      <c r="J226" s="15">
        <f t="shared" si="83"/>
        <v>109</v>
      </c>
      <c r="L226" s="5" t="str">
        <f ca="1">INDEX(INDIRECT(zoneFichierTraite),$J226+offsetInitialFichierTraite,1)</f>
        <v>'109</v>
      </c>
      <c r="M226" s="11">
        <f ca="1">INDEX(INDIRECT(zoneFichierTraite),$J226+offsetInitialFichierTraite,9)</f>
        <v>23.7</v>
      </c>
      <c r="N226" s="14">
        <f ca="1">INDEX(INDIRECT(zoneFichierTraite),$J226+offsetInitialFichierTraite,3)</f>
        <v>8050846090026</v>
      </c>
      <c r="O226" s="1">
        <f ca="1">MATCH(N226,INDIRECT(nomFichierEAN13Valmag &amp; "!A:A"),0)</f>
        <v>687</v>
      </c>
      <c r="P226" s="1">
        <f ca="1">MATCH(R226,INDIRECT(nomFichierEAN13Valmag &amp; "!A:A"),0)</f>
        <v>687</v>
      </c>
      <c r="Q226" s="1">
        <f ca="1">MATCH(LEFT(B226,14) &amp; "*",INDIRECT(nomFichierEAN13Valmag &amp; "!B:B"),0)</f>
        <v>687</v>
      </c>
      <c r="R226" s="14">
        <f ca="1">IFERROR(INDEX(INDIRECT(zoneFichierEAN13Valmag),Q226,1),"")</f>
        <v>8050846090026</v>
      </c>
      <c r="S226" s="1">
        <f ca="1">MATCH(B226,INDIRECT(nomFichierFiltreCatalogue &amp; "!B:B"),0)</f>
        <v>374</v>
      </c>
      <c r="T226" s="14"/>
    </row>
    <row r="227" spans="1:20" s="20" customFormat="1" ht="15.75" customHeight="1" x14ac:dyDescent="0.25">
      <c r="A227" s="25">
        <f ca="1">INDEX(INDIRECT(zoneFichierTraite),$J226+offsetInitialFichierTraite,2)</f>
        <v>43</v>
      </c>
      <c r="B227" s="45" t="str">
        <f ca="1">IF(C227="", IFERROR(INDEX(INDIRECT(zoneFichierEAN13Valmag),$P226,3),""), "")</f>
        <v/>
      </c>
      <c r="C227" s="44" t="str">
        <f ca="1">IFERROR(INDEX(INDIRECT(zoneFichierEAN13Valmag),$O226,3),"")</f>
        <v xml:space="preserve"> </v>
      </c>
      <c r="D227" s="19" t="str">
        <f ca="1">IFERROR(INDEX(INDIRECT(zoneFichierEAN13Valmag),$O226,4),"")</f>
        <v xml:space="preserve"> </v>
      </c>
      <c r="E227" s="33" t="str">
        <f ca="1">IFERROR(INDEX(INDIRECT(zoneFichierFiltreCatalogue),S226,3),"")</f>
        <v>p084-2-02</v>
      </c>
      <c r="F227" s="19"/>
      <c r="G227" s="18"/>
      <c r="H227" s="34" t="str">
        <f ca="1">IFERROR(INDEX(INDIRECT(zoneFichierFiltreCatalogue),S226,6),"")</f>
        <v>fall 2019 presentation_/catalogo fall 19.txt</v>
      </c>
      <c r="R227" s="21"/>
      <c r="S227" s="21"/>
    </row>
    <row r="228" spans="1:20" ht="39" customHeight="1" thickBot="1" x14ac:dyDescent="0.65">
      <c r="A228" s="9" t="str">
        <f ca="1">INDEX(INDIRECT(zoneFichierTraite),$J228+offsetInitialFichierTraite,6)</f>
        <v>UNICA</v>
      </c>
      <c r="B228" s="5" t="str">
        <f ca="1">INDEX(INDIRECT(zoneFichierTraite),$J228+offsetInitialFichierTraite,4)</f>
        <v>OBAGS001-TESD5-067</v>
      </c>
      <c r="C228" s="26" t="str">
        <f ca="1">INDEX(INDIRECT(zoneFichierTraite),$J228+offsetInitialFichierTraite,5)</f>
        <v>POCHETTE INTERIEURE FERMETURE ECLAIR O BAG EN MICROFIBRE COULEUR UNIE</v>
      </c>
      <c r="D228" s="27" t="str">
        <f ca="1">INDEX(INDIRECT(zoneFichierTraite),$J228+offsetInitialFichierTraite,13)</f>
        <v>phard</v>
      </c>
      <c r="E228" s="30">
        <f ca="1">INDEX(INDIRECT(zoneFichierTraite),$J228+offsetInitialFichierTraite,7)</f>
        <v>2</v>
      </c>
      <c r="F228" s="28">
        <f ca="1">INDEX(INDIRECT(zoneFichierTraite),$J228+offsetInitialFichierTraite,8)</f>
        <v>10.8</v>
      </c>
      <c r="G228" s="29">
        <f t="shared" ref="G228:G291" ca="1" si="96">ROUNDUP(F228*3,0)</f>
        <v>33</v>
      </c>
      <c r="H228" s="32" t="str">
        <f ca="1">IF(ISNUMBER(N228),codeEAN13(INT(N228/10)),"")</f>
        <v>8APASOG*ajaaac+</v>
      </c>
      <c r="J228" s="15">
        <f t="shared" si="83"/>
        <v>110</v>
      </c>
      <c r="L228" s="5" t="str">
        <f ca="1">INDEX(INDIRECT(zoneFichierTraite),$J228+offsetInitialFichierTraite,1)</f>
        <v>'110</v>
      </c>
      <c r="M228" s="11">
        <f ca="1">INDEX(INDIRECT(zoneFichierTraite),$J228+offsetInitialFichierTraite,9)</f>
        <v>21.6</v>
      </c>
      <c r="N228" s="14">
        <f ca="1">INDEX(INDIRECT(zoneFichierTraite),$J228+offsetInitialFichierTraite,3)</f>
        <v>8050846090002</v>
      </c>
      <c r="O228" s="1">
        <f ca="1">MATCH(N228,INDIRECT(nomFichierEAN13Valmag &amp; "!A:A"),0)</f>
        <v>685</v>
      </c>
      <c r="P228" s="1">
        <f ca="1">MATCH(R228,INDIRECT(nomFichierEAN13Valmag &amp; "!A:A"),0)</f>
        <v>134</v>
      </c>
      <c r="Q228" s="1">
        <f ca="1">MATCH(LEFT(B228,14) &amp; "*",INDIRECT(nomFichierEAN13Valmag &amp; "!B:B"),0)</f>
        <v>134</v>
      </c>
      <c r="R228" s="14">
        <f ca="1">IFERROR(INDEX(INDIRECT(zoneFichierEAN13Valmag),Q228,1),"")</f>
        <v>8050846013506</v>
      </c>
      <c r="S228" s="1">
        <f ca="1">MATCH(B228,INDIRECT(nomFichierFiltreCatalogue &amp; "!B:B"),0)</f>
        <v>370</v>
      </c>
      <c r="T228" s="14"/>
    </row>
    <row r="229" spans="1:20" s="20" customFormat="1" ht="15.75" customHeight="1" x14ac:dyDescent="0.25">
      <c r="A229" s="25">
        <f ca="1">INDEX(INDIRECT(zoneFichierTraite),$J228+offsetInitialFichierTraite,2)</f>
        <v>88</v>
      </c>
      <c r="B229" s="45" t="str">
        <f ca="1">IF(C229="", IFERROR(INDEX(INDIRECT(zoneFichierEAN13Valmag),$P228,3),""), "")</f>
        <v/>
      </c>
      <c r="C229" s="44" t="str">
        <f ca="1">IFERROR(INDEX(INDIRECT(zoneFichierEAN13Valmag),$O228,3),"")</f>
        <v xml:space="preserve"> </v>
      </c>
      <c r="D229" s="19" t="str">
        <f ca="1">IFERROR(INDEX(INDIRECT(zoneFichierEAN13Valmag),$O228,4),"")</f>
        <v xml:space="preserve"> </v>
      </c>
      <c r="E229" s="33" t="str">
        <f ca="1">IFERROR(INDEX(INDIRECT(zoneFichierFiltreCatalogue),S228,3),"")</f>
        <v>p082-2-06</v>
      </c>
      <c r="F229" s="19"/>
      <c r="G229" s="18"/>
      <c r="H229" s="34" t="str">
        <f ca="1">IFERROR(INDEX(INDIRECT(zoneFichierFiltreCatalogue),S228,6),"")</f>
        <v>fall 2019 presentation_/catalogo fall 19.txt</v>
      </c>
      <c r="R229" s="21"/>
      <c r="S229" s="21"/>
    </row>
    <row r="230" spans="1:20" ht="39" customHeight="1" thickBot="1" x14ac:dyDescent="0.65">
      <c r="A230" s="9" t="str">
        <f ca="1">INDEX(INDIRECT(zoneFichierTraite),$J230+offsetInitialFichierTraite,6)</f>
        <v>UNICA</v>
      </c>
      <c r="B230" s="5" t="str">
        <f ca="1">INDEX(INDIRECT(zoneFichierTraite),$J230+offsetInitialFichierTraite,4)</f>
        <v>OBAGS001-TESD5-615</v>
      </c>
      <c r="C230" s="26" t="str">
        <f ca="1">INDEX(INDIRECT(zoneFichierTraite),$J230+offsetInitialFichierTraite,5)</f>
        <v>POCHETTE INTERIEURE FERMETURE ECLAIR O BAG EN MICROFIBRE COULEUR UNIE</v>
      </c>
      <c r="D230" s="27" t="str">
        <f ca="1">INDEX(INDIRECT(zoneFichierTraite),$J230+offsetInitialFichierTraite,13)</f>
        <v>military</v>
      </c>
      <c r="E230" s="30">
        <f ca="1">INDEX(INDIRECT(zoneFichierTraite),$J230+offsetInitialFichierTraite,7)</f>
        <v>2</v>
      </c>
      <c r="F230" s="28">
        <f ca="1">INDEX(INDIRECT(zoneFichierTraite),$J230+offsetInitialFichierTraite,8)</f>
        <v>10.8</v>
      </c>
      <c r="G230" s="29">
        <f t="shared" ref="G230:G293" ca="1" si="97">ROUNDUP(F230*3,0)</f>
        <v>33</v>
      </c>
      <c r="H230" s="32" t="str">
        <f ca="1">IF(ISNUMBER(N230),codeEAN13(INT(N230/10)),"")</f>
        <v>8APASOG*aijjja+</v>
      </c>
      <c r="J230" s="15">
        <f t="shared" si="83"/>
        <v>111</v>
      </c>
      <c r="L230" s="5" t="str">
        <f ca="1">INDEX(INDIRECT(zoneFichierTraite),$J230+offsetInitialFichierTraite,1)</f>
        <v>'111</v>
      </c>
      <c r="M230" s="11">
        <f ca="1">INDEX(INDIRECT(zoneFichierTraite),$J230+offsetInitialFichierTraite,9)</f>
        <v>21.6</v>
      </c>
      <c r="N230" s="14">
        <f ca="1">INDEX(INDIRECT(zoneFichierTraite),$J230+offsetInitialFichierTraite,3)</f>
        <v>8050846089990</v>
      </c>
      <c r="O230" s="1">
        <f ca="1">MATCH(N230,INDIRECT(nomFichierEAN13Valmag &amp; "!A:A"),0)</f>
        <v>684</v>
      </c>
      <c r="P230" s="1">
        <f ca="1">MATCH(R230,INDIRECT(nomFichierEAN13Valmag &amp; "!A:A"),0)</f>
        <v>134</v>
      </c>
      <c r="Q230" s="1">
        <f ca="1">MATCH(LEFT(B230,14) &amp; "*",INDIRECT(nomFichierEAN13Valmag &amp; "!B:B"),0)</f>
        <v>134</v>
      </c>
      <c r="R230" s="14">
        <f ca="1">IFERROR(INDEX(INDIRECT(zoneFichierEAN13Valmag),Q230,1),"")</f>
        <v>8050846013506</v>
      </c>
      <c r="S230" s="1">
        <f ca="1">MATCH(B230,INDIRECT(nomFichierFiltreCatalogue &amp; "!B:B"),0)</f>
        <v>371</v>
      </c>
      <c r="T230" s="14"/>
    </row>
    <row r="231" spans="1:20" s="20" customFormat="1" ht="15.75" customHeight="1" x14ac:dyDescent="0.25">
      <c r="A231" s="25">
        <f ca="1">INDEX(INDIRECT(zoneFichierTraite),$J230+offsetInitialFichierTraite,2)</f>
        <v>129</v>
      </c>
      <c r="B231" s="45" t="str">
        <f ca="1">IF(C231="", IFERROR(INDEX(INDIRECT(zoneFichierEAN13Valmag),$P230,3),""), "")</f>
        <v/>
      </c>
      <c r="C231" s="44" t="str">
        <f ca="1">IFERROR(INDEX(INDIRECT(zoneFichierEAN13Valmag),$O230,3),"")</f>
        <v xml:space="preserve"> </v>
      </c>
      <c r="D231" s="19" t="str">
        <f ca="1">IFERROR(INDEX(INDIRECT(zoneFichierEAN13Valmag),$O230,4),"")</f>
        <v xml:space="preserve"> </v>
      </c>
      <c r="E231" s="33" t="str">
        <f ca="1">IFERROR(INDEX(INDIRECT(zoneFichierFiltreCatalogue),S230,3),"")</f>
        <v>p082-2-07</v>
      </c>
      <c r="F231" s="19"/>
      <c r="G231" s="18"/>
      <c r="H231" s="34" t="str">
        <f ca="1">IFERROR(INDEX(INDIRECT(zoneFichierFiltreCatalogue),S230,6),"")</f>
        <v>fall 2019 presentation_/catalogo fall 19.txt</v>
      </c>
      <c r="R231" s="21"/>
      <c r="S231" s="21"/>
    </row>
    <row r="232" spans="1:20" ht="39" customHeight="1" thickBot="1" x14ac:dyDescent="0.65">
      <c r="A232" s="9" t="str">
        <f ca="1">INDEX(INDIRECT(zoneFichierTraite),$J232+offsetInitialFichierTraite,6)</f>
        <v>UNICA</v>
      </c>
      <c r="B232" s="5" t="str">
        <f ca="1">INDEX(INDIRECT(zoneFichierTraite),$J232+offsetInitialFichierTraite,4)</f>
        <v>OBAGS002-TES01-008</v>
      </c>
      <c r="C232" s="26" t="str">
        <f ca="1">INDEX(INDIRECT(zoneFichierTraite),$J232+offsetInitialFichierTraite,5)</f>
        <v>POCHETTE INTERIEURE FERMETURE ECLAIR O BAG MINI EN TISSU CANVAS</v>
      </c>
      <c r="D232" s="27" t="str">
        <f ca="1">INDEX(INDIRECT(zoneFichierTraite),$J232+offsetInitialFichierTraite,13)</f>
        <v>bianco</v>
      </c>
      <c r="E232" s="30">
        <f ca="1">INDEX(INDIRECT(zoneFichierTraite),$J232+offsetInitialFichierTraite,7)</f>
        <v>3</v>
      </c>
      <c r="F232" s="28">
        <f ca="1">INDEX(INDIRECT(zoneFichierTraite),$J232+offsetInitialFichierTraite,8)</f>
        <v>7.08</v>
      </c>
      <c r="G232" s="29">
        <f t="shared" ref="G232:G295" ca="1" si="98">ROUNDUP(F232*3,0)</f>
        <v>22</v>
      </c>
      <c r="H232" s="32" t="str">
        <f ca="1">IF(ISNUMBER(N232),codeEAN13(INT(N232/10)),"")</f>
        <v>8APAOPA*cbaged+</v>
      </c>
      <c r="J232" s="15">
        <f t="shared" si="83"/>
        <v>112</v>
      </c>
      <c r="L232" s="5" t="str">
        <f ca="1">INDEX(INDIRECT(zoneFichierTraite),$J232+offsetInitialFichierTraite,1)</f>
        <v>'112</v>
      </c>
      <c r="M232" s="11">
        <f ca="1">INDEX(INDIRECT(zoneFichierTraite),$J232+offsetInitialFichierTraite,9)</f>
        <v>21.24</v>
      </c>
      <c r="N232" s="14">
        <f ca="1">INDEX(INDIRECT(zoneFichierTraite),$J232+offsetInitialFichierTraite,3)</f>
        <v>8050450210643</v>
      </c>
      <c r="O232" s="1">
        <f ca="1">MATCH(N232,INDIRECT(nomFichierEAN13Valmag &amp; "!A:A"),0)</f>
        <v>8</v>
      </c>
      <c r="P232" s="1">
        <f ca="1">MATCH(R232,INDIRECT(nomFichierEAN13Valmag &amp; "!A:A"),0)</f>
        <v>6</v>
      </c>
      <c r="Q232" s="1">
        <f ca="1">MATCH(LEFT(B232,14) &amp; "*",INDIRECT(nomFichierEAN13Valmag &amp; "!B:B"),0)</f>
        <v>6</v>
      </c>
      <c r="R232" s="14">
        <f ca="1">IFERROR(INDEX(INDIRECT(zoneFichierEAN13Valmag),Q232,1),"")</f>
        <v>8050450210629</v>
      </c>
      <c r="S232" s="1">
        <f ca="1">MATCH(B232,INDIRECT(nomFichierFiltreCatalogue &amp; "!B:B"),0)</f>
        <v>388</v>
      </c>
      <c r="T232" s="14"/>
    </row>
    <row r="233" spans="1:20" s="20" customFormat="1" ht="15.75" customHeight="1" x14ac:dyDescent="0.25">
      <c r="A233" s="25">
        <f ca="1">INDEX(INDIRECT(zoneFichierTraite),$J232+offsetInitialFichierTraite,2)</f>
        <v>34</v>
      </c>
      <c r="B233" s="45" t="str">
        <f ca="1">IF(C233="", IFERROR(INDEX(INDIRECT(zoneFichierEAN13Valmag),$P232,3),""), "")</f>
        <v/>
      </c>
      <c r="C233" s="44" t="str">
        <f ca="1">IFERROR(INDEX(INDIRECT(zoneFichierEAN13Valmag),$O232,3),"")</f>
        <v xml:space="preserve">MINICANVAS      </v>
      </c>
      <c r="D233" s="19" t="str">
        <f ca="1">IFERROR(INDEX(INDIRECT(zoneFichierEAN13Valmag),$O232,4),"")</f>
        <v>WHITE</v>
      </c>
      <c r="E233" s="33" t="str">
        <f ca="1">IFERROR(INDEX(INDIRECT(zoneFichierFiltreCatalogue),S232,3),"")</f>
        <v>p089-1-02</v>
      </c>
      <c r="F233" s="19"/>
      <c r="G233" s="18"/>
      <c r="H233" s="34" t="str">
        <f ca="1">IFERROR(INDEX(INDIRECT(zoneFichierFiltreCatalogue),S232,6),"")</f>
        <v>fall 2019 presentation_/catalogo fall 19.txt</v>
      </c>
      <c r="R233" s="21"/>
      <c r="S233" s="21"/>
    </row>
    <row r="234" spans="1:20" ht="39" customHeight="1" thickBot="1" x14ac:dyDescent="0.65">
      <c r="A234" s="9" t="str">
        <f ca="1">INDEX(INDIRECT(zoneFichierTraite),$J234+offsetInitialFichierTraite,6)</f>
        <v>UNICA</v>
      </c>
      <c r="B234" s="5" t="str">
        <f ca="1">INDEX(INDIRECT(zoneFichierTraite),$J234+offsetInitialFichierTraite,4)</f>
        <v>OBAGS002-TES01-009</v>
      </c>
      <c r="C234" s="26" t="str">
        <f ca="1">INDEX(INDIRECT(zoneFichierTraite),$J234+offsetInitialFichierTraite,5)</f>
        <v>POCHETTE INTERIEURE FERMETURE ECLAIR O BAG MINI EN TISSU CANVAS</v>
      </c>
      <c r="D234" s="27" t="str">
        <f ca="1">INDEX(INDIRECT(zoneFichierTraite),$J234+offsetInitialFichierTraite,13)</f>
        <v>blu</v>
      </c>
      <c r="E234" s="30">
        <f ca="1">INDEX(INDIRECT(zoneFichierTraite),$J234+offsetInitialFichierTraite,7)</f>
        <v>3</v>
      </c>
      <c r="F234" s="28">
        <f ca="1">INDEX(INDIRECT(zoneFichierTraite),$J234+offsetInitialFichierTraite,8)</f>
        <v>7.08</v>
      </c>
      <c r="G234" s="29">
        <f t="shared" ref="G234:G297" ca="1" si="99">ROUNDUP(F234*3,0)</f>
        <v>22</v>
      </c>
      <c r="H234" s="32" t="str">
        <f ca="1">IF(ISNUMBER(N234),codeEAN13(INT(N234/10)),"")</f>
        <v>8APITSD*fjifae+</v>
      </c>
      <c r="J234" s="15">
        <f t="shared" si="83"/>
        <v>113</v>
      </c>
      <c r="L234" s="5" t="str">
        <f ca="1">INDEX(INDIRECT(zoneFichierTraite),$J234+offsetInitialFichierTraite,1)</f>
        <v>'113</v>
      </c>
      <c r="M234" s="11">
        <f ca="1">INDEX(INDIRECT(zoneFichierTraite),$J234+offsetInitialFichierTraite,9)</f>
        <v>21.24</v>
      </c>
      <c r="N234" s="14">
        <f ca="1">INDEX(INDIRECT(zoneFichierTraite),$J234+offsetInitialFichierTraite,3)</f>
        <v>8058983598504</v>
      </c>
      <c r="O234" s="1">
        <f ca="1">MATCH(N234,INDIRECT(nomFichierEAN13Valmag &amp; "!A:A"),0)</f>
        <v>1143</v>
      </c>
      <c r="P234" s="1">
        <f ca="1">MATCH(R234,INDIRECT(nomFichierEAN13Valmag &amp; "!A:A"),0)</f>
        <v>6</v>
      </c>
      <c r="Q234" s="1">
        <f ca="1">MATCH(LEFT(B234,14) &amp; "*",INDIRECT(nomFichierEAN13Valmag &amp; "!B:B"),0)</f>
        <v>6</v>
      </c>
      <c r="R234" s="14">
        <f ca="1">IFERROR(INDEX(INDIRECT(zoneFichierEAN13Valmag),Q234,1),"")</f>
        <v>8050450210629</v>
      </c>
      <c r="S234" s="1">
        <f ca="1">MATCH(B234,INDIRECT(nomFichierFiltreCatalogue &amp; "!B:B"),0)</f>
        <v>390</v>
      </c>
      <c r="T234" s="14"/>
    </row>
    <row r="235" spans="1:20" s="20" customFormat="1" ht="15.75" customHeight="1" x14ac:dyDescent="0.25">
      <c r="A235" s="25">
        <f ca="1">INDEX(INDIRECT(zoneFichierTraite),$J234+offsetInitialFichierTraite,2)</f>
        <v>160</v>
      </c>
      <c r="B235" s="45" t="str">
        <f ca="1">IF(C235="", IFERROR(INDEX(INDIRECT(zoneFichierEAN13Valmag),$P234,3),""), "")</f>
        <v/>
      </c>
      <c r="C235" s="44" t="str">
        <f ca="1">IFERROR(INDEX(INDIRECT(zoneFichierEAN13Valmag),$O234,3),"")</f>
        <v xml:space="preserve">MINICANVAS      </v>
      </c>
      <c r="D235" s="19" t="str">
        <f ca="1">IFERROR(INDEX(INDIRECT(zoneFichierEAN13Valmag),$O234,4),"")</f>
        <v xml:space="preserve">BLUE </v>
      </c>
      <c r="E235" s="33" t="str">
        <f ca="1">IFERROR(INDEX(INDIRECT(zoneFichierFiltreCatalogue),S234,3),"")</f>
        <v>p089-1-04</v>
      </c>
      <c r="F235" s="19"/>
      <c r="G235" s="18"/>
      <c r="H235" s="34" t="str">
        <f ca="1">IFERROR(INDEX(INDIRECT(zoneFichierFiltreCatalogue),S234,6),"")</f>
        <v>fall 2019 presentation_/catalogo fall 19.txt</v>
      </c>
      <c r="R235" s="21"/>
      <c r="S235" s="21"/>
    </row>
    <row r="236" spans="1:20" ht="39" customHeight="1" thickBot="1" x14ac:dyDescent="0.65">
      <c r="A236" s="9" t="str">
        <f ca="1">INDEX(INDIRECT(zoneFichierTraite),$J236+offsetInitialFichierTraite,6)</f>
        <v>UNICA</v>
      </c>
      <c r="B236" s="5" t="str">
        <f ca="1">INDEX(INDIRECT(zoneFichierTraite),$J236+offsetInitialFichierTraite,4)</f>
        <v>OBAGS002-TES01-054</v>
      </c>
      <c r="C236" s="26" t="str">
        <f ca="1">INDEX(INDIRECT(zoneFichierTraite),$J236+offsetInitialFichierTraite,5)</f>
        <v>POCHETTE INTERIEURE FERMETURE ECLAIR O BAG MINI EN TISSU CANVAS</v>
      </c>
      <c r="D236" s="27" t="str">
        <f ca="1">INDEX(INDIRECT(zoneFichierTraite),$J236+offsetInitialFichierTraite,13)</f>
        <v>naturale</v>
      </c>
      <c r="E236" s="30">
        <f ca="1">INDEX(INDIRECT(zoneFichierTraite),$J236+offsetInitialFichierTraite,7)</f>
        <v>4</v>
      </c>
      <c r="F236" s="28">
        <f ca="1">INDEX(INDIRECT(zoneFichierTraite),$J236+offsetInitialFichierTraite,8)</f>
        <v>7.08</v>
      </c>
      <c r="G236" s="29">
        <f t="shared" ref="G236:G299" ca="1" si="100">ROUNDUP(F236*3,0)</f>
        <v>22</v>
      </c>
      <c r="H236" s="32" t="str">
        <f ca="1">IF(ISNUMBER(N236),codeEAN13(INT(N236/10)),"")</f>
        <v>8APAOPA*cbagdg+</v>
      </c>
      <c r="J236" s="15">
        <f t="shared" si="83"/>
        <v>114</v>
      </c>
      <c r="L236" s="5" t="str">
        <f ca="1">INDEX(INDIRECT(zoneFichierTraite),$J236+offsetInitialFichierTraite,1)</f>
        <v>'114</v>
      </c>
      <c r="M236" s="11">
        <f ca="1">INDEX(INDIRECT(zoneFichierTraite),$J236+offsetInitialFichierTraite,9)</f>
        <v>28.32</v>
      </c>
      <c r="N236" s="14">
        <f ca="1">INDEX(INDIRECT(zoneFichierTraite),$J236+offsetInitialFichierTraite,3)</f>
        <v>8050450210636</v>
      </c>
      <c r="O236" s="1">
        <f ca="1">MATCH(N236,INDIRECT(nomFichierEAN13Valmag &amp; "!A:A"),0)</f>
        <v>7</v>
      </c>
      <c r="P236" s="1">
        <f ca="1">MATCH(R236,INDIRECT(nomFichierEAN13Valmag &amp; "!A:A"),0)</f>
        <v>6</v>
      </c>
      <c r="Q236" s="1">
        <f ca="1">MATCH(LEFT(B236,14) &amp; "*",INDIRECT(nomFichierEAN13Valmag &amp; "!B:B"),0)</f>
        <v>6</v>
      </c>
      <c r="R236" s="14">
        <f ca="1">IFERROR(INDEX(INDIRECT(zoneFichierEAN13Valmag),Q236,1),"")</f>
        <v>8050450210629</v>
      </c>
      <c r="S236" s="1">
        <f ca="1">MATCH(B236,INDIRECT(nomFichierFiltreCatalogue &amp; "!B:B"),0)</f>
        <v>391</v>
      </c>
      <c r="T236" s="14"/>
    </row>
    <row r="237" spans="1:20" s="20" customFormat="1" ht="15.75" customHeight="1" x14ac:dyDescent="0.25">
      <c r="A237" s="25">
        <f ca="1">INDEX(INDIRECT(zoneFichierTraite),$J236+offsetInitialFichierTraite,2)</f>
        <v>70</v>
      </c>
      <c r="B237" s="45" t="str">
        <f ca="1">IF(C237="", IFERROR(INDEX(INDIRECT(zoneFichierEAN13Valmag),$P236,3),""), "")</f>
        <v/>
      </c>
      <c r="C237" s="44" t="str">
        <f ca="1">IFERROR(INDEX(INDIRECT(zoneFichierEAN13Valmag),$O236,3),"")</f>
        <v xml:space="preserve">MINICANVAS      </v>
      </c>
      <c r="D237" s="19" t="str">
        <f ca="1">IFERROR(INDEX(INDIRECT(zoneFichierEAN13Valmag),$O236,4),"")</f>
        <v>NATUR</v>
      </c>
      <c r="E237" s="33" t="str">
        <f ca="1">IFERROR(INDEX(INDIRECT(zoneFichierFiltreCatalogue),S236,3),"")</f>
        <v>p089-1-05</v>
      </c>
      <c r="F237" s="19"/>
      <c r="G237" s="18"/>
      <c r="H237" s="34" t="str">
        <f ca="1">IFERROR(INDEX(INDIRECT(zoneFichierFiltreCatalogue),S236,6),"")</f>
        <v>fall 2019 presentation_/catalogo fall 19.txt</v>
      </c>
      <c r="R237" s="21"/>
      <c r="S237" s="21"/>
    </row>
    <row r="238" spans="1:20" ht="39" customHeight="1" thickBot="1" x14ac:dyDescent="0.65">
      <c r="A238" s="9" t="str">
        <f ca="1">INDEX(INDIRECT(zoneFichierTraite),$J238+offsetInitialFichierTraite,6)</f>
        <v>UNICA</v>
      </c>
      <c r="B238" s="5" t="str">
        <f ca="1">INDEX(INDIRECT(zoneFichierTraite),$J238+offsetInitialFichierTraite,4)</f>
        <v>OBAGS002-TES01-055</v>
      </c>
      <c r="C238" s="26" t="str">
        <f ca="1">INDEX(INDIRECT(zoneFichierTraite),$J238+offsetInitialFichierTraite,5)</f>
        <v>POCHETTE INTERIEURE FERMETURE ECLAIR O BAG MINI EN TISSU CANVAS</v>
      </c>
      <c r="D238" s="27" t="str">
        <f ca="1">INDEX(INDIRECT(zoneFichierTraite),$J238+offsetInitialFichierTraite,13)</f>
        <v>nero</v>
      </c>
      <c r="E238" s="30">
        <f ca="1">INDEX(INDIRECT(zoneFichierTraite),$J238+offsetInitialFichierTraite,7)</f>
        <v>4</v>
      </c>
      <c r="F238" s="28">
        <f ca="1">INDEX(INDIRECT(zoneFichierTraite),$J238+offsetInitialFichierTraite,8)</f>
        <v>7.08</v>
      </c>
      <c r="G238" s="29">
        <f t="shared" ref="G238:G301" ca="1" si="101">ROUNDUP(F238*3,0)</f>
        <v>22</v>
      </c>
      <c r="H238" s="32" t="str">
        <f ca="1">IF(ISNUMBER(N238),codeEAN13(INT(N238/10)),"")</f>
        <v>8APAOPA*cbagcj+</v>
      </c>
      <c r="J238" s="15">
        <f t="shared" si="83"/>
        <v>115</v>
      </c>
      <c r="L238" s="5" t="str">
        <f ca="1">INDEX(INDIRECT(zoneFichierTraite),$J238+offsetInitialFichierTraite,1)</f>
        <v>'115</v>
      </c>
      <c r="M238" s="11">
        <f ca="1">INDEX(INDIRECT(zoneFichierTraite),$J238+offsetInitialFichierTraite,9)</f>
        <v>28.32</v>
      </c>
      <c r="N238" s="14">
        <f ca="1">INDEX(INDIRECT(zoneFichierTraite),$J238+offsetInitialFichierTraite,3)</f>
        <v>8050450210629</v>
      </c>
      <c r="O238" s="1">
        <f ca="1">MATCH(N238,INDIRECT(nomFichierEAN13Valmag &amp; "!A:A"),0)</f>
        <v>6</v>
      </c>
      <c r="P238" s="1">
        <f ca="1">MATCH(R238,INDIRECT(nomFichierEAN13Valmag &amp; "!A:A"),0)</f>
        <v>6</v>
      </c>
      <c r="Q238" s="1">
        <f ca="1">MATCH(LEFT(B238,14) &amp; "*",INDIRECT(nomFichierEAN13Valmag &amp; "!B:B"),0)</f>
        <v>6</v>
      </c>
      <c r="R238" s="14">
        <f ca="1">IFERROR(INDEX(INDIRECT(zoneFichierEAN13Valmag),Q238,1),"")</f>
        <v>8050450210629</v>
      </c>
      <c r="S238" s="1">
        <f ca="1">MATCH(B238,INDIRECT(nomFichierFiltreCatalogue &amp; "!B:B"),0)</f>
        <v>389</v>
      </c>
      <c r="T238" s="14"/>
    </row>
    <row r="239" spans="1:20" s="20" customFormat="1" ht="15.75" customHeight="1" x14ac:dyDescent="0.25">
      <c r="A239" s="25">
        <f ca="1">INDEX(INDIRECT(zoneFichierTraite),$J238+offsetInitialFichierTraite,2)</f>
        <v>101</v>
      </c>
      <c r="B239" s="45" t="str">
        <f ca="1">IF(C239="", IFERROR(INDEX(INDIRECT(zoneFichierEAN13Valmag),$P238,3),""), "")</f>
        <v/>
      </c>
      <c r="C239" s="44" t="str">
        <f ca="1">IFERROR(INDEX(INDIRECT(zoneFichierEAN13Valmag),$O238,3),"")</f>
        <v xml:space="preserve">MINICANVAS      </v>
      </c>
      <c r="D239" s="19" t="str">
        <f ca="1">IFERROR(INDEX(INDIRECT(zoneFichierEAN13Valmag),$O238,4),"")</f>
        <v>BLACK</v>
      </c>
      <c r="E239" s="33" t="str">
        <f ca="1">IFERROR(INDEX(INDIRECT(zoneFichierFiltreCatalogue),S238,3),"")</f>
        <v>p089-1-03</v>
      </c>
      <c r="F239" s="19"/>
      <c r="G239" s="18"/>
      <c r="H239" s="34" t="str">
        <f ca="1">IFERROR(INDEX(INDIRECT(zoneFichierFiltreCatalogue),S238,6),"")</f>
        <v>fall 2019 presentation_/catalogo fall 19.txt</v>
      </c>
      <c r="R239" s="21"/>
      <c r="S239" s="21"/>
    </row>
    <row r="240" spans="1:20" ht="39" customHeight="1" thickBot="1" x14ac:dyDescent="0.65">
      <c r="A240" s="9" t="str">
        <f ca="1">INDEX(INDIRECT(zoneFichierTraite),$J240+offsetInitialFichierTraite,6)</f>
        <v>UNICA</v>
      </c>
      <c r="B240" s="5" t="str">
        <f ca="1">INDEX(INDIRECT(zoneFichierTraite),$J240+offsetInitialFichierTraite,4)</f>
        <v>OBAGS002-TESBG-227</v>
      </c>
      <c r="C240" s="26" t="str">
        <f ca="1">INDEX(INDIRECT(zoneFichierTraite),$J240+offsetInitialFichierTraite,5)</f>
        <v>POCHETTE INTERIEURE FERMETURE ECLAIR O BAG MINI EN TISSU PRINCE DE GALLES+ FLEURS</v>
      </c>
      <c r="D240" s="27" t="str">
        <f ca="1">INDEX(INDIRECT(zoneFichierTraite),$J240+offsetInitialFichierTraite,13)</f>
        <v>bianco/nero</v>
      </c>
      <c r="E240" s="30">
        <f ca="1">INDEX(INDIRECT(zoneFichierTraite),$J240+offsetInitialFichierTraite,7)</f>
        <v>2</v>
      </c>
      <c r="F240" s="28">
        <f ca="1">INDEX(INDIRECT(zoneFichierTraite),$J240+offsetInitialFichierTraite,8)</f>
        <v>13.33</v>
      </c>
      <c r="G240" s="29">
        <f t="shared" ref="G240:G303" ca="1" si="102">ROUNDUP(F240*3,0)</f>
        <v>40</v>
      </c>
      <c r="H240" s="32" t="str">
        <f ca="1">IF(ISNUMBER(N240),codeEAN13(INT(N240/10)),"")</f>
        <v>8APASOG*ajajhc+</v>
      </c>
      <c r="J240" s="15">
        <f t="shared" si="83"/>
        <v>116</v>
      </c>
      <c r="L240" s="5" t="str">
        <f ca="1">INDEX(INDIRECT(zoneFichierTraite),$J240+offsetInitialFichierTraite,1)</f>
        <v>'116</v>
      </c>
      <c r="M240" s="11">
        <f ca="1">INDEX(INDIRECT(zoneFichierTraite),$J240+offsetInitialFichierTraite,9)</f>
        <v>26.66</v>
      </c>
      <c r="N240" s="14">
        <f ca="1">INDEX(INDIRECT(zoneFichierTraite),$J240+offsetInitialFichierTraite,3)</f>
        <v>8050846090972</v>
      </c>
      <c r="O240" s="1">
        <f ca="1">MATCH(N240,INDIRECT(nomFichierEAN13Valmag &amp; "!A:A"),0)</f>
        <v>776</v>
      </c>
      <c r="P240" s="1">
        <f ca="1">MATCH(R240,INDIRECT(nomFichierEAN13Valmag &amp; "!A:A"),0)</f>
        <v>776</v>
      </c>
      <c r="Q240" s="1">
        <f ca="1">MATCH(LEFT(B240,14) &amp; "*",INDIRECT(nomFichierEAN13Valmag &amp; "!B:B"),0)</f>
        <v>776</v>
      </c>
      <c r="R240" s="14">
        <f ca="1">IFERROR(INDEX(INDIRECT(zoneFichierEAN13Valmag),Q240,1),"")</f>
        <v>8050846090972</v>
      </c>
      <c r="S240" s="1">
        <f ca="1">MATCH(B240,INDIRECT(nomFichierFiltreCatalogue &amp; "!B:B"),0)</f>
        <v>399</v>
      </c>
      <c r="T240" s="14"/>
    </row>
    <row r="241" spans="1:20" s="20" customFormat="1" ht="15.75" customHeight="1" x14ac:dyDescent="0.25">
      <c r="A241" s="25">
        <f ca="1">INDEX(INDIRECT(zoneFichierTraite),$J240+offsetInitialFichierTraite,2)</f>
        <v>155</v>
      </c>
      <c r="B241" s="45" t="str">
        <f ca="1">IF(C241="", IFERROR(INDEX(INDIRECT(zoneFichierEAN13Valmag),$P240,3),""), "")</f>
        <v/>
      </c>
      <c r="C241" s="44" t="str">
        <f ca="1">IFERROR(INDEX(INDIRECT(zoneFichierEAN13Valmag),$O240,3),"")</f>
        <v xml:space="preserve"> </v>
      </c>
      <c r="D241" s="19" t="str">
        <f ca="1">IFERROR(INDEX(INDIRECT(zoneFichierEAN13Valmag),$O240,4),"")</f>
        <v xml:space="preserve"> </v>
      </c>
      <c r="E241" s="33" t="str">
        <f ca="1">IFERROR(INDEX(INDIRECT(zoneFichierFiltreCatalogue),S240,3),"")</f>
        <v>p091-1-01</v>
      </c>
      <c r="F241" s="19"/>
      <c r="G241" s="18"/>
      <c r="H241" s="34" t="str">
        <f ca="1">IFERROR(INDEX(INDIRECT(zoneFichierFiltreCatalogue),S240,6),"")</f>
        <v>fall 2019 presentation_/catalogo fall 19.txt</v>
      </c>
      <c r="R241" s="21"/>
      <c r="S241" s="21"/>
    </row>
    <row r="242" spans="1:20" ht="39" customHeight="1" thickBot="1" x14ac:dyDescent="0.65">
      <c r="A242" s="9" t="str">
        <f ca="1">INDEX(INDIRECT(zoneFichierTraite),$J242+offsetInitialFichierTraite,6)</f>
        <v>UNICA</v>
      </c>
      <c r="B242" s="5" t="str">
        <f ca="1">INDEX(INDIRECT(zoneFichierTraite),$J242+offsetInitialFichierTraite,4)</f>
        <v>OBAGS002-TESBK-055</v>
      </c>
      <c r="C242" s="26" t="str">
        <f ca="1">INDEX(INDIRECT(zoneFichierTraite),$J242+offsetInitialFichierTraite,5)</f>
        <v>POCHETTE INTERIEURE FERMETURE ECLAIR O BAG MINI EN TISSU DOUDOUNE Ã€ CHEVRONS</v>
      </c>
      <c r="D242" s="27" t="str">
        <f ca="1">INDEX(INDIRECT(zoneFichierTraite),$J242+offsetInitialFichierTraite,13)</f>
        <v>nero</v>
      </c>
      <c r="E242" s="30">
        <f ca="1">INDEX(INDIRECT(zoneFichierTraite),$J242+offsetInitialFichierTraite,7)</f>
        <v>2</v>
      </c>
      <c r="F242" s="28">
        <f ca="1">INDEX(INDIRECT(zoneFichierTraite),$J242+offsetInitialFichierTraite,8)</f>
        <v>11.85</v>
      </c>
      <c r="G242" s="29">
        <f t="shared" ref="G242:G305" ca="1" si="103">ROUNDUP(F242*3,0)</f>
        <v>36</v>
      </c>
      <c r="H242" s="32" t="str">
        <f ca="1">IF(ISNUMBER(N242),codeEAN13(INT(N242/10)),"")</f>
        <v>8APASOG*ajaidf+</v>
      </c>
      <c r="J242" s="15">
        <f t="shared" si="83"/>
        <v>117</v>
      </c>
      <c r="L242" s="5" t="str">
        <f ca="1">INDEX(INDIRECT(zoneFichierTraite),$J242+offsetInitialFichierTraite,1)</f>
        <v>'117</v>
      </c>
      <c r="M242" s="11">
        <f ca="1">INDEX(INDIRECT(zoneFichierTraite),$J242+offsetInitialFichierTraite,9)</f>
        <v>23.7</v>
      </c>
      <c r="N242" s="14">
        <f ca="1">INDEX(INDIRECT(zoneFichierTraite),$J242+offsetInitialFichierTraite,3)</f>
        <v>8050846090835</v>
      </c>
      <c r="O242" s="1">
        <f ca="1">MATCH(N242,INDIRECT(nomFichierEAN13Valmag &amp; "!A:A"),0)</f>
        <v>763</v>
      </c>
      <c r="P242" s="1">
        <f ca="1">MATCH(R242,INDIRECT(nomFichierEAN13Valmag &amp; "!A:A"),0)</f>
        <v>762</v>
      </c>
      <c r="Q242" s="1">
        <f ca="1">MATCH(LEFT(B242,14) &amp; "*",INDIRECT(nomFichierEAN13Valmag &amp; "!B:B"),0)</f>
        <v>762</v>
      </c>
      <c r="R242" s="14">
        <f ca="1">IFERROR(INDEX(INDIRECT(zoneFichierEAN13Valmag),Q242,1),"")</f>
        <v>8050846090828</v>
      </c>
      <c r="S242" s="1">
        <f ca="1">MATCH(B242,INDIRECT(nomFichierFiltreCatalogue &amp; "!B:B"),0)</f>
        <v>400</v>
      </c>
      <c r="T242" s="14"/>
    </row>
    <row r="243" spans="1:20" s="20" customFormat="1" ht="15.75" customHeight="1" x14ac:dyDescent="0.25">
      <c r="A243" s="25">
        <f ca="1">INDEX(INDIRECT(zoneFichierTraite),$J242+offsetInitialFichierTraite,2)</f>
        <v>198</v>
      </c>
      <c r="B243" s="45" t="str">
        <f ca="1">IF(C243="", IFERROR(INDEX(INDIRECT(zoneFichierEAN13Valmag),$P242,3),""), "")</f>
        <v/>
      </c>
      <c r="C243" s="44" t="str">
        <f ca="1">IFERROR(INDEX(INDIRECT(zoneFichierEAN13Valmag),$O242,3),"")</f>
        <v xml:space="preserve"> </v>
      </c>
      <c r="D243" s="19" t="str">
        <f ca="1">IFERROR(INDEX(INDIRECT(zoneFichierEAN13Valmag),$O242,4),"")</f>
        <v xml:space="preserve"> </v>
      </c>
      <c r="E243" s="33" t="str">
        <f ca="1">IFERROR(INDEX(INDIRECT(zoneFichierFiltreCatalogue),S242,3),"")</f>
        <v>p091-2-01</v>
      </c>
      <c r="F243" s="19"/>
      <c r="G243" s="18"/>
      <c r="H243" s="34" t="str">
        <f ca="1">IFERROR(INDEX(INDIRECT(zoneFichierFiltreCatalogue),S242,6),"")</f>
        <v>fall 2019 presentation_/catalogo fall 19.txt</v>
      </c>
      <c r="R243" s="21"/>
      <c r="S243" s="21"/>
    </row>
    <row r="244" spans="1:20" ht="39" customHeight="1" thickBot="1" x14ac:dyDescent="0.65">
      <c r="A244" s="9" t="str">
        <f ca="1">INDEX(INDIRECT(zoneFichierTraite),$J244+offsetInitialFichierTraite,6)</f>
        <v>UNICA</v>
      </c>
      <c r="B244" s="5" t="str">
        <f ca="1">INDEX(INDIRECT(zoneFichierTraite),$J244+offsetInitialFichierTraite,4)</f>
        <v>OBAGS002-TESBK-137</v>
      </c>
      <c r="C244" s="26" t="str">
        <f ca="1">INDEX(INDIRECT(zoneFichierTraite),$J244+offsetInitialFichierTraite,5)</f>
        <v>POCHETTE INTERIEURE FERMETURE ECLAIR O BAG MINI EN TISSU DOUDOUNE Ã€ CHEVRONS</v>
      </c>
      <c r="D244" s="27" t="str">
        <f ca="1">INDEX(INDIRECT(zoneFichierTraite),$J244+offsetInitialFichierTraite,13)</f>
        <v>bluette</v>
      </c>
      <c r="E244" s="30">
        <f ca="1">INDEX(INDIRECT(zoneFichierTraite),$J244+offsetInitialFichierTraite,7)</f>
        <v>2</v>
      </c>
      <c r="F244" s="28">
        <f ca="1">INDEX(INDIRECT(zoneFichierTraite),$J244+offsetInitialFichierTraite,8)</f>
        <v>11.85</v>
      </c>
      <c r="G244" s="29">
        <f t="shared" ref="G244:G307" ca="1" si="104">ROUNDUP(F244*3,0)</f>
        <v>36</v>
      </c>
      <c r="H244" s="32" t="str">
        <f ca="1">IF(ISNUMBER(N244),codeEAN13(INT(N244/10)),"")</f>
        <v>8APASOG*ajaici+</v>
      </c>
      <c r="J244" s="15">
        <f t="shared" si="83"/>
        <v>118</v>
      </c>
      <c r="L244" s="5" t="str">
        <f ca="1">INDEX(INDIRECT(zoneFichierTraite),$J244+offsetInitialFichierTraite,1)</f>
        <v>'118</v>
      </c>
      <c r="M244" s="11">
        <f ca="1">INDEX(INDIRECT(zoneFichierTraite),$J244+offsetInitialFichierTraite,9)</f>
        <v>23.7</v>
      </c>
      <c r="N244" s="14">
        <f ca="1">INDEX(INDIRECT(zoneFichierTraite),$J244+offsetInitialFichierTraite,3)</f>
        <v>8050846090828</v>
      </c>
      <c r="O244" s="1">
        <f ca="1">MATCH(N244,INDIRECT(nomFichierEAN13Valmag &amp; "!A:A"),0)</f>
        <v>762</v>
      </c>
      <c r="P244" s="1">
        <f ca="1">MATCH(R244,INDIRECT(nomFichierEAN13Valmag &amp; "!A:A"),0)</f>
        <v>762</v>
      </c>
      <c r="Q244" s="1">
        <f ca="1">MATCH(LEFT(B244,14) &amp; "*",INDIRECT(nomFichierEAN13Valmag &amp; "!B:B"),0)</f>
        <v>762</v>
      </c>
      <c r="R244" s="14">
        <f ca="1">IFERROR(INDEX(INDIRECT(zoneFichierEAN13Valmag),Q244,1),"")</f>
        <v>8050846090828</v>
      </c>
      <c r="S244" s="1">
        <f ca="1">MATCH(B244,INDIRECT(nomFichierFiltreCatalogue &amp; "!B:B"),0)</f>
        <v>401</v>
      </c>
      <c r="T244" s="14"/>
    </row>
    <row r="245" spans="1:20" s="20" customFormat="1" ht="15.75" customHeight="1" x14ac:dyDescent="0.25">
      <c r="A245" s="25">
        <f ca="1">INDEX(INDIRECT(zoneFichierTraite),$J244+offsetInitialFichierTraite,2)</f>
        <v>79</v>
      </c>
      <c r="B245" s="45" t="str">
        <f ca="1">IF(C245="", IFERROR(INDEX(INDIRECT(zoneFichierEAN13Valmag),$P244,3),""), "")</f>
        <v/>
      </c>
      <c r="C245" s="44" t="str">
        <f ca="1">IFERROR(INDEX(INDIRECT(zoneFichierEAN13Valmag),$O244,3),"")</f>
        <v xml:space="preserve"> </v>
      </c>
      <c r="D245" s="19" t="str">
        <f ca="1">IFERROR(INDEX(INDIRECT(zoneFichierEAN13Valmag),$O244,4),"")</f>
        <v xml:space="preserve"> </v>
      </c>
      <c r="E245" s="33" t="str">
        <f ca="1">IFERROR(INDEX(INDIRECT(zoneFichierFiltreCatalogue),S244,3),"")</f>
        <v>p091-2-02</v>
      </c>
      <c r="F245" s="19"/>
      <c r="G245" s="18"/>
      <c r="H245" s="34" t="str">
        <f ca="1">IFERROR(INDEX(INDIRECT(zoneFichierFiltreCatalogue),S244,6),"")</f>
        <v>fall 2019 presentation_/catalogo fall 19.txt</v>
      </c>
      <c r="R245" s="21"/>
      <c r="S245" s="21"/>
    </row>
    <row r="246" spans="1:20" ht="39" customHeight="1" thickBot="1" x14ac:dyDescent="0.65">
      <c r="A246" s="9" t="str">
        <f ca="1">INDEX(INDIRECT(zoneFichierTraite),$J246+offsetInitialFichierTraite,6)</f>
        <v>UNICA</v>
      </c>
      <c r="B246" s="5" t="str">
        <f ca="1">INDEX(INDIRECT(zoneFichierTraite),$J246+offsetInitialFichierTraite,4)</f>
        <v>OBAGS002-TESD5-067</v>
      </c>
      <c r="C246" s="26" t="str">
        <f ca="1">INDEX(INDIRECT(zoneFichierTraite),$J246+offsetInitialFichierTraite,5)</f>
        <v>POCHETTE INTERIEURE FERMETURE ECLAIR O BAG MINI EN MICROFIBRE COULEUR UNIE</v>
      </c>
      <c r="D246" s="27" t="str">
        <f ca="1">INDEX(INDIRECT(zoneFichierTraite),$J246+offsetInitialFichierTraite,13)</f>
        <v>phard</v>
      </c>
      <c r="E246" s="30">
        <f ca="1">INDEX(INDIRECT(zoneFichierTraite),$J246+offsetInitialFichierTraite,7)</f>
        <v>2</v>
      </c>
      <c r="F246" s="28">
        <f ca="1">INDEX(INDIRECT(zoneFichierTraite),$J246+offsetInitialFichierTraite,8)</f>
        <v>10.8</v>
      </c>
      <c r="G246" s="29">
        <f t="shared" ref="G246:G309" ca="1" si="105">ROUNDUP(F246*3,0)</f>
        <v>33</v>
      </c>
      <c r="H246" s="32" t="str">
        <f ca="1">IF(ISNUMBER(N246),codeEAN13(INT(N246/10)),"")</f>
        <v>8APASOG*ajaiae+</v>
      </c>
      <c r="J246" s="15">
        <f t="shared" si="83"/>
        <v>119</v>
      </c>
      <c r="L246" s="5" t="str">
        <f ca="1">INDEX(INDIRECT(zoneFichierTraite),$J246+offsetInitialFichierTraite,1)</f>
        <v>'119</v>
      </c>
      <c r="M246" s="11">
        <f ca="1">INDEX(INDIRECT(zoneFichierTraite),$J246+offsetInitialFichierTraite,9)</f>
        <v>21.6</v>
      </c>
      <c r="N246" s="14">
        <f ca="1">INDEX(INDIRECT(zoneFichierTraite),$J246+offsetInitialFichierTraite,3)</f>
        <v>8050846090804</v>
      </c>
      <c r="O246" s="1">
        <f ca="1">MATCH(N246,INDIRECT(nomFichierEAN13Valmag &amp; "!A:A"),0)</f>
        <v>760</v>
      </c>
      <c r="P246" s="1">
        <f ca="1">MATCH(R246,INDIRECT(nomFichierEAN13Valmag &amp; "!A:A"),0)</f>
        <v>135</v>
      </c>
      <c r="Q246" s="1">
        <f ca="1">MATCH(LEFT(B246,14) &amp; "*",INDIRECT(nomFichierEAN13Valmag &amp; "!B:B"),0)</f>
        <v>135</v>
      </c>
      <c r="R246" s="14">
        <f ca="1">IFERROR(INDEX(INDIRECT(zoneFichierEAN13Valmag),Q246,1),"")</f>
        <v>8050846013520</v>
      </c>
      <c r="S246" s="1">
        <f ca="1">MATCH(B246,INDIRECT(nomFichierFiltreCatalogue &amp; "!B:B"),0)</f>
        <v>396</v>
      </c>
      <c r="T246" s="14"/>
    </row>
    <row r="247" spans="1:20" s="20" customFormat="1" ht="15.75" customHeight="1" x14ac:dyDescent="0.25">
      <c r="A247" s="25">
        <f ca="1">INDEX(INDIRECT(zoneFichierTraite),$J246+offsetInitialFichierTraite,2)</f>
        <v>8</v>
      </c>
      <c r="B247" s="45" t="str">
        <f ca="1">IF(C247="", IFERROR(INDEX(INDIRECT(zoneFichierEAN13Valmag),$P246,3),""), "")</f>
        <v/>
      </c>
      <c r="C247" s="44" t="str">
        <f ca="1">IFERROR(INDEX(INDIRECT(zoneFichierEAN13Valmag),$O246,3),"")</f>
        <v xml:space="preserve"> </v>
      </c>
      <c r="D247" s="19" t="str">
        <f ca="1">IFERROR(INDEX(INDIRECT(zoneFichierEAN13Valmag),$O246,4),"")</f>
        <v xml:space="preserve"> </v>
      </c>
      <c r="E247" s="33" t="str">
        <f ca="1">IFERROR(INDEX(INDIRECT(zoneFichierFiltreCatalogue),S246,3),"")</f>
        <v>p089-2-05</v>
      </c>
      <c r="F247" s="19"/>
      <c r="G247" s="18"/>
      <c r="H247" s="34" t="str">
        <f ca="1">IFERROR(INDEX(INDIRECT(zoneFichierFiltreCatalogue),S246,6),"")</f>
        <v>fall 2019 presentation_/catalogo fall 19.txt</v>
      </c>
      <c r="R247" s="21"/>
      <c r="S247" s="21"/>
    </row>
    <row r="248" spans="1:20" ht="39" customHeight="1" thickBot="1" x14ac:dyDescent="0.65">
      <c r="A248" s="9" t="str">
        <f ca="1">INDEX(INDIRECT(zoneFichierTraite),$J248+offsetInitialFichierTraite,6)</f>
        <v>UNICA</v>
      </c>
      <c r="B248" s="5" t="str">
        <f ca="1">INDEX(INDIRECT(zoneFichierTraite),$J248+offsetInitialFichierTraite,4)</f>
        <v>OBAGS002-TESD5-615</v>
      </c>
      <c r="C248" s="26" t="str">
        <f ca="1">INDEX(INDIRECT(zoneFichierTraite),$J248+offsetInitialFichierTraite,5)</f>
        <v>POCHETTE INTERIEURE FERMETURE ECLAIR O BAG MINI EN MICROFIBRE COULEUR UNIE</v>
      </c>
      <c r="D248" s="27" t="str">
        <f ca="1">INDEX(INDIRECT(zoneFichierTraite),$J248+offsetInitialFichierTraite,13)</f>
        <v>military</v>
      </c>
      <c r="E248" s="30">
        <f ca="1">INDEX(INDIRECT(zoneFichierTraite),$J248+offsetInitialFichierTraite,7)</f>
        <v>2</v>
      </c>
      <c r="F248" s="28">
        <f ca="1">INDEX(INDIRECT(zoneFichierTraite),$J248+offsetInitialFichierTraite,8)</f>
        <v>10.8</v>
      </c>
      <c r="G248" s="29">
        <f t="shared" ref="G248:G311" ca="1" si="106">ROUNDUP(F248*3,0)</f>
        <v>33</v>
      </c>
      <c r="H248" s="32" t="str">
        <f ca="1">IF(ISNUMBER(N248),codeEAN13(INT(N248/10)),"")</f>
        <v>8APASOG*ajahji+</v>
      </c>
      <c r="J248" s="15">
        <f t="shared" si="83"/>
        <v>120</v>
      </c>
      <c r="L248" s="5" t="str">
        <f ca="1">INDEX(INDIRECT(zoneFichierTraite),$J248+offsetInitialFichierTraite,1)</f>
        <v>'120</v>
      </c>
      <c r="M248" s="11">
        <f ca="1">INDEX(INDIRECT(zoneFichierTraite),$J248+offsetInitialFichierTraite,9)</f>
        <v>21.6</v>
      </c>
      <c r="N248" s="14">
        <f ca="1">INDEX(INDIRECT(zoneFichierTraite),$J248+offsetInitialFichierTraite,3)</f>
        <v>8050846090798</v>
      </c>
      <c r="O248" s="1">
        <f ca="1">MATCH(N248,INDIRECT(nomFichierEAN13Valmag &amp; "!A:A"),0)</f>
        <v>759</v>
      </c>
      <c r="P248" s="1">
        <f ca="1">MATCH(R248,INDIRECT(nomFichierEAN13Valmag &amp; "!A:A"),0)</f>
        <v>135</v>
      </c>
      <c r="Q248" s="1">
        <f ca="1">MATCH(LEFT(B248,14) &amp; "*",INDIRECT(nomFichierEAN13Valmag &amp; "!B:B"),0)</f>
        <v>135</v>
      </c>
      <c r="R248" s="14">
        <f ca="1">IFERROR(INDEX(INDIRECT(zoneFichierEAN13Valmag),Q248,1),"")</f>
        <v>8050846013520</v>
      </c>
      <c r="S248" s="1">
        <f ca="1">MATCH(B248,INDIRECT(nomFichierFiltreCatalogue &amp; "!B:B"),0)</f>
        <v>397</v>
      </c>
      <c r="T248" s="14"/>
    </row>
    <row r="249" spans="1:20" s="20" customFormat="1" ht="15.75" customHeight="1" x14ac:dyDescent="0.25">
      <c r="A249" s="25">
        <f ca="1">INDEX(INDIRECT(zoneFichierTraite),$J248+offsetInitialFichierTraite,2)</f>
        <v>144</v>
      </c>
      <c r="B249" s="45" t="str">
        <f ca="1">IF(C249="", IFERROR(INDEX(INDIRECT(zoneFichierEAN13Valmag),$P248,3),""), "")</f>
        <v/>
      </c>
      <c r="C249" s="44" t="str">
        <f ca="1">IFERROR(INDEX(INDIRECT(zoneFichierEAN13Valmag),$O248,3),"")</f>
        <v xml:space="preserve"> </v>
      </c>
      <c r="D249" s="19" t="str">
        <f ca="1">IFERROR(INDEX(INDIRECT(zoneFichierEAN13Valmag),$O248,4),"")</f>
        <v xml:space="preserve"> </v>
      </c>
      <c r="E249" s="33" t="str">
        <f ca="1">IFERROR(INDEX(INDIRECT(zoneFichierFiltreCatalogue),S248,3),"")</f>
        <v>p089-2-06</v>
      </c>
      <c r="F249" s="19"/>
      <c r="G249" s="18"/>
      <c r="H249" s="34" t="str">
        <f ca="1">IFERROR(INDEX(INDIRECT(zoneFichierFiltreCatalogue),S248,6),"")</f>
        <v>fall 2019 presentation_/catalogo fall 19.txt</v>
      </c>
      <c r="R249" s="21"/>
      <c r="S249" s="21"/>
    </row>
    <row r="250" spans="1:20" ht="39" customHeight="1" thickBot="1" x14ac:dyDescent="0.65">
      <c r="A250" s="9" t="str">
        <f ca="1">INDEX(INDIRECT(zoneFichierTraite),$J250+offsetInitialFichierTraite,6)</f>
        <v>UNICA</v>
      </c>
      <c r="B250" s="5" t="str">
        <f ca="1">INDEX(INDIRECT(zoneFichierTraite),$J250+offsetInitialFichierTraite,4)</f>
        <v>OBAGS033-TESBG-227</v>
      </c>
      <c r="C250" s="26" t="str">
        <f ca="1">INDEX(INDIRECT(zoneFichierTraite),$J250+offsetInitialFichierTraite,5)</f>
        <v>POCHETTE INTERIEURE FERMETURE ECLAIR O BAG URBAN EN TISSU PRINCE DE GALLES+ FLEURS</v>
      </c>
      <c r="D250" s="27" t="str">
        <f ca="1">INDEX(INDIRECT(zoneFichierTraite),$J250+offsetInitialFichierTraite,13)</f>
        <v>CodeBarre</v>
      </c>
      <c r="E250" s="30">
        <f ca="1">INDEX(INDIRECT(zoneFichierTraite),$J250+offsetInitialFichierTraite,7)</f>
        <v>2</v>
      </c>
      <c r="F250" s="28">
        <f ca="1">INDEX(INDIRECT(zoneFichierTraite),$J250+offsetInitialFichierTraite,8)</f>
        <v>14.81</v>
      </c>
      <c r="G250" s="29">
        <f t="shared" ref="G250:G313" ca="1" si="107">ROUNDUP(F250*3,0)</f>
        <v>45</v>
      </c>
      <c r="H250" s="32" t="str">
        <f ca="1">IF(ISNUMBER(N250),codeEAN13(INT(N250/10)),"")</f>
        <v/>
      </c>
      <c r="J250" s="15">
        <f t="shared" si="83"/>
        <v>121</v>
      </c>
      <c r="L250" s="5" t="str">
        <f ca="1">INDEX(INDIRECT(zoneFichierTraite),$J250+offsetInitialFichierTraite,1)</f>
        <v>'121</v>
      </c>
      <c r="M250" s="11">
        <f ca="1">INDEX(INDIRECT(zoneFichierTraite),$J250+offsetInitialFichierTraite,9)</f>
        <v>29.62</v>
      </c>
      <c r="N250" s="14" t="str">
        <f ca="1">INDEX(INDIRECT(zoneFichierTraite),$J250+offsetInitialFichierTraite,3)</f>
        <v>CodeBarre</v>
      </c>
      <c r="O250" s="1" t="e">
        <f ca="1">MATCH(N250,INDIRECT(nomFichierEAN13Valmag &amp; "!A:A"),0)</f>
        <v>#N/A</v>
      </c>
      <c r="P250" s="1" t="e">
        <f ca="1">MATCH(R250,INDIRECT(nomFichierEAN13Valmag &amp; "!A:A"),0)</f>
        <v>#N/A</v>
      </c>
      <c r="Q250" s="1" t="e">
        <f ca="1">MATCH(LEFT(B250,14) &amp; "*",INDIRECT(nomFichierEAN13Valmag &amp; "!B:B"),0)</f>
        <v>#N/A</v>
      </c>
      <c r="R250" s="14" t="str">
        <f ca="1">IFERROR(INDEX(INDIRECT(zoneFichierEAN13Valmag),Q250,1),"")</f>
        <v/>
      </c>
      <c r="S250" s="1" t="e">
        <f ca="1">MATCH(B250,INDIRECT(nomFichierFiltreCatalogue &amp; "!B:B"),0)</f>
        <v>#N/A</v>
      </c>
      <c r="T250" s="14"/>
    </row>
    <row r="251" spans="1:20" s="20" customFormat="1" ht="15.75" customHeight="1" x14ac:dyDescent="0.25">
      <c r="A251" s="25">
        <f ca="1">INDEX(INDIRECT(zoneFichierTraite),$J250+offsetInitialFichierTraite,2)</f>
        <v>4</v>
      </c>
      <c r="B251" s="45" t="str">
        <f ca="1">IF(C251="", IFERROR(INDEX(INDIRECT(zoneFichierEAN13Valmag),$P250,3),""), "")</f>
        <v/>
      </c>
      <c r="C251" s="44" t="str">
        <f ca="1">IFERROR(INDEX(INDIRECT(zoneFichierEAN13Valmag),$O250,3),"")</f>
        <v/>
      </c>
      <c r="D251" s="19" t="str">
        <f ca="1">IFERROR(INDEX(INDIRECT(zoneFichierEAN13Valmag),$O250,4),"")</f>
        <v/>
      </c>
      <c r="E251" s="33" t="str">
        <f ca="1">IFERROR(INDEX(INDIRECT(zoneFichierFiltreCatalogue),S250,3),"")</f>
        <v/>
      </c>
      <c r="F251" s="19"/>
      <c r="G251" s="18"/>
      <c r="H251" s="34" t="str">
        <f ca="1">IFERROR(INDEX(INDIRECT(zoneFichierFiltreCatalogue),S250,6),"")</f>
        <v/>
      </c>
      <c r="R251" s="21"/>
      <c r="S251" s="21"/>
    </row>
    <row r="252" spans="1:20" ht="39" customHeight="1" thickBot="1" x14ac:dyDescent="0.65">
      <c r="A252" s="9" t="str">
        <f ca="1">INDEX(INDIRECT(zoneFichierTraite),$J252+offsetInitialFichierTraite,6)</f>
        <v>UNICA</v>
      </c>
      <c r="B252" s="5" t="str">
        <f ca="1">INDEX(INDIRECT(zoneFichierTraite),$J252+offsetInitialFichierTraite,4)</f>
        <v>OBAGS033-TESBI-227</v>
      </c>
      <c r="C252" s="26" t="str">
        <f ca="1">INDEX(INDIRECT(zoneFichierTraite),$J252+offsetInitialFichierTraite,5)</f>
        <v>POCHETTE INTERIEURE FERMETURE ECLAIR O BAG URBAN EN TISSU MARBLE</v>
      </c>
      <c r="D252" s="27" t="str">
        <f ca="1">INDEX(INDIRECT(zoneFichierTraite),$J252+offsetInitialFichierTraite,13)</f>
        <v>bianco/nero</v>
      </c>
      <c r="E252" s="30">
        <f ca="1">INDEX(INDIRECT(zoneFichierTraite),$J252+offsetInitialFichierTraite,7)</f>
        <v>2</v>
      </c>
      <c r="F252" s="28">
        <f ca="1">INDEX(INDIRECT(zoneFichierTraite),$J252+offsetInitialFichierTraite,8)</f>
        <v>13.33</v>
      </c>
      <c r="G252" s="29">
        <f t="shared" ref="G252:G315" ca="1" si="108">ROUNDUP(F252*3,0)</f>
        <v>40</v>
      </c>
      <c r="H252" s="32" t="str">
        <f ca="1">IF(ISNUMBER(N252),codeEAN13(INT(N252/10)),"")</f>
        <v>8APASOG*ajbjdb+</v>
      </c>
      <c r="J252" s="15">
        <f t="shared" si="83"/>
        <v>122</v>
      </c>
      <c r="L252" s="5" t="str">
        <f ca="1">INDEX(INDIRECT(zoneFichierTraite),$J252+offsetInitialFichierTraite,1)</f>
        <v>'122</v>
      </c>
      <c r="M252" s="11">
        <f ca="1">INDEX(INDIRECT(zoneFichierTraite),$J252+offsetInitialFichierTraite,9)</f>
        <v>26.66</v>
      </c>
      <c r="N252" s="14">
        <f ca="1">INDEX(INDIRECT(zoneFichierTraite),$J252+offsetInitialFichierTraite,3)</f>
        <v>8050846091931</v>
      </c>
      <c r="O252" s="1">
        <f ca="1">MATCH(N252,INDIRECT(nomFichierEAN13Valmag &amp; "!A:A"),0)</f>
        <v>847</v>
      </c>
      <c r="P252" s="1">
        <f ca="1">MATCH(R252,INDIRECT(nomFichierEAN13Valmag &amp; "!A:A"),0)</f>
        <v>847</v>
      </c>
      <c r="Q252" s="1">
        <f ca="1">MATCH(LEFT(B252,14) &amp; "*",INDIRECT(nomFichierEAN13Valmag &amp; "!B:B"),0)</f>
        <v>847</v>
      </c>
      <c r="R252" s="14">
        <f ca="1">IFERROR(INDEX(INDIRECT(zoneFichierEAN13Valmag),Q252,1),"")</f>
        <v>8050846091931</v>
      </c>
      <c r="S252" s="1">
        <f ca="1">MATCH(B252,INDIRECT(nomFichierFiltreCatalogue &amp; "!B:B"),0)</f>
        <v>420</v>
      </c>
      <c r="T252" s="14"/>
    </row>
    <row r="253" spans="1:20" s="20" customFormat="1" ht="15.75" customHeight="1" x14ac:dyDescent="0.25">
      <c r="A253" s="25">
        <f ca="1">INDEX(INDIRECT(zoneFichierTraite),$J252+offsetInitialFichierTraite,2)</f>
        <v>170</v>
      </c>
      <c r="B253" s="45" t="str">
        <f ca="1">IF(C253="", IFERROR(INDEX(INDIRECT(zoneFichierEAN13Valmag),$P252,3),""), "")</f>
        <v/>
      </c>
      <c r="C253" s="44" t="str">
        <f ca="1">IFERROR(INDEX(INDIRECT(zoneFichierEAN13Valmag),$O252,3),"")</f>
        <v xml:space="preserve"> </v>
      </c>
      <c r="D253" s="19" t="str">
        <f ca="1">IFERROR(INDEX(INDIRECT(zoneFichierEAN13Valmag),$O252,4),"")</f>
        <v xml:space="preserve"> </v>
      </c>
      <c r="E253" s="33" t="str">
        <f ca="1">IFERROR(INDEX(INDIRECT(zoneFichierFiltreCatalogue),S252,3),"")</f>
        <v>p096-1-01</v>
      </c>
      <c r="F253" s="19"/>
      <c r="G253" s="18"/>
      <c r="H253" s="34" t="str">
        <f ca="1">IFERROR(INDEX(INDIRECT(zoneFichierFiltreCatalogue),S252,6),"")</f>
        <v>fall 2019 presentation_/catalogo fall 19.txt</v>
      </c>
      <c r="R253" s="21"/>
      <c r="S253" s="21"/>
    </row>
    <row r="254" spans="1:20" ht="39" customHeight="1" thickBot="1" x14ac:dyDescent="0.65">
      <c r="A254" s="9" t="str">
        <f ca="1">INDEX(INDIRECT(zoneFichierTraite),$J254+offsetInitialFichierTraite,6)</f>
        <v>UNICA</v>
      </c>
      <c r="B254" s="5" t="str">
        <f ca="1">INDEX(INDIRECT(zoneFichierTraite),$J254+offsetInitialFichierTraite,4)</f>
        <v>OBAGS033-TESBK-055</v>
      </c>
      <c r="C254" s="26" t="str">
        <f ca="1">INDEX(INDIRECT(zoneFichierTraite),$J254+offsetInitialFichierTraite,5)</f>
        <v>POCHETTE INTERIEURE FERMETURE ECLAIR O BAG URBAN EN TISSU DOUDOUNE Ã€ CHEVRONS</v>
      </c>
      <c r="D254" s="27" t="str">
        <f ca="1">INDEX(INDIRECT(zoneFichierTraite),$J254+offsetInitialFichierTraite,13)</f>
        <v>nero</v>
      </c>
      <c r="E254" s="30">
        <f ca="1">INDEX(INDIRECT(zoneFichierTraite),$J254+offsetInitialFichierTraite,7)</f>
        <v>2</v>
      </c>
      <c r="F254" s="28">
        <f ca="1">INDEX(INDIRECT(zoneFichierTraite),$J254+offsetInitialFichierTraite,8)</f>
        <v>12.59</v>
      </c>
      <c r="G254" s="29">
        <f t="shared" ref="G254:G317" ca="1" si="109">ROUNDUP(F254*3,0)</f>
        <v>38</v>
      </c>
      <c r="H254" s="32" t="str">
        <f ca="1">IF(ISNUMBER(N254),codeEAN13(INT(N254/10)),"")</f>
        <v>8APASOG*ajbiab+</v>
      </c>
      <c r="J254" s="15">
        <f t="shared" si="83"/>
        <v>123</v>
      </c>
      <c r="L254" s="5" t="str">
        <f ca="1">INDEX(INDIRECT(zoneFichierTraite),$J254+offsetInitialFichierTraite,1)</f>
        <v>'123</v>
      </c>
      <c r="M254" s="11">
        <f ca="1">INDEX(INDIRECT(zoneFichierTraite),$J254+offsetInitialFichierTraite,9)</f>
        <v>25.18</v>
      </c>
      <c r="N254" s="14">
        <f ca="1">INDEX(INDIRECT(zoneFichierTraite),$J254+offsetInitialFichierTraite,3)</f>
        <v>8050846091801</v>
      </c>
      <c r="O254" s="1">
        <f ca="1">MATCH(N254,INDIRECT(nomFichierEAN13Valmag &amp; "!A:A"),0)</f>
        <v>835</v>
      </c>
      <c r="P254" s="1">
        <f ca="1">MATCH(R254,INDIRECT(nomFichierEAN13Valmag &amp; "!A:A"),0)</f>
        <v>834</v>
      </c>
      <c r="Q254" s="1">
        <f ca="1">MATCH(LEFT(B254,14) &amp; "*",INDIRECT(nomFichierEAN13Valmag &amp; "!B:B"),0)</f>
        <v>834</v>
      </c>
      <c r="R254" s="14">
        <f ca="1">IFERROR(INDEX(INDIRECT(zoneFichierEAN13Valmag),Q254,1),"")</f>
        <v>8050846091795</v>
      </c>
      <c r="S254" s="1">
        <f ca="1">MATCH(B254,INDIRECT(nomFichierFiltreCatalogue &amp; "!B:B"),0)</f>
        <v>421</v>
      </c>
      <c r="T254" s="14"/>
    </row>
    <row r="255" spans="1:20" s="20" customFormat="1" ht="15.75" customHeight="1" x14ac:dyDescent="0.25">
      <c r="A255" s="25">
        <f ca="1">INDEX(INDIRECT(zoneFichierTraite),$J254+offsetInitialFichierTraite,2)</f>
        <v>52</v>
      </c>
      <c r="B255" s="45" t="str">
        <f ca="1">IF(C255="", IFERROR(INDEX(INDIRECT(zoneFichierEAN13Valmag),$P254,3),""), "")</f>
        <v/>
      </c>
      <c r="C255" s="44" t="str">
        <f ca="1">IFERROR(INDEX(INDIRECT(zoneFichierEAN13Valmag),$O254,3),"")</f>
        <v xml:space="preserve"> </v>
      </c>
      <c r="D255" s="19" t="str">
        <f ca="1">IFERROR(INDEX(INDIRECT(zoneFichierEAN13Valmag),$O254,4),"")</f>
        <v xml:space="preserve"> </v>
      </c>
      <c r="E255" s="33" t="str">
        <f ca="1">IFERROR(INDEX(INDIRECT(zoneFichierFiltreCatalogue),S254,3),"")</f>
        <v>p096-2-01</v>
      </c>
      <c r="F255" s="19"/>
      <c r="G255" s="18"/>
      <c r="H255" s="34" t="str">
        <f ca="1">IFERROR(INDEX(INDIRECT(zoneFichierFiltreCatalogue),S254,6),"")</f>
        <v>fall 2019 presentation_/catalogo fall 19.txt</v>
      </c>
      <c r="R255" s="21"/>
      <c r="S255" s="21"/>
    </row>
    <row r="256" spans="1:20" ht="39" customHeight="1" thickBot="1" x14ac:dyDescent="0.65">
      <c r="A256" s="9" t="str">
        <f ca="1">INDEX(INDIRECT(zoneFichierTraite),$J256+offsetInitialFichierTraite,6)</f>
        <v>UNICA</v>
      </c>
      <c r="B256" s="5" t="str">
        <f ca="1">INDEX(INDIRECT(zoneFichierTraite),$J256+offsetInitialFichierTraite,4)</f>
        <v>OBAGS033-TESBK-137</v>
      </c>
      <c r="C256" s="26" t="str">
        <f ca="1">INDEX(INDIRECT(zoneFichierTraite),$J256+offsetInitialFichierTraite,5)</f>
        <v>POCHETTE INTERIEURE FERMETURE ECLAIR O BAG URBAN EN TISSU DOUDOUNE Ã€ CHEVRONS</v>
      </c>
      <c r="D256" s="27" t="str">
        <f ca="1">INDEX(INDIRECT(zoneFichierTraite),$J256+offsetInitialFichierTraite,13)</f>
        <v>bluette</v>
      </c>
      <c r="E256" s="30">
        <f ca="1">INDEX(INDIRECT(zoneFichierTraite),$J256+offsetInitialFichierTraite,7)</f>
        <v>2</v>
      </c>
      <c r="F256" s="28">
        <f ca="1">INDEX(INDIRECT(zoneFichierTraite),$J256+offsetInitialFichierTraite,8)</f>
        <v>12.59</v>
      </c>
      <c r="G256" s="29">
        <f t="shared" ref="G256:G319" ca="1" si="110">ROUNDUP(F256*3,0)</f>
        <v>38</v>
      </c>
      <c r="H256" s="32" t="str">
        <f ca="1">IF(ISNUMBER(N256),codeEAN13(INT(N256/10)),"")</f>
        <v>8APASOG*ajbhjf+</v>
      </c>
      <c r="J256" s="15">
        <f t="shared" si="83"/>
        <v>124</v>
      </c>
      <c r="L256" s="5" t="str">
        <f ca="1">INDEX(INDIRECT(zoneFichierTraite),$J256+offsetInitialFichierTraite,1)</f>
        <v>'124</v>
      </c>
      <c r="M256" s="11">
        <f ca="1">INDEX(INDIRECT(zoneFichierTraite),$J256+offsetInitialFichierTraite,9)</f>
        <v>25.18</v>
      </c>
      <c r="N256" s="14">
        <f ca="1">INDEX(INDIRECT(zoneFichierTraite),$J256+offsetInitialFichierTraite,3)</f>
        <v>8050846091795</v>
      </c>
      <c r="O256" s="1">
        <f ca="1">MATCH(N256,INDIRECT(nomFichierEAN13Valmag &amp; "!A:A"),0)</f>
        <v>834</v>
      </c>
      <c r="P256" s="1">
        <f ca="1">MATCH(R256,INDIRECT(nomFichierEAN13Valmag &amp; "!A:A"),0)</f>
        <v>834</v>
      </c>
      <c r="Q256" s="1">
        <f ca="1">MATCH(LEFT(B256,14) &amp; "*",INDIRECT(nomFichierEAN13Valmag &amp; "!B:B"),0)</f>
        <v>834</v>
      </c>
      <c r="R256" s="14">
        <f ca="1">IFERROR(INDEX(INDIRECT(zoneFichierEAN13Valmag),Q256,1),"")</f>
        <v>8050846091795</v>
      </c>
      <c r="S256" s="1">
        <f ca="1">MATCH(B256,INDIRECT(nomFichierFiltreCatalogue &amp; "!B:B"),0)</f>
        <v>422</v>
      </c>
      <c r="T256" s="14"/>
    </row>
    <row r="257" spans="1:20" s="20" customFormat="1" ht="15.75" customHeight="1" x14ac:dyDescent="0.25">
      <c r="A257" s="25">
        <f ca="1">INDEX(INDIRECT(zoneFichierTraite),$J256+offsetInitialFichierTraite,2)</f>
        <v>171</v>
      </c>
      <c r="B257" s="45" t="str">
        <f ca="1">IF(C257="", IFERROR(INDEX(INDIRECT(zoneFichierEAN13Valmag),$P256,3),""), "")</f>
        <v/>
      </c>
      <c r="C257" s="44" t="str">
        <f ca="1">IFERROR(INDEX(INDIRECT(zoneFichierEAN13Valmag),$O256,3),"")</f>
        <v xml:space="preserve"> </v>
      </c>
      <c r="D257" s="19" t="str">
        <f ca="1">IFERROR(INDEX(INDIRECT(zoneFichierEAN13Valmag),$O256,4),"")</f>
        <v xml:space="preserve"> </v>
      </c>
      <c r="E257" s="33" t="str">
        <f ca="1">IFERROR(INDEX(INDIRECT(zoneFichierFiltreCatalogue),S256,3),"")</f>
        <v>p096-2-02</v>
      </c>
      <c r="F257" s="19"/>
      <c r="G257" s="18"/>
      <c r="H257" s="34" t="str">
        <f ca="1">IFERROR(INDEX(INDIRECT(zoneFichierFiltreCatalogue),S256,6),"")</f>
        <v>fall 2019 presentation_/catalogo fall 19.txt</v>
      </c>
      <c r="R257" s="21"/>
      <c r="S257" s="21"/>
    </row>
    <row r="258" spans="1:20" ht="39" customHeight="1" thickBot="1" x14ac:dyDescent="0.65">
      <c r="A258" s="9" t="str">
        <f ca="1">INDEX(INDIRECT(zoneFichierTraite),$J258+offsetInitialFichierTraite,6)</f>
        <v>UNICA</v>
      </c>
      <c r="B258" s="5" t="str">
        <f ca="1">INDEX(INDIRECT(zoneFichierTraite),$J258+offsetInitialFichierTraite,4)</f>
        <v>OBAGS033-TESBN-615</v>
      </c>
      <c r="C258" s="26" t="str">
        <f ca="1">INDEX(INDIRECT(zoneFichierTraite),$J258+offsetInitialFichierTraite,5)</f>
        <v>POCHETTE INTERIEURE FERMETURE ECLAIR O BAG URBAN EN TISSU IMPRIME CHECK</v>
      </c>
      <c r="D258" s="27" t="str">
        <f ca="1">INDEX(INDIRECT(zoneFichierTraite),$J258+offsetInitialFichierTraite,13)</f>
        <v>military</v>
      </c>
      <c r="E258" s="30">
        <f ca="1">INDEX(INDIRECT(zoneFichierTraite),$J258+offsetInitialFichierTraite,7)</f>
        <v>2</v>
      </c>
      <c r="F258" s="28">
        <f ca="1">INDEX(INDIRECT(zoneFichierTraite),$J258+offsetInitialFichierTraite,8)</f>
        <v>14.81</v>
      </c>
      <c r="G258" s="29">
        <f t="shared" ref="G258:G321" ca="1" si="111">ROUNDUP(F258*3,0)</f>
        <v>45</v>
      </c>
      <c r="H258" s="32" t="str">
        <f ca="1">IF(ISNUMBER(N258),codeEAN13(INT(N258/10)),"")</f>
        <v>8APASOG*ajbjei+</v>
      </c>
      <c r="J258" s="15">
        <f t="shared" si="83"/>
        <v>125</v>
      </c>
      <c r="L258" s="5" t="str">
        <f ca="1">INDEX(INDIRECT(zoneFichierTraite),$J258+offsetInitialFichierTraite,1)</f>
        <v>'125</v>
      </c>
      <c r="M258" s="11">
        <f ca="1">INDEX(INDIRECT(zoneFichierTraite),$J258+offsetInitialFichierTraite,9)</f>
        <v>29.62</v>
      </c>
      <c r="N258" s="14">
        <f ca="1">INDEX(INDIRECT(zoneFichierTraite),$J258+offsetInitialFichierTraite,3)</f>
        <v>8050846091948</v>
      </c>
      <c r="O258" s="1">
        <f ca="1">MATCH(N258,INDIRECT(nomFichierEAN13Valmag &amp; "!A:A"),0)</f>
        <v>848</v>
      </c>
      <c r="P258" s="1">
        <f ca="1">MATCH(R258,INDIRECT(nomFichierEAN13Valmag &amp; "!A:A"),0)</f>
        <v>848</v>
      </c>
      <c r="Q258" s="1">
        <f ca="1">MATCH(LEFT(B258,14) &amp; "*",INDIRECT(nomFichierEAN13Valmag &amp; "!B:B"),0)</f>
        <v>848</v>
      </c>
      <c r="R258" s="14">
        <f ca="1">IFERROR(INDEX(INDIRECT(zoneFichierEAN13Valmag),Q258,1),"")</f>
        <v>8050846091948</v>
      </c>
      <c r="S258" s="1">
        <f ca="1">MATCH(B258,INDIRECT(nomFichierFiltreCatalogue &amp; "!B:B"),0)</f>
        <v>423</v>
      </c>
      <c r="T258" s="14"/>
    </row>
    <row r="259" spans="1:20" s="20" customFormat="1" ht="15.75" customHeight="1" x14ac:dyDescent="0.25">
      <c r="A259" s="25">
        <f ca="1">INDEX(INDIRECT(zoneFichierTraite),$J258+offsetInitialFichierTraite,2)</f>
        <v>27</v>
      </c>
      <c r="B259" s="45" t="str">
        <f ca="1">IF(C259="", IFERROR(INDEX(INDIRECT(zoneFichierEAN13Valmag),$P258,3),""), "")</f>
        <v/>
      </c>
      <c r="C259" s="44" t="str">
        <f ca="1">IFERROR(INDEX(INDIRECT(zoneFichierEAN13Valmag),$O258,3),"")</f>
        <v xml:space="preserve"> </v>
      </c>
      <c r="D259" s="19" t="str">
        <f ca="1">IFERROR(INDEX(INDIRECT(zoneFichierEAN13Valmag),$O258,4),"")</f>
        <v xml:space="preserve"> </v>
      </c>
      <c r="E259" s="33" t="str">
        <f ca="1">IFERROR(INDEX(INDIRECT(zoneFichierFiltreCatalogue),S258,3),"")</f>
        <v>p097-1-01</v>
      </c>
      <c r="F259" s="19"/>
      <c r="G259" s="18"/>
      <c r="H259" s="34" t="str">
        <f ca="1">IFERROR(INDEX(INDIRECT(zoneFichierFiltreCatalogue),S258,6),"")</f>
        <v>fall 2019 presentation_/catalogo fall 19.txt</v>
      </c>
      <c r="R259" s="21"/>
      <c r="S259" s="21"/>
    </row>
    <row r="260" spans="1:20" ht="39" customHeight="1" thickBot="1" x14ac:dyDescent="0.65">
      <c r="A260" s="9" t="str">
        <f ca="1">INDEX(INDIRECT(zoneFichierTraite),$J260+offsetInitialFichierTraite,6)</f>
        <v>UNICA</v>
      </c>
      <c r="B260" s="5" t="str">
        <f ca="1">INDEX(INDIRECT(zoneFichierTraite),$J260+offsetInitialFichierTraite,4)</f>
        <v>OBAGS033-TESD5-055</v>
      </c>
      <c r="C260" s="26" t="str">
        <f ca="1">INDEX(INDIRECT(zoneFichierTraite),$J260+offsetInitialFichierTraite,5)</f>
        <v>POCHETTE INTERIEURE FERMETURE ECLAIR O BAG URBAN EN MICROFIBRE COULEUR UNIE</v>
      </c>
      <c r="D260" s="27" t="str">
        <f ca="1">INDEX(INDIRECT(zoneFichierTraite),$J260+offsetInitialFichierTraite,13)</f>
        <v>nero</v>
      </c>
      <c r="E260" s="30">
        <f ca="1">INDEX(INDIRECT(zoneFichierTraite),$J260+offsetInitialFichierTraite,7)</f>
        <v>3</v>
      </c>
      <c r="F260" s="28">
        <f ca="1">INDEX(INDIRECT(zoneFichierTraite),$J260+offsetInitialFichierTraite,8)</f>
        <v>11.85</v>
      </c>
      <c r="G260" s="29">
        <f t="shared" ref="G260:G323" ca="1" si="112">ROUNDUP(F260*3,0)</f>
        <v>36</v>
      </c>
      <c r="H260" s="32" t="str">
        <f ca="1">IF(ISNUMBER(N260),codeEAN13(INT(N260/10)),"")</f>
        <v>8APASOG*aejjej+</v>
      </c>
      <c r="J260" s="15">
        <f t="shared" si="83"/>
        <v>126</v>
      </c>
      <c r="L260" s="5" t="str">
        <f ca="1">INDEX(INDIRECT(zoneFichierTraite),$J260+offsetInitialFichierTraite,1)</f>
        <v>'126</v>
      </c>
      <c r="M260" s="11">
        <f ca="1">INDEX(INDIRECT(zoneFichierTraite),$J260+offsetInitialFichierTraite,9)</f>
        <v>35.549999999999997</v>
      </c>
      <c r="N260" s="14">
        <f ca="1">INDEX(INDIRECT(zoneFichierTraite),$J260+offsetInitialFichierTraite,3)</f>
        <v>8050846049949</v>
      </c>
      <c r="O260" s="1">
        <f ca="1">MATCH(N260,INDIRECT(nomFichierEAN13Valmag &amp; "!A:A"),0)</f>
        <v>312</v>
      </c>
      <c r="P260" s="1">
        <f ca="1">MATCH(R260,INDIRECT(nomFichierEAN13Valmag &amp; "!A:A"),0)</f>
        <v>300</v>
      </c>
      <c r="Q260" s="1">
        <f ca="1">MATCH(LEFT(B260,14) &amp; "*",INDIRECT(nomFichierEAN13Valmag &amp; "!B:B"),0)</f>
        <v>300</v>
      </c>
      <c r="R260" s="14">
        <f ca="1">IFERROR(INDEX(INDIRECT(zoneFichierEAN13Valmag),Q260,1),"")</f>
        <v>8050846044944</v>
      </c>
      <c r="S260" s="1">
        <f ca="1">MATCH(B260,INDIRECT(nomFichierFiltreCatalogue &amp; "!B:B"),0)</f>
        <v>416</v>
      </c>
      <c r="T260" s="14"/>
    </row>
    <row r="261" spans="1:20" s="20" customFormat="1" ht="15.75" customHeight="1" x14ac:dyDescent="0.25">
      <c r="A261" s="25">
        <f ca="1">INDEX(INDIRECT(zoneFichierTraite),$J260+offsetInitialFichierTraite,2)</f>
        <v>44</v>
      </c>
      <c r="B261" s="45" t="str">
        <f ca="1">IF(C261="", IFERROR(INDEX(INDIRECT(zoneFichierEAN13Valmag),$P260,3),""), "")</f>
        <v/>
      </c>
      <c r="C261" s="44" t="str">
        <f ca="1">IFERROR(INDEX(INDIRECT(zoneFichierEAN13Valmag),$O260,3),"")</f>
        <v xml:space="preserve"> </v>
      </c>
      <c r="D261" s="19" t="str">
        <f ca="1">IFERROR(INDEX(INDIRECT(zoneFichierEAN13Valmag),$O260,4),"")</f>
        <v xml:space="preserve"> </v>
      </c>
      <c r="E261" s="33" t="str">
        <f ca="1">IFERROR(INDEX(INDIRECT(zoneFichierFiltreCatalogue),S260,3),"")</f>
        <v>p095-2-03</v>
      </c>
      <c r="F261" s="19"/>
      <c r="G261" s="18"/>
      <c r="H261" s="34" t="str">
        <f ca="1">IFERROR(INDEX(INDIRECT(zoneFichierFiltreCatalogue),S260,6),"")</f>
        <v>fall 2019 presentation_/catalogo fall 19.txt</v>
      </c>
      <c r="R261" s="21"/>
      <c r="S261" s="21"/>
    </row>
    <row r="262" spans="1:20" ht="39" customHeight="1" thickBot="1" x14ac:dyDescent="0.65">
      <c r="A262" s="9" t="str">
        <f ca="1">INDEX(INDIRECT(zoneFichierTraite),$J262+offsetInitialFichierTraite,6)</f>
        <v>UNICA</v>
      </c>
      <c r="B262" s="5" t="str">
        <f ca="1">INDEX(INDIRECT(zoneFichierTraite),$J262+offsetInitialFichierTraite,4)</f>
        <v>OBAGS033-TESD5-078</v>
      </c>
      <c r="C262" s="26" t="str">
        <f ca="1">INDEX(INDIRECT(zoneFichierTraite),$J262+offsetInitialFichierTraite,5)</f>
        <v>POCHETTE INTERIEURE FERMETURE ECLAIR O BAG URBAN EN MICROFIBRE COULEUR UNIE</v>
      </c>
      <c r="D262" s="27" t="str">
        <f ca="1">INDEX(INDIRECT(zoneFichierTraite),$J262+offsetInitialFichierTraite,13)</f>
        <v>sabbia</v>
      </c>
      <c r="E262" s="30">
        <f ca="1">INDEX(INDIRECT(zoneFichierTraite),$J262+offsetInitialFichierTraite,7)</f>
        <v>1</v>
      </c>
      <c r="F262" s="28">
        <f ca="1">INDEX(INDIRECT(zoneFichierTraite),$J262+offsetInitialFichierTraite,8)</f>
        <v>11.85</v>
      </c>
      <c r="G262" s="29">
        <f t="shared" ref="G262:G325" ca="1" si="113">ROUNDUP(F262*3,0)</f>
        <v>36</v>
      </c>
      <c r="H262" s="32" t="str">
        <f ca="1">IF(ISNUMBER(N262),codeEAN13(INT(N262/10)),"")</f>
        <v>8APASOG*ajbiih+</v>
      </c>
      <c r="J262" s="15">
        <f t="shared" si="83"/>
        <v>127</v>
      </c>
      <c r="L262" s="5" t="str">
        <f ca="1">INDEX(INDIRECT(zoneFichierTraite),$J262+offsetInitialFichierTraite,1)</f>
        <v>'127</v>
      </c>
      <c r="M262" s="11">
        <f ca="1">INDEX(INDIRECT(zoneFichierTraite),$J262+offsetInitialFichierTraite,9)</f>
        <v>11.85</v>
      </c>
      <c r="N262" s="14">
        <f ca="1">INDEX(INDIRECT(zoneFichierTraite),$J262+offsetInitialFichierTraite,3)</f>
        <v>8050846091887</v>
      </c>
      <c r="O262" s="1">
        <f ca="1">MATCH(N262,INDIRECT(nomFichierEAN13Valmag &amp; "!A:A"),0)</f>
        <v>843</v>
      </c>
      <c r="P262" s="1">
        <f ca="1">MATCH(R262,INDIRECT(nomFichierEAN13Valmag &amp; "!A:A"),0)</f>
        <v>300</v>
      </c>
      <c r="Q262" s="1">
        <f ca="1">MATCH(LEFT(B262,14) &amp; "*",INDIRECT(nomFichierEAN13Valmag &amp; "!B:B"),0)</f>
        <v>300</v>
      </c>
      <c r="R262" s="14">
        <f ca="1">IFERROR(INDEX(INDIRECT(zoneFichierEAN13Valmag),Q262,1),"")</f>
        <v>8050846044944</v>
      </c>
      <c r="S262" s="1">
        <f ca="1">MATCH(B262,INDIRECT(nomFichierFiltreCatalogue &amp; "!B:B"),0)</f>
        <v>415</v>
      </c>
      <c r="T262" s="14"/>
    </row>
    <row r="263" spans="1:20" s="20" customFormat="1" ht="15.75" customHeight="1" x14ac:dyDescent="0.25">
      <c r="A263" s="25">
        <f ca="1">INDEX(INDIRECT(zoneFichierTraite),$J262+offsetInitialFichierTraite,2)</f>
        <v>113</v>
      </c>
      <c r="B263" s="45" t="str">
        <f ca="1">IF(C263="", IFERROR(INDEX(INDIRECT(zoneFichierEAN13Valmag),$P262,3),""), "")</f>
        <v/>
      </c>
      <c r="C263" s="44" t="str">
        <f ca="1">IFERROR(INDEX(INDIRECT(zoneFichierEAN13Valmag),$O262,3),"")</f>
        <v xml:space="preserve"> </v>
      </c>
      <c r="D263" s="19" t="str">
        <f ca="1">IFERROR(INDEX(INDIRECT(zoneFichierEAN13Valmag),$O262,4),"")</f>
        <v xml:space="preserve"> </v>
      </c>
      <c r="E263" s="33" t="str">
        <f ca="1">IFERROR(INDEX(INDIRECT(zoneFichierFiltreCatalogue),S262,3),"")</f>
        <v>p095-2-02</v>
      </c>
      <c r="F263" s="19"/>
      <c r="G263" s="18"/>
      <c r="H263" s="34" t="str">
        <f ca="1">IFERROR(INDEX(INDIRECT(zoneFichierFiltreCatalogue),S262,6),"")</f>
        <v>fall 2019 presentation_/catalogo fall 19.txt</v>
      </c>
      <c r="R263" s="21"/>
      <c r="S263" s="21"/>
    </row>
    <row r="264" spans="1:20" ht="39" customHeight="1" thickBot="1" x14ac:dyDescent="0.65">
      <c r="A264" s="9" t="str">
        <f ca="1">INDEX(INDIRECT(zoneFichierTraite),$J264+offsetInitialFichierTraite,6)</f>
        <v>UNICA</v>
      </c>
      <c r="B264" s="5" t="str">
        <f ca="1">INDEX(INDIRECT(zoneFichierTraite),$J264+offsetInitialFichierTraite,4)</f>
        <v>OBAGS033-TESD5-615</v>
      </c>
      <c r="C264" s="26" t="str">
        <f ca="1">INDEX(INDIRECT(zoneFichierTraite),$J264+offsetInitialFichierTraite,5)</f>
        <v>POCHETTE INTERIEURE FERMETURE ECLAIR O BAG URBAN EN MICROFIBRE COULEUR UNIE</v>
      </c>
      <c r="D264" s="27" t="str">
        <f ca="1">INDEX(INDIRECT(zoneFichierTraite),$J264+offsetInitialFichierTraite,13)</f>
        <v>military</v>
      </c>
      <c r="E264" s="30">
        <f ca="1">INDEX(INDIRECT(zoneFichierTraite),$J264+offsetInitialFichierTraite,7)</f>
        <v>3</v>
      </c>
      <c r="F264" s="28">
        <f ca="1">INDEX(INDIRECT(zoneFichierTraite),$J264+offsetInitialFichierTraite,8)</f>
        <v>11.85</v>
      </c>
      <c r="G264" s="29">
        <f t="shared" ref="G264:G327" ca="1" si="114">ROUNDUP(F264*3,0)</f>
        <v>36</v>
      </c>
      <c r="H264" s="32" t="str">
        <f ca="1">IF(ISNUMBER(N264),codeEAN13(INT(N264/10)),"")</f>
        <v>8APASOG*ajbigd+</v>
      </c>
      <c r="J264" s="15">
        <f t="shared" si="83"/>
        <v>128</v>
      </c>
      <c r="L264" s="5" t="str">
        <f ca="1">INDEX(INDIRECT(zoneFichierTraite),$J264+offsetInitialFichierTraite,1)</f>
        <v>'128</v>
      </c>
      <c r="M264" s="11">
        <f ca="1">INDEX(INDIRECT(zoneFichierTraite),$J264+offsetInitialFichierTraite,9)</f>
        <v>35.549999999999997</v>
      </c>
      <c r="N264" s="14">
        <f ca="1">INDEX(INDIRECT(zoneFichierTraite),$J264+offsetInitialFichierTraite,3)</f>
        <v>8050846091863</v>
      </c>
      <c r="O264" s="1">
        <f ca="1">MATCH(N264,INDIRECT(nomFichierEAN13Valmag &amp; "!A:A"),0)</f>
        <v>841</v>
      </c>
      <c r="P264" s="1">
        <f ca="1">MATCH(R264,INDIRECT(nomFichierEAN13Valmag &amp; "!A:A"),0)</f>
        <v>300</v>
      </c>
      <c r="Q264" s="1">
        <f ca="1">MATCH(LEFT(B264,14) &amp; "*",INDIRECT(nomFichierEAN13Valmag &amp; "!B:B"),0)</f>
        <v>300</v>
      </c>
      <c r="R264" s="14">
        <f ca="1">IFERROR(INDEX(INDIRECT(zoneFichierEAN13Valmag),Q264,1),"")</f>
        <v>8050846044944</v>
      </c>
      <c r="S264" s="1">
        <f ca="1">MATCH(B264,INDIRECT(nomFichierFiltreCatalogue &amp; "!B:B"),0)</f>
        <v>419</v>
      </c>
      <c r="T264" s="14"/>
    </row>
    <row r="265" spans="1:20" s="20" customFormat="1" ht="15.75" customHeight="1" x14ac:dyDescent="0.25">
      <c r="A265" s="25">
        <f ca="1">INDEX(INDIRECT(zoneFichierTraite),$J264+offsetInitialFichierTraite,2)</f>
        <v>185</v>
      </c>
      <c r="B265" s="45" t="str">
        <f ca="1">IF(C265="", IFERROR(INDEX(INDIRECT(zoneFichierEAN13Valmag),$P264,3),""), "")</f>
        <v/>
      </c>
      <c r="C265" s="44" t="str">
        <f ca="1">IFERROR(INDEX(INDIRECT(zoneFichierEAN13Valmag),$O264,3),"")</f>
        <v xml:space="preserve"> </v>
      </c>
      <c r="D265" s="19" t="str">
        <f ca="1">IFERROR(INDEX(INDIRECT(zoneFichierEAN13Valmag),$O264,4),"")</f>
        <v xml:space="preserve"> </v>
      </c>
      <c r="E265" s="33" t="str">
        <f ca="1">IFERROR(INDEX(INDIRECT(zoneFichierFiltreCatalogue),S264,3),"")</f>
        <v>p095-2-06</v>
      </c>
      <c r="F265" s="19"/>
      <c r="G265" s="18"/>
      <c r="H265" s="34" t="str">
        <f ca="1">IFERROR(INDEX(INDIRECT(zoneFichierFiltreCatalogue),S264,6),"")</f>
        <v>fall 2019 presentation_/catalogo fall 19.txt</v>
      </c>
      <c r="R265" s="21"/>
      <c r="S265" s="21"/>
    </row>
    <row r="266" spans="1:20" ht="39" customHeight="1" thickBot="1" x14ac:dyDescent="0.65">
      <c r="A266" s="9" t="str">
        <f ca="1">INDEX(INDIRECT(zoneFichierTraite),$J266+offsetInitialFichierTraite,6)</f>
        <v>UNICA</v>
      </c>
      <c r="B266" s="5" t="str">
        <f ca="1">INDEX(INDIRECT(zoneFichierTraite),$J266+offsetInitialFichierTraite,4)</f>
        <v>OBAGS034-TESD5-009</v>
      </c>
      <c r="C266" s="26" t="str">
        <f ca="1">INDEX(INDIRECT(zoneFichierTraite),$J266+offsetInitialFichierTraite,5)</f>
        <v>POCHETTE INTERIEURE FERMETURE ECLAIR O BAG GLAM EN MICROFIBRE COULEUR UNIE</v>
      </c>
      <c r="D266" s="27" t="str">
        <f ca="1">INDEX(INDIRECT(zoneFichierTraite),$J266+offsetInitialFichierTraite,13)</f>
        <v>blu</v>
      </c>
      <c r="E266" s="30">
        <f ca="1">INDEX(INDIRECT(zoneFichierTraite),$J266+offsetInitialFichierTraite,7)</f>
        <v>2</v>
      </c>
      <c r="F266" s="28">
        <f ca="1">INDEX(INDIRECT(zoneFichierTraite),$J266+offsetInitialFichierTraite,8)</f>
        <v>10.74</v>
      </c>
      <c r="G266" s="29">
        <f t="shared" ref="G266:G329" ca="1" si="115">ROUNDUP(F266*3,0)</f>
        <v>33</v>
      </c>
      <c r="H266" s="32" t="str">
        <f ca="1">IF(ISNUMBER(N266),codeEAN13(INT(N266/10)),"")</f>
        <v>8APASOG*aedgfh+</v>
      </c>
      <c r="J266" s="15">
        <f t="shared" ref="J266:J328" si="116">J264+1</f>
        <v>129</v>
      </c>
      <c r="L266" s="5" t="str">
        <f ca="1">INDEX(INDIRECT(zoneFichierTraite),$J266+offsetInitialFichierTraite,1)</f>
        <v>'129</v>
      </c>
      <c r="M266" s="11">
        <f ca="1">INDEX(INDIRECT(zoneFichierTraite),$J266+offsetInitialFichierTraite,9)</f>
        <v>21.48</v>
      </c>
      <c r="N266" s="14">
        <f ca="1">INDEX(INDIRECT(zoneFichierTraite),$J266+offsetInitialFichierTraite,3)</f>
        <v>8050846043657</v>
      </c>
      <c r="O266" s="1">
        <f ca="1">MATCH(N266,INDIRECT(nomFichierEAN13Valmag &amp; "!A:A"),0)</f>
        <v>288</v>
      </c>
      <c r="P266" s="1">
        <f ca="1">MATCH(R266,INDIRECT(nomFichierEAN13Valmag &amp; "!A:A"),0)</f>
        <v>288</v>
      </c>
      <c r="Q266" s="1">
        <f ca="1">MATCH(LEFT(B266,14) &amp; "*",INDIRECT(nomFichierEAN13Valmag &amp; "!B:B"),0)</f>
        <v>288</v>
      </c>
      <c r="R266" s="14">
        <f ca="1">IFERROR(INDEX(INDIRECT(zoneFichierEAN13Valmag),Q266,1),"")</f>
        <v>8050846043657</v>
      </c>
      <c r="S266" s="1">
        <f ca="1">MATCH(B266,INDIRECT(nomFichierFiltreCatalogue &amp; "!B:B"),0)</f>
        <v>435</v>
      </c>
      <c r="T266" s="14"/>
    </row>
    <row r="267" spans="1:20" s="20" customFormat="1" ht="15.75" customHeight="1" x14ac:dyDescent="0.25">
      <c r="A267" s="25">
        <f ca="1">INDEX(INDIRECT(zoneFichierTraite),$J266+offsetInitialFichierTraite,2)</f>
        <v>216</v>
      </c>
      <c r="B267" s="45" t="str">
        <f ca="1">IF(C267="", IFERROR(INDEX(INDIRECT(zoneFichierEAN13Valmag),$P266,3),""), "")</f>
        <v/>
      </c>
      <c r="C267" s="44" t="str">
        <f ca="1">IFERROR(INDEX(INDIRECT(zoneFichierEAN13Valmag),$O266,3),"")</f>
        <v xml:space="preserve"> </v>
      </c>
      <c r="D267" s="19" t="str">
        <f ca="1">IFERROR(INDEX(INDIRECT(zoneFichierEAN13Valmag),$O266,4),"")</f>
        <v xml:space="preserve"> </v>
      </c>
      <c r="E267" s="33" t="str">
        <f ca="1">IFERROR(INDEX(INDIRECT(zoneFichierFiltreCatalogue),S266,3),"")</f>
        <v>p101-2-01</v>
      </c>
      <c r="F267" s="19"/>
      <c r="G267" s="18"/>
      <c r="H267" s="34" t="str">
        <f ca="1">IFERROR(INDEX(INDIRECT(zoneFichierFiltreCatalogue),S266,6),"")</f>
        <v>fall 2019 presentation_/catalogo fall 19.txt</v>
      </c>
      <c r="R267" s="21"/>
      <c r="S267" s="21"/>
    </row>
    <row r="268" spans="1:20" ht="39" customHeight="1" thickBot="1" x14ac:dyDescent="0.65">
      <c r="A268" s="9" t="str">
        <f ca="1">INDEX(INDIRECT(zoneFichierTraite),$J268+offsetInitialFichierTraite,6)</f>
        <v>UNICA</v>
      </c>
      <c r="B268" s="5" t="str">
        <f ca="1">INDEX(INDIRECT(zoneFichierTraite),$J268+offsetInitialFichierTraite,4)</f>
        <v>OBAGS034-TESD5-055</v>
      </c>
      <c r="C268" s="26" t="str">
        <f ca="1">INDEX(INDIRECT(zoneFichierTraite),$J268+offsetInitialFichierTraite,5)</f>
        <v>POCHETTE INTERIEURE FERMETURE ECLAIR O BAG GLAM EN MICROFIBRE COULEUR UNIE</v>
      </c>
      <c r="D268" s="27" t="str">
        <f ca="1">INDEX(INDIRECT(zoneFichierTraite),$J268+offsetInitialFichierTraite,13)</f>
        <v>nero</v>
      </c>
      <c r="E268" s="30">
        <f ca="1">INDEX(INDIRECT(zoneFichierTraite),$J268+offsetInitialFichierTraite,7)</f>
        <v>2</v>
      </c>
      <c r="F268" s="28">
        <f ca="1">INDEX(INDIRECT(zoneFichierTraite),$J268+offsetInitialFichierTraite,8)</f>
        <v>10.74</v>
      </c>
      <c r="G268" s="29">
        <f t="shared" ref="G268:G331" ca="1" si="117">ROUNDUP(F268*3,0)</f>
        <v>33</v>
      </c>
      <c r="H268" s="32" t="str">
        <f ca="1">IF(ISNUMBER(N268),codeEAN13(INT(N268/10)),"")</f>
        <v>8APASOG*aedjbg+</v>
      </c>
      <c r="J268" s="15">
        <f t="shared" si="116"/>
        <v>130</v>
      </c>
      <c r="L268" s="5" t="str">
        <f ca="1">INDEX(INDIRECT(zoneFichierTraite),$J268+offsetInitialFichierTraite,1)</f>
        <v>'130</v>
      </c>
      <c r="M268" s="11">
        <f ca="1">INDEX(INDIRECT(zoneFichierTraite),$J268+offsetInitialFichierTraite,9)</f>
        <v>21.48</v>
      </c>
      <c r="N268" s="14">
        <f ca="1">INDEX(INDIRECT(zoneFichierTraite),$J268+offsetInitialFichierTraite,3)</f>
        <v>8050846043916</v>
      </c>
      <c r="O268" s="1">
        <f ca="1">MATCH(N268,INDIRECT(nomFichierEAN13Valmag &amp; "!A:A"),0)</f>
        <v>291</v>
      </c>
      <c r="P268" s="1">
        <f ca="1">MATCH(R268,INDIRECT(nomFichierEAN13Valmag &amp; "!A:A"),0)</f>
        <v>288</v>
      </c>
      <c r="Q268" s="1">
        <f ca="1">MATCH(LEFT(B268,14) &amp; "*",INDIRECT(nomFichierEAN13Valmag &amp; "!B:B"),0)</f>
        <v>288</v>
      </c>
      <c r="R268" s="14">
        <f ca="1">IFERROR(INDEX(INDIRECT(zoneFichierEAN13Valmag),Q268,1),"")</f>
        <v>8050846043657</v>
      </c>
      <c r="S268" s="1">
        <f ca="1">MATCH(B268,INDIRECT(nomFichierFiltreCatalogue &amp; "!B:B"),0)</f>
        <v>438</v>
      </c>
      <c r="T268" s="14"/>
    </row>
    <row r="269" spans="1:20" s="20" customFormat="1" ht="15.75" customHeight="1" x14ac:dyDescent="0.25">
      <c r="A269" s="25">
        <f ca="1">INDEX(INDIRECT(zoneFichierTraite),$J268+offsetInitialFichierTraite,2)</f>
        <v>19</v>
      </c>
      <c r="B269" s="45" t="str">
        <f ca="1">IF(C269="", IFERROR(INDEX(INDIRECT(zoneFichierEAN13Valmag),$P268,3),""), "")</f>
        <v/>
      </c>
      <c r="C269" s="44" t="str">
        <f ca="1">IFERROR(INDEX(INDIRECT(zoneFichierEAN13Valmag),$O268,3),"")</f>
        <v xml:space="preserve">CANOGLAM        </v>
      </c>
      <c r="D269" s="19" t="str">
        <f ca="1">IFERROR(INDEX(INDIRECT(zoneFichierEAN13Valmag),$O268,4),"")</f>
        <v>MIBLA</v>
      </c>
      <c r="E269" s="33" t="str">
        <f ca="1">IFERROR(INDEX(INDIRECT(zoneFichierFiltreCatalogue),S268,3),"")</f>
        <v>p101-2-04</v>
      </c>
      <c r="F269" s="19"/>
      <c r="G269" s="18"/>
      <c r="H269" s="34" t="str">
        <f ca="1">IFERROR(INDEX(INDIRECT(zoneFichierFiltreCatalogue),S268,6),"")</f>
        <v>fall 2019 presentation_/catalogo fall 19.txt</v>
      </c>
      <c r="R269" s="21"/>
      <c r="S269" s="21"/>
    </row>
    <row r="270" spans="1:20" ht="39" customHeight="1" thickBot="1" x14ac:dyDescent="0.65">
      <c r="A270" s="9" t="str">
        <f ca="1">INDEX(INDIRECT(zoneFichierTraite),$J270+offsetInitialFichierTraite,6)</f>
        <v>UNICA</v>
      </c>
      <c r="B270" s="5" t="str">
        <f ca="1">INDEX(INDIRECT(zoneFichierTraite),$J270+offsetInitialFichierTraite,4)</f>
        <v>OBAGS034-TESD5-078</v>
      </c>
      <c r="C270" s="26" t="str">
        <f ca="1">INDEX(INDIRECT(zoneFichierTraite),$J270+offsetInitialFichierTraite,5)</f>
        <v>POCHETTE INTERIEURE FERMETURE ECLAIR O BAG GLAM EN MICROFIBRE COULEUR UNIE</v>
      </c>
      <c r="D270" s="27" t="str">
        <f ca="1">INDEX(INDIRECT(zoneFichierTraite),$J270+offsetInitialFichierTraite,13)</f>
        <v>sabbia</v>
      </c>
      <c r="E270" s="30">
        <f ca="1">INDEX(INDIRECT(zoneFichierTraite),$J270+offsetInitialFichierTraite,7)</f>
        <v>2</v>
      </c>
      <c r="F270" s="28">
        <f ca="1">INDEX(INDIRECT(zoneFichierTraite),$J270+offsetInitialFichierTraite,8)</f>
        <v>10.74</v>
      </c>
      <c r="G270" s="29">
        <f t="shared" ref="G270:G333" ca="1" si="118">ROUNDUP(F270*3,0)</f>
        <v>33</v>
      </c>
      <c r="H270" s="32" t="str">
        <f ca="1">IF(ISNUMBER(N270),codeEAN13(INT(N270/10)),"")</f>
        <v>8APASOG*ajafhg+</v>
      </c>
      <c r="J270" s="15">
        <f t="shared" si="116"/>
        <v>131</v>
      </c>
      <c r="L270" s="5" t="str">
        <f ca="1">INDEX(INDIRECT(zoneFichierTraite),$J270+offsetInitialFichierTraite,1)</f>
        <v>'131</v>
      </c>
      <c r="M270" s="11">
        <f ca="1">INDEX(INDIRECT(zoneFichierTraite),$J270+offsetInitialFichierTraite,9)</f>
        <v>21.48</v>
      </c>
      <c r="N270" s="14">
        <f ca="1">INDEX(INDIRECT(zoneFichierTraite),$J270+offsetInitialFichierTraite,3)</f>
        <v>8050846090576</v>
      </c>
      <c r="O270" s="1">
        <f ca="1">MATCH(N270,INDIRECT(nomFichierEAN13Valmag &amp; "!A:A"),0)</f>
        <v>741</v>
      </c>
      <c r="P270" s="1">
        <f ca="1">MATCH(R270,INDIRECT(nomFichierEAN13Valmag &amp; "!A:A"),0)</f>
        <v>288</v>
      </c>
      <c r="Q270" s="1">
        <f ca="1">MATCH(LEFT(B270,14) &amp; "*",INDIRECT(nomFichierEAN13Valmag &amp; "!B:B"),0)</f>
        <v>288</v>
      </c>
      <c r="R270" s="14">
        <f ca="1">IFERROR(INDEX(INDIRECT(zoneFichierEAN13Valmag),Q270,1),"")</f>
        <v>8050846043657</v>
      </c>
      <c r="S270" s="1">
        <f ca="1">MATCH(B270,INDIRECT(nomFichierFiltreCatalogue &amp; "!B:B"),0)</f>
        <v>436</v>
      </c>
      <c r="T270" s="14"/>
    </row>
    <row r="271" spans="1:20" s="20" customFormat="1" ht="15.75" customHeight="1" x14ac:dyDescent="0.25">
      <c r="A271" s="25">
        <f ca="1">INDEX(INDIRECT(zoneFichierTraite),$J270+offsetInitialFichierTraite,2)</f>
        <v>174</v>
      </c>
      <c r="B271" s="45" t="str">
        <f ca="1">IF(C271="", IFERROR(INDEX(INDIRECT(zoneFichierEAN13Valmag),$P270,3),""), "")</f>
        <v/>
      </c>
      <c r="C271" s="44" t="str">
        <f ca="1">IFERROR(INDEX(INDIRECT(zoneFichierEAN13Valmag),$O270,3),"")</f>
        <v xml:space="preserve"> </v>
      </c>
      <c r="D271" s="19" t="str">
        <f ca="1">IFERROR(INDEX(INDIRECT(zoneFichierEAN13Valmag),$O270,4),"")</f>
        <v xml:space="preserve"> </v>
      </c>
      <c r="E271" s="33" t="str">
        <f ca="1">IFERROR(INDEX(INDIRECT(zoneFichierFiltreCatalogue),S270,3),"")</f>
        <v>p101-2-02</v>
      </c>
      <c r="F271" s="19"/>
      <c r="G271" s="18"/>
      <c r="H271" s="34" t="str">
        <f ca="1">IFERROR(INDEX(INDIRECT(zoneFichierFiltreCatalogue),S270,6),"")</f>
        <v>fall 2019 presentation_/catalogo fall 19.txt</v>
      </c>
      <c r="R271" s="21"/>
      <c r="S271" s="21"/>
    </row>
    <row r="272" spans="1:20" ht="39" customHeight="1" thickBot="1" x14ac:dyDescent="0.65">
      <c r="A272" s="9" t="str">
        <f ca="1">INDEX(INDIRECT(zoneFichierTraite),$J272+offsetInitialFichierTraite,6)</f>
        <v>UNICA</v>
      </c>
      <c r="B272" s="5" t="str">
        <f ca="1">INDEX(INDIRECT(zoneFichierTraite),$J272+offsetInitialFichierTraite,4)</f>
        <v>OBAGS034-TESD5-371</v>
      </c>
      <c r="C272" s="26" t="str">
        <f ca="1">INDEX(INDIRECT(zoneFichierTraite),$J272+offsetInitialFichierTraite,5)</f>
        <v>POCHETTE INTERIEURE FERMETURE ECLAIR O BAG GLAM EN MICROFIBRE COULEUR UNIE</v>
      </c>
      <c r="D272" s="27" t="str">
        <f ca="1">INDEX(INDIRECT(zoneFichierTraite),$J272+offsetInitialFichierTraite,13)</f>
        <v>latte</v>
      </c>
      <c r="E272" s="30">
        <f ca="1">INDEX(INDIRECT(zoneFichierTraite),$J272+offsetInitialFichierTraite,7)</f>
        <v>2</v>
      </c>
      <c r="F272" s="28">
        <f ca="1">INDEX(INDIRECT(zoneFichierTraite),$J272+offsetInitialFichierTraite,8)</f>
        <v>10.74</v>
      </c>
      <c r="G272" s="29">
        <f t="shared" ref="G272:G335" ca="1" si="119">ROUNDUP(F272*3,0)</f>
        <v>33</v>
      </c>
      <c r="H272" s="32" t="str">
        <f ca="1">IF(ISNUMBER(N272),codeEAN13(INT(N272/10)),"")</f>
        <v>8APASOG*aifacc+</v>
      </c>
      <c r="J272" s="15">
        <f t="shared" si="116"/>
        <v>132</v>
      </c>
      <c r="L272" s="5" t="str">
        <f ca="1">INDEX(INDIRECT(zoneFichierTraite),$J272+offsetInitialFichierTraite,1)</f>
        <v>'132</v>
      </c>
      <c r="M272" s="11">
        <f ca="1">INDEX(INDIRECT(zoneFichierTraite),$J272+offsetInitialFichierTraite,9)</f>
        <v>21.48</v>
      </c>
      <c r="N272" s="14">
        <f ca="1">INDEX(INDIRECT(zoneFichierTraite),$J272+offsetInitialFichierTraite,3)</f>
        <v>8050846085022</v>
      </c>
      <c r="O272" s="1">
        <f ca="1">MATCH(N272,INDIRECT(nomFichierEAN13Valmag &amp; "!A:A"),0)</f>
        <v>638</v>
      </c>
      <c r="P272" s="1">
        <f ca="1">MATCH(R272,INDIRECT(nomFichierEAN13Valmag &amp; "!A:A"),0)</f>
        <v>288</v>
      </c>
      <c r="Q272" s="1">
        <f ca="1">MATCH(LEFT(B272,14) &amp; "*",INDIRECT(nomFichierEAN13Valmag &amp; "!B:B"),0)</f>
        <v>288</v>
      </c>
      <c r="R272" s="14">
        <f ca="1">IFERROR(INDEX(INDIRECT(zoneFichierEAN13Valmag),Q272,1),"")</f>
        <v>8050846043657</v>
      </c>
      <c r="S272" s="1">
        <f ca="1">MATCH(B272,INDIRECT(nomFichierFiltreCatalogue &amp; "!B:B"),0)</f>
        <v>439</v>
      </c>
      <c r="T272" s="14"/>
    </row>
    <row r="273" spans="1:20" s="20" customFormat="1" ht="15.75" customHeight="1" x14ac:dyDescent="0.25">
      <c r="A273" s="25">
        <f ca="1">INDEX(INDIRECT(zoneFichierTraite),$J272+offsetInitialFichierTraite,2)</f>
        <v>124</v>
      </c>
      <c r="B273" s="45" t="str">
        <f ca="1">IF(C273="", IFERROR(INDEX(INDIRECT(zoneFichierEAN13Valmag),$P272,3),""), "")</f>
        <v/>
      </c>
      <c r="C273" s="44" t="str">
        <f ca="1">IFERROR(INDEX(INDIRECT(zoneFichierEAN13Valmag),$O272,3),"")</f>
        <v xml:space="preserve">CANOGLAM        </v>
      </c>
      <c r="D273" s="19" t="str">
        <f ca="1">IFERROR(INDEX(INDIRECT(zoneFichierEAN13Valmag),$O272,4),"")</f>
        <v>MICLA</v>
      </c>
      <c r="E273" s="33" t="str">
        <f ca="1">IFERROR(INDEX(INDIRECT(zoneFichierFiltreCatalogue),S272,3),"")</f>
        <v>p101-2-05</v>
      </c>
      <c r="F273" s="19"/>
      <c r="G273" s="18"/>
      <c r="H273" s="34" t="str">
        <f ca="1">IFERROR(INDEX(INDIRECT(zoneFichierFiltreCatalogue),S272,6),"")</f>
        <v>fall 2019 presentation_/catalogo fall 19.txt</v>
      </c>
      <c r="R273" s="21"/>
      <c r="S273" s="21"/>
    </row>
    <row r="274" spans="1:20" ht="39" customHeight="1" thickBot="1" x14ac:dyDescent="0.65">
      <c r="A274" s="9" t="str">
        <f ca="1">INDEX(INDIRECT(zoneFichierTraite),$J274+offsetInitialFichierTraite,6)</f>
        <v>UNICA</v>
      </c>
      <c r="B274" s="5" t="str">
        <f ca="1">INDEX(INDIRECT(zoneFichierTraite),$J274+offsetInitialFichierTraite,4)</f>
        <v>OBAGS034-TESD5-615</v>
      </c>
      <c r="C274" s="26" t="str">
        <f ca="1">INDEX(INDIRECT(zoneFichierTraite),$J274+offsetInitialFichierTraite,5)</f>
        <v>POCHETTE INTERIEURE FERMETURE ECLAIR O BAG GLAM EN MICROFIBRE COULEUR UNIE</v>
      </c>
      <c r="D274" s="27" t="str">
        <f ca="1">INDEX(INDIRECT(zoneFichierTraite),$J274+offsetInitialFichierTraite,13)</f>
        <v>military</v>
      </c>
      <c r="E274" s="30">
        <f ca="1">INDEX(INDIRECT(zoneFichierTraite),$J274+offsetInitialFichierTraite,7)</f>
        <v>2</v>
      </c>
      <c r="F274" s="28">
        <f ca="1">INDEX(INDIRECT(zoneFichierTraite),$J274+offsetInitialFichierTraite,8)</f>
        <v>10.74</v>
      </c>
      <c r="G274" s="29">
        <f t="shared" ref="G274:G337" ca="1" si="120">ROUNDUP(F274*3,0)</f>
        <v>33</v>
      </c>
      <c r="H274" s="32" t="str">
        <f ca="1">IF(ISNUMBER(N274),codeEAN13(INT(N274/10)),"")</f>
        <v>8APASOG*ajaffc+</v>
      </c>
      <c r="J274" s="15">
        <f t="shared" si="116"/>
        <v>133</v>
      </c>
      <c r="L274" s="5" t="str">
        <f ca="1">INDEX(INDIRECT(zoneFichierTraite),$J274+offsetInitialFichierTraite,1)</f>
        <v>'133</v>
      </c>
      <c r="M274" s="11">
        <f ca="1">INDEX(INDIRECT(zoneFichierTraite),$J274+offsetInitialFichierTraite,9)</f>
        <v>21.48</v>
      </c>
      <c r="N274" s="14">
        <f ca="1">INDEX(INDIRECT(zoneFichierTraite),$J274+offsetInitialFichierTraite,3)</f>
        <v>8050846090552</v>
      </c>
      <c r="O274" s="1">
        <f ca="1">MATCH(N274,INDIRECT(nomFichierEAN13Valmag &amp; "!A:A"),0)</f>
        <v>739</v>
      </c>
      <c r="P274" s="1">
        <f ca="1">MATCH(R274,INDIRECT(nomFichierEAN13Valmag &amp; "!A:A"),0)</f>
        <v>288</v>
      </c>
      <c r="Q274" s="1">
        <f ca="1">MATCH(LEFT(B274,14) &amp; "*",INDIRECT(nomFichierEAN13Valmag &amp; "!B:B"),0)</f>
        <v>288</v>
      </c>
      <c r="R274" s="14">
        <f ca="1">IFERROR(INDEX(INDIRECT(zoneFichierEAN13Valmag),Q274,1),"")</f>
        <v>8050846043657</v>
      </c>
      <c r="S274" s="1">
        <f ca="1">MATCH(B274,INDIRECT(nomFichierFiltreCatalogue &amp; "!B:B"),0)</f>
        <v>437</v>
      </c>
      <c r="T274" s="14"/>
    </row>
    <row r="275" spans="1:20" s="20" customFormat="1" ht="15.75" customHeight="1" x14ac:dyDescent="0.25">
      <c r="A275" s="25">
        <f ca="1">INDEX(INDIRECT(zoneFichierTraite),$J274+offsetInitialFichierTraite,2)</f>
        <v>20</v>
      </c>
      <c r="B275" s="45" t="str">
        <f ca="1">IF(C275="", IFERROR(INDEX(INDIRECT(zoneFichierEAN13Valmag),$P274,3),""), "")</f>
        <v/>
      </c>
      <c r="C275" s="44" t="str">
        <f ca="1">IFERROR(INDEX(INDIRECT(zoneFichierEAN13Valmag),$O274,3),"")</f>
        <v xml:space="preserve"> </v>
      </c>
      <c r="D275" s="19" t="str">
        <f ca="1">IFERROR(INDEX(INDIRECT(zoneFichierEAN13Valmag),$O274,4),"")</f>
        <v xml:space="preserve"> </v>
      </c>
      <c r="E275" s="33" t="str">
        <f ca="1">IFERROR(INDEX(INDIRECT(zoneFichierFiltreCatalogue),S274,3),"")</f>
        <v>p101-2-03</v>
      </c>
      <c r="F275" s="19"/>
      <c r="G275" s="18"/>
      <c r="H275" s="34" t="str">
        <f ca="1">IFERROR(INDEX(INDIRECT(zoneFichierFiltreCatalogue),S274,6),"")</f>
        <v>fall 2019 presentation_/catalogo fall 19.txt</v>
      </c>
      <c r="R275" s="21"/>
      <c r="S275" s="21"/>
    </row>
    <row r="276" spans="1:20" ht="39" customHeight="1" thickBot="1" x14ac:dyDescent="0.65">
      <c r="A276" s="9" t="str">
        <f ca="1">INDEX(INDIRECT(zoneFichierTraite),$J276+offsetInitialFichierTraite,6)</f>
        <v>UNICA</v>
      </c>
      <c r="B276" s="5" t="str">
        <f ca="1">INDEX(INDIRECT(zoneFichierTraite),$J276+offsetInitialFichierTraite,4)</f>
        <v>OBAGS533-TESBF-076</v>
      </c>
      <c r="C276" s="26" t="str">
        <f ca="1">INDEX(INDIRECT(zoneFichierTraite),$J276+offsetInitialFichierTraite,5)</f>
        <v>POCHETTE INTERIEURE OVER O BAG URBAN EN TISSU CORDURA CONTRASTE</v>
      </c>
      <c r="D276" s="27" t="str">
        <f ca="1">INDEX(INDIRECT(zoneFichierTraite),$J276+offsetInitialFichierTraite,13)</f>
        <v>rosso</v>
      </c>
      <c r="E276" s="30">
        <f ca="1">INDEX(INDIRECT(zoneFichierTraite),$J276+offsetInitialFichierTraite,7)</f>
        <v>1</v>
      </c>
      <c r="F276" s="28">
        <f ca="1">INDEX(INDIRECT(zoneFichierTraite),$J276+offsetInitialFichierTraite,8)</f>
        <v>14.81</v>
      </c>
      <c r="G276" s="29">
        <f t="shared" ref="G276:G339" ca="1" si="121">ROUNDUP(F276*3,0)</f>
        <v>45</v>
      </c>
      <c r="H276" s="32" t="str">
        <f ca="1">IF(ISNUMBER(N276),codeEAN13(INT(N276/10)),"")</f>
        <v>8APASOG*ajbjaa+</v>
      </c>
      <c r="J276" s="15">
        <f t="shared" si="116"/>
        <v>134</v>
      </c>
      <c r="L276" s="5" t="str">
        <f ca="1">INDEX(INDIRECT(zoneFichierTraite),$J276+offsetInitialFichierTraite,1)</f>
        <v>'134</v>
      </c>
      <c r="M276" s="11">
        <f ca="1">INDEX(INDIRECT(zoneFichierTraite),$J276+offsetInitialFichierTraite,9)</f>
        <v>14.81</v>
      </c>
      <c r="N276" s="14">
        <f ca="1">INDEX(INDIRECT(zoneFichierTraite),$J276+offsetInitialFichierTraite,3)</f>
        <v>8050846091900</v>
      </c>
      <c r="O276" s="1">
        <f ca="1">MATCH(N276,INDIRECT(nomFichierEAN13Valmag &amp; "!A:A"),0)</f>
        <v>845</v>
      </c>
      <c r="P276" s="1">
        <f ca="1">MATCH(R276,INDIRECT(nomFichierEAN13Valmag &amp; "!A:A"),0)</f>
        <v>844</v>
      </c>
      <c r="Q276" s="1">
        <f ca="1">MATCH(LEFT(B276,14) &amp; "*",INDIRECT(nomFichierEAN13Valmag &amp; "!B:B"),0)</f>
        <v>844</v>
      </c>
      <c r="R276" s="14">
        <f ca="1">IFERROR(INDEX(INDIRECT(zoneFichierEAN13Valmag),Q276,1),"")</f>
        <v>8050846091894</v>
      </c>
      <c r="S276" s="1">
        <f ca="1">MATCH(B276,INDIRECT(nomFichierFiltreCatalogue &amp; "!B:B"),0)</f>
        <v>424</v>
      </c>
      <c r="T276" s="14"/>
    </row>
    <row r="277" spans="1:20" s="20" customFormat="1" ht="15.75" customHeight="1" x14ac:dyDescent="0.25">
      <c r="A277" s="25">
        <f ca="1">INDEX(INDIRECT(zoneFichierTraite),$J276+offsetInitialFichierTraite,2)</f>
        <v>95</v>
      </c>
      <c r="B277" s="45" t="str">
        <f ca="1">IF(C277="", IFERROR(INDEX(INDIRECT(zoneFichierEAN13Valmag),$P276,3),""), "")</f>
        <v/>
      </c>
      <c r="C277" s="44" t="str">
        <f ca="1">IFERROR(INDEX(INDIRECT(zoneFichierEAN13Valmag),$O276,3),"")</f>
        <v xml:space="preserve"> </v>
      </c>
      <c r="D277" s="19" t="str">
        <f ca="1">IFERROR(INDEX(INDIRECT(zoneFichierEAN13Valmag),$O276,4),"")</f>
        <v xml:space="preserve"> </v>
      </c>
      <c r="E277" s="33" t="str">
        <f ca="1">IFERROR(INDEX(INDIRECT(zoneFichierFiltreCatalogue),S276,3),"")</f>
        <v>p097-2-01</v>
      </c>
      <c r="F277" s="19"/>
      <c r="G277" s="18"/>
      <c r="H277" s="34" t="str">
        <f ca="1">IFERROR(INDEX(INDIRECT(zoneFichierFiltreCatalogue),S276,6),"")</f>
        <v>fall 2019 presentation_/catalogo fall 19.txt</v>
      </c>
      <c r="R277" s="21"/>
      <c r="S277" s="21"/>
    </row>
    <row r="278" spans="1:20" ht="39" customHeight="1" thickBot="1" x14ac:dyDescent="0.65">
      <c r="A278" s="9" t="str">
        <f ca="1">INDEX(INDIRECT(zoneFichierTraite),$J278+offsetInitialFichierTraite,6)</f>
        <v>UNICA</v>
      </c>
      <c r="B278" s="5" t="str">
        <f ca="1">INDEX(INDIRECT(zoneFichierTraite),$J278+offsetInitialFichierTraite,4)</f>
        <v>OBAGS533-TESBF-137</v>
      </c>
      <c r="C278" s="26" t="str">
        <f ca="1">INDEX(INDIRECT(zoneFichierTraite),$J278+offsetInitialFichierTraite,5)</f>
        <v>POCHETTE INTERIEURE OVER O BAG URBAN EN TISSU CORDURA CONTRASTE</v>
      </c>
      <c r="D278" s="27" t="str">
        <f ca="1">INDEX(INDIRECT(zoneFichierTraite),$J278+offsetInitialFichierTraite,13)</f>
        <v>bluette</v>
      </c>
      <c r="E278" s="30">
        <f ca="1">INDEX(INDIRECT(zoneFichierTraite),$J278+offsetInitialFichierTraite,7)</f>
        <v>1</v>
      </c>
      <c r="F278" s="28">
        <f ca="1">INDEX(INDIRECT(zoneFichierTraite),$J278+offsetInitialFichierTraite,8)</f>
        <v>14.81</v>
      </c>
      <c r="G278" s="29">
        <f t="shared" ref="G278:G341" ca="1" si="122">ROUNDUP(F278*3,0)</f>
        <v>45</v>
      </c>
      <c r="H278" s="32" t="str">
        <f ca="1">IF(ISNUMBER(N278),codeEAN13(INT(N278/10)),"")</f>
        <v>8APASOG*ajbjbh+</v>
      </c>
      <c r="J278" s="15">
        <f t="shared" si="116"/>
        <v>135</v>
      </c>
      <c r="L278" s="5" t="str">
        <f ca="1">INDEX(INDIRECT(zoneFichierTraite),$J278+offsetInitialFichierTraite,1)</f>
        <v>'135</v>
      </c>
      <c r="M278" s="11">
        <f ca="1">INDEX(INDIRECT(zoneFichierTraite),$J278+offsetInitialFichierTraite,9)</f>
        <v>14.81</v>
      </c>
      <c r="N278" s="14">
        <f ca="1">INDEX(INDIRECT(zoneFichierTraite),$J278+offsetInitialFichierTraite,3)</f>
        <v>8050846091917</v>
      </c>
      <c r="O278" s="1">
        <f ca="1">MATCH(N278,INDIRECT(nomFichierEAN13Valmag &amp; "!A:A"),0)</f>
        <v>846</v>
      </c>
      <c r="P278" s="1">
        <f ca="1">MATCH(R278,INDIRECT(nomFichierEAN13Valmag &amp; "!A:A"),0)</f>
        <v>844</v>
      </c>
      <c r="Q278" s="1">
        <f ca="1">MATCH(LEFT(B278,14) &amp; "*",INDIRECT(nomFichierEAN13Valmag &amp; "!B:B"),0)</f>
        <v>844</v>
      </c>
      <c r="R278" s="14">
        <f ca="1">IFERROR(INDEX(INDIRECT(zoneFichierEAN13Valmag),Q278,1),"")</f>
        <v>8050846091894</v>
      </c>
      <c r="S278" s="1">
        <f ca="1">MATCH(B278,INDIRECT(nomFichierFiltreCatalogue &amp; "!B:B"),0)</f>
        <v>425</v>
      </c>
      <c r="T278" s="14"/>
    </row>
    <row r="279" spans="1:20" s="20" customFormat="1" ht="15.75" customHeight="1" x14ac:dyDescent="0.25">
      <c r="A279" s="25">
        <f ca="1">INDEX(INDIRECT(zoneFichierTraite),$J278+offsetInitialFichierTraite,2)</f>
        <v>161</v>
      </c>
      <c r="B279" s="45" t="str">
        <f ca="1">IF(C279="", IFERROR(INDEX(INDIRECT(zoneFichierEAN13Valmag),$P278,3),""), "")</f>
        <v/>
      </c>
      <c r="C279" s="44" t="str">
        <f ca="1">IFERROR(INDEX(INDIRECT(zoneFichierEAN13Valmag),$O278,3),"")</f>
        <v xml:space="preserve"> </v>
      </c>
      <c r="D279" s="19" t="str">
        <f ca="1">IFERROR(INDEX(INDIRECT(zoneFichierEAN13Valmag),$O278,4),"")</f>
        <v xml:space="preserve"> </v>
      </c>
      <c r="E279" s="33" t="str">
        <f ca="1">IFERROR(INDEX(INDIRECT(zoneFichierFiltreCatalogue),S278,3),"")</f>
        <v>p097-2-02</v>
      </c>
      <c r="F279" s="19"/>
      <c r="G279" s="18"/>
      <c r="H279" s="34" t="str">
        <f ca="1">IFERROR(INDEX(INDIRECT(zoneFichierFiltreCatalogue),S278,6),"")</f>
        <v>fall 2019 presentation_/catalogo fall 19.txt</v>
      </c>
      <c r="R279" s="21"/>
      <c r="S279" s="21"/>
    </row>
    <row r="280" spans="1:20" ht="39" customHeight="1" thickBot="1" x14ac:dyDescent="0.65">
      <c r="A280" s="9" t="str">
        <f ca="1">INDEX(INDIRECT(zoneFichierTraite),$J280+offsetInitialFichierTraite,6)</f>
        <v>UNICA</v>
      </c>
      <c r="B280" s="5" t="str">
        <f ca="1">INDEX(INDIRECT(zoneFichierTraite),$J280+offsetInitialFichierTraite,4)</f>
        <v>OBAGS601-TESBB-615</v>
      </c>
      <c r="C280" s="26" t="str">
        <f ca="1">INDEX(INDIRECT(zoneFichierTraite),$J280+offsetInitialFichierTraite,5)</f>
        <v>POCHETTE INTERIEURE SWITCH O BAG EN TISSU IMPRIME DIANTHUS</v>
      </c>
      <c r="D280" s="27" t="str">
        <f ca="1">INDEX(INDIRECT(zoneFichierTraite),$J280+offsetInitialFichierTraite,13)</f>
        <v>military</v>
      </c>
      <c r="E280" s="30">
        <f ca="1">INDEX(INDIRECT(zoneFichierTraite),$J280+offsetInitialFichierTraite,7)</f>
        <v>2</v>
      </c>
      <c r="F280" s="28">
        <f ca="1">INDEX(INDIRECT(zoneFichierTraite),$J280+offsetInitialFichierTraite,8)</f>
        <v>13.33</v>
      </c>
      <c r="G280" s="29">
        <f t="shared" ref="G280:G343" ca="1" si="123">ROUNDUP(F280*3,0)</f>
        <v>40</v>
      </c>
      <c r="H280" s="32" t="str">
        <f ca="1">IF(ISNUMBER(N280),codeEAN13(INT(N280/10)),"")</f>
        <v>8APASOG*aijjid+</v>
      </c>
      <c r="J280" s="15">
        <f t="shared" si="116"/>
        <v>136</v>
      </c>
      <c r="L280" s="5" t="str">
        <f ca="1">INDEX(INDIRECT(zoneFichierTraite),$J280+offsetInitialFichierTraite,1)</f>
        <v>'136</v>
      </c>
      <c r="M280" s="11">
        <f ca="1">INDEX(INDIRECT(zoneFichierTraite),$J280+offsetInitialFichierTraite,9)</f>
        <v>26.66</v>
      </c>
      <c r="N280" s="14">
        <f ca="1">INDEX(INDIRECT(zoneFichierTraite),$J280+offsetInitialFichierTraite,3)</f>
        <v>8050846089983</v>
      </c>
      <c r="O280" s="1">
        <f ca="1">MATCH(N280,INDIRECT(nomFichierEAN13Valmag &amp; "!A:A"),0)</f>
        <v>683</v>
      </c>
      <c r="P280" s="1">
        <f ca="1">MATCH(R280,INDIRECT(nomFichierEAN13Valmag &amp; "!A:A"),0)</f>
        <v>683</v>
      </c>
      <c r="Q280" s="1">
        <f ca="1">MATCH(LEFT(B280,14) &amp; "*",INDIRECT(nomFichierEAN13Valmag &amp; "!B:B"),0)</f>
        <v>683</v>
      </c>
      <c r="R280" s="14">
        <f ca="1">IFERROR(INDEX(INDIRECT(zoneFichierEAN13Valmag),Q280,1),"")</f>
        <v>8050846089983</v>
      </c>
      <c r="S280" s="1">
        <f ca="1">MATCH(B280,INDIRECT(nomFichierFiltreCatalogue &amp; "!B:B"),0)</f>
        <v>385</v>
      </c>
      <c r="T280" s="14"/>
    </row>
    <row r="281" spans="1:20" s="20" customFormat="1" ht="15.75" customHeight="1" x14ac:dyDescent="0.25">
      <c r="A281" s="25">
        <f ca="1">INDEX(INDIRECT(zoneFichierTraite),$J280+offsetInitialFichierTraite,2)</f>
        <v>138</v>
      </c>
      <c r="B281" s="45" t="str">
        <f ca="1">IF(C281="", IFERROR(INDEX(INDIRECT(zoneFichierEAN13Valmag),$P280,3),""), "")</f>
        <v/>
      </c>
      <c r="C281" s="44" t="str">
        <f ca="1">IFERROR(INDEX(INDIRECT(zoneFichierEAN13Valmag),$O280,3),"")</f>
        <v xml:space="preserve"> </v>
      </c>
      <c r="D281" s="19" t="str">
        <f ca="1">IFERROR(INDEX(INDIRECT(zoneFichierEAN13Valmag),$O280,4),"")</f>
        <v xml:space="preserve"> </v>
      </c>
      <c r="E281" s="33" t="str">
        <f ca="1">IFERROR(INDEX(INDIRECT(zoneFichierFiltreCatalogue),S280,3),"")</f>
        <v>p088-1-01</v>
      </c>
      <c r="F281" s="19"/>
      <c r="G281" s="18"/>
      <c r="H281" s="34" t="str">
        <f ca="1">IFERROR(INDEX(INDIRECT(zoneFichierFiltreCatalogue),S280,6),"")</f>
        <v>fall 2019 presentation_/catalogo fall 19.txt</v>
      </c>
      <c r="R281" s="21"/>
      <c r="S281" s="21"/>
    </row>
    <row r="282" spans="1:20" ht="39" customHeight="1" thickBot="1" x14ac:dyDescent="0.65">
      <c r="A282" s="9" t="str">
        <f ca="1">INDEX(INDIRECT(zoneFichierTraite),$J282+offsetInitialFichierTraite,6)</f>
        <v>UNICA</v>
      </c>
      <c r="B282" s="5" t="str">
        <f ca="1">INDEX(INDIRECT(zoneFichierTraite),$J282+offsetInitialFichierTraite,4)</f>
        <v>OBAGS601-TESBD-227</v>
      </c>
      <c r="C282" s="26" t="str">
        <f ca="1">INDEX(INDIRECT(zoneFichierTraite),$J282+offsetInitialFichierTraite,5)</f>
        <v>POCHETTE INTERIEURE SWITCH O BAG EN TISSU CHECK EFFET LAINE</v>
      </c>
      <c r="D282" s="27" t="str">
        <f ca="1">INDEX(INDIRECT(zoneFichierTraite),$J282+offsetInitialFichierTraite,13)</f>
        <v>bianco/nero</v>
      </c>
      <c r="E282" s="30">
        <f ca="1">INDEX(INDIRECT(zoneFichierTraite),$J282+offsetInitialFichierTraite,7)</f>
        <v>2</v>
      </c>
      <c r="F282" s="28">
        <f ca="1">INDEX(INDIRECT(zoneFichierTraite),$J282+offsetInitialFichierTraite,8)</f>
        <v>11.85</v>
      </c>
      <c r="G282" s="29">
        <f t="shared" ref="G282:G345" ca="1" si="124">ROUNDUP(F282*3,0)</f>
        <v>36</v>
      </c>
      <c r="H282" s="32" t="str">
        <f ca="1">IF(ISNUMBER(N282),codeEAN13(INT(N282/10)),"")</f>
        <v>8APASOG*ajaahb+</v>
      </c>
      <c r="J282" s="15">
        <f t="shared" si="116"/>
        <v>137</v>
      </c>
      <c r="L282" s="5" t="str">
        <f ca="1">INDEX(INDIRECT(zoneFichierTraite),$J282+offsetInitialFichierTraite,1)</f>
        <v>'137</v>
      </c>
      <c r="M282" s="11">
        <f ca="1">INDEX(INDIRECT(zoneFichierTraite),$J282+offsetInitialFichierTraite,9)</f>
        <v>23.7</v>
      </c>
      <c r="N282" s="14">
        <f ca="1">INDEX(INDIRECT(zoneFichierTraite),$J282+offsetInitialFichierTraite,3)</f>
        <v>8050846090071</v>
      </c>
      <c r="O282" s="1">
        <f ca="1">MATCH(N282,INDIRECT(nomFichierEAN13Valmag &amp; "!A:A"),0)</f>
        <v>692</v>
      </c>
      <c r="P282" s="1">
        <f ca="1">MATCH(R282,INDIRECT(nomFichierEAN13Valmag &amp; "!A:A"),0)</f>
        <v>692</v>
      </c>
      <c r="Q282" s="1">
        <f ca="1">MATCH(LEFT(B282,14) &amp; "*",INDIRECT(nomFichierEAN13Valmag &amp; "!B:B"),0)</f>
        <v>692</v>
      </c>
      <c r="R282" s="14">
        <f ca="1">IFERROR(INDEX(INDIRECT(zoneFichierEAN13Valmag),Q282,1),"")</f>
        <v>8050846090071</v>
      </c>
      <c r="S282" s="1">
        <f ca="1">MATCH(B282,INDIRECT(nomFichierFiltreCatalogue &amp; "!B:B"),0)</f>
        <v>386</v>
      </c>
      <c r="T282" s="14"/>
    </row>
    <row r="283" spans="1:20" s="20" customFormat="1" ht="15.75" customHeight="1" x14ac:dyDescent="0.25">
      <c r="A283" s="25">
        <f ca="1">INDEX(INDIRECT(zoneFichierTraite),$J282+offsetInitialFichierTraite,2)</f>
        <v>146</v>
      </c>
      <c r="B283" s="45" t="str">
        <f ca="1">IF(C283="", IFERROR(INDEX(INDIRECT(zoneFichierEAN13Valmag),$P282,3),""), "")</f>
        <v/>
      </c>
      <c r="C283" s="44" t="str">
        <f ca="1">IFERROR(INDEX(INDIRECT(zoneFichierEAN13Valmag),$O282,3),"")</f>
        <v xml:space="preserve"> </v>
      </c>
      <c r="D283" s="19" t="str">
        <f ca="1">IFERROR(INDEX(INDIRECT(zoneFichierEAN13Valmag),$O282,4),"")</f>
        <v xml:space="preserve"> </v>
      </c>
      <c r="E283" s="33" t="str">
        <f ca="1">IFERROR(INDEX(INDIRECT(zoneFichierFiltreCatalogue),S282,3),"")</f>
        <v>p088-2-01</v>
      </c>
      <c r="F283" s="19"/>
      <c r="G283" s="18"/>
      <c r="H283" s="34" t="str">
        <f ca="1">IFERROR(INDEX(INDIRECT(zoneFichierFiltreCatalogue),S282,6),"")</f>
        <v>fall 2019 presentation_/catalogo fall 19.txt</v>
      </c>
      <c r="R283" s="21"/>
      <c r="S283" s="21"/>
    </row>
    <row r="284" spans="1:20" ht="39" customHeight="1" thickBot="1" x14ac:dyDescent="0.65">
      <c r="A284" s="9" t="str">
        <f ca="1">INDEX(INDIRECT(zoneFichierTraite),$J284+offsetInitialFichierTraite,6)</f>
        <v>UNICA</v>
      </c>
      <c r="B284" s="5" t="str">
        <f ca="1">INDEX(INDIRECT(zoneFichierTraite),$J284+offsetInitialFichierTraite,4)</f>
        <v>OBAGS601-TESBF-076</v>
      </c>
      <c r="C284" s="26" t="str">
        <f ca="1">INDEX(INDIRECT(zoneFichierTraite),$J284+offsetInitialFichierTraite,5)</f>
        <v>POCHETTE INTERIEURE SWITCH O BAG EN TISSU CORDURA CONTRASTE</v>
      </c>
      <c r="D284" s="27" t="str">
        <f ca="1">INDEX(INDIRECT(zoneFichierTraite),$J284+offsetInitialFichierTraite,13)</f>
        <v>rosso</v>
      </c>
      <c r="E284" s="30">
        <f ca="1">INDEX(INDIRECT(zoneFichierTraite),$J284+offsetInitialFichierTraite,7)</f>
        <v>2</v>
      </c>
      <c r="F284" s="28">
        <f ca="1">INDEX(INDIRECT(zoneFichierTraite),$J284+offsetInitialFichierTraite,8)</f>
        <v>11.85</v>
      </c>
      <c r="G284" s="29">
        <f t="shared" ref="G284:G347" ca="1" si="125">ROUNDUP(F284*3,0)</f>
        <v>36</v>
      </c>
      <c r="H284" s="32" t="str">
        <f ca="1">IF(ISNUMBER(N284),codeEAN13(INT(N284/10)),"")</f>
        <v>8APASOG*ajabih+</v>
      </c>
      <c r="J284" s="15">
        <f t="shared" si="116"/>
        <v>138</v>
      </c>
      <c r="L284" s="5" t="str">
        <f ca="1">INDEX(INDIRECT(zoneFichierTraite),$J284+offsetInitialFichierTraite,1)</f>
        <v>'138</v>
      </c>
      <c r="M284" s="11">
        <f ca="1">INDEX(INDIRECT(zoneFichierTraite),$J284+offsetInitialFichierTraite,9)</f>
        <v>23.7</v>
      </c>
      <c r="N284" s="14">
        <f ca="1">INDEX(INDIRECT(zoneFichierTraite),$J284+offsetInitialFichierTraite,3)</f>
        <v>8050846090187</v>
      </c>
      <c r="O284" s="1">
        <f ca="1">MATCH(N284,INDIRECT(nomFichierEAN13Valmag &amp; "!A:A"),0)</f>
        <v>703</v>
      </c>
      <c r="P284" s="1">
        <f ca="1">MATCH(R284,INDIRECT(nomFichierEAN13Valmag &amp; "!A:A"),0)</f>
        <v>698</v>
      </c>
      <c r="Q284" s="1">
        <f ca="1">MATCH(LEFT(B284,14) &amp; "*",INDIRECT(nomFichierEAN13Valmag &amp; "!B:B"),0)</f>
        <v>698</v>
      </c>
      <c r="R284" s="14">
        <f ca="1">IFERROR(INDEX(INDIRECT(zoneFichierEAN13Valmag),Q284,1),"")</f>
        <v>8050846090132</v>
      </c>
      <c r="S284" s="1">
        <f ca="1">MATCH(B284,INDIRECT(nomFichierFiltreCatalogue &amp; "!B:B"),0)</f>
        <v>379</v>
      </c>
      <c r="T284" s="14"/>
    </row>
    <row r="285" spans="1:20" s="20" customFormat="1" ht="15.75" customHeight="1" x14ac:dyDescent="0.25">
      <c r="A285" s="25">
        <f ca="1">INDEX(INDIRECT(zoneFichierTraite),$J284+offsetInitialFichierTraite,2)</f>
        <v>195</v>
      </c>
      <c r="B285" s="45" t="str">
        <f ca="1">IF(C285="", IFERROR(INDEX(INDIRECT(zoneFichierEAN13Valmag),$P284,3),""), "")</f>
        <v/>
      </c>
      <c r="C285" s="44" t="str">
        <f ca="1">IFERROR(INDEX(INDIRECT(zoneFichierEAN13Valmag),$O284,3),"")</f>
        <v xml:space="preserve"> </v>
      </c>
      <c r="D285" s="19" t="str">
        <f ca="1">IFERROR(INDEX(INDIRECT(zoneFichierEAN13Valmag),$O284,4),"")</f>
        <v xml:space="preserve"> </v>
      </c>
      <c r="E285" s="33" t="str">
        <f ca="1">IFERROR(INDEX(INDIRECT(zoneFichierFiltreCatalogue),S284,3),"")</f>
        <v>p086-1-01</v>
      </c>
      <c r="F285" s="19"/>
      <c r="G285" s="18"/>
      <c r="H285" s="34" t="str">
        <f ca="1">IFERROR(INDEX(INDIRECT(zoneFichierFiltreCatalogue),S284,6),"")</f>
        <v>fall 2019 presentation_/catalogo fall 19.txt</v>
      </c>
      <c r="R285" s="21"/>
      <c r="S285" s="21"/>
    </row>
    <row r="286" spans="1:20" ht="39" customHeight="1" thickBot="1" x14ac:dyDescent="0.65">
      <c r="A286" s="9" t="str">
        <f ca="1">INDEX(INDIRECT(zoneFichierTraite),$J286+offsetInitialFichierTraite,6)</f>
        <v>UNICA</v>
      </c>
      <c r="B286" s="5" t="str">
        <f ca="1">INDEX(INDIRECT(zoneFichierTraite),$J286+offsetInitialFichierTraite,4)</f>
        <v>OBAGS601-TESBF-137</v>
      </c>
      <c r="C286" s="26" t="str">
        <f ca="1">INDEX(INDIRECT(zoneFichierTraite),$J286+offsetInitialFichierTraite,5)</f>
        <v>POCHETTE INTERIEURE SWITCH O BAG EN TISSU CORDURA CONTRASTE</v>
      </c>
      <c r="D286" s="27" t="str">
        <f ca="1">INDEX(INDIRECT(zoneFichierTraite),$J286+offsetInitialFichierTraite,13)</f>
        <v>bluette</v>
      </c>
      <c r="E286" s="30">
        <f ca="1">INDEX(INDIRECT(zoneFichierTraite),$J286+offsetInitialFichierTraite,7)</f>
        <v>2</v>
      </c>
      <c r="F286" s="28">
        <f ca="1">INDEX(INDIRECT(zoneFichierTraite),$J286+offsetInitialFichierTraite,8)</f>
        <v>11.85</v>
      </c>
      <c r="G286" s="29">
        <f t="shared" ref="G286:G349" ca="1" si="126">ROUNDUP(F286*3,0)</f>
        <v>36</v>
      </c>
      <c r="H286" s="32" t="str">
        <f ca="1">IF(ISNUMBER(N286),codeEAN13(INT(N286/10)),"")</f>
        <v>8APASOG*ajabha+</v>
      </c>
      <c r="J286" s="15">
        <f t="shared" si="116"/>
        <v>139</v>
      </c>
      <c r="L286" s="5" t="str">
        <f ca="1">INDEX(INDIRECT(zoneFichierTraite),$J286+offsetInitialFichierTraite,1)</f>
        <v>'139</v>
      </c>
      <c r="M286" s="11">
        <f ca="1">INDEX(INDIRECT(zoneFichierTraite),$J286+offsetInitialFichierTraite,9)</f>
        <v>23.7</v>
      </c>
      <c r="N286" s="14">
        <f ca="1">INDEX(INDIRECT(zoneFichierTraite),$J286+offsetInitialFichierTraite,3)</f>
        <v>8050846090170</v>
      </c>
      <c r="O286" s="1">
        <f ca="1">MATCH(N286,INDIRECT(nomFichierEAN13Valmag &amp; "!A:A"),0)</f>
        <v>702</v>
      </c>
      <c r="P286" s="1">
        <f ca="1">MATCH(R286,INDIRECT(nomFichierEAN13Valmag &amp; "!A:A"),0)</f>
        <v>698</v>
      </c>
      <c r="Q286" s="1">
        <f ca="1">MATCH(LEFT(B286,14) &amp; "*",INDIRECT(nomFichierEAN13Valmag &amp; "!B:B"),0)</f>
        <v>698</v>
      </c>
      <c r="R286" s="14">
        <f ca="1">IFERROR(INDEX(INDIRECT(zoneFichierEAN13Valmag),Q286,1),"")</f>
        <v>8050846090132</v>
      </c>
      <c r="S286" s="1">
        <f ca="1">MATCH(B286,INDIRECT(nomFichierFiltreCatalogue &amp; "!B:B"),0)</f>
        <v>380</v>
      </c>
      <c r="T286" s="14"/>
    </row>
    <row r="287" spans="1:20" s="20" customFormat="1" ht="15.75" customHeight="1" x14ac:dyDescent="0.25">
      <c r="A287" s="25">
        <f ca="1">INDEX(INDIRECT(zoneFichierTraite),$J286+offsetInitialFichierTraite,2)</f>
        <v>38</v>
      </c>
      <c r="B287" s="45" t="str">
        <f ca="1">IF(C287="", IFERROR(INDEX(INDIRECT(zoneFichierEAN13Valmag),$P286,3),""), "")</f>
        <v/>
      </c>
      <c r="C287" s="44" t="str">
        <f ca="1">IFERROR(INDEX(INDIRECT(zoneFichierEAN13Valmag),$O286,3),"")</f>
        <v xml:space="preserve"> </v>
      </c>
      <c r="D287" s="19" t="str">
        <f ca="1">IFERROR(INDEX(INDIRECT(zoneFichierEAN13Valmag),$O286,4),"")</f>
        <v xml:space="preserve"> </v>
      </c>
      <c r="E287" s="33" t="str">
        <f ca="1">IFERROR(INDEX(INDIRECT(zoneFichierFiltreCatalogue),S286,3),"")</f>
        <v>p086-1-02</v>
      </c>
      <c r="F287" s="19"/>
      <c r="G287" s="18"/>
      <c r="H287" s="34" t="str">
        <f ca="1">IFERROR(INDEX(INDIRECT(zoneFichierFiltreCatalogue),S286,6),"")</f>
        <v>fall 2019 presentation_/catalogo fall 19.txt</v>
      </c>
      <c r="R287" s="21"/>
      <c r="S287" s="21"/>
    </row>
    <row r="288" spans="1:20" ht="39" customHeight="1" thickBot="1" x14ac:dyDescent="0.65">
      <c r="A288" s="9" t="str">
        <f ca="1">INDEX(INDIRECT(zoneFichierTraite),$J288+offsetInitialFichierTraite,6)</f>
        <v>UNICA</v>
      </c>
      <c r="B288" s="5" t="str">
        <f ca="1">INDEX(INDIRECT(zoneFichierTraite),$J288+offsetInitialFichierTraite,4)</f>
        <v>OBAGS601-TESBF-144</v>
      </c>
      <c r="C288" s="26" t="str">
        <f ca="1">INDEX(INDIRECT(zoneFichierTraite),$J288+offsetInitialFichierTraite,5)</f>
        <v>POCHETTE INTERIEURE SWITCH O BAG EN TISSU CORDURA CONTRASTE</v>
      </c>
      <c r="D288" s="27" t="str">
        <f ca="1">INDEX(INDIRECT(zoneFichierTraite),$J288+offsetInitialFichierTraite,13)</f>
        <v>ginestra</v>
      </c>
      <c r="E288" s="30">
        <f ca="1">INDEX(INDIRECT(zoneFichierTraite),$J288+offsetInitialFichierTraite,7)</f>
        <v>2</v>
      </c>
      <c r="F288" s="28">
        <f ca="1">INDEX(INDIRECT(zoneFichierTraite),$J288+offsetInitialFichierTraite,8)</f>
        <v>11.85</v>
      </c>
      <c r="G288" s="29">
        <f t="shared" ref="G288:G351" ca="1" si="127">ROUNDUP(F288*3,0)</f>
        <v>36</v>
      </c>
      <c r="H288" s="32" t="str">
        <f ca="1">IF(ISNUMBER(N288),codeEAN13(INT(N288/10)),"")</f>
        <v>8APASOG*ajabdc+</v>
      </c>
      <c r="J288" s="15">
        <f t="shared" si="116"/>
        <v>140</v>
      </c>
      <c r="L288" s="5" t="str">
        <f ca="1">INDEX(INDIRECT(zoneFichierTraite),$J288+offsetInitialFichierTraite,1)</f>
        <v>'140</v>
      </c>
      <c r="M288" s="11">
        <f ca="1">INDEX(INDIRECT(zoneFichierTraite),$J288+offsetInitialFichierTraite,9)</f>
        <v>23.7</v>
      </c>
      <c r="N288" s="14">
        <f ca="1">INDEX(INDIRECT(zoneFichierTraite),$J288+offsetInitialFichierTraite,3)</f>
        <v>8050846090132</v>
      </c>
      <c r="O288" s="1">
        <f ca="1">MATCH(N288,INDIRECT(nomFichierEAN13Valmag &amp; "!A:A"),0)</f>
        <v>698</v>
      </c>
      <c r="P288" s="1">
        <f ca="1">MATCH(R288,INDIRECT(nomFichierEAN13Valmag &amp; "!A:A"),0)</f>
        <v>698</v>
      </c>
      <c r="Q288" s="1">
        <f ca="1">MATCH(LEFT(B288,14) &amp; "*",INDIRECT(nomFichierEAN13Valmag &amp; "!B:B"),0)</f>
        <v>698</v>
      </c>
      <c r="R288" s="14">
        <f ca="1">IFERROR(INDEX(INDIRECT(zoneFichierEAN13Valmag),Q288,1),"")</f>
        <v>8050846090132</v>
      </c>
      <c r="S288" s="1">
        <f ca="1">MATCH(B288,INDIRECT(nomFichierFiltreCatalogue &amp; "!B:B"),0)</f>
        <v>381</v>
      </c>
      <c r="T288" s="14"/>
    </row>
    <row r="289" spans="1:20" s="20" customFormat="1" ht="15.75" customHeight="1" x14ac:dyDescent="0.25">
      <c r="A289" s="25">
        <f ca="1">INDEX(INDIRECT(zoneFichierTraite),$J288+offsetInitialFichierTraite,2)</f>
        <v>217</v>
      </c>
      <c r="B289" s="45" t="str">
        <f ca="1">IF(C289="", IFERROR(INDEX(INDIRECT(zoneFichierEAN13Valmag),$P288,3),""), "")</f>
        <v/>
      </c>
      <c r="C289" s="44" t="str">
        <f ca="1">IFERROR(INDEX(INDIRECT(zoneFichierEAN13Valmag),$O288,3),"")</f>
        <v xml:space="preserve"> </v>
      </c>
      <c r="D289" s="19" t="str">
        <f ca="1">IFERROR(INDEX(INDIRECT(zoneFichierEAN13Valmag),$O288,4),"")</f>
        <v xml:space="preserve"> </v>
      </c>
      <c r="E289" s="33" t="str">
        <f ca="1">IFERROR(INDEX(INDIRECT(zoneFichierFiltreCatalogue),S288,3),"")</f>
        <v>p086-1-03</v>
      </c>
      <c r="F289" s="19"/>
      <c r="G289" s="18"/>
      <c r="H289" s="34" t="str">
        <f ca="1">IFERROR(INDEX(INDIRECT(zoneFichierFiltreCatalogue),S288,6),"")</f>
        <v>fall 2019 presentation_/catalogo fall 19.txt</v>
      </c>
      <c r="R289" s="21"/>
      <c r="S289" s="21"/>
    </row>
    <row r="290" spans="1:20" ht="39" customHeight="1" thickBot="1" x14ac:dyDescent="0.65">
      <c r="A290" s="9" t="str">
        <f ca="1">INDEX(INDIRECT(zoneFichierTraite),$J290+offsetInitialFichierTraite,6)</f>
        <v>UNICA</v>
      </c>
      <c r="B290" s="5" t="str">
        <f ca="1">INDEX(INDIRECT(zoneFichierTraite),$J290+offsetInitialFichierTraite,4)</f>
        <v>OBAGS601-TESBH-017</v>
      </c>
      <c r="C290" s="26" t="str">
        <f ca="1">INDEX(INDIRECT(zoneFichierTraite),$J290+offsetInitialFichierTraite,5)</f>
        <v>POCHETTE INTERIEURE SWITCH O BAG EN TISSU JACQUARD MICRO FANTAISIE</v>
      </c>
      <c r="D290" s="27" t="str">
        <f ca="1">INDEX(INDIRECT(zoneFichierTraite),$J290+offsetInitialFichierTraite,13)</f>
        <v>blu navy</v>
      </c>
      <c r="E290" s="30">
        <f ca="1">INDEX(INDIRECT(zoneFichierTraite),$J290+offsetInitialFichierTraite,7)</f>
        <v>2</v>
      </c>
      <c r="F290" s="28">
        <f ca="1">INDEX(INDIRECT(zoneFichierTraite),$J290+offsetInitialFichierTraite,8)</f>
        <v>13.33</v>
      </c>
      <c r="G290" s="29">
        <f t="shared" ref="G290:G353" ca="1" si="128">ROUNDUP(F290*3,0)</f>
        <v>40</v>
      </c>
      <c r="H290" s="32" t="str">
        <f ca="1">IF(ISNUMBER(N290),codeEAN13(INT(N290/10)),"")</f>
        <v>8APASOG*aijjhg+</v>
      </c>
      <c r="J290" s="15">
        <f t="shared" si="116"/>
        <v>141</v>
      </c>
      <c r="L290" s="5" t="str">
        <f ca="1">INDEX(INDIRECT(zoneFichierTraite),$J290+offsetInitialFichierTraite,1)</f>
        <v>'141</v>
      </c>
      <c r="M290" s="11">
        <f ca="1">INDEX(INDIRECT(zoneFichierTraite),$J290+offsetInitialFichierTraite,9)</f>
        <v>26.66</v>
      </c>
      <c r="N290" s="14">
        <f ca="1">INDEX(INDIRECT(zoneFichierTraite),$J290+offsetInitialFichierTraite,3)</f>
        <v>8050846089976</v>
      </c>
      <c r="O290" s="1">
        <f ca="1">MATCH(N290,INDIRECT(nomFichierEAN13Valmag &amp; "!A:A"),0)</f>
        <v>682</v>
      </c>
      <c r="P290" s="1">
        <f ca="1">MATCH(R290,INDIRECT(nomFichierEAN13Valmag &amp; "!A:A"),0)</f>
        <v>682</v>
      </c>
      <c r="Q290" s="1">
        <f ca="1">MATCH(LEFT(B290,14) &amp; "*",INDIRECT(nomFichierEAN13Valmag &amp; "!B:B"),0)</f>
        <v>682</v>
      </c>
      <c r="R290" s="14">
        <f ca="1">IFERROR(INDEX(INDIRECT(zoneFichierEAN13Valmag),Q290,1),"")</f>
        <v>8050846089976</v>
      </c>
      <c r="S290" s="1">
        <f ca="1">MATCH(B290,INDIRECT(nomFichierFiltreCatalogue &amp; "!B:B"),0)</f>
        <v>382</v>
      </c>
      <c r="T290" s="14"/>
    </row>
    <row r="291" spans="1:20" s="20" customFormat="1" ht="15.75" customHeight="1" x14ac:dyDescent="0.25">
      <c r="A291" s="25">
        <f ca="1">INDEX(INDIRECT(zoneFichierTraite),$J290+offsetInitialFichierTraite,2)</f>
        <v>176</v>
      </c>
      <c r="B291" s="45" t="str">
        <f ca="1">IF(C291="", IFERROR(INDEX(INDIRECT(zoneFichierEAN13Valmag),$P290,3),""), "")</f>
        <v/>
      </c>
      <c r="C291" s="44" t="str">
        <f ca="1">IFERROR(INDEX(INDIRECT(zoneFichierEAN13Valmag),$O290,3),"")</f>
        <v xml:space="preserve"> </v>
      </c>
      <c r="D291" s="19" t="str">
        <f ca="1">IFERROR(INDEX(INDIRECT(zoneFichierEAN13Valmag),$O290,4),"")</f>
        <v xml:space="preserve"> </v>
      </c>
      <c r="E291" s="33" t="str">
        <f ca="1">IFERROR(INDEX(INDIRECT(zoneFichierFiltreCatalogue),S290,3),"")</f>
        <v>p086-2-01</v>
      </c>
      <c r="F291" s="19"/>
      <c r="G291" s="18"/>
      <c r="H291" s="34" t="str">
        <f ca="1">IFERROR(INDEX(INDIRECT(zoneFichierFiltreCatalogue),S290,6),"")</f>
        <v>fall 2019 presentation_/catalogo fall 19.txt</v>
      </c>
      <c r="R291" s="21"/>
      <c r="S291" s="21"/>
    </row>
    <row r="292" spans="1:20" ht="39" customHeight="1" thickBot="1" x14ac:dyDescent="0.65">
      <c r="A292" s="9" t="str">
        <f ca="1">INDEX(INDIRECT(zoneFichierTraite),$J292+offsetInitialFichierTraite,6)</f>
        <v>UNICA</v>
      </c>
      <c r="B292" s="5" t="str">
        <f ca="1">INDEX(INDIRECT(zoneFichierTraite),$J292+offsetInitialFichierTraite,4)</f>
        <v>OBAGS601-TESBM-227</v>
      </c>
      <c r="C292" s="26" t="str">
        <f ca="1">INDEX(INDIRECT(zoneFichierTraite),$J292+offsetInitialFichierTraite,5)</f>
        <v>POCHETTE INTERIEURE SWITCH O BAG EN TISSU IMPRIME GEOMETRIC LILY</v>
      </c>
      <c r="D292" s="27" t="str">
        <f ca="1">INDEX(INDIRECT(zoneFichierTraite),$J292+offsetInitialFichierTraite,13)</f>
        <v>bianco/nero</v>
      </c>
      <c r="E292" s="30">
        <f ca="1">INDEX(INDIRECT(zoneFichierTraite),$J292+offsetInitialFichierTraite,7)</f>
        <v>2</v>
      </c>
      <c r="F292" s="28">
        <f ca="1">INDEX(INDIRECT(zoneFichierTraite),$J292+offsetInitialFichierTraite,8)</f>
        <v>11.85</v>
      </c>
      <c r="G292" s="29">
        <f t="shared" ref="G292:G355" ca="1" si="129">ROUNDUP(F292*3,0)</f>
        <v>36</v>
      </c>
      <c r="H292" s="32" t="str">
        <f ca="1">IF(ISNUMBER(N292),codeEAN13(INT(N292/10)),"")</f>
        <v>8APASOG*ajacei+</v>
      </c>
      <c r="J292" s="15">
        <f t="shared" si="116"/>
        <v>142</v>
      </c>
      <c r="L292" s="5" t="str">
        <f ca="1">INDEX(INDIRECT(zoneFichierTraite),$J292+offsetInitialFichierTraite,1)</f>
        <v>'142</v>
      </c>
      <c r="M292" s="11">
        <f ca="1">INDEX(INDIRECT(zoneFichierTraite),$J292+offsetInitialFichierTraite,9)</f>
        <v>23.7</v>
      </c>
      <c r="N292" s="14">
        <f ca="1">INDEX(INDIRECT(zoneFichierTraite),$J292+offsetInitialFichierTraite,3)</f>
        <v>8050846090248</v>
      </c>
      <c r="O292" s="1">
        <f ca="1">MATCH(N292,INDIRECT(nomFichierEAN13Valmag &amp; "!A:A"),0)</f>
        <v>708</v>
      </c>
      <c r="P292" s="1">
        <f ca="1">MATCH(R292,INDIRECT(nomFichierEAN13Valmag &amp; "!A:A"),0)</f>
        <v>708</v>
      </c>
      <c r="Q292" s="1">
        <f ca="1">MATCH(LEFT(B292,14) &amp; "*",INDIRECT(nomFichierEAN13Valmag &amp; "!B:B"),0)</f>
        <v>708</v>
      </c>
      <c r="R292" s="14">
        <f ca="1">IFERROR(INDEX(INDIRECT(zoneFichierEAN13Valmag),Q292,1),"")</f>
        <v>8050846090248</v>
      </c>
      <c r="S292" s="1">
        <f ca="1">MATCH(B292,INDIRECT(nomFichierFiltreCatalogue &amp; "!B:B"),0)</f>
        <v>384</v>
      </c>
      <c r="T292" s="14"/>
    </row>
    <row r="293" spans="1:20" s="20" customFormat="1" ht="15.75" customHeight="1" x14ac:dyDescent="0.25">
      <c r="A293" s="25">
        <f ca="1">INDEX(INDIRECT(zoneFichierTraite),$J292+offsetInitialFichierTraite,2)</f>
        <v>156</v>
      </c>
      <c r="B293" s="45" t="str">
        <f ca="1">IF(C293="", IFERROR(INDEX(INDIRECT(zoneFichierEAN13Valmag),$P292,3),""), "")</f>
        <v/>
      </c>
      <c r="C293" s="44" t="str">
        <f ca="1">IFERROR(INDEX(INDIRECT(zoneFichierEAN13Valmag),$O292,3),"")</f>
        <v xml:space="preserve"> </v>
      </c>
      <c r="D293" s="19" t="str">
        <f ca="1">IFERROR(INDEX(INDIRECT(zoneFichierEAN13Valmag),$O292,4),"")</f>
        <v xml:space="preserve"> </v>
      </c>
      <c r="E293" s="33" t="str">
        <f ca="1">IFERROR(INDEX(INDIRECT(zoneFichierFiltreCatalogue),S292,3),"")</f>
        <v>p087-2-01</v>
      </c>
      <c r="F293" s="19"/>
      <c r="G293" s="18"/>
      <c r="H293" s="34" t="str">
        <f ca="1">IFERROR(INDEX(INDIRECT(zoneFichierFiltreCatalogue),S292,6),"")</f>
        <v>fall 2019 presentation_/catalogo fall 19.txt</v>
      </c>
      <c r="R293" s="21"/>
      <c r="S293" s="21"/>
    </row>
    <row r="294" spans="1:20" ht="39" customHeight="1" thickBot="1" x14ac:dyDescent="0.65">
      <c r="A294" s="9" t="str">
        <f ca="1">INDEX(INDIRECT(zoneFichierTraite),$J294+offsetInitialFichierTraite,6)</f>
        <v>UNICA</v>
      </c>
      <c r="B294" s="5" t="str">
        <f ca="1">INDEX(INDIRECT(zoneFichierTraite),$J294+offsetInitialFichierTraite,4)</f>
        <v>OBAGS602-TESBB-615</v>
      </c>
      <c r="C294" s="26" t="str">
        <f ca="1">INDEX(INDIRECT(zoneFichierTraite),$J294+offsetInitialFichierTraite,5)</f>
        <v>POCHETTE INTERIEURE SWITCH O BAG MINI EN TISSU IMPRIME DIANTHUS</v>
      </c>
      <c r="D294" s="27" t="str">
        <f ca="1">INDEX(INDIRECT(zoneFichierTraite),$J294+offsetInitialFichierTraite,13)</f>
        <v>military</v>
      </c>
      <c r="E294" s="30">
        <f ca="1">INDEX(INDIRECT(zoneFichierTraite),$J294+offsetInitialFichierTraite,7)</f>
        <v>2</v>
      </c>
      <c r="F294" s="28">
        <f ca="1">INDEX(INDIRECT(zoneFichierTraite),$J294+offsetInitialFichierTraite,8)</f>
        <v>13.33</v>
      </c>
      <c r="G294" s="29">
        <f t="shared" ref="G294:G357" ca="1" si="130">ROUNDUP(F294*3,0)</f>
        <v>40</v>
      </c>
      <c r="H294" s="32" t="str">
        <f ca="1">IF(ISNUMBER(N294),codeEAN13(INT(N294/10)),"")</f>
        <v>8APASOG*ajahib+</v>
      </c>
      <c r="J294" s="15">
        <f t="shared" si="116"/>
        <v>143</v>
      </c>
      <c r="L294" s="5" t="str">
        <f ca="1">INDEX(INDIRECT(zoneFichierTraite),$J294+offsetInitialFichierTraite,1)</f>
        <v>'143</v>
      </c>
      <c r="M294" s="11">
        <f ca="1">INDEX(INDIRECT(zoneFichierTraite),$J294+offsetInitialFichierTraite,9)</f>
        <v>26.66</v>
      </c>
      <c r="N294" s="14">
        <f ca="1">INDEX(INDIRECT(zoneFichierTraite),$J294+offsetInitialFichierTraite,3)</f>
        <v>8050846090781</v>
      </c>
      <c r="O294" s="1">
        <f ca="1">MATCH(N294,INDIRECT(nomFichierEAN13Valmag &amp; "!A:A"),0)</f>
        <v>758</v>
      </c>
      <c r="P294" s="1">
        <f ca="1">MATCH(R294,INDIRECT(nomFichierEAN13Valmag &amp; "!A:A"),0)</f>
        <v>758</v>
      </c>
      <c r="Q294" s="1">
        <f ca="1">MATCH(LEFT(B294,14) &amp; "*",INDIRECT(nomFichierEAN13Valmag &amp; "!B:B"),0)</f>
        <v>758</v>
      </c>
      <c r="R294" s="14">
        <f ca="1">IFERROR(INDEX(INDIRECT(zoneFichierEAN13Valmag),Q294,1),"")</f>
        <v>8050846090781</v>
      </c>
      <c r="S294" s="1">
        <f ca="1">MATCH(B294,INDIRECT(nomFichierFiltreCatalogue &amp; "!B:B"),0)</f>
        <v>402</v>
      </c>
      <c r="T294" s="14"/>
    </row>
    <row r="295" spans="1:20" s="20" customFormat="1" ht="15.75" customHeight="1" x14ac:dyDescent="0.25">
      <c r="A295" s="25">
        <f ca="1">INDEX(INDIRECT(zoneFichierTraite),$J294+offsetInitialFichierTraite,2)</f>
        <v>180</v>
      </c>
      <c r="B295" s="45" t="str">
        <f ca="1">IF(C295="", IFERROR(INDEX(INDIRECT(zoneFichierEAN13Valmag),$P294,3),""), "")</f>
        <v/>
      </c>
      <c r="C295" s="44" t="str">
        <f ca="1">IFERROR(INDEX(INDIRECT(zoneFichierEAN13Valmag),$O294,3),"")</f>
        <v xml:space="preserve"> </v>
      </c>
      <c r="D295" s="19" t="str">
        <f ca="1">IFERROR(INDEX(INDIRECT(zoneFichierEAN13Valmag),$O294,4),"")</f>
        <v xml:space="preserve"> </v>
      </c>
      <c r="E295" s="33" t="str">
        <f ca="1">IFERROR(INDEX(INDIRECT(zoneFichierFiltreCatalogue),S294,3),"")</f>
        <v>p092-1-01</v>
      </c>
      <c r="F295" s="19"/>
      <c r="G295" s="18"/>
      <c r="H295" s="34" t="str">
        <f ca="1">IFERROR(INDEX(INDIRECT(zoneFichierFiltreCatalogue),S294,6),"")</f>
        <v>fall 2019 presentation_/catalogo fall 19.txt</v>
      </c>
      <c r="R295" s="21"/>
      <c r="S295" s="21"/>
    </row>
    <row r="296" spans="1:20" ht="39" customHeight="1" thickBot="1" x14ac:dyDescent="0.65">
      <c r="A296" s="9" t="str">
        <f ca="1">INDEX(INDIRECT(zoneFichierTraite),$J296+offsetInitialFichierTraite,6)</f>
        <v>UNICA</v>
      </c>
      <c r="B296" s="5" t="str">
        <f ca="1">INDEX(INDIRECT(zoneFichierTraite),$J296+offsetInitialFichierTraite,4)</f>
        <v>OBAGS602-TESBD-227</v>
      </c>
      <c r="C296" s="26" t="str">
        <f ca="1">INDEX(INDIRECT(zoneFichierTraite),$J296+offsetInitialFichierTraite,5)</f>
        <v>POCHETTE INTERIEURE SWITCH O BAG MINI EN TISSU CHECK EFFET LAINE</v>
      </c>
      <c r="D296" s="27" t="str">
        <f ca="1">INDEX(INDIRECT(zoneFichierTraite),$J296+offsetInitialFichierTraite,13)</f>
        <v>bianco/nero</v>
      </c>
      <c r="E296" s="30">
        <f ca="1">INDEX(INDIRECT(zoneFichierTraite),$J296+offsetInitialFichierTraite,7)</f>
        <v>2</v>
      </c>
      <c r="F296" s="28">
        <f ca="1">INDEX(INDIRECT(zoneFichierTraite),$J296+offsetInitialFichierTraite,8)</f>
        <v>11.85</v>
      </c>
      <c r="G296" s="29">
        <f t="shared" ref="G296:G359" ca="1" si="131">ROUNDUP(F296*3,0)</f>
        <v>36</v>
      </c>
      <c r="H296" s="32" t="str">
        <f ca="1">IF(ISNUMBER(N296),codeEAN13(INT(N296/10)),"")</f>
        <v>8APASOG*ajaiec+</v>
      </c>
      <c r="J296" s="15">
        <f t="shared" si="116"/>
        <v>144</v>
      </c>
      <c r="L296" s="5" t="str">
        <f ca="1">INDEX(INDIRECT(zoneFichierTraite),$J296+offsetInitialFichierTraite,1)</f>
        <v>'144</v>
      </c>
      <c r="M296" s="11">
        <f ca="1">INDEX(INDIRECT(zoneFichierTraite),$J296+offsetInitialFichierTraite,9)</f>
        <v>23.7</v>
      </c>
      <c r="N296" s="14">
        <f ca="1">INDEX(INDIRECT(zoneFichierTraite),$J296+offsetInitialFichierTraite,3)</f>
        <v>8050846090842</v>
      </c>
      <c r="O296" s="1">
        <f ca="1">MATCH(N296,INDIRECT(nomFichierEAN13Valmag &amp; "!A:A"),0)</f>
        <v>764</v>
      </c>
      <c r="P296" s="1">
        <f ca="1">MATCH(R296,INDIRECT(nomFichierEAN13Valmag &amp; "!A:A"),0)</f>
        <v>764</v>
      </c>
      <c r="Q296" s="1">
        <f ca="1">MATCH(LEFT(B296,14) &amp; "*",INDIRECT(nomFichierEAN13Valmag &amp; "!B:B"),0)</f>
        <v>764</v>
      </c>
      <c r="R296" s="14">
        <f ca="1">IFERROR(INDEX(INDIRECT(zoneFichierEAN13Valmag),Q296,1),"")</f>
        <v>8050846090842</v>
      </c>
      <c r="S296" s="1">
        <f ca="1">MATCH(B296,INDIRECT(nomFichierFiltreCatalogue &amp; "!B:B"),0)</f>
        <v>403</v>
      </c>
      <c r="T296" s="14"/>
    </row>
    <row r="297" spans="1:20" s="20" customFormat="1" ht="15.75" customHeight="1" x14ac:dyDescent="0.25">
      <c r="A297" s="25">
        <f ca="1">INDEX(INDIRECT(zoneFichierTraite),$J296+offsetInitialFichierTraite,2)</f>
        <v>107</v>
      </c>
      <c r="B297" s="45" t="str">
        <f ca="1">IF(C297="", IFERROR(INDEX(INDIRECT(zoneFichierEAN13Valmag),$P296,3),""), "")</f>
        <v/>
      </c>
      <c r="C297" s="44" t="str">
        <f ca="1">IFERROR(INDEX(INDIRECT(zoneFichierEAN13Valmag),$O296,3),"")</f>
        <v xml:space="preserve"> </v>
      </c>
      <c r="D297" s="19" t="str">
        <f ca="1">IFERROR(INDEX(INDIRECT(zoneFichierEAN13Valmag),$O296,4),"")</f>
        <v xml:space="preserve"> </v>
      </c>
      <c r="E297" s="33" t="str">
        <f ca="1">IFERROR(INDEX(INDIRECT(zoneFichierFiltreCatalogue),S296,3),"")</f>
        <v>p092-2-01</v>
      </c>
      <c r="F297" s="19"/>
      <c r="G297" s="18"/>
      <c r="H297" s="34" t="str">
        <f ca="1">IFERROR(INDEX(INDIRECT(zoneFichierFiltreCatalogue),S296,6),"")</f>
        <v>fall 2019 presentation_/catalogo fall 19.txt</v>
      </c>
      <c r="R297" s="21"/>
      <c r="S297" s="21"/>
    </row>
    <row r="298" spans="1:20" ht="39" customHeight="1" thickBot="1" x14ac:dyDescent="0.65">
      <c r="A298" s="9" t="str">
        <f ca="1">INDEX(INDIRECT(zoneFichierTraite),$J298+offsetInitialFichierTraite,6)</f>
        <v>UNICA</v>
      </c>
      <c r="B298" s="5" t="str">
        <f ca="1">INDEX(INDIRECT(zoneFichierTraite),$J298+offsetInitialFichierTraite,4)</f>
        <v>OBAGS602-TESBF-076</v>
      </c>
      <c r="C298" s="26" t="str">
        <f ca="1">INDEX(INDIRECT(zoneFichierTraite),$J298+offsetInitialFichierTraite,5)</f>
        <v>POCHETTE INTERIEURE SWITCH O BAG MINI EN TISSU CORDURA CONTRASTE</v>
      </c>
      <c r="D298" s="27" t="str">
        <f ca="1">INDEX(INDIRECT(zoneFichierTraite),$J298+offsetInitialFichierTraite,13)</f>
        <v>rosso</v>
      </c>
      <c r="E298" s="30">
        <f ca="1">INDEX(INDIRECT(zoneFichierTraite),$J298+offsetInitialFichierTraite,7)</f>
        <v>2</v>
      </c>
      <c r="F298" s="28">
        <f ca="1">INDEX(INDIRECT(zoneFichierTraite),$J298+offsetInitialFichierTraite,8)</f>
        <v>11.85</v>
      </c>
      <c r="G298" s="29">
        <f t="shared" ref="G298:G361" ca="1" si="132">ROUNDUP(F298*3,0)</f>
        <v>36</v>
      </c>
      <c r="H298" s="32" t="str">
        <f ca="1">IF(ISNUMBER(N298),codeEAN13(INT(N298/10)),"")</f>
        <v>8APASOG*ajajfi+</v>
      </c>
      <c r="J298" s="15">
        <f t="shared" si="116"/>
        <v>145</v>
      </c>
      <c r="L298" s="5" t="str">
        <f ca="1">INDEX(INDIRECT(zoneFichierTraite),$J298+offsetInitialFichierTraite,1)</f>
        <v>'145</v>
      </c>
      <c r="M298" s="11">
        <f ca="1">INDEX(INDIRECT(zoneFichierTraite),$J298+offsetInitialFichierTraite,9)</f>
        <v>23.7</v>
      </c>
      <c r="N298" s="14">
        <f ca="1">INDEX(INDIRECT(zoneFichierTraite),$J298+offsetInitialFichierTraite,3)</f>
        <v>8050846090958</v>
      </c>
      <c r="O298" s="1">
        <f ca="1">MATCH(N298,INDIRECT(nomFichierEAN13Valmag &amp; "!A:A"),0)</f>
        <v>775</v>
      </c>
      <c r="P298" s="1">
        <f ca="1">MATCH(R298,INDIRECT(nomFichierEAN13Valmag &amp; "!A:A"),0)</f>
        <v>770</v>
      </c>
      <c r="Q298" s="1">
        <f ca="1">MATCH(LEFT(B298,14) &amp; "*",INDIRECT(nomFichierEAN13Valmag &amp; "!B:B"),0)</f>
        <v>770</v>
      </c>
      <c r="R298" s="14">
        <f ca="1">IFERROR(INDEX(INDIRECT(zoneFichierEAN13Valmag),Q298,1),"")</f>
        <v>8050846090903</v>
      </c>
      <c r="S298" s="1">
        <f ca="1">MATCH(B298,INDIRECT(nomFichierFiltreCatalogue &amp; "!B:B"),0)</f>
        <v>404</v>
      </c>
      <c r="T298" s="14"/>
    </row>
    <row r="299" spans="1:20" s="20" customFormat="1" ht="15.75" customHeight="1" x14ac:dyDescent="0.25">
      <c r="A299" s="25">
        <f ca="1">INDEX(INDIRECT(zoneFichierTraite),$J298+offsetInitialFichierTraite,2)</f>
        <v>152</v>
      </c>
      <c r="B299" s="45" t="str">
        <f ca="1">IF(C299="", IFERROR(INDEX(INDIRECT(zoneFichierEAN13Valmag),$P298,3),""), "")</f>
        <v/>
      </c>
      <c r="C299" s="44" t="str">
        <f ca="1">IFERROR(INDEX(INDIRECT(zoneFichierEAN13Valmag),$O298,3),"")</f>
        <v xml:space="preserve"> </v>
      </c>
      <c r="D299" s="19" t="str">
        <f ca="1">IFERROR(INDEX(INDIRECT(zoneFichierEAN13Valmag),$O298,4),"")</f>
        <v xml:space="preserve"> </v>
      </c>
      <c r="E299" s="33" t="str">
        <f ca="1">IFERROR(INDEX(INDIRECT(zoneFichierFiltreCatalogue),S298,3),"")</f>
        <v>p093-1-01</v>
      </c>
      <c r="F299" s="19"/>
      <c r="G299" s="18"/>
      <c r="H299" s="34" t="str">
        <f ca="1">IFERROR(INDEX(INDIRECT(zoneFichierFiltreCatalogue),S298,6),"")</f>
        <v>fall 2019 presentation_/catalogo fall 19.txt</v>
      </c>
      <c r="R299" s="21"/>
      <c r="S299" s="21"/>
    </row>
    <row r="300" spans="1:20" ht="39" customHeight="1" thickBot="1" x14ac:dyDescent="0.65">
      <c r="A300" s="9" t="str">
        <f ca="1">INDEX(INDIRECT(zoneFichierTraite),$J300+offsetInitialFichierTraite,6)</f>
        <v>UNICA</v>
      </c>
      <c r="B300" s="5" t="str">
        <f ca="1">INDEX(INDIRECT(zoneFichierTraite),$J300+offsetInitialFichierTraite,4)</f>
        <v>OBAGS602-TESBF-137</v>
      </c>
      <c r="C300" s="26" t="str">
        <f ca="1">INDEX(INDIRECT(zoneFichierTraite),$J300+offsetInitialFichierTraite,5)</f>
        <v>POCHETTE INTERIEURE SWITCH O BAG MINI EN TISSU CORDURA CONTRASTE</v>
      </c>
      <c r="D300" s="27" t="str">
        <f ca="1">INDEX(INDIRECT(zoneFichierTraite),$J300+offsetInitialFichierTraite,13)</f>
        <v>bluette</v>
      </c>
      <c r="E300" s="30">
        <f ca="1">INDEX(INDIRECT(zoneFichierTraite),$J300+offsetInitialFichierTraite,7)</f>
        <v>2</v>
      </c>
      <c r="F300" s="28">
        <f ca="1">INDEX(INDIRECT(zoneFichierTraite),$J300+offsetInitialFichierTraite,8)</f>
        <v>11.85</v>
      </c>
      <c r="G300" s="29">
        <f t="shared" ref="G300:G363" ca="1" si="133">ROUNDUP(F300*3,0)</f>
        <v>36</v>
      </c>
      <c r="H300" s="32" t="str">
        <f ca="1">IF(ISNUMBER(N300),codeEAN13(INT(N300/10)),"")</f>
        <v>8APASOG*ajajeb+</v>
      </c>
      <c r="J300" s="15">
        <f t="shared" si="116"/>
        <v>146</v>
      </c>
      <c r="L300" s="5" t="str">
        <f ca="1">INDEX(INDIRECT(zoneFichierTraite),$J300+offsetInitialFichierTraite,1)</f>
        <v>'146</v>
      </c>
      <c r="M300" s="11">
        <f ca="1">INDEX(INDIRECT(zoneFichierTraite),$J300+offsetInitialFichierTraite,9)</f>
        <v>23.7</v>
      </c>
      <c r="N300" s="14">
        <f ca="1">INDEX(INDIRECT(zoneFichierTraite),$J300+offsetInitialFichierTraite,3)</f>
        <v>8050846090941</v>
      </c>
      <c r="O300" s="1">
        <f ca="1">MATCH(N300,INDIRECT(nomFichierEAN13Valmag &amp; "!A:A"),0)</f>
        <v>774</v>
      </c>
      <c r="P300" s="1">
        <f ca="1">MATCH(R300,INDIRECT(nomFichierEAN13Valmag &amp; "!A:A"),0)</f>
        <v>770</v>
      </c>
      <c r="Q300" s="1">
        <f ca="1">MATCH(LEFT(B300,14) &amp; "*",INDIRECT(nomFichierEAN13Valmag &amp; "!B:B"),0)</f>
        <v>770</v>
      </c>
      <c r="R300" s="14">
        <f ca="1">IFERROR(INDEX(INDIRECT(zoneFichierEAN13Valmag),Q300,1),"")</f>
        <v>8050846090903</v>
      </c>
      <c r="S300" s="1">
        <f ca="1">MATCH(B300,INDIRECT(nomFichierFiltreCatalogue &amp; "!B:B"),0)</f>
        <v>405</v>
      </c>
      <c r="T300" s="14"/>
    </row>
    <row r="301" spans="1:20" s="20" customFormat="1" ht="15.75" customHeight="1" x14ac:dyDescent="0.25">
      <c r="A301" s="25">
        <f ca="1">INDEX(INDIRECT(zoneFichierTraite),$J300+offsetInitialFichierTraite,2)</f>
        <v>35</v>
      </c>
      <c r="B301" s="45" t="str">
        <f ca="1">IF(C301="", IFERROR(INDEX(INDIRECT(zoneFichierEAN13Valmag),$P300,3),""), "")</f>
        <v/>
      </c>
      <c r="C301" s="44" t="str">
        <f ca="1">IFERROR(INDEX(INDIRECT(zoneFichierEAN13Valmag),$O300,3),"")</f>
        <v xml:space="preserve"> </v>
      </c>
      <c r="D301" s="19" t="str">
        <f ca="1">IFERROR(INDEX(INDIRECT(zoneFichierEAN13Valmag),$O300,4),"")</f>
        <v xml:space="preserve"> </v>
      </c>
      <c r="E301" s="33" t="str">
        <f ca="1">IFERROR(INDEX(INDIRECT(zoneFichierFiltreCatalogue),S300,3),"")</f>
        <v>p093-1-02</v>
      </c>
      <c r="F301" s="19"/>
      <c r="G301" s="18"/>
      <c r="H301" s="34" t="str">
        <f ca="1">IFERROR(INDEX(INDIRECT(zoneFichierFiltreCatalogue),S300,6),"")</f>
        <v>fall 2019 presentation_/catalogo fall 19.txt</v>
      </c>
      <c r="R301" s="21"/>
      <c r="S301" s="21"/>
    </row>
    <row r="302" spans="1:20" ht="39" customHeight="1" thickBot="1" x14ac:dyDescent="0.65">
      <c r="A302" s="9" t="str">
        <f ca="1">INDEX(INDIRECT(zoneFichierTraite),$J302+offsetInitialFichierTraite,6)</f>
        <v>UNICA</v>
      </c>
      <c r="B302" s="5" t="str">
        <f ca="1">INDEX(INDIRECT(zoneFichierTraite),$J302+offsetInitialFichierTraite,4)</f>
        <v>OBAGS602-TESBF-144</v>
      </c>
      <c r="C302" s="26" t="str">
        <f ca="1">INDEX(INDIRECT(zoneFichierTraite),$J302+offsetInitialFichierTraite,5)</f>
        <v>POCHETTE INTERIEURE SWITCH O BAG MINI EN TISSU CORDURA CONTRASTE</v>
      </c>
      <c r="D302" s="27" t="str">
        <f ca="1">INDEX(INDIRECT(zoneFichierTraite),$J302+offsetInitialFichierTraite,13)</f>
        <v>ginestra</v>
      </c>
      <c r="E302" s="30">
        <f ca="1">INDEX(INDIRECT(zoneFichierTraite),$J302+offsetInitialFichierTraite,7)</f>
        <v>2</v>
      </c>
      <c r="F302" s="28">
        <f ca="1">INDEX(INDIRECT(zoneFichierTraite),$J302+offsetInitialFichierTraite,8)</f>
        <v>11.85</v>
      </c>
      <c r="G302" s="29">
        <f t="shared" ref="G302:G365" ca="1" si="134">ROUNDUP(F302*3,0)</f>
        <v>36</v>
      </c>
      <c r="H302" s="32" t="str">
        <f ca="1">IF(ISNUMBER(N302),codeEAN13(INT(N302/10)),"")</f>
        <v>8APASOG*ajajad+</v>
      </c>
      <c r="J302" s="15">
        <f t="shared" si="116"/>
        <v>147</v>
      </c>
      <c r="L302" s="5" t="str">
        <f ca="1">INDEX(INDIRECT(zoneFichierTraite),$J302+offsetInitialFichierTraite,1)</f>
        <v>'147</v>
      </c>
      <c r="M302" s="11">
        <f ca="1">INDEX(INDIRECT(zoneFichierTraite),$J302+offsetInitialFichierTraite,9)</f>
        <v>23.7</v>
      </c>
      <c r="N302" s="14">
        <f ca="1">INDEX(INDIRECT(zoneFichierTraite),$J302+offsetInitialFichierTraite,3)</f>
        <v>8050846090903</v>
      </c>
      <c r="O302" s="1">
        <f ca="1">MATCH(N302,INDIRECT(nomFichierEAN13Valmag &amp; "!A:A"),0)</f>
        <v>770</v>
      </c>
      <c r="P302" s="1">
        <f ca="1">MATCH(R302,INDIRECT(nomFichierEAN13Valmag &amp; "!A:A"),0)</f>
        <v>770</v>
      </c>
      <c r="Q302" s="1">
        <f ca="1">MATCH(LEFT(B302,14) &amp; "*",INDIRECT(nomFichierEAN13Valmag &amp; "!B:B"),0)</f>
        <v>770</v>
      </c>
      <c r="R302" s="14">
        <f ca="1">IFERROR(INDEX(INDIRECT(zoneFichierEAN13Valmag),Q302,1),"")</f>
        <v>8050846090903</v>
      </c>
      <c r="S302" s="1">
        <f ca="1">MATCH(B302,INDIRECT(nomFichierFiltreCatalogue &amp; "!B:B"),0)</f>
        <v>406</v>
      </c>
      <c r="T302" s="14"/>
    </row>
    <row r="303" spans="1:20" s="20" customFormat="1" ht="15.75" customHeight="1" x14ac:dyDescent="0.25">
      <c r="A303" s="25">
        <f ca="1">INDEX(INDIRECT(zoneFichierTraite),$J302+offsetInitialFichierTraite,2)</f>
        <v>130</v>
      </c>
      <c r="B303" s="45" t="str">
        <f ca="1">IF(C303="", IFERROR(INDEX(INDIRECT(zoneFichierEAN13Valmag),$P302,3),""), "")</f>
        <v/>
      </c>
      <c r="C303" s="44" t="str">
        <f ca="1">IFERROR(INDEX(INDIRECT(zoneFichierEAN13Valmag),$O302,3),"")</f>
        <v xml:space="preserve"> </v>
      </c>
      <c r="D303" s="19" t="str">
        <f ca="1">IFERROR(INDEX(INDIRECT(zoneFichierEAN13Valmag),$O302,4),"")</f>
        <v xml:space="preserve"> </v>
      </c>
      <c r="E303" s="33" t="str">
        <f ca="1">IFERROR(INDEX(INDIRECT(zoneFichierFiltreCatalogue),S302,3),"")</f>
        <v>p093-1-03</v>
      </c>
      <c r="F303" s="19"/>
      <c r="G303" s="18"/>
      <c r="H303" s="34" t="str">
        <f ca="1">IFERROR(INDEX(INDIRECT(zoneFichierFiltreCatalogue),S302,6),"")</f>
        <v>fall 2019 presentation_/catalogo fall 19.txt</v>
      </c>
      <c r="R303" s="21"/>
      <c r="S303" s="21"/>
    </row>
    <row r="304" spans="1:20" ht="39" customHeight="1" thickBot="1" x14ac:dyDescent="0.65">
      <c r="A304" s="9" t="str">
        <f ca="1">INDEX(INDIRECT(zoneFichierTraite),$J304+offsetInitialFichierTraite,6)</f>
        <v>UNICA</v>
      </c>
      <c r="B304" s="5" t="str">
        <f ca="1">INDEX(INDIRECT(zoneFichierTraite),$J304+offsetInitialFichierTraite,4)</f>
        <v>OBAGS602-TESBH-017</v>
      </c>
      <c r="C304" s="26" t="str">
        <f ca="1">INDEX(INDIRECT(zoneFichierTraite),$J304+offsetInitialFichierTraite,5)</f>
        <v>POCHETTE INTERIEURE SWITCH O BAG MINI EN TISSU JACQUARD MICRO FANTAISIE</v>
      </c>
      <c r="D304" s="27" t="str">
        <f ca="1">INDEX(INDIRECT(zoneFichierTraite),$J304+offsetInitialFichierTraite,13)</f>
        <v>blu navy</v>
      </c>
      <c r="E304" s="30">
        <f ca="1">INDEX(INDIRECT(zoneFichierTraite),$J304+offsetInitialFichierTraite,7)</f>
        <v>2</v>
      </c>
      <c r="F304" s="28">
        <f ca="1">INDEX(INDIRECT(zoneFichierTraite),$J304+offsetInitialFichierTraite,8)</f>
        <v>13.33</v>
      </c>
      <c r="G304" s="29">
        <f t="shared" ref="G304:G367" ca="1" si="135">ROUNDUP(F304*3,0)</f>
        <v>40</v>
      </c>
      <c r="H304" s="32" t="str">
        <f ca="1">IF(ISNUMBER(N304),codeEAN13(INT(N304/10)),"")</f>
        <v>8APASOG*ajahhe+</v>
      </c>
      <c r="J304" s="15">
        <f t="shared" si="116"/>
        <v>148</v>
      </c>
      <c r="L304" s="5" t="str">
        <f ca="1">INDEX(INDIRECT(zoneFichierTraite),$J304+offsetInitialFichierTraite,1)</f>
        <v>'148</v>
      </c>
      <c r="M304" s="11">
        <f ca="1">INDEX(INDIRECT(zoneFichierTraite),$J304+offsetInitialFichierTraite,9)</f>
        <v>26.66</v>
      </c>
      <c r="N304" s="14">
        <f ca="1">INDEX(INDIRECT(zoneFichierTraite),$J304+offsetInitialFichierTraite,3)</f>
        <v>8050846090774</v>
      </c>
      <c r="O304" s="1">
        <f ca="1">MATCH(N304,INDIRECT(nomFichierEAN13Valmag &amp; "!A:A"),0)</f>
        <v>757</v>
      </c>
      <c r="P304" s="1">
        <f ca="1">MATCH(R304,INDIRECT(nomFichierEAN13Valmag &amp; "!A:A"),0)</f>
        <v>757</v>
      </c>
      <c r="Q304" s="1">
        <f ca="1">MATCH(LEFT(B304,14) &amp; "*",INDIRECT(nomFichierEAN13Valmag &amp; "!B:B"),0)</f>
        <v>757</v>
      </c>
      <c r="R304" s="14">
        <f ca="1">IFERROR(INDEX(INDIRECT(zoneFichierEAN13Valmag),Q304,1),"")</f>
        <v>8050846090774</v>
      </c>
      <c r="S304" s="1">
        <f ca="1">MATCH(B304,INDIRECT(nomFichierFiltreCatalogue &amp; "!B:B"),0)</f>
        <v>407</v>
      </c>
      <c r="T304" s="14"/>
    </row>
    <row r="305" spans="1:20" s="20" customFormat="1" ht="15.75" customHeight="1" x14ac:dyDescent="0.25">
      <c r="A305" s="25">
        <f ca="1">INDEX(INDIRECT(zoneFichierTraite),$J304+offsetInitialFichierTraite,2)</f>
        <v>5</v>
      </c>
      <c r="B305" s="45" t="str">
        <f ca="1">IF(C305="", IFERROR(INDEX(INDIRECT(zoneFichierEAN13Valmag),$P304,3),""), "")</f>
        <v/>
      </c>
      <c r="C305" s="44" t="str">
        <f ca="1">IFERROR(INDEX(INDIRECT(zoneFichierEAN13Valmag),$O304,3),"")</f>
        <v xml:space="preserve"> </v>
      </c>
      <c r="D305" s="19" t="str">
        <f ca="1">IFERROR(INDEX(INDIRECT(zoneFichierEAN13Valmag),$O304,4),"")</f>
        <v xml:space="preserve"> </v>
      </c>
      <c r="E305" s="33" t="str">
        <f ca="1">IFERROR(INDEX(INDIRECT(zoneFichierFiltreCatalogue),S304,3),"")</f>
        <v>p093-2-01</v>
      </c>
      <c r="F305" s="19"/>
      <c r="G305" s="18"/>
      <c r="H305" s="34" t="str">
        <f ca="1">IFERROR(INDEX(INDIRECT(zoneFichierFiltreCatalogue),S304,6),"")</f>
        <v>fall 2019 presentation_/catalogo fall 19.txt</v>
      </c>
      <c r="R305" s="21"/>
      <c r="S305" s="21"/>
    </row>
    <row r="306" spans="1:20" ht="39" customHeight="1" thickBot="1" x14ac:dyDescent="0.65">
      <c r="A306" s="9" t="str">
        <f ca="1">INDEX(INDIRECT(zoneFichierTraite),$J306+offsetInitialFichierTraite,6)</f>
        <v>UNICA</v>
      </c>
      <c r="B306" s="5" t="str">
        <f ca="1">INDEX(INDIRECT(zoneFichierTraite),$J306+offsetInitialFichierTraite,4)</f>
        <v>OBAGS602-TESBM-227</v>
      </c>
      <c r="C306" s="26" t="str">
        <f ca="1">INDEX(INDIRECT(zoneFichierTraite),$J306+offsetInitialFichierTraite,5)</f>
        <v>POCHETTE INTERIEURE SWITCH O BAG MINI EN TISSU IMPRIME GEOMETRIC LILY</v>
      </c>
      <c r="D306" s="27" t="str">
        <f ca="1">INDEX(INDIRECT(zoneFichierTraite),$J306+offsetInitialFichierTraite,13)</f>
        <v>bianco/nero</v>
      </c>
      <c r="E306" s="30">
        <f ca="1">INDEX(INDIRECT(zoneFichierTraite),$J306+offsetInitialFichierTraite,7)</f>
        <v>2</v>
      </c>
      <c r="F306" s="28">
        <f ca="1">INDEX(INDIRECT(zoneFichierTraite),$J306+offsetInitialFichierTraite,8)</f>
        <v>11.85</v>
      </c>
      <c r="G306" s="29">
        <f t="shared" ref="G306:G369" ca="1" si="136">ROUNDUP(F306*3,0)</f>
        <v>36</v>
      </c>
      <c r="H306" s="32" t="str">
        <f ca="1">IF(ISNUMBER(N306),codeEAN13(INT(N306/10)),"")</f>
        <v>8APASOG*ajbbcc+</v>
      </c>
      <c r="J306" s="15">
        <f t="shared" si="116"/>
        <v>149</v>
      </c>
      <c r="L306" s="5" t="str">
        <f ca="1">INDEX(INDIRECT(zoneFichierTraite),$J306+offsetInitialFichierTraite,1)</f>
        <v>'149</v>
      </c>
      <c r="M306" s="11">
        <f ca="1">INDEX(INDIRECT(zoneFichierTraite),$J306+offsetInitialFichierTraite,9)</f>
        <v>23.7</v>
      </c>
      <c r="N306" s="14">
        <f ca="1">INDEX(INDIRECT(zoneFichierTraite),$J306+offsetInitialFichierTraite,3)</f>
        <v>8050846091122</v>
      </c>
      <c r="O306" s="1">
        <f ca="1">MATCH(N306,INDIRECT(nomFichierEAN13Valmag &amp; "!A:A"),0)</f>
        <v>790</v>
      </c>
      <c r="P306" s="1">
        <f ca="1">MATCH(R306,INDIRECT(nomFichierEAN13Valmag &amp; "!A:A"),0)</f>
        <v>790</v>
      </c>
      <c r="Q306" s="1">
        <f ca="1">MATCH(LEFT(B306,14) &amp; "*",INDIRECT(nomFichierEAN13Valmag &amp; "!B:B"),0)</f>
        <v>790</v>
      </c>
      <c r="R306" s="14">
        <f ca="1">IFERROR(INDEX(INDIRECT(zoneFichierEAN13Valmag),Q306,1),"")</f>
        <v>8050846091122</v>
      </c>
      <c r="S306" s="1">
        <f ca="1">MATCH(B306,INDIRECT(nomFichierFiltreCatalogue &amp; "!B:B"),0)</f>
        <v>409</v>
      </c>
      <c r="T306" s="14"/>
    </row>
    <row r="307" spans="1:20" s="20" customFormat="1" ht="15.75" customHeight="1" x14ac:dyDescent="0.25">
      <c r="A307" s="25">
        <f ca="1">INDEX(INDIRECT(zoneFichierTraite),$J306+offsetInitialFichierTraite,2)</f>
        <v>206</v>
      </c>
      <c r="B307" s="45" t="str">
        <f ca="1">IF(C307="", IFERROR(INDEX(INDIRECT(zoneFichierEAN13Valmag),$P306,3),""), "")</f>
        <v/>
      </c>
      <c r="C307" s="44" t="str">
        <f ca="1">IFERROR(INDEX(INDIRECT(zoneFichierEAN13Valmag),$O306,3),"")</f>
        <v xml:space="preserve"> </v>
      </c>
      <c r="D307" s="19" t="str">
        <f ca="1">IFERROR(INDEX(INDIRECT(zoneFichierEAN13Valmag),$O306,4),"")</f>
        <v xml:space="preserve"> </v>
      </c>
      <c r="E307" s="33" t="str">
        <f ca="1">IFERROR(INDEX(INDIRECT(zoneFichierFiltreCatalogue),S306,3),"")</f>
        <v>p094-2-01</v>
      </c>
      <c r="F307" s="19"/>
      <c r="G307" s="18"/>
      <c r="H307" s="34" t="str">
        <f ca="1">IFERROR(INDEX(INDIRECT(zoneFichierFiltreCatalogue),S306,6),"")</f>
        <v>fall 2019 presentation_/catalogo fall 19.txt</v>
      </c>
      <c r="R307" s="21"/>
      <c r="S307" s="21"/>
    </row>
    <row r="308" spans="1:20" ht="39" customHeight="1" thickBot="1" x14ac:dyDescent="0.65">
      <c r="A308" s="9" t="str">
        <f ca="1">INDEX(INDIRECT(zoneFichierTraite),$J308+offsetInitialFichierTraite,6)</f>
        <v>UNICA</v>
      </c>
      <c r="B308" s="5" t="str">
        <f ca="1">INDEX(INDIRECT(zoneFichierTraite),$J308+offsetInitialFichierTraite,4)</f>
        <v>OBAGT001-FAS09-067</v>
      </c>
      <c r="C308" s="26" t="str">
        <f ca="1">INDEX(INDIRECT(zoneFichierTraite),$J308+offsetInitialFichierTraite,5)</f>
        <v>REVERS O BAG EN FAUSSE FOURRURE LAPIN REX</v>
      </c>
      <c r="D308" s="27" t="str">
        <f ca="1">INDEX(INDIRECT(zoneFichierTraite),$J308+offsetInitialFichierTraite,13)</f>
        <v>phard</v>
      </c>
      <c r="E308" s="30">
        <f ca="1">INDEX(INDIRECT(zoneFichierTraite),$J308+offsetInitialFichierTraite,7)</f>
        <v>2</v>
      </c>
      <c r="F308" s="28">
        <f ca="1">INDEX(INDIRECT(zoneFichierTraite),$J308+offsetInitialFichierTraite,8)</f>
        <v>18.48</v>
      </c>
      <c r="G308" s="29">
        <f t="shared" ref="G308:G371" ca="1" si="137">ROUNDUP(F308*3,0)</f>
        <v>56</v>
      </c>
      <c r="H308" s="32" t="str">
        <f ca="1">IF(ISNUMBER(N308),codeEAN13(INT(N308/10)),"")</f>
        <v>8APAPNI*fjadga+</v>
      </c>
      <c r="J308" s="15">
        <f t="shared" si="116"/>
        <v>150</v>
      </c>
      <c r="L308" s="5" t="str">
        <f ca="1">INDEX(INDIRECT(zoneFichierTraite),$J308+offsetInitialFichierTraite,1)</f>
        <v>'150</v>
      </c>
      <c r="M308" s="11">
        <f ca="1">INDEX(INDIRECT(zoneFichierTraite),$J308+offsetInitialFichierTraite,9)</f>
        <v>36.96</v>
      </c>
      <c r="N308" s="14">
        <f ca="1">INDEX(INDIRECT(zoneFichierTraite),$J308+offsetInitialFichierTraite,3)</f>
        <v>8050538590360</v>
      </c>
      <c r="O308" s="1">
        <f ca="1">MATCH(N308,INDIRECT(nomFichierEAN13Valmag &amp; "!A:A"),0)</f>
        <v>46</v>
      </c>
      <c r="P308" s="1">
        <f ca="1">MATCH(R308,INDIRECT(nomFichierEAN13Valmag &amp; "!A:A"),0)</f>
        <v>46</v>
      </c>
      <c r="Q308" s="1">
        <f ca="1">MATCH(LEFT(B308,14) &amp; "*",INDIRECT(nomFichierEAN13Valmag &amp; "!B:B"),0)</f>
        <v>46</v>
      </c>
      <c r="R308" s="14">
        <f ca="1">IFERROR(INDEX(INDIRECT(zoneFichierEAN13Valmag),Q308,1),"")</f>
        <v>8050538590360</v>
      </c>
      <c r="S308" s="1">
        <f ca="1">MATCH(B308,INDIRECT(nomFichierFiltreCatalogue &amp; "!B:B"),0)</f>
        <v>264</v>
      </c>
      <c r="T308" s="14"/>
    </row>
    <row r="309" spans="1:20" s="20" customFormat="1" ht="15.75" customHeight="1" x14ac:dyDescent="0.25">
      <c r="A309" s="25">
        <f ca="1">INDEX(INDIRECT(zoneFichierTraite),$J308+offsetInitialFichierTraite,2)</f>
        <v>199</v>
      </c>
      <c r="B309" s="45" t="str">
        <f ca="1">IF(C309="", IFERROR(INDEX(INDIRECT(zoneFichierEAN13Valmag),$P308,3),""), "")</f>
        <v/>
      </c>
      <c r="C309" s="44" t="str">
        <f ca="1">IFERROR(INDEX(INDIRECT(zoneFichierEAN13Valmag),$O308,3),"")</f>
        <v xml:space="preserve">ECOFOURRURE     </v>
      </c>
      <c r="D309" s="19" t="str">
        <f ca="1">IFERROR(INDEX(INDIRECT(zoneFichierEAN13Valmag),$O308,4),"")</f>
        <v>LAPHA</v>
      </c>
      <c r="E309" s="33" t="str">
        <f ca="1">IFERROR(INDEX(INDIRECT(zoneFichierFiltreCatalogue),S308,3),"")</f>
        <v>p053-1-04</v>
      </c>
      <c r="F309" s="19"/>
      <c r="G309" s="18"/>
      <c r="H309" s="34" t="str">
        <f ca="1">IFERROR(INDEX(INDIRECT(zoneFichierFiltreCatalogue),S308,6),"")</f>
        <v>fall 2019 presentation_/catalogo fall 19.txt</v>
      </c>
      <c r="R309" s="21"/>
      <c r="S309" s="21"/>
    </row>
    <row r="310" spans="1:20" ht="39" customHeight="1" thickBot="1" x14ac:dyDescent="0.65">
      <c r="A310" s="9" t="str">
        <f ca="1">INDEX(INDIRECT(zoneFichierTraite),$J310+offsetInitialFichierTraite,6)</f>
        <v>UNICA</v>
      </c>
      <c r="B310" s="5" t="str">
        <f ca="1">INDEX(INDIRECT(zoneFichierTraite),$J310+offsetInitialFichierTraite,4)</f>
        <v>OBAGT001-FAS09-615</v>
      </c>
      <c r="C310" s="26" t="str">
        <f ca="1">INDEX(INDIRECT(zoneFichierTraite),$J310+offsetInitialFichierTraite,5)</f>
        <v>REVERS O BAG EN FAUSSE FOURRURE LAPIN REX</v>
      </c>
      <c r="D310" s="27" t="str">
        <f ca="1">INDEX(INDIRECT(zoneFichierTraite),$J310+offsetInitialFichierTraite,13)</f>
        <v>military</v>
      </c>
      <c r="E310" s="30">
        <f ca="1">INDEX(INDIRECT(zoneFichierTraite),$J310+offsetInitialFichierTraite,7)</f>
        <v>2</v>
      </c>
      <c r="F310" s="28">
        <f ca="1">INDEX(INDIRECT(zoneFichierTraite),$J310+offsetInitialFichierTraite,8)</f>
        <v>18.48</v>
      </c>
      <c r="G310" s="29">
        <f t="shared" ref="G310:G373" ca="1" si="138">ROUNDUP(F310*3,0)</f>
        <v>56</v>
      </c>
      <c r="H310" s="32" t="str">
        <f ca="1">IF(ISNUMBER(N310),codeEAN13(INT(N310/10)),"")</f>
        <v>8APASOG*aijjfc+</v>
      </c>
      <c r="J310" s="15">
        <f t="shared" si="116"/>
        <v>151</v>
      </c>
      <c r="L310" s="5" t="str">
        <f ca="1">INDEX(INDIRECT(zoneFichierTraite),$J310+offsetInitialFichierTraite,1)</f>
        <v>'151</v>
      </c>
      <c r="M310" s="11">
        <f ca="1">INDEX(INDIRECT(zoneFichierTraite),$J310+offsetInitialFichierTraite,9)</f>
        <v>36.96</v>
      </c>
      <c r="N310" s="14">
        <f ca="1">INDEX(INDIRECT(zoneFichierTraite),$J310+offsetInitialFichierTraite,3)</f>
        <v>8050846089952</v>
      </c>
      <c r="O310" s="1">
        <f ca="1">MATCH(N310,INDIRECT(nomFichierEAN13Valmag &amp; "!A:A"),0)</f>
        <v>680</v>
      </c>
      <c r="P310" s="1">
        <f ca="1">MATCH(R310,INDIRECT(nomFichierEAN13Valmag &amp; "!A:A"),0)</f>
        <v>46</v>
      </c>
      <c r="Q310" s="1">
        <f ca="1">MATCH(LEFT(B310,14) &amp; "*",INDIRECT(nomFichierEAN13Valmag &amp; "!B:B"),0)</f>
        <v>46</v>
      </c>
      <c r="R310" s="14">
        <f ca="1">IFERROR(INDEX(INDIRECT(zoneFichierEAN13Valmag),Q310,1),"")</f>
        <v>8050538590360</v>
      </c>
      <c r="S310" s="1">
        <f ca="1">MATCH(B310,INDIRECT(nomFichierFiltreCatalogue &amp; "!B:B"),0)</f>
        <v>268</v>
      </c>
      <c r="T310" s="14"/>
    </row>
    <row r="311" spans="1:20" s="20" customFormat="1" ht="15.75" customHeight="1" x14ac:dyDescent="0.25">
      <c r="A311" s="25">
        <f ca="1">INDEX(INDIRECT(zoneFichierTraite),$J310+offsetInitialFichierTraite,2)</f>
        <v>31</v>
      </c>
      <c r="B311" s="45" t="str">
        <f ca="1">IF(C311="", IFERROR(INDEX(INDIRECT(zoneFichierEAN13Valmag),$P310,3),""), "")</f>
        <v/>
      </c>
      <c r="C311" s="44" t="str">
        <f ca="1">IFERROR(INDEX(INDIRECT(zoneFichierEAN13Valmag),$O310,3),"")</f>
        <v xml:space="preserve"> </v>
      </c>
      <c r="D311" s="19" t="str">
        <f ca="1">IFERROR(INDEX(INDIRECT(zoneFichierEAN13Valmag),$O310,4),"")</f>
        <v xml:space="preserve"> </v>
      </c>
      <c r="E311" s="33" t="str">
        <f ca="1">IFERROR(INDEX(INDIRECT(zoneFichierFiltreCatalogue),S310,3),"")</f>
        <v>p053-1-08</v>
      </c>
      <c r="F311" s="19"/>
      <c r="G311" s="18"/>
      <c r="H311" s="34" t="str">
        <f ca="1">IFERROR(INDEX(INDIRECT(zoneFichierFiltreCatalogue),S310,6),"")</f>
        <v>fall 2019 presentation_/catalogo fall 19.txt</v>
      </c>
      <c r="R311" s="21"/>
      <c r="S311" s="21"/>
    </row>
    <row r="312" spans="1:20" ht="39" customHeight="1" thickBot="1" x14ac:dyDescent="0.65">
      <c r="A312" s="9" t="str">
        <f ca="1">INDEX(INDIRECT(zoneFichierTraite),$J312+offsetInitialFichierTraite,6)</f>
        <v>UNICA</v>
      </c>
      <c r="B312" s="5" t="str">
        <f ca="1">INDEX(INDIRECT(zoneFichierTraite),$J312+offsetInitialFichierTraite,4)</f>
        <v>OBAGT001-FAS58-078</v>
      </c>
      <c r="C312" s="26" t="str">
        <f ca="1">INDEX(INDIRECT(zoneFichierTraite),$J312+offsetInitialFichierTraite,5)</f>
        <v>REVERS O BAG EN FAUSSE FOURRURE CASTOR</v>
      </c>
      <c r="D312" s="27" t="str">
        <f ca="1">INDEX(INDIRECT(zoneFichierTraite),$J312+offsetInitialFichierTraite,13)</f>
        <v>sabbia</v>
      </c>
      <c r="E312" s="30">
        <f ca="1">INDEX(INDIRECT(zoneFichierTraite),$J312+offsetInitialFichierTraite,7)</f>
        <v>2</v>
      </c>
      <c r="F312" s="28">
        <f ca="1">INDEX(INDIRECT(zoneFichierTraite),$J312+offsetInitialFichierTraite,8)</f>
        <v>24.07</v>
      </c>
      <c r="G312" s="29">
        <f t="shared" ref="G312:G375" ca="1" si="139">ROUNDUP(F312*3,0)</f>
        <v>73</v>
      </c>
      <c r="H312" s="32" t="str">
        <f ca="1">IF(ISNUMBER(N312),codeEAN13(INT(N312/10)),"")</f>
        <v>8APASOG*aijjah+</v>
      </c>
      <c r="J312" s="15">
        <f t="shared" si="116"/>
        <v>152</v>
      </c>
      <c r="L312" s="5" t="str">
        <f ca="1">INDEX(INDIRECT(zoneFichierTraite),$J312+offsetInitialFichierTraite,1)</f>
        <v>'152</v>
      </c>
      <c r="M312" s="11">
        <f ca="1">INDEX(INDIRECT(zoneFichierTraite),$J312+offsetInitialFichierTraite,9)</f>
        <v>48.14</v>
      </c>
      <c r="N312" s="14">
        <f ca="1">INDEX(INDIRECT(zoneFichierTraite),$J312+offsetInitialFichierTraite,3)</f>
        <v>8050846089907</v>
      </c>
      <c r="O312" s="1">
        <f ca="1">MATCH(N312,INDIRECT(nomFichierEAN13Valmag &amp; "!A:A"),0)</f>
        <v>675</v>
      </c>
      <c r="P312" s="1">
        <f ca="1">MATCH(R312,INDIRECT(nomFichierEAN13Valmag &amp; "!A:A"),0)</f>
        <v>675</v>
      </c>
      <c r="Q312" s="1">
        <f ca="1">MATCH(LEFT(B312,14) &amp; "*",INDIRECT(nomFichierEAN13Valmag &amp; "!B:B"),0)</f>
        <v>675</v>
      </c>
      <c r="R312" s="14">
        <f ca="1">IFERROR(INDEX(INDIRECT(zoneFichierEAN13Valmag),Q312,1),"")</f>
        <v>8050846089907</v>
      </c>
      <c r="S312" s="1">
        <f ca="1">MATCH(B312,INDIRECT(nomFichierFiltreCatalogue &amp; "!B:B"),0)</f>
        <v>276</v>
      </c>
      <c r="T312" s="14"/>
    </row>
    <row r="313" spans="1:20" s="20" customFormat="1" ht="15.75" customHeight="1" x14ac:dyDescent="0.25">
      <c r="A313" s="25">
        <f ca="1">INDEX(INDIRECT(zoneFichierTraite),$J312+offsetInitialFichierTraite,2)</f>
        <v>45</v>
      </c>
      <c r="B313" s="45" t="str">
        <f ca="1">IF(C313="", IFERROR(INDEX(INDIRECT(zoneFichierEAN13Valmag),$P312,3),""), "")</f>
        <v/>
      </c>
      <c r="C313" s="44" t="str">
        <f ca="1">IFERROR(INDEX(INDIRECT(zoneFichierEAN13Valmag),$O312,3),"")</f>
        <v xml:space="preserve"> </v>
      </c>
      <c r="D313" s="19" t="str">
        <f ca="1">IFERROR(INDEX(INDIRECT(zoneFichierEAN13Valmag),$O312,4),"")</f>
        <v xml:space="preserve"> </v>
      </c>
      <c r="E313" s="33" t="str">
        <f ca="1">IFERROR(INDEX(INDIRECT(zoneFichierFiltreCatalogue),S312,3),"")</f>
        <v>p056-1-01</v>
      </c>
      <c r="F313" s="19"/>
      <c r="G313" s="18"/>
      <c r="H313" s="34" t="str">
        <f ca="1">IFERROR(INDEX(INDIRECT(zoneFichierFiltreCatalogue),S312,6),"")</f>
        <v>fall 2019 presentation_/catalogo fall 19.txt</v>
      </c>
      <c r="R313" s="21"/>
      <c r="S313" s="21"/>
    </row>
    <row r="314" spans="1:20" ht="39" customHeight="1" thickBot="1" x14ac:dyDescent="0.65">
      <c r="A314" s="9" t="str">
        <f ca="1">INDEX(INDIRECT(zoneFichierTraite),$J314+offsetInitialFichierTraite,6)</f>
        <v>UNICA</v>
      </c>
      <c r="B314" s="5" t="str">
        <f ca="1">INDEX(INDIRECT(zoneFichierTraite),$J314+offsetInitialFichierTraite,4)</f>
        <v>OBAGT001-FAS58-084</v>
      </c>
      <c r="C314" s="26" t="str">
        <f ca="1">INDEX(INDIRECT(zoneFichierTraite),$J314+offsetInitialFichierTraite,5)</f>
        <v>REVERS O BAG EN FAUSSE FOURRURE CASTOR</v>
      </c>
      <c r="D314" s="27" t="str">
        <f ca="1">INDEX(INDIRECT(zoneFichierTraite),$J314+offsetInitialFichierTraite,13)</f>
        <v>testa di moro</v>
      </c>
      <c r="E314" s="30">
        <f ca="1">INDEX(INDIRECT(zoneFichierTraite),$J314+offsetInitialFichierTraite,7)</f>
        <v>2</v>
      </c>
      <c r="F314" s="28">
        <f ca="1">INDEX(INDIRECT(zoneFichierTraite),$J314+offsetInitialFichierTraite,8)</f>
        <v>24.07</v>
      </c>
      <c r="G314" s="29">
        <f t="shared" ref="G314:G377" ca="1" si="140">ROUNDUP(F314*3,0)</f>
        <v>73</v>
      </c>
      <c r="H314" s="32" t="str">
        <f ca="1">IF(ISNUMBER(N314),codeEAN13(INT(N314/10)),"")</f>
        <v>8APASOG*aijjbe+</v>
      </c>
      <c r="J314" s="15">
        <f t="shared" si="116"/>
        <v>153</v>
      </c>
      <c r="L314" s="5" t="str">
        <f ca="1">INDEX(INDIRECT(zoneFichierTraite),$J314+offsetInitialFichierTraite,1)</f>
        <v>'153</v>
      </c>
      <c r="M314" s="11">
        <f ca="1">INDEX(INDIRECT(zoneFichierTraite),$J314+offsetInitialFichierTraite,9)</f>
        <v>48.14</v>
      </c>
      <c r="N314" s="14">
        <f ca="1">INDEX(INDIRECT(zoneFichierTraite),$J314+offsetInitialFichierTraite,3)</f>
        <v>8050846089914</v>
      </c>
      <c r="O314" s="1">
        <f ca="1">MATCH(N314,INDIRECT(nomFichierEAN13Valmag &amp; "!A:A"),0)</f>
        <v>676</v>
      </c>
      <c r="P314" s="1">
        <f ca="1">MATCH(R314,INDIRECT(nomFichierEAN13Valmag &amp; "!A:A"),0)</f>
        <v>675</v>
      </c>
      <c r="Q314" s="1">
        <f ca="1">MATCH(LEFT(B314,14) &amp; "*",INDIRECT(nomFichierEAN13Valmag &amp; "!B:B"),0)</f>
        <v>675</v>
      </c>
      <c r="R314" s="14">
        <f ca="1">IFERROR(INDEX(INDIRECT(zoneFichierEAN13Valmag),Q314,1),"")</f>
        <v>8050846089907</v>
      </c>
      <c r="S314" s="1">
        <f ca="1">MATCH(B314,INDIRECT(nomFichierFiltreCatalogue &amp; "!B:B"),0)</f>
        <v>277</v>
      </c>
      <c r="T314" s="14"/>
    </row>
    <row r="315" spans="1:20" s="20" customFormat="1" ht="15.75" customHeight="1" x14ac:dyDescent="0.25">
      <c r="A315" s="25">
        <f ca="1">INDEX(INDIRECT(zoneFichierTraite),$J314+offsetInitialFichierTraite,2)</f>
        <v>117</v>
      </c>
      <c r="B315" s="45" t="str">
        <f ca="1">IF(C315="", IFERROR(INDEX(INDIRECT(zoneFichierEAN13Valmag),$P314,3),""), "")</f>
        <v/>
      </c>
      <c r="C315" s="44" t="str">
        <f ca="1">IFERROR(INDEX(INDIRECT(zoneFichierEAN13Valmag),$O314,3),"")</f>
        <v xml:space="preserve"> </v>
      </c>
      <c r="D315" s="19" t="str">
        <f ca="1">IFERROR(INDEX(INDIRECT(zoneFichierEAN13Valmag),$O314,4),"")</f>
        <v xml:space="preserve"> </v>
      </c>
      <c r="E315" s="33" t="str">
        <f ca="1">IFERROR(INDEX(INDIRECT(zoneFichierFiltreCatalogue),S314,3),"")</f>
        <v>p056-1-02</v>
      </c>
      <c r="F315" s="19"/>
      <c r="G315" s="18"/>
      <c r="H315" s="34" t="str">
        <f ca="1">IFERROR(INDEX(INDIRECT(zoneFichierFiltreCatalogue),S314,6),"")</f>
        <v>fall 2019 presentation_/catalogo fall 19.txt</v>
      </c>
      <c r="R315" s="21"/>
      <c r="S315" s="21"/>
    </row>
    <row r="316" spans="1:20" ht="39" customHeight="1" thickBot="1" x14ac:dyDescent="0.65">
      <c r="A316" s="9" t="str">
        <f ca="1">INDEX(INDIRECT(zoneFichierTraite),$J316+offsetInitialFichierTraite,6)</f>
        <v>UNICA</v>
      </c>
      <c r="B316" s="5" t="str">
        <f ca="1">INDEX(INDIRECT(zoneFichierTraite),$J316+offsetInitialFichierTraite,4)</f>
        <v>OBAGT001-FAS59-227</v>
      </c>
      <c r="C316" s="26" t="str">
        <f ca="1">INDEX(INDIRECT(zoneFichierTraite),$J316+offsetInitialFichierTraite,5)</f>
        <v>REVERS O BAG EN FAUSSE FOURRURE LAPIN MARBLE</v>
      </c>
      <c r="D316" s="27" t="str">
        <f ca="1">INDEX(INDIRECT(zoneFichierTraite),$J316+offsetInitialFichierTraite,13)</f>
        <v>bianco/nero</v>
      </c>
      <c r="E316" s="30">
        <f ca="1">INDEX(INDIRECT(zoneFichierTraite),$J316+offsetInitialFichierTraite,7)</f>
        <v>2</v>
      </c>
      <c r="F316" s="28">
        <f ca="1">INDEX(INDIRECT(zoneFichierTraite),$J316+offsetInitialFichierTraite,8)</f>
        <v>20.37</v>
      </c>
      <c r="G316" s="29">
        <f t="shared" ref="G316:G379" ca="1" si="141">ROUNDUP(F316*3,0)</f>
        <v>62</v>
      </c>
      <c r="H316" s="32" t="str">
        <f ca="1">IF(ISNUMBER(N316),codeEAN13(INT(N316/10)),"")</f>
        <v>8APASOG*aijjdi+</v>
      </c>
      <c r="J316" s="15">
        <f t="shared" si="116"/>
        <v>154</v>
      </c>
      <c r="L316" s="5" t="str">
        <f ca="1">INDEX(INDIRECT(zoneFichierTraite),$J316+offsetInitialFichierTraite,1)</f>
        <v>'154</v>
      </c>
      <c r="M316" s="11">
        <f ca="1">INDEX(INDIRECT(zoneFichierTraite),$J316+offsetInitialFichierTraite,9)</f>
        <v>40.74</v>
      </c>
      <c r="N316" s="14">
        <f ca="1">INDEX(INDIRECT(zoneFichierTraite),$J316+offsetInitialFichierTraite,3)</f>
        <v>8050846089938</v>
      </c>
      <c r="O316" s="1">
        <f ca="1">MATCH(N316,INDIRECT(nomFichierEAN13Valmag &amp; "!A:A"),0)</f>
        <v>678</v>
      </c>
      <c r="P316" s="1">
        <f ca="1">MATCH(R316,INDIRECT(nomFichierEAN13Valmag &amp; "!A:A"),0)</f>
        <v>678</v>
      </c>
      <c r="Q316" s="1">
        <f ca="1">MATCH(LEFT(B316,14) &amp; "*",INDIRECT(nomFichierEAN13Valmag &amp; "!B:B"),0)</f>
        <v>678</v>
      </c>
      <c r="R316" s="14">
        <f ca="1">IFERROR(INDEX(INDIRECT(zoneFichierEAN13Valmag),Q316,1),"")</f>
        <v>8050846089938</v>
      </c>
      <c r="S316" s="1">
        <f ca="1">MATCH(B316,INDIRECT(nomFichierFiltreCatalogue &amp; "!B:B"),0)</f>
        <v>278</v>
      </c>
      <c r="T316" s="14"/>
    </row>
    <row r="317" spans="1:20" s="20" customFormat="1" ht="15.75" customHeight="1" x14ac:dyDescent="0.25">
      <c r="A317" s="25">
        <f ca="1">INDEX(INDIRECT(zoneFichierTraite),$J316+offsetInitialFichierTraite,2)</f>
        <v>67</v>
      </c>
      <c r="B317" s="45" t="str">
        <f ca="1">IF(C317="", IFERROR(INDEX(INDIRECT(zoneFichierEAN13Valmag),$P316,3),""), "")</f>
        <v/>
      </c>
      <c r="C317" s="44" t="str">
        <f ca="1">IFERROR(INDEX(INDIRECT(zoneFichierEAN13Valmag),$O316,3),"")</f>
        <v xml:space="preserve"> </v>
      </c>
      <c r="D317" s="19" t="str">
        <f ca="1">IFERROR(INDEX(INDIRECT(zoneFichierEAN13Valmag),$O316,4),"")</f>
        <v xml:space="preserve"> </v>
      </c>
      <c r="E317" s="33" t="str">
        <f ca="1">IFERROR(INDEX(INDIRECT(zoneFichierFiltreCatalogue),S316,3),"")</f>
        <v>p056-2-01</v>
      </c>
      <c r="F317" s="19"/>
      <c r="G317" s="18"/>
      <c r="H317" s="34" t="str">
        <f ca="1">IFERROR(INDEX(INDIRECT(zoneFichierFiltreCatalogue),S316,6),"")</f>
        <v>fall 2019 presentation_/catalogo fall 19.txt</v>
      </c>
      <c r="R317" s="21"/>
      <c r="S317" s="21"/>
    </row>
    <row r="318" spans="1:20" ht="39" customHeight="1" thickBot="1" x14ac:dyDescent="0.65">
      <c r="A318" s="9" t="str">
        <f ca="1">INDEX(INDIRECT(zoneFichierTraite),$J318+offsetInitialFichierTraite,6)</f>
        <v>UNICA</v>
      </c>
      <c r="B318" s="5" t="str">
        <f ca="1">INDEX(INDIRECT(zoneFichierTraite),$J318+offsetInitialFichierTraite,4)</f>
        <v>OBAGT001-FAS60-227</v>
      </c>
      <c r="C318" s="26" t="str">
        <f ca="1">INDEX(INDIRECT(zoneFichierTraite),$J318+offsetInitialFichierTraite,5)</f>
        <v>REVERS O BAG EN FAUSSE FOURRURE RENARD MARQUETEE</v>
      </c>
      <c r="D318" s="27" t="str">
        <f ca="1">INDEX(INDIRECT(zoneFichierTraite),$J318+offsetInitialFichierTraite,13)</f>
        <v>bianco/nero</v>
      </c>
      <c r="E318" s="30">
        <f ca="1">INDEX(INDIRECT(zoneFichierTraite),$J318+offsetInitialFichierTraite,7)</f>
        <v>2</v>
      </c>
      <c r="F318" s="28">
        <f ca="1">INDEX(INDIRECT(zoneFichierTraite),$J318+offsetInitialFichierTraite,8)</f>
        <v>27.04</v>
      </c>
      <c r="G318" s="29">
        <f t="shared" ref="G318:G381" ca="1" si="142">ROUNDUP(F318*3,0)</f>
        <v>82</v>
      </c>
      <c r="H318" s="32" t="str">
        <f ca="1">IF(ISNUMBER(N318),codeEAN13(INT(N318/10)),"")</f>
        <v>8APASOG*aijjef+</v>
      </c>
      <c r="J318" s="15">
        <f t="shared" si="116"/>
        <v>155</v>
      </c>
      <c r="L318" s="5" t="str">
        <f ca="1">INDEX(INDIRECT(zoneFichierTraite),$J318+offsetInitialFichierTraite,1)</f>
        <v>'155</v>
      </c>
      <c r="M318" s="11">
        <f ca="1">INDEX(INDIRECT(zoneFichierTraite),$J318+offsetInitialFichierTraite,9)</f>
        <v>54.08</v>
      </c>
      <c r="N318" s="14">
        <f ca="1">INDEX(INDIRECT(zoneFichierTraite),$J318+offsetInitialFichierTraite,3)</f>
        <v>8050846089945</v>
      </c>
      <c r="O318" s="1">
        <f ca="1">MATCH(N318,INDIRECT(nomFichierEAN13Valmag &amp; "!A:A"),0)</f>
        <v>679</v>
      </c>
      <c r="P318" s="1">
        <f ca="1">MATCH(R318,INDIRECT(nomFichierEAN13Valmag &amp; "!A:A"),0)</f>
        <v>679</v>
      </c>
      <c r="Q318" s="1">
        <f ca="1">MATCH(LEFT(B318,14) &amp; "*",INDIRECT(nomFichierEAN13Valmag &amp; "!B:B"),0)</f>
        <v>679</v>
      </c>
      <c r="R318" s="14">
        <f ca="1">IFERROR(INDEX(INDIRECT(zoneFichierEAN13Valmag),Q318,1),"")</f>
        <v>8050846089945</v>
      </c>
      <c r="S318" s="1">
        <f ca="1">MATCH(B318,INDIRECT(nomFichierFiltreCatalogue &amp; "!B:B"),0)</f>
        <v>272</v>
      </c>
      <c r="T318" s="14"/>
    </row>
    <row r="319" spans="1:20" s="20" customFormat="1" ht="15.75" customHeight="1" x14ac:dyDescent="0.25">
      <c r="A319" s="25">
        <f ca="1">INDEX(INDIRECT(zoneFichierTraite),$J318+offsetInitialFichierTraite,2)</f>
        <v>186</v>
      </c>
      <c r="B319" s="45" t="str">
        <f ca="1">IF(C319="", IFERROR(INDEX(INDIRECT(zoneFichierEAN13Valmag),$P318,3),""), "")</f>
        <v/>
      </c>
      <c r="C319" s="44" t="str">
        <f ca="1">IFERROR(INDEX(INDIRECT(zoneFichierEAN13Valmag),$O318,3),"")</f>
        <v xml:space="preserve"> </v>
      </c>
      <c r="D319" s="19" t="str">
        <f ca="1">IFERROR(INDEX(INDIRECT(zoneFichierEAN13Valmag),$O318,4),"")</f>
        <v xml:space="preserve"> </v>
      </c>
      <c r="E319" s="33" t="str">
        <f ca="1">IFERROR(INDEX(INDIRECT(zoneFichierFiltreCatalogue),S318,3),"")</f>
        <v>p054-2-01</v>
      </c>
      <c r="F319" s="19"/>
      <c r="G319" s="18"/>
      <c r="H319" s="34" t="str">
        <f ca="1">IFERROR(INDEX(INDIRECT(zoneFichierFiltreCatalogue),S318,6),"")</f>
        <v>fall 2019 presentation_/catalogo fall 19.txt</v>
      </c>
      <c r="R319" s="21"/>
      <c r="S319" s="21"/>
    </row>
    <row r="320" spans="1:20" ht="39" customHeight="1" thickBot="1" x14ac:dyDescent="0.65">
      <c r="A320" s="9" t="str">
        <f ca="1">INDEX(INDIRECT(zoneFichierTraite),$J320+offsetInitialFichierTraite,6)</f>
        <v>UNICA</v>
      </c>
      <c r="B320" s="5" t="str">
        <f ca="1">INDEX(INDIRECT(zoneFichierTraite),$J320+offsetInitialFichierTraite,4)</f>
        <v>OBAGT001-LAS44-017</v>
      </c>
      <c r="C320" s="26" t="str">
        <f ca="1">INDEX(INDIRECT(zoneFichierTraite),$J320+offsetInitialFichierTraite,5)</f>
        <v>REVERS O BAG EN LAINE HANOVRE</v>
      </c>
      <c r="D320" s="27" t="str">
        <f ca="1">INDEX(INDIRECT(zoneFichierTraite),$J320+offsetInitialFichierTraite,13)</f>
        <v>blu navy</v>
      </c>
      <c r="E320" s="30">
        <f ca="1">INDEX(INDIRECT(zoneFichierTraite),$J320+offsetInitialFichierTraite,7)</f>
        <v>2</v>
      </c>
      <c r="F320" s="28">
        <f ca="1">INDEX(INDIRECT(zoneFichierTraite),$J320+offsetInitialFichierTraite,8)</f>
        <v>10.74</v>
      </c>
      <c r="G320" s="29">
        <f t="shared" ref="G320:G383" ca="1" si="143">ROUNDUP(F320*3,0)</f>
        <v>33</v>
      </c>
      <c r="H320" s="32" t="str">
        <f ca="1">IF(ISNUMBER(N320),codeEAN13(INT(N320/10)),"")</f>
        <v>8APASOG*aijihh+</v>
      </c>
      <c r="J320" s="15">
        <f t="shared" si="116"/>
        <v>156</v>
      </c>
      <c r="L320" s="5" t="str">
        <f ca="1">INDEX(INDIRECT(zoneFichierTraite),$J320+offsetInitialFichierTraite,1)</f>
        <v>'156</v>
      </c>
      <c r="M320" s="11">
        <f ca="1">INDEX(INDIRECT(zoneFichierTraite),$J320+offsetInitialFichierTraite,9)</f>
        <v>21.48</v>
      </c>
      <c r="N320" s="14">
        <f ca="1">INDEX(INDIRECT(zoneFichierTraite),$J320+offsetInitialFichierTraite,3)</f>
        <v>8050846089877</v>
      </c>
      <c r="O320" s="1">
        <f ca="1">MATCH(N320,INDIRECT(nomFichierEAN13Valmag &amp; "!A:A"),0)</f>
        <v>672</v>
      </c>
      <c r="P320" s="1">
        <f ca="1">MATCH(R320,INDIRECT(nomFichierEAN13Valmag &amp; "!A:A"),0)</f>
        <v>672</v>
      </c>
      <c r="Q320" s="1">
        <f ca="1">MATCH(LEFT(B320,14) &amp; "*",INDIRECT(nomFichierEAN13Valmag &amp; "!B:B"),0)</f>
        <v>672</v>
      </c>
      <c r="R320" s="14">
        <f ca="1">IFERROR(INDEX(INDIRECT(zoneFichierEAN13Valmag),Q320,1),"")</f>
        <v>8050846089877</v>
      </c>
      <c r="S320" s="1">
        <f ca="1">MATCH(B320,INDIRECT(nomFichierFiltreCatalogue &amp; "!B:B"),0)</f>
        <v>289</v>
      </c>
      <c r="T320" s="14"/>
    </row>
    <row r="321" spans="1:20" s="20" customFormat="1" ht="15.75" customHeight="1" x14ac:dyDescent="0.25">
      <c r="A321" s="25">
        <f ca="1">INDEX(INDIRECT(zoneFichierTraite),$J320+offsetInitialFichierTraite,2)</f>
        <v>219</v>
      </c>
      <c r="B321" s="45" t="str">
        <f ca="1">IF(C321="", IFERROR(INDEX(INDIRECT(zoneFichierEAN13Valmag),$P320,3),""), "")</f>
        <v/>
      </c>
      <c r="C321" s="44" t="str">
        <f ca="1">IFERROR(INDEX(INDIRECT(zoneFichierEAN13Valmag),$O320,3),"")</f>
        <v xml:space="preserve"> </v>
      </c>
      <c r="D321" s="19" t="str">
        <f ca="1">IFERROR(INDEX(INDIRECT(zoneFichierEAN13Valmag),$O320,4),"")</f>
        <v xml:space="preserve"> </v>
      </c>
      <c r="E321" s="33" t="str">
        <f ca="1">IFERROR(INDEX(INDIRECT(zoneFichierFiltreCatalogue),S320,3),"")</f>
        <v>p059-1-01</v>
      </c>
      <c r="F321" s="19"/>
      <c r="G321" s="18"/>
      <c r="H321" s="34" t="str">
        <f ca="1">IFERROR(INDEX(INDIRECT(zoneFichierFiltreCatalogue),S320,6),"")</f>
        <v>fall 2019 presentation_/catalogo fall 19.txt</v>
      </c>
      <c r="R321" s="21"/>
      <c r="S321" s="21"/>
    </row>
    <row r="322" spans="1:20" ht="39" customHeight="1" thickBot="1" x14ac:dyDescent="0.65">
      <c r="A322" s="9" t="str">
        <f ca="1">INDEX(INDIRECT(zoneFichierTraite),$J322+offsetInitialFichierTraite,6)</f>
        <v>UNICA</v>
      </c>
      <c r="B322" s="5" t="str">
        <f ca="1">INDEX(INDIRECT(zoneFichierTraite),$J322+offsetInitialFichierTraite,4)</f>
        <v>OBAGT001-LAS44-078</v>
      </c>
      <c r="C322" s="26" t="str">
        <f ca="1">INDEX(INDIRECT(zoneFichierTraite),$J322+offsetInitialFichierTraite,5)</f>
        <v>REVERS O BAG EN LAINE HANOVRE</v>
      </c>
      <c r="D322" s="27" t="str">
        <f ca="1">INDEX(INDIRECT(zoneFichierTraite),$J322+offsetInitialFichierTraite,13)</f>
        <v>sabbia</v>
      </c>
      <c r="E322" s="30">
        <f ca="1">INDEX(INDIRECT(zoneFichierTraite),$J322+offsetInitialFichierTraite,7)</f>
        <v>2</v>
      </c>
      <c r="F322" s="28">
        <f ca="1">INDEX(INDIRECT(zoneFichierTraite),$J322+offsetInitialFichierTraite,8)</f>
        <v>10.74</v>
      </c>
      <c r="G322" s="29">
        <f t="shared" ref="G322:G385" ca="1" si="144">ROUNDUP(F322*3,0)</f>
        <v>33</v>
      </c>
      <c r="H322" s="32" t="str">
        <f ca="1">IF(ISNUMBER(N322),codeEAN13(INT(N322/10)),"")</f>
        <v>8APASOG*aijijb+</v>
      </c>
      <c r="J322" s="15">
        <f t="shared" si="116"/>
        <v>157</v>
      </c>
      <c r="L322" s="5" t="str">
        <f ca="1">INDEX(INDIRECT(zoneFichierTraite),$J322+offsetInitialFichierTraite,1)</f>
        <v>'157</v>
      </c>
      <c r="M322" s="11">
        <f ca="1">INDEX(INDIRECT(zoneFichierTraite),$J322+offsetInitialFichierTraite,9)</f>
        <v>21.48</v>
      </c>
      <c r="N322" s="14">
        <f ca="1">INDEX(INDIRECT(zoneFichierTraite),$J322+offsetInitialFichierTraite,3)</f>
        <v>8050846089891</v>
      </c>
      <c r="O322" s="1">
        <f ca="1">MATCH(N322,INDIRECT(nomFichierEAN13Valmag &amp; "!A:A"),0)</f>
        <v>674</v>
      </c>
      <c r="P322" s="1">
        <f ca="1">MATCH(R322,INDIRECT(nomFichierEAN13Valmag &amp; "!A:A"),0)</f>
        <v>672</v>
      </c>
      <c r="Q322" s="1">
        <f ca="1">MATCH(LEFT(B322,14) &amp; "*",INDIRECT(nomFichierEAN13Valmag &amp; "!B:B"),0)</f>
        <v>672</v>
      </c>
      <c r="R322" s="14">
        <f ca="1">IFERROR(INDEX(INDIRECT(zoneFichierEAN13Valmag),Q322,1),"")</f>
        <v>8050846089877</v>
      </c>
      <c r="S322" s="1">
        <f ca="1">MATCH(B322,INDIRECT(nomFichierFiltreCatalogue &amp; "!B:B"),0)</f>
        <v>290</v>
      </c>
      <c r="T322" s="14"/>
    </row>
    <row r="323" spans="1:20" s="20" customFormat="1" ht="15.75" customHeight="1" x14ac:dyDescent="0.25">
      <c r="A323" s="25">
        <f ca="1">INDEX(INDIRECT(zoneFichierTraite),$J322+offsetInitialFichierTraite,2)</f>
        <v>86</v>
      </c>
      <c r="B323" s="45" t="str">
        <f ca="1">IF(C323="", IFERROR(INDEX(INDIRECT(zoneFichierEAN13Valmag),$P322,3),""), "")</f>
        <v/>
      </c>
      <c r="C323" s="44" t="str">
        <f ca="1">IFERROR(INDEX(INDIRECT(zoneFichierEAN13Valmag),$O322,3),"")</f>
        <v xml:space="preserve"> </v>
      </c>
      <c r="D323" s="19" t="str">
        <f ca="1">IFERROR(INDEX(INDIRECT(zoneFichierEAN13Valmag),$O322,4),"")</f>
        <v xml:space="preserve"> </v>
      </c>
      <c r="E323" s="33" t="str">
        <f ca="1">IFERROR(INDEX(INDIRECT(zoneFichierFiltreCatalogue),S322,3),"")</f>
        <v>p059-1-02</v>
      </c>
      <c r="F323" s="19"/>
      <c r="G323" s="18"/>
      <c r="H323" s="34" t="str">
        <f ca="1">IFERROR(INDEX(INDIRECT(zoneFichierFiltreCatalogue),S322,6),"")</f>
        <v>fall 2019 presentation_/catalogo fall 19.txt</v>
      </c>
      <c r="R323" s="21"/>
      <c r="S323" s="21"/>
    </row>
    <row r="324" spans="1:20" ht="39" customHeight="1" thickBot="1" x14ac:dyDescent="0.65">
      <c r="A324" s="9" t="str">
        <f ca="1">INDEX(INDIRECT(zoneFichierTraite),$J324+offsetInitialFichierTraite,6)</f>
        <v>UNICA</v>
      </c>
      <c r="B324" s="5" t="str">
        <f ca="1">INDEX(INDIRECT(zoneFichierTraite),$J324+offsetInitialFichierTraite,4)</f>
        <v>OBAGT001-LAS44-615</v>
      </c>
      <c r="C324" s="26" t="str">
        <f ca="1">INDEX(INDIRECT(zoneFichierTraite),$J324+offsetInitialFichierTraite,5)</f>
        <v>REVERS O BAG EN LAINE HANOVRE</v>
      </c>
      <c r="D324" s="27" t="str">
        <f ca="1">INDEX(INDIRECT(zoneFichierTraite),$J324+offsetInitialFichierTraite,13)</f>
        <v>military</v>
      </c>
      <c r="E324" s="30">
        <f ca="1">INDEX(INDIRECT(zoneFichierTraite),$J324+offsetInitialFichierTraite,7)</f>
        <v>2</v>
      </c>
      <c r="F324" s="28">
        <f ca="1">INDEX(INDIRECT(zoneFichierTraite),$J324+offsetInitialFichierTraite,8)</f>
        <v>10.74</v>
      </c>
      <c r="G324" s="29">
        <f t="shared" ref="G324:G387" ca="1" si="145">ROUNDUP(F324*3,0)</f>
        <v>33</v>
      </c>
      <c r="H324" s="32" t="str">
        <f ca="1">IF(ISNUMBER(N324),codeEAN13(INT(N324/10)),"")</f>
        <v>8APASOG*aijiie+</v>
      </c>
      <c r="J324" s="15">
        <f t="shared" si="116"/>
        <v>158</v>
      </c>
      <c r="L324" s="5" t="str">
        <f ca="1">INDEX(INDIRECT(zoneFichierTraite),$J324+offsetInitialFichierTraite,1)</f>
        <v>'158</v>
      </c>
      <c r="M324" s="11">
        <f ca="1">INDEX(INDIRECT(zoneFichierTraite),$J324+offsetInitialFichierTraite,9)</f>
        <v>21.48</v>
      </c>
      <c r="N324" s="14">
        <f ca="1">INDEX(INDIRECT(zoneFichierTraite),$J324+offsetInitialFichierTraite,3)</f>
        <v>8050846089884</v>
      </c>
      <c r="O324" s="1">
        <f ca="1">MATCH(N324,INDIRECT(nomFichierEAN13Valmag &amp; "!A:A"),0)</f>
        <v>673</v>
      </c>
      <c r="P324" s="1">
        <f ca="1">MATCH(R324,INDIRECT(nomFichierEAN13Valmag &amp; "!A:A"),0)</f>
        <v>672</v>
      </c>
      <c r="Q324" s="1">
        <f ca="1">MATCH(LEFT(B324,14) &amp; "*",INDIRECT(nomFichierEAN13Valmag &amp; "!B:B"),0)</f>
        <v>672</v>
      </c>
      <c r="R324" s="14">
        <f ca="1">IFERROR(INDEX(INDIRECT(zoneFichierEAN13Valmag),Q324,1),"")</f>
        <v>8050846089877</v>
      </c>
      <c r="S324" s="1">
        <f ca="1">MATCH(B324,INDIRECT(nomFichierFiltreCatalogue &amp; "!B:B"),0)</f>
        <v>291</v>
      </c>
      <c r="T324" s="14"/>
    </row>
    <row r="325" spans="1:20" s="20" customFormat="1" ht="15.75" customHeight="1" x14ac:dyDescent="0.25">
      <c r="A325" s="25">
        <f ca="1">INDEX(INDIRECT(zoneFichierTraite),$J324+offsetInitialFichierTraite,2)</f>
        <v>204</v>
      </c>
      <c r="B325" s="45" t="str">
        <f ca="1">IF(C325="", IFERROR(INDEX(INDIRECT(zoneFichierEAN13Valmag),$P324,3),""), "")</f>
        <v/>
      </c>
      <c r="C325" s="44" t="str">
        <f ca="1">IFERROR(INDEX(INDIRECT(zoneFichierEAN13Valmag),$O324,3),"")</f>
        <v xml:space="preserve"> </v>
      </c>
      <c r="D325" s="19" t="str">
        <f ca="1">IFERROR(INDEX(INDIRECT(zoneFichierEAN13Valmag),$O324,4),"")</f>
        <v xml:space="preserve"> </v>
      </c>
      <c r="E325" s="33" t="str">
        <f ca="1">IFERROR(INDEX(INDIRECT(zoneFichierFiltreCatalogue),S324,3),"")</f>
        <v>p059-1-03</v>
      </c>
      <c r="F325" s="19"/>
      <c r="G325" s="18"/>
      <c r="H325" s="34" t="str">
        <f ca="1">IFERROR(INDEX(INDIRECT(zoneFichierFiltreCatalogue),S324,6),"")</f>
        <v>fall 2019 presentation_/catalogo fall 19.txt</v>
      </c>
      <c r="R325" s="21"/>
      <c r="S325" s="21"/>
    </row>
    <row r="326" spans="1:20" ht="39" customHeight="1" thickBot="1" x14ac:dyDescent="0.65">
      <c r="A326" s="9" t="str">
        <f ca="1">INDEX(INDIRECT(zoneFichierTraite),$J326+offsetInitialFichierTraite,6)</f>
        <v>UNICA</v>
      </c>
      <c r="B326" s="5" t="str">
        <f ca="1">INDEX(INDIRECT(zoneFichierTraite),$J326+offsetInitialFichierTraite,4)</f>
        <v>OBAGT001-LAS47-227</v>
      </c>
      <c r="C326" s="26" t="str">
        <f ca="1">INDEX(INDIRECT(zoneFichierTraite),$J326+offsetInitialFichierTraite,5)</f>
        <v>REVERS O BAG EN LAINE HELSINKI</v>
      </c>
      <c r="D326" s="27" t="str">
        <f ca="1">INDEX(INDIRECT(zoneFichierTraite),$J326+offsetInitialFichierTraite,13)</f>
        <v>bianco/nero</v>
      </c>
      <c r="E326" s="30">
        <f ca="1">INDEX(INDIRECT(zoneFichierTraite),$J326+offsetInitialFichierTraite,7)</f>
        <v>2</v>
      </c>
      <c r="F326" s="28">
        <f ca="1">INDEX(INDIRECT(zoneFichierTraite),$J326+offsetInitialFichierTraite,8)</f>
        <v>11.85</v>
      </c>
      <c r="G326" s="29">
        <f t="shared" ref="G326:G389" ca="1" si="146">ROUNDUP(F326*3,0)</f>
        <v>36</v>
      </c>
      <c r="H326" s="32" t="str">
        <f ca="1">IF(ISNUMBER(N326),codeEAN13(INT(N326/10)),"")</f>
        <v>8APASOG*aijiga+</v>
      </c>
      <c r="J326" s="15">
        <f t="shared" si="116"/>
        <v>159</v>
      </c>
      <c r="L326" s="5" t="str">
        <f ca="1">INDEX(INDIRECT(zoneFichierTraite),$J326+offsetInitialFichierTraite,1)</f>
        <v>'159</v>
      </c>
      <c r="M326" s="11">
        <f ca="1">INDEX(INDIRECT(zoneFichierTraite),$J326+offsetInitialFichierTraite,9)</f>
        <v>23.7</v>
      </c>
      <c r="N326" s="14">
        <f ca="1">INDEX(INDIRECT(zoneFichierTraite),$J326+offsetInitialFichierTraite,3)</f>
        <v>8050846089860</v>
      </c>
      <c r="O326" s="1">
        <f ca="1">MATCH(N326,INDIRECT(nomFichierEAN13Valmag &amp; "!A:A"),0)</f>
        <v>671</v>
      </c>
      <c r="P326" s="1">
        <f ca="1">MATCH(R326,INDIRECT(nomFichierEAN13Valmag &amp; "!A:A"),0)</f>
        <v>671</v>
      </c>
      <c r="Q326" s="1">
        <f ca="1">MATCH(LEFT(B326,14) &amp; "*",INDIRECT(nomFichierEAN13Valmag &amp; "!B:B"),0)</f>
        <v>671</v>
      </c>
      <c r="R326" s="14">
        <f ca="1">IFERROR(INDEX(INDIRECT(zoneFichierEAN13Valmag),Q326,1),"")</f>
        <v>8050846089860</v>
      </c>
      <c r="S326" s="1">
        <f ca="1">MATCH(B326,INDIRECT(nomFichierFiltreCatalogue &amp; "!B:B"),0)</f>
        <v>292</v>
      </c>
      <c r="T326" s="14"/>
    </row>
    <row r="327" spans="1:20" s="20" customFormat="1" ht="15.75" customHeight="1" x14ac:dyDescent="0.25">
      <c r="A327" s="25">
        <f ca="1">INDEX(INDIRECT(zoneFichierTraite),$J326+offsetInitialFichierTraite,2)</f>
        <v>57</v>
      </c>
      <c r="B327" s="45" t="str">
        <f ca="1">IF(C327="", IFERROR(INDEX(INDIRECT(zoneFichierEAN13Valmag),$P326,3),""), "")</f>
        <v/>
      </c>
      <c r="C327" s="44" t="str">
        <f ca="1">IFERROR(INDEX(INDIRECT(zoneFichierEAN13Valmag),$O326,3),"")</f>
        <v xml:space="preserve"> </v>
      </c>
      <c r="D327" s="19" t="str">
        <f ca="1">IFERROR(INDEX(INDIRECT(zoneFichierEAN13Valmag),$O326,4),"")</f>
        <v xml:space="preserve"> </v>
      </c>
      <c r="E327" s="33" t="str">
        <f ca="1">IFERROR(INDEX(INDIRECT(zoneFichierFiltreCatalogue),S326,3),"")</f>
        <v>p059-2-01</v>
      </c>
      <c r="F327" s="19"/>
      <c r="G327" s="18"/>
      <c r="H327" s="34" t="str">
        <f ca="1">IFERROR(INDEX(INDIRECT(zoneFichierFiltreCatalogue),S326,6),"")</f>
        <v>fall 2019 presentation_/catalogo fall 19.txt</v>
      </c>
      <c r="R327" s="21"/>
      <c r="S327" s="21"/>
    </row>
    <row r="328" spans="1:20" ht="39" customHeight="1" thickBot="1" x14ac:dyDescent="0.65">
      <c r="A328" s="9" t="str">
        <f ca="1">INDEX(INDIRECT(zoneFichierTraite),$J328+offsetInitialFichierTraite,6)</f>
        <v>UNICA</v>
      </c>
      <c r="B328" s="5" t="str">
        <f ca="1">INDEX(INDIRECT(zoneFichierTraite),$J328+offsetInitialFichierTraite,4)</f>
        <v>OBAGT001-TESBB-615</v>
      </c>
      <c r="C328" s="26" t="str">
        <f ca="1">INDEX(INDIRECT(zoneFichierTraite),$J328+offsetInitialFichierTraite,5)</f>
        <v>REVERS O BAG EN TISSU IMPRIME DIANTHUS</v>
      </c>
      <c r="D328" s="27" t="str">
        <f ca="1">INDEX(INDIRECT(zoneFichierTraite),$J328+offsetInitialFichierTraite,13)</f>
        <v>military</v>
      </c>
      <c r="E328" s="30">
        <f ca="1">INDEX(INDIRECT(zoneFichierTraite),$J328+offsetInitialFichierTraite,7)</f>
        <v>2</v>
      </c>
      <c r="F328" s="28">
        <f ca="1">INDEX(INDIRECT(zoneFichierTraite),$J328+offsetInitialFichierTraite,8)</f>
        <v>13.33</v>
      </c>
      <c r="G328" s="29">
        <f t="shared" ref="G328:G391" ca="1" si="147">ROUNDUP(F328*3,0)</f>
        <v>40</v>
      </c>
      <c r="H328" s="32" t="str">
        <f ca="1">IF(ISNUMBER(N328),codeEAN13(INT(N328/10)),"")</f>
        <v>8APASOG*ajabgd+</v>
      </c>
      <c r="J328" s="15">
        <f t="shared" si="116"/>
        <v>160</v>
      </c>
      <c r="L328" s="5" t="str">
        <f ca="1">INDEX(INDIRECT(zoneFichierTraite),$J328+offsetInitialFichierTraite,1)</f>
        <v>'160</v>
      </c>
      <c r="M328" s="11">
        <f ca="1">INDEX(INDIRECT(zoneFichierTraite),$J328+offsetInitialFichierTraite,9)</f>
        <v>26.66</v>
      </c>
      <c r="N328" s="14">
        <f ca="1">INDEX(INDIRECT(zoneFichierTraite),$J328+offsetInitialFichierTraite,3)</f>
        <v>8050846090163</v>
      </c>
      <c r="O328" s="1">
        <f ca="1">MATCH(N328,INDIRECT(nomFichierEAN13Valmag &amp; "!A:A"),0)</f>
        <v>701</v>
      </c>
      <c r="P328" s="1">
        <f ca="1">MATCH(R328,INDIRECT(nomFichierEAN13Valmag &amp; "!A:A"),0)</f>
        <v>701</v>
      </c>
      <c r="Q328" s="1">
        <f ca="1">MATCH(LEFT(B328,14) &amp; "*",INDIRECT(nomFichierEAN13Valmag &amp; "!B:B"),0)</f>
        <v>701</v>
      </c>
      <c r="R328" s="14">
        <f ca="1">IFERROR(INDEX(INDIRECT(zoneFichierEAN13Valmag),Q328,1),"")</f>
        <v>8050846090163</v>
      </c>
      <c r="S328" s="1">
        <f ca="1">MATCH(B328,INDIRECT(nomFichierFiltreCatalogue &amp; "!B:B"),0)</f>
        <v>306</v>
      </c>
      <c r="T328" s="14"/>
    </row>
    <row r="329" spans="1:20" s="20" customFormat="1" ht="15.75" customHeight="1" x14ac:dyDescent="0.25">
      <c r="A329" s="25">
        <f ca="1">INDEX(INDIRECT(zoneFichierTraite),$J328+offsetInitialFichierTraite,2)</f>
        <v>83</v>
      </c>
      <c r="B329" s="45" t="str">
        <f ca="1">IF(C329="", IFERROR(INDEX(INDIRECT(zoneFichierEAN13Valmag),$P328,3),""), "")</f>
        <v/>
      </c>
      <c r="C329" s="44" t="str">
        <f ca="1">IFERROR(INDEX(INDIRECT(zoneFichierEAN13Valmag),$O328,3),"")</f>
        <v xml:space="preserve"> </v>
      </c>
      <c r="D329" s="19" t="str">
        <f ca="1">IFERROR(INDEX(INDIRECT(zoneFichierEAN13Valmag),$O328,4),"")</f>
        <v xml:space="preserve"> </v>
      </c>
      <c r="E329" s="33" t="str">
        <f ca="1">IFERROR(INDEX(INDIRECT(zoneFichierFiltreCatalogue),S328,3),"")</f>
        <v>p065-1-01</v>
      </c>
      <c r="F329" s="19"/>
      <c r="G329" s="18"/>
      <c r="H329" s="34" t="str">
        <f ca="1">IFERROR(INDEX(INDIRECT(zoneFichierFiltreCatalogue),S328,6),"")</f>
        <v>fall 2019 presentation_/catalogo fall 19.txt</v>
      </c>
      <c r="R329" s="21"/>
      <c r="S329" s="21"/>
    </row>
    <row r="330" spans="1:20" ht="39" customHeight="1" thickBot="1" x14ac:dyDescent="0.65">
      <c r="A330" s="9" t="str">
        <f ca="1">INDEX(INDIRECT(zoneFichierTraite),$J330+offsetInitialFichierTraite,6)</f>
        <v>UNICA</v>
      </c>
      <c r="B330" s="5" t="str">
        <f ca="1">INDEX(INDIRECT(zoneFichierTraite),$J330+offsetInitialFichierTraite,4)</f>
        <v>OBAGT001-TESBD-227</v>
      </c>
      <c r="C330" s="26" t="str">
        <f ca="1">INDEX(INDIRECT(zoneFichierTraite),$J330+offsetInitialFichierTraite,5)</f>
        <v>REVERS O BAG EN TISSU CHECK EFFET LAINE</v>
      </c>
      <c r="D330" s="27" t="str">
        <f ca="1">INDEX(INDIRECT(zoneFichierTraite),$J330+offsetInitialFichierTraite,13)</f>
        <v>bianco/nero</v>
      </c>
      <c r="E330" s="30">
        <f ca="1">INDEX(INDIRECT(zoneFichierTraite),$J330+offsetInitialFichierTraite,7)</f>
        <v>2</v>
      </c>
      <c r="F330" s="28">
        <f ca="1">INDEX(INDIRECT(zoneFichierTraite),$J330+offsetInitialFichierTraite,8)</f>
        <v>13.33</v>
      </c>
      <c r="G330" s="29">
        <f t="shared" ref="G330:G393" ca="1" si="148">ROUNDUP(F330*3,0)</f>
        <v>40</v>
      </c>
      <c r="H330" s="32" t="str">
        <f ca="1">IF(ISNUMBER(N330),codeEAN13(INT(N330/10)),"")</f>
        <v>8APASOG*ajabcf+</v>
      </c>
      <c r="J330" s="15">
        <f t="shared" ref="J330:J392" si="149">J328+1</f>
        <v>161</v>
      </c>
      <c r="L330" s="5" t="str">
        <f ca="1">INDEX(INDIRECT(zoneFichierTraite),$J330+offsetInitialFichierTraite,1)</f>
        <v>'161</v>
      </c>
      <c r="M330" s="11">
        <f ca="1">INDEX(INDIRECT(zoneFichierTraite),$J330+offsetInitialFichierTraite,9)</f>
        <v>26.66</v>
      </c>
      <c r="N330" s="14">
        <f ca="1">INDEX(INDIRECT(zoneFichierTraite),$J330+offsetInitialFichierTraite,3)</f>
        <v>8050846090125</v>
      </c>
      <c r="O330" s="1">
        <f ca="1">MATCH(N330,INDIRECT(nomFichierEAN13Valmag &amp; "!A:A"),0)</f>
        <v>697</v>
      </c>
      <c r="P330" s="1">
        <f ca="1">MATCH(R330,INDIRECT(nomFichierEAN13Valmag &amp; "!A:A"),0)</f>
        <v>697</v>
      </c>
      <c r="Q330" s="1">
        <f ca="1">MATCH(LEFT(B330,14) &amp; "*",INDIRECT(nomFichierEAN13Valmag &amp; "!B:B"),0)</f>
        <v>697</v>
      </c>
      <c r="R330" s="14">
        <f ca="1">IFERROR(INDEX(INDIRECT(zoneFichierEAN13Valmag),Q330,1),"")</f>
        <v>8050846090125</v>
      </c>
      <c r="S330" s="1">
        <f ca="1">MATCH(B330,INDIRECT(nomFichierFiltreCatalogue &amp; "!B:B"),0)</f>
        <v>293</v>
      </c>
      <c r="T330" s="14"/>
    </row>
    <row r="331" spans="1:20" s="20" customFormat="1" ht="15.75" customHeight="1" x14ac:dyDescent="0.25">
      <c r="A331" s="25">
        <f ca="1">INDEX(INDIRECT(zoneFichierTraite),$J330+offsetInitialFichierTraite,2)</f>
        <v>125</v>
      </c>
      <c r="B331" s="45" t="str">
        <f ca="1">IF(C331="", IFERROR(INDEX(INDIRECT(zoneFichierEAN13Valmag),$P330,3),""), "")</f>
        <v/>
      </c>
      <c r="C331" s="44" t="str">
        <f ca="1">IFERROR(INDEX(INDIRECT(zoneFichierEAN13Valmag),$O330,3),"")</f>
        <v xml:space="preserve"> </v>
      </c>
      <c r="D331" s="19" t="str">
        <f ca="1">IFERROR(INDEX(INDIRECT(zoneFichierEAN13Valmag),$O330,4),"")</f>
        <v xml:space="preserve"> </v>
      </c>
      <c r="E331" s="33" t="str">
        <f ca="1">IFERROR(INDEX(INDIRECT(zoneFichierFiltreCatalogue),S330,3),"")</f>
        <v>p060-1-01</v>
      </c>
      <c r="F331" s="19"/>
      <c r="G331" s="18"/>
      <c r="H331" s="34" t="str">
        <f ca="1">IFERROR(INDEX(INDIRECT(zoneFichierFiltreCatalogue),S330,6),"")</f>
        <v>fall 2019 presentation_/catalogo fall 19.txt</v>
      </c>
      <c r="R331" s="21"/>
      <c r="S331" s="21"/>
    </row>
    <row r="332" spans="1:20" ht="39" customHeight="1" thickBot="1" x14ac:dyDescent="0.65">
      <c r="A332" s="9" t="str">
        <f ca="1">INDEX(INDIRECT(zoneFichierTraite),$J332+offsetInitialFichierTraite,6)</f>
        <v>UNICA</v>
      </c>
      <c r="B332" s="5" t="str">
        <f ca="1">INDEX(INDIRECT(zoneFichierTraite),$J332+offsetInitialFichierTraite,4)</f>
        <v>OBAGT001-TESBE-227</v>
      </c>
      <c r="C332" s="26" t="str">
        <f ca="1">INDEX(INDIRECT(zoneFichierTraite),$J332+offsetInitialFichierTraite,5)</f>
        <v>REVERS O BAG EN TISSU Ã€ CHEVRONS</v>
      </c>
      <c r="D332" s="27" t="str">
        <f ca="1">INDEX(INDIRECT(zoneFichierTraite),$J332+offsetInitialFichierTraite,13)</f>
        <v>bianco/nero</v>
      </c>
      <c r="E332" s="30">
        <f ca="1">INDEX(INDIRECT(zoneFichierTraite),$J332+offsetInitialFichierTraite,7)</f>
        <v>2</v>
      </c>
      <c r="F332" s="28">
        <f ca="1">INDEX(INDIRECT(zoneFichierTraite),$J332+offsetInitialFichierTraite,8)</f>
        <v>13.33</v>
      </c>
      <c r="G332" s="29">
        <f t="shared" ref="G332:G395" ca="1" si="150">ROUNDUP(F332*3,0)</f>
        <v>40</v>
      </c>
      <c r="H332" s="32" t="str">
        <f ca="1">IF(ISNUMBER(N332),codeEAN13(INT(N332/10)),"")</f>
        <v>8APASOG*ajabbi+</v>
      </c>
      <c r="J332" s="15">
        <f t="shared" si="149"/>
        <v>162</v>
      </c>
      <c r="L332" s="5" t="str">
        <f ca="1">INDEX(INDIRECT(zoneFichierTraite),$J332+offsetInitialFichierTraite,1)</f>
        <v>'162</v>
      </c>
      <c r="M332" s="11">
        <f ca="1">INDEX(INDIRECT(zoneFichierTraite),$J332+offsetInitialFichierTraite,9)</f>
        <v>26.66</v>
      </c>
      <c r="N332" s="14">
        <f ca="1">INDEX(INDIRECT(zoneFichierTraite),$J332+offsetInitialFichierTraite,3)</f>
        <v>8050846090118</v>
      </c>
      <c r="O332" s="1">
        <f ca="1">MATCH(N332,INDIRECT(nomFichierEAN13Valmag &amp; "!A:A"),0)</f>
        <v>696</v>
      </c>
      <c r="P332" s="1">
        <f ca="1">MATCH(R332,INDIRECT(nomFichierEAN13Valmag &amp; "!A:A"),0)</f>
        <v>696</v>
      </c>
      <c r="Q332" s="1">
        <f ca="1">MATCH(LEFT(B332,14) &amp; "*",INDIRECT(nomFichierEAN13Valmag &amp; "!B:B"),0)</f>
        <v>696</v>
      </c>
      <c r="R332" s="14">
        <f ca="1">IFERROR(INDEX(INDIRECT(zoneFichierEAN13Valmag),Q332,1),"")</f>
        <v>8050846090118</v>
      </c>
      <c r="S332" s="1">
        <f ca="1">MATCH(B332,INDIRECT(nomFichierFiltreCatalogue &amp; "!B:B"),0)</f>
        <v>297</v>
      </c>
      <c r="T332" s="14"/>
    </row>
    <row r="333" spans="1:20" s="20" customFormat="1" ht="15.75" customHeight="1" x14ac:dyDescent="0.25">
      <c r="A333" s="25">
        <f ca="1">INDEX(INDIRECT(zoneFichierTraite),$J332+offsetInitialFichierTraite,2)</f>
        <v>9</v>
      </c>
      <c r="B333" s="45" t="str">
        <f ca="1">IF(C333="", IFERROR(INDEX(INDIRECT(zoneFichierEAN13Valmag),$P332,3),""), "")</f>
        <v/>
      </c>
      <c r="C333" s="44" t="str">
        <f ca="1">IFERROR(INDEX(INDIRECT(zoneFichierEAN13Valmag),$O332,3),"")</f>
        <v xml:space="preserve"> </v>
      </c>
      <c r="D333" s="19" t="str">
        <f ca="1">IFERROR(INDEX(INDIRECT(zoneFichierEAN13Valmag),$O332,4),"")</f>
        <v xml:space="preserve"> </v>
      </c>
      <c r="E333" s="33" t="str">
        <f ca="1">IFERROR(INDEX(INDIRECT(zoneFichierFiltreCatalogue),S332,3),"")</f>
        <v>p061-1-01</v>
      </c>
      <c r="F333" s="19"/>
      <c r="G333" s="18"/>
      <c r="H333" s="34" t="str">
        <f ca="1">IFERROR(INDEX(INDIRECT(zoneFichierFiltreCatalogue),S332,6),"")</f>
        <v>fall 2019 presentation_/catalogo fall 19.txt</v>
      </c>
      <c r="R333" s="21"/>
      <c r="S333" s="21"/>
    </row>
    <row r="334" spans="1:20" ht="39" customHeight="1" thickBot="1" x14ac:dyDescent="0.65">
      <c r="A334" s="9" t="str">
        <f ca="1">INDEX(INDIRECT(zoneFichierTraite),$J334+offsetInitialFichierTraite,6)</f>
        <v>UNICA</v>
      </c>
      <c r="B334" s="5" t="str">
        <f ca="1">INDEX(INDIRECT(zoneFichierTraite),$J334+offsetInitialFichierTraite,4)</f>
        <v>OBAGT001-TESBG-227</v>
      </c>
      <c r="C334" s="26" t="str">
        <f ca="1">INDEX(INDIRECT(zoneFichierTraite),$J334+offsetInitialFichierTraite,5)</f>
        <v>REVERS O BAG EN TISSU PRINCE DE GALLES + FLEURS</v>
      </c>
      <c r="D334" s="27" t="str">
        <f ca="1">INDEX(INDIRECT(zoneFichierTraite),$J334+offsetInitialFichierTraite,13)</f>
        <v>bianco/nero</v>
      </c>
      <c r="E334" s="30">
        <f ca="1">INDEX(INDIRECT(zoneFichierTraite),$J334+offsetInitialFichierTraite,7)</f>
        <v>2</v>
      </c>
      <c r="F334" s="28">
        <f ca="1">INDEX(INDIRECT(zoneFichierTraite),$J334+offsetInitialFichierTraite,8)</f>
        <v>15.56</v>
      </c>
      <c r="G334" s="29">
        <f t="shared" ref="G334:G397" ca="1" si="151">ROUNDUP(F334*3,0)</f>
        <v>47</v>
      </c>
      <c r="H334" s="32" t="str">
        <f ca="1">IF(ISNUMBER(N334),codeEAN13(INT(N334/10)),"")</f>
        <v>8APASOG*ajacbh+</v>
      </c>
      <c r="J334" s="15">
        <f t="shared" si="149"/>
        <v>163</v>
      </c>
      <c r="L334" s="5" t="str">
        <f ca="1">INDEX(INDIRECT(zoneFichierTraite),$J334+offsetInitialFichierTraite,1)</f>
        <v>'163</v>
      </c>
      <c r="M334" s="11">
        <f ca="1">INDEX(INDIRECT(zoneFichierTraite),$J334+offsetInitialFichierTraite,9)</f>
        <v>31.12</v>
      </c>
      <c r="N334" s="14">
        <f ca="1">INDEX(INDIRECT(zoneFichierTraite),$J334+offsetInitialFichierTraite,3)</f>
        <v>8050846090217</v>
      </c>
      <c r="O334" s="1">
        <f ca="1">MATCH(N334,INDIRECT(nomFichierEAN13Valmag &amp; "!A:A"),0)</f>
        <v>705</v>
      </c>
      <c r="P334" s="1">
        <f ca="1">MATCH(R334,INDIRECT(nomFichierEAN13Valmag &amp; "!A:A"),0)</f>
        <v>705</v>
      </c>
      <c r="Q334" s="1">
        <f ca="1">MATCH(LEFT(B334,14) &amp; "*",INDIRECT(nomFichierEAN13Valmag &amp; "!B:B"),0)</f>
        <v>705</v>
      </c>
      <c r="R334" s="14">
        <f ca="1">IFERROR(INDEX(INDIRECT(zoneFichierEAN13Valmag),Q334,1),"")</f>
        <v>8050846090217</v>
      </c>
      <c r="S334" s="1">
        <f ca="1">MATCH(B334,INDIRECT(nomFichierFiltreCatalogue &amp; "!B:B"),0)</f>
        <v>298</v>
      </c>
      <c r="T334" s="14"/>
    </row>
    <row r="335" spans="1:20" s="20" customFormat="1" ht="15.75" customHeight="1" x14ac:dyDescent="0.25">
      <c r="A335" s="25">
        <f ca="1">INDEX(INDIRECT(zoneFichierTraite),$J334+offsetInitialFichierTraite,2)</f>
        <v>13</v>
      </c>
      <c r="B335" s="45" t="str">
        <f ca="1">IF(C335="", IFERROR(INDEX(INDIRECT(zoneFichierEAN13Valmag),$P334,3),""), "")</f>
        <v/>
      </c>
      <c r="C335" s="44" t="str">
        <f ca="1">IFERROR(INDEX(INDIRECT(zoneFichierEAN13Valmag),$O334,3),"")</f>
        <v xml:space="preserve"> </v>
      </c>
      <c r="D335" s="19" t="str">
        <f ca="1">IFERROR(INDEX(INDIRECT(zoneFichierEAN13Valmag),$O334,4),"")</f>
        <v xml:space="preserve"> </v>
      </c>
      <c r="E335" s="33" t="str">
        <f ca="1">IFERROR(INDEX(INDIRECT(zoneFichierFiltreCatalogue),S334,3),"")</f>
        <v>p061-2-01</v>
      </c>
      <c r="F335" s="19"/>
      <c r="G335" s="18"/>
      <c r="H335" s="34" t="str">
        <f ca="1">IFERROR(INDEX(INDIRECT(zoneFichierFiltreCatalogue),S334,6),"")</f>
        <v>fall 2019 presentation_/catalogo fall 19.txt</v>
      </c>
      <c r="R335" s="21"/>
      <c r="S335" s="21"/>
    </row>
    <row r="336" spans="1:20" ht="39" customHeight="1" thickBot="1" x14ac:dyDescent="0.65">
      <c r="A336" s="9" t="str">
        <f ca="1">INDEX(INDIRECT(zoneFichierTraite),$J336+offsetInitialFichierTraite,6)</f>
        <v>UNICA</v>
      </c>
      <c r="B336" s="5" t="str">
        <f ca="1">INDEX(INDIRECT(zoneFichierTraite),$J336+offsetInitialFichierTraite,4)</f>
        <v>OBAGT001-TESBH-017</v>
      </c>
      <c r="C336" s="26" t="str">
        <f ca="1">INDEX(INDIRECT(zoneFichierTraite),$J336+offsetInitialFichierTraite,5)</f>
        <v>REVERS O BAG EN TISSU IMPRIME JACQUARD MICRO FANTAISIE</v>
      </c>
      <c r="D336" s="27" t="str">
        <f ca="1">INDEX(INDIRECT(zoneFichierTraite),$J336+offsetInitialFichierTraite,13)</f>
        <v>blu navy</v>
      </c>
      <c r="E336" s="30">
        <f ca="1">INDEX(INDIRECT(zoneFichierTraite),$J336+offsetInitialFichierTraite,7)</f>
        <v>2</v>
      </c>
      <c r="F336" s="28">
        <f ca="1">INDEX(INDIRECT(zoneFichierTraite),$J336+offsetInitialFichierTraite,8)</f>
        <v>13.33</v>
      </c>
      <c r="G336" s="29">
        <f t="shared" ref="G336:G399" ca="1" si="152">ROUNDUP(F336*3,0)</f>
        <v>40</v>
      </c>
      <c r="H336" s="32" t="str">
        <f ca="1">IF(ISNUMBER(N336),codeEAN13(INT(N336/10)),"")</f>
        <v>8APASOG*ajabfg+</v>
      </c>
      <c r="J336" s="15">
        <f t="shared" si="149"/>
        <v>164</v>
      </c>
      <c r="L336" s="5" t="str">
        <f ca="1">INDEX(INDIRECT(zoneFichierTraite),$J336+offsetInitialFichierTraite,1)</f>
        <v>'164</v>
      </c>
      <c r="M336" s="11">
        <f ca="1">INDEX(INDIRECT(zoneFichierTraite),$J336+offsetInitialFichierTraite,9)</f>
        <v>26.66</v>
      </c>
      <c r="N336" s="14">
        <f ca="1">INDEX(INDIRECT(zoneFichierTraite),$J336+offsetInitialFichierTraite,3)</f>
        <v>8050846090156</v>
      </c>
      <c r="O336" s="1">
        <f ca="1">MATCH(N336,INDIRECT(nomFichierEAN13Valmag &amp; "!A:A"),0)</f>
        <v>700</v>
      </c>
      <c r="P336" s="1">
        <f ca="1">MATCH(R336,INDIRECT(nomFichierEAN13Valmag &amp; "!A:A"),0)</f>
        <v>700</v>
      </c>
      <c r="Q336" s="1">
        <f ca="1">MATCH(LEFT(B336,14) &amp; "*",INDIRECT(nomFichierEAN13Valmag &amp; "!B:B"),0)</f>
        <v>700</v>
      </c>
      <c r="R336" s="14">
        <f ca="1">IFERROR(INDEX(INDIRECT(zoneFichierEAN13Valmag),Q336,1),"")</f>
        <v>8050846090156</v>
      </c>
      <c r="S336" s="1">
        <f ca="1">MATCH(B336,INDIRECT(nomFichierFiltreCatalogue &amp; "!B:B"),0)</f>
        <v>299</v>
      </c>
      <c r="T336" s="14"/>
    </row>
    <row r="337" spans="1:20" s="20" customFormat="1" ht="15.75" customHeight="1" x14ac:dyDescent="0.25">
      <c r="A337" s="25">
        <f ca="1">INDEX(INDIRECT(zoneFichierTraite),$J336+offsetInitialFichierTraite,2)</f>
        <v>71</v>
      </c>
      <c r="B337" s="45" t="str">
        <f ca="1">IF(C337="", IFERROR(INDEX(INDIRECT(zoneFichierEAN13Valmag),$P336,3),""), "")</f>
        <v/>
      </c>
      <c r="C337" s="44" t="str">
        <f ca="1">IFERROR(INDEX(INDIRECT(zoneFichierEAN13Valmag),$O336,3),"")</f>
        <v xml:space="preserve"> </v>
      </c>
      <c r="D337" s="19" t="str">
        <f ca="1">IFERROR(INDEX(INDIRECT(zoneFichierEAN13Valmag),$O336,4),"")</f>
        <v xml:space="preserve"> </v>
      </c>
      <c r="E337" s="33" t="str">
        <f ca="1">IFERROR(INDEX(INDIRECT(zoneFichierFiltreCatalogue),S336,3),"")</f>
        <v>p062-1-01</v>
      </c>
      <c r="F337" s="19"/>
      <c r="G337" s="18"/>
      <c r="H337" s="34" t="str">
        <f ca="1">IFERROR(INDEX(INDIRECT(zoneFichierFiltreCatalogue),S336,6),"")</f>
        <v>fall 2019 presentation_/catalogo fall 19.txt</v>
      </c>
      <c r="R337" s="21"/>
      <c r="S337" s="21"/>
    </row>
    <row r="338" spans="1:20" ht="39" customHeight="1" thickBot="1" x14ac:dyDescent="0.65">
      <c r="A338" s="9" t="str">
        <f ca="1">INDEX(INDIRECT(zoneFichierTraite),$J338+offsetInitialFichierTraite,6)</f>
        <v>UNICA</v>
      </c>
      <c r="B338" s="5" t="str">
        <f ca="1">INDEX(INDIRECT(zoneFichierTraite),$J338+offsetInitialFichierTraite,4)</f>
        <v>OBAGT001-TESBJ-227</v>
      </c>
      <c r="C338" s="26" t="str">
        <f ca="1">INDEX(INDIRECT(zoneFichierTraite),$J338+offsetInitialFichierTraite,5)</f>
        <v>REVERS O BAG EN TISSU OPTICAL STRIPES</v>
      </c>
      <c r="D338" s="27" t="str">
        <f ca="1">INDEX(INDIRECT(zoneFichierTraite),$J338+offsetInitialFichierTraite,13)</f>
        <v>bianco/nero</v>
      </c>
      <c r="E338" s="30">
        <f ca="1">INDEX(INDIRECT(zoneFichierTraite),$J338+offsetInitialFichierTraite,7)</f>
        <v>2</v>
      </c>
      <c r="F338" s="28">
        <f ca="1">INDEX(INDIRECT(zoneFichierTraite),$J338+offsetInitialFichierTraite,8)</f>
        <v>11.85</v>
      </c>
      <c r="G338" s="29">
        <f t="shared" ref="G338:G401" ca="1" si="153">ROUNDUP(F338*3,0)</f>
        <v>36</v>
      </c>
      <c r="H338" s="32" t="str">
        <f ca="1">IF(ISNUMBER(N338),codeEAN13(INT(N338/10)),"")</f>
        <v>8APASOG*ajabab+</v>
      </c>
      <c r="J338" s="15">
        <f t="shared" si="149"/>
        <v>165</v>
      </c>
      <c r="L338" s="5" t="str">
        <f ca="1">INDEX(INDIRECT(zoneFichierTraite),$J338+offsetInitialFichierTraite,1)</f>
        <v>'165</v>
      </c>
      <c r="M338" s="11">
        <f ca="1">INDEX(INDIRECT(zoneFichierTraite),$J338+offsetInitialFichierTraite,9)</f>
        <v>23.7</v>
      </c>
      <c r="N338" s="14">
        <f ca="1">INDEX(INDIRECT(zoneFichierTraite),$J338+offsetInitialFichierTraite,3)</f>
        <v>8050846090101</v>
      </c>
      <c r="O338" s="1">
        <f ca="1">MATCH(N338,INDIRECT(nomFichierEAN13Valmag &amp; "!A:A"),0)</f>
        <v>695</v>
      </c>
      <c r="P338" s="1">
        <f ca="1">MATCH(R338,INDIRECT(nomFichierEAN13Valmag &amp; "!A:A"),0)</f>
        <v>695</v>
      </c>
      <c r="Q338" s="1">
        <f ca="1">MATCH(LEFT(B338,14) &amp; "*",INDIRECT(nomFichierEAN13Valmag &amp; "!B:B"),0)</f>
        <v>695</v>
      </c>
      <c r="R338" s="14">
        <f ca="1">IFERROR(INDEX(INDIRECT(zoneFichierEAN13Valmag),Q338,1),"")</f>
        <v>8050846090101</v>
      </c>
      <c r="S338" s="1">
        <f ca="1">MATCH(B338,INDIRECT(nomFichierFiltreCatalogue &amp; "!B:B"),0)</f>
        <v>301</v>
      </c>
      <c r="T338" s="14"/>
    </row>
    <row r="339" spans="1:20" s="20" customFormat="1" ht="15.75" customHeight="1" x14ac:dyDescent="0.25">
      <c r="A339" s="25">
        <f ca="1">INDEX(INDIRECT(zoneFichierTraite),$J338+offsetInitialFichierTraite,2)</f>
        <v>208</v>
      </c>
      <c r="B339" s="45" t="str">
        <f ca="1">IF(C339="", IFERROR(INDEX(INDIRECT(zoneFichierEAN13Valmag),$P338,3),""), "")</f>
        <v/>
      </c>
      <c r="C339" s="44" t="str">
        <f ca="1">IFERROR(INDEX(INDIRECT(zoneFichierEAN13Valmag),$O338,3),"")</f>
        <v xml:space="preserve"> </v>
      </c>
      <c r="D339" s="19" t="str">
        <f ca="1">IFERROR(INDEX(INDIRECT(zoneFichierEAN13Valmag),$O338,4),"")</f>
        <v xml:space="preserve"> </v>
      </c>
      <c r="E339" s="33" t="str">
        <f ca="1">IFERROR(INDEX(INDIRECT(zoneFichierFiltreCatalogue),S338,3),"")</f>
        <v>p063-1-01</v>
      </c>
      <c r="F339" s="19"/>
      <c r="G339" s="18"/>
      <c r="H339" s="34" t="str">
        <f ca="1">IFERROR(INDEX(INDIRECT(zoneFichierFiltreCatalogue),S338,6),"")</f>
        <v>fall 2019 presentation_/catalogo fall 19.txt</v>
      </c>
      <c r="R339" s="21"/>
      <c r="S339" s="21"/>
    </row>
    <row r="340" spans="1:20" ht="39" customHeight="1" thickBot="1" x14ac:dyDescent="0.65">
      <c r="A340" s="9" t="str">
        <f ca="1">INDEX(INDIRECT(zoneFichierTraite),$J340+offsetInitialFichierTraite,6)</f>
        <v>UNICA</v>
      </c>
      <c r="B340" s="5" t="str">
        <f ca="1">INDEX(INDIRECT(zoneFichierTraite),$J340+offsetInitialFichierTraite,4)</f>
        <v>OBAGT001-TESBK-055</v>
      </c>
      <c r="C340" s="26" t="str">
        <f ca="1">INDEX(INDIRECT(zoneFichierTraite),$J340+offsetInitialFichierTraite,5)</f>
        <v>REVERS O BAG EN TISSU DOUDOUNE Ã€ CHEVRONS</v>
      </c>
      <c r="D340" s="27" t="str">
        <f ca="1">INDEX(INDIRECT(zoneFichierTraite),$J340+offsetInitialFichierTraite,13)</f>
        <v>nero</v>
      </c>
      <c r="E340" s="30">
        <f ca="1">INDEX(INDIRECT(zoneFichierTraite),$J340+offsetInitialFichierTraite,7)</f>
        <v>2</v>
      </c>
      <c r="F340" s="28">
        <f ca="1">INDEX(INDIRECT(zoneFichierTraite),$J340+offsetInitialFichierTraite,8)</f>
        <v>11.85</v>
      </c>
      <c r="G340" s="29">
        <f t="shared" ref="G340:G403" ca="1" si="154">ROUNDUP(F340*3,0)</f>
        <v>36</v>
      </c>
      <c r="H340" s="32" t="str">
        <f ca="1">IF(ISNUMBER(N340),codeEAN13(INT(N340/10)),"")</f>
        <v>8APASOG*ajaajf+</v>
      </c>
      <c r="J340" s="15">
        <f t="shared" si="149"/>
        <v>166</v>
      </c>
      <c r="L340" s="5" t="str">
        <f ca="1">INDEX(INDIRECT(zoneFichierTraite),$J340+offsetInitialFichierTraite,1)</f>
        <v>'166</v>
      </c>
      <c r="M340" s="11">
        <f ca="1">INDEX(INDIRECT(zoneFichierTraite),$J340+offsetInitialFichierTraite,9)</f>
        <v>23.7</v>
      </c>
      <c r="N340" s="14">
        <f ca="1">INDEX(INDIRECT(zoneFichierTraite),$J340+offsetInitialFichierTraite,3)</f>
        <v>8050846090095</v>
      </c>
      <c r="O340" s="1">
        <f ca="1">MATCH(N340,INDIRECT(nomFichierEAN13Valmag &amp; "!A:A"),0)</f>
        <v>694</v>
      </c>
      <c r="P340" s="1">
        <f ca="1">MATCH(R340,INDIRECT(nomFichierEAN13Valmag &amp; "!A:A"),0)</f>
        <v>693</v>
      </c>
      <c r="Q340" s="1">
        <f ca="1">MATCH(LEFT(B340,14) &amp; "*",INDIRECT(nomFichierEAN13Valmag &amp; "!B:B"),0)</f>
        <v>693</v>
      </c>
      <c r="R340" s="14">
        <f ca="1">IFERROR(INDEX(INDIRECT(zoneFichierEAN13Valmag),Q340,1),"")</f>
        <v>8050846090088</v>
      </c>
      <c r="S340" s="1">
        <f ca="1">MATCH(B340,INDIRECT(nomFichierFiltreCatalogue &amp; "!B:B"),0)</f>
        <v>302</v>
      </c>
      <c r="T340" s="14"/>
    </row>
    <row r="341" spans="1:20" s="20" customFormat="1" ht="15.75" customHeight="1" x14ac:dyDescent="0.25">
      <c r="A341" s="25">
        <f ca="1">INDEX(INDIRECT(zoneFichierTraite),$J340+offsetInitialFichierTraite,2)</f>
        <v>10</v>
      </c>
      <c r="B341" s="45" t="str">
        <f ca="1">IF(C341="", IFERROR(INDEX(INDIRECT(zoneFichierEAN13Valmag),$P340,3),""), "")</f>
        <v/>
      </c>
      <c r="C341" s="44" t="str">
        <f ca="1">IFERROR(INDEX(INDIRECT(zoneFichierEAN13Valmag),$O340,3),"")</f>
        <v xml:space="preserve"> </v>
      </c>
      <c r="D341" s="19" t="str">
        <f ca="1">IFERROR(INDEX(INDIRECT(zoneFichierEAN13Valmag),$O340,4),"")</f>
        <v xml:space="preserve"> </v>
      </c>
      <c r="E341" s="33" t="str">
        <f ca="1">IFERROR(INDEX(INDIRECT(zoneFichierFiltreCatalogue),S340,3),"")</f>
        <v>p063-2-01</v>
      </c>
      <c r="F341" s="19"/>
      <c r="G341" s="18"/>
      <c r="H341" s="34" t="str">
        <f ca="1">IFERROR(INDEX(INDIRECT(zoneFichierFiltreCatalogue),S340,6),"")</f>
        <v>fall 2019 presentation_/catalogo fall 19.txt</v>
      </c>
      <c r="R341" s="21"/>
      <c r="S341" s="21"/>
    </row>
    <row r="342" spans="1:20" ht="39" customHeight="1" thickBot="1" x14ac:dyDescent="0.65">
      <c r="A342" s="9" t="str">
        <f ca="1">INDEX(INDIRECT(zoneFichierTraite),$J342+offsetInitialFichierTraite,6)</f>
        <v>UNICA</v>
      </c>
      <c r="B342" s="5" t="str">
        <f ca="1">INDEX(INDIRECT(zoneFichierTraite),$J342+offsetInitialFichierTraite,4)</f>
        <v>OBAGT001-TESBK-137</v>
      </c>
      <c r="C342" s="26" t="str">
        <f ca="1">INDEX(INDIRECT(zoneFichierTraite),$J342+offsetInitialFichierTraite,5)</f>
        <v>REVERS O BAG EN TISSU DOUDOUNE Ã€ CHEVRONS</v>
      </c>
      <c r="D342" s="27" t="str">
        <f ca="1">INDEX(INDIRECT(zoneFichierTraite),$J342+offsetInitialFichierTraite,13)</f>
        <v>bluette</v>
      </c>
      <c r="E342" s="30">
        <f ca="1">INDEX(INDIRECT(zoneFichierTraite),$J342+offsetInitialFichierTraite,7)</f>
        <v>2</v>
      </c>
      <c r="F342" s="28">
        <f ca="1">INDEX(INDIRECT(zoneFichierTraite),$J342+offsetInitialFichierTraite,8)</f>
        <v>11.85</v>
      </c>
      <c r="G342" s="29">
        <f t="shared" ref="G342:G405" ca="1" si="155">ROUNDUP(F342*3,0)</f>
        <v>36</v>
      </c>
      <c r="H342" s="32" t="str">
        <f ca="1">IF(ISNUMBER(N342),codeEAN13(INT(N342/10)),"")</f>
        <v>8APASOG*ajaaii+</v>
      </c>
      <c r="J342" s="15">
        <f t="shared" si="149"/>
        <v>167</v>
      </c>
      <c r="L342" s="5" t="str">
        <f ca="1">INDEX(INDIRECT(zoneFichierTraite),$J342+offsetInitialFichierTraite,1)</f>
        <v>'167</v>
      </c>
      <c r="M342" s="11">
        <f ca="1">INDEX(INDIRECT(zoneFichierTraite),$J342+offsetInitialFichierTraite,9)</f>
        <v>23.7</v>
      </c>
      <c r="N342" s="14">
        <f ca="1">INDEX(INDIRECT(zoneFichierTraite),$J342+offsetInitialFichierTraite,3)</f>
        <v>8050846090088</v>
      </c>
      <c r="O342" s="1">
        <f ca="1">MATCH(N342,INDIRECT(nomFichierEAN13Valmag &amp; "!A:A"),0)</f>
        <v>693</v>
      </c>
      <c r="P342" s="1">
        <f ca="1">MATCH(R342,INDIRECT(nomFichierEAN13Valmag &amp; "!A:A"),0)</f>
        <v>693</v>
      </c>
      <c r="Q342" s="1">
        <f ca="1">MATCH(LEFT(B342,14) &amp; "*",INDIRECT(nomFichierEAN13Valmag &amp; "!B:B"),0)</f>
        <v>693</v>
      </c>
      <c r="R342" s="14">
        <f ca="1">IFERROR(INDEX(INDIRECT(zoneFichierEAN13Valmag),Q342,1),"")</f>
        <v>8050846090088</v>
      </c>
      <c r="S342" s="1">
        <f ca="1">MATCH(B342,INDIRECT(nomFichierFiltreCatalogue &amp; "!B:B"),0)</f>
        <v>303</v>
      </c>
      <c r="T342" s="14"/>
    </row>
    <row r="343" spans="1:20" s="20" customFormat="1" ht="15.75" customHeight="1" x14ac:dyDescent="0.25">
      <c r="A343" s="25">
        <f ca="1">INDEX(INDIRECT(zoneFichierTraite),$J342+offsetInitialFichierTraite,2)</f>
        <v>59</v>
      </c>
      <c r="B343" s="45" t="str">
        <f ca="1">IF(C343="", IFERROR(INDEX(INDIRECT(zoneFichierEAN13Valmag),$P342,3),""), "")</f>
        <v/>
      </c>
      <c r="C343" s="44" t="str">
        <f ca="1">IFERROR(INDEX(INDIRECT(zoneFichierEAN13Valmag),$O342,3),"")</f>
        <v xml:space="preserve"> </v>
      </c>
      <c r="D343" s="19" t="str">
        <f ca="1">IFERROR(INDEX(INDIRECT(zoneFichierEAN13Valmag),$O342,4),"")</f>
        <v xml:space="preserve"> </v>
      </c>
      <c r="E343" s="33" t="str">
        <f ca="1">IFERROR(INDEX(INDIRECT(zoneFichierFiltreCatalogue),S342,3),"")</f>
        <v>p063-2-02</v>
      </c>
      <c r="F343" s="19"/>
      <c r="G343" s="18"/>
      <c r="H343" s="34" t="str">
        <f ca="1">IFERROR(INDEX(INDIRECT(zoneFichierFiltreCatalogue),S342,6),"")</f>
        <v>fall 2019 presentation_/catalogo fall 19.txt</v>
      </c>
      <c r="R343" s="21"/>
      <c r="S343" s="21"/>
    </row>
    <row r="344" spans="1:20" ht="39" customHeight="1" thickBot="1" x14ac:dyDescent="0.65">
      <c r="A344" s="9" t="str">
        <f ca="1">INDEX(INDIRECT(zoneFichierTraite),$J344+offsetInitialFichierTraite,6)</f>
        <v>UNICA</v>
      </c>
      <c r="B344" s="5" t="str">
        <f ca="1">INDEX(INDIRECT(zoneFichierTraite),$J344+offsetInitialFichierTraite,4)</f>
        <v>OBAGT001-TESBN-615</v>
      </c>
      <c r="C344" s="26" t="str">
        <f ca="1">INDEX(INDIRECT(zoneFichierTraite),$J344+offsetInitialFichierTraite,5)</f>
        <v>REVERS O BAG EN TISSU DOUDOUNE CHECK</v>
      </c>
      <c r="D344" s="27" t="str">
        <f ca="1">INDEX(INDIRECT(zoneFichierTraite),$J344+offsetInitialFichierTraite,13)</f>
        <v>military</v>
      </c>
      <c r="E344" s="30">
        <f ca="1">INDEX(INDIRECT(zoneFichierTraite),$J344+offsetInitialFichierTraite,7)</f>
        <v>2</v>
      </c>
      <c r="F344" s="28">
        <f ca="1">INDEX(INDIRECT(zoneFichierTraite),$J344+offsetInitialFichierTraite,8)</f>
        <v>15.56</v>
      </c>
      <c r="G344" s="29">
        <f t="shared" ref="G344:G407" ca="1" si="156">ROUNDUP(F344*3,0)</f>
        <v>47</v>
      </c>
      <c r="H344" s="32" t="str">
        <f ca="1">IF(ISNUMBER(N344),codeEAN13(INT(N344/10)),"")</f>
        <v>8APASOG*ajacdb+</v>
      </c>
      <c r="J344" s="15">
        <f t="shared" si="149"/>
        <v>168</v>
      </c>
      <c r="L344" s="5" t="str">
        <f ca="1">INDEX(INDIRECT(zoneFichierTraite),$J344+offsetInitialFichierTraite,1)</f>
        <v>'168</v>
      </c>
      <c r="M344" s="11">
        <f ca="1">INDEX(INDIRECT(zoneFichierTraite),$J344+offsetInitialFichierTraite,9)</f>
        <v>31.12</v>
      </c>
      <c r="N344" s="14">
        <f ca="1">INDEX(INDIRECT(zoneFichierTraite),$J344+offsetInitialFichierTraite,3)</f>
        <v>8050846090231</v>
      </c>
      <c r="O344" s="1">
        <f ca="1">MATCH(N344,INDIRECT(nomFichierEAN13Valmag &amp; "!A:A"),0)</f>
        <v>707</v>
      </c>
      <c r="P344" s="1">
        <f ca="1">MATCH(R344,INDIRECT(nomFichierEAN13Valmag &amp; "!A:A"),0)</f>
        <v>707</v>
      </c>
      <c r="Q344" s="1">
        <f ca="1">MATCH(LEFT(B344,14) &amp; "*",INDIRECT(nomFichierEAN13Valmag &amp; "!B:B"),0)</f>
        <v>707</v>
      </c>
      <c r="R344" s="14">
        <f ca="1">IFERROR(INDEX(INDIRECT(zoneFichierEAN13Valmag),Q344,1),"")</f>
        <v>8050846090231</v>
      </c>
      <c r="S344" s="1">
        <f ca="1">MATCH(B344,INDIRECT(nomFichierFiltreCatalogue &amp; "!B:B"),0)</f>
        <v>305</v>
      </c>
      <c r="T344" s="14"/>
    </row>
    <row r="345" spans="1:20" s="20" customFormat="1" ht="15.75" customHeight="1" x14ac:dyDescent="0.25">
      <c r="A345" s="25">
        <f ca="1">INDEX(INDIRECT(zoneFichierTraite),$J344+offsetInitialFichierTraite,2)</f>
        <v>72</v>
      </c>
      <c r="B345" s="45" t="str">
        <f ca="1">IF(C345="", IFERROR(INDEX(INDIRECT(zoneFichierEAN13Valmag),$P344,3),""), "")</f>
        <v/>
      </c>
      <c r="C345" s="44" t="str">
        <f ca="1">IFERROR(INDEX(INDIRECT(zoneFichierEAN13Valmag),$O344,3),"")</f>
        <v xml:space="preserve"> </v>
      </c>
      <c r="D345" s="19" t="str">
        <f ca="1">IFERROR(INDEX(INDIRECT(zoneFichierEAN13Valmag),$O344,4),"")</f>
        <v xml:space="preserve"> </v>
      </c>
      <c r="E345" s="33" t="str">
        <f ca="1">IFERROR(INDEX(INDIRECT(zoneFichierFiltreCatalogue),S344,3),"")</f>
        <v>p064-2-01</v>
      </c>
      <c r="F345" s="19"/>
      <c r="G345" s="18"/>
      <c r="H345" s="34" t="str">
        <f ca="1">IFERROR(INDEX(INDIRECT(zoneFichierFiltreCatalogue),S344,6),"")</f>
        <v>fall 2019 presentation_/catalogo fall 19.txt</v>
      </c>
      <c r="R345" s="21"/>
      <c r="S345" s="21"/>
    </row>
    <row r="346" spans="1:20" ht="39" customHeight="1" thickBot="1" x14ac:dyDescent="0.65">
      <c r="A346" s="9" t="str">
        <f ca="1">INDEX(INDIRECT(zoneFichierTraite),$J346+offsetInitialFichierTraite,6)</f>
        <v>UNICA</v>
      </c>
      <c r="B346" s="5" t="str">
        <f ca="1">INDEX(INDIRECT(zoneFichierTraite),$J346+offsetInitialFichierTraite,4)</f>
        <v>OBAGT002-FAS04-615</v>
      </c>
      <c r="C346" s="26" t="str">
        <f ca="1">INDEX(INDIRECT(zoneFichierTraite),$J346+offsetInitialFichierTraite,5)</f>
        <v>REVERS O BAG MINI EN FAUSSE FOURRURE MURMANSKY</v>
      </c>
      <c r="D346" s="27" t="str">
        <f ca="1">INDEX(INDIRECT(zoneFichierTraite),$J346+offsetInitialFichierTraite,13)</f>
        <v>military</v>
      </c>
      <c r="E346" s="30">
        <f ca="1">INDEX(INDIRECT(zoneFichierTraite),$J346+offsetInitialFichierTraite,7)</f>
        <v>2</v>
      </c>
      <c r="F346" s="28">
        <f ca="1">INDEX(INDIRECT(zoneFichierTraite),$J346+offsetInitialFichierTraite,8)</f>
        <v>24</v>
      </c>
      <c r="G346" s="29">
        <f t="shared" ref="G346:G409" ca="1" si="157">ROUNDUP(F346*3,0)</f>
        <v>72</v>
      </c>
      <c r="H346" s="32" t="str">
        <f ca="1">IF(ISNUMBER(N346),codeEAN13(INT(N346/10)),"")</f>
        <v>8APASOG*ajbaif+</v>
      </c>
      <c r="J346" s="15">
        <f t="shared" si="149"/>
        <v>169</v>
      </c>
      <c r="L346" s="5" t="str">
        <f ca="1">INDEX(INDIRECT(zoneFichierTraite),$J346+offsetInitialFichierTraite,1)</f>
        <v>'169</v>
      </c>
      <c r="M346" s="11">
        <f ca="1">INDEX(INDIRECT(zoneFichierTraite),$J346+offsetInitialFichierTraite,9)</f>
        <v>48</v>
      </c>
      <c r="N346" s="14">
        <f ca="1">INDEX(INDIRECT(zoneFichierTraite),$J346+offsetInitialFichierTraite,3)</f>
        <v>8050846091085</v>
      </c>
      <c r="O346" s="1">
        <f ca="1">MATCH(N346,INDIRECT(nomFichierEAN13Valmag &amp; "!A:A"),0)</f>
        <v>786</v>
      </c>
      <c r="P346" s="1">
        <f ca="1">MATCH(R346,INDIRECT(nomFichierEAN13Valmag &amp; "!A:A"),0)</f>
        <v>43</v>
      </c>
      <c r="Q346" s="1">
        <f ca="1">MATCH(LEFT(B346,14) &amp; "*",INDIRECT(nomFichierEAN13Valmag &amp; "!B:B"),0)</f>
        <v>43</v>
      </c>
      <c r="R346" s="14">
        <f ca="1">IFERROR(INDEX(INDIRECT(zoneFichierEAN13Valmag),Q346,1),"")</f>
        <v>8050450218373</v>
      </c>
      <c r="S346" s="1">
        <f ca="1">MATCH(B346,INDIRECT(nomFichierFiltreCatalogue &amp; "!B:B"),0)</f>
        <v>313</v>
      </c>
      <c r="T346" s="14"/>
    </row>
    <row r="347" spans="1:20" s="20" customFormat="1" ht="15.75" customHeight="1" x14ac:dyDescent="0.25">
      <c r="A347" s="25">
        <f ca="1">INDEX(INDIRECT(zoneFichierTraite),$J346+offsetInitialFichierTraite,2)</f>
        <v>84</v>
      </c>
      <c r="B347" s="45" t="str">
        <f ca="1">IF(C347="", IFERROR(INDEX(INDIRECT(zoneFichierEAN13Valmag),$P346,3),""), "")</f>
        <v/>
      </c>
      <c r="C347" s="44" t="str">
        <f ca="1">IFERROR(INDEX(INDIRECT(zoneFichierEAN13Valmag),$O346,3),"")</f>
        <v xml:space="preserve"> </v>
      </c>
      <c r="D347" s="19" t="str">
        <f ca="1">IFERROR(INDEX(INDIRECT(zoneFichierEAN13Valmag),$O346,4),"")</f>
        <v xml:space="preserve"> </v>
      </c>
      <c r="E347" s="33" t="str">
        <f ca="1">IFERROR(INDEX(INDIRECT(zoneFichierFiltreCatalogue),S346,3),"")</f>
        <v>p065-3-03</v>
      </c>
      <c r="F347" s="19"/>
      <c r="G347" s="18"/>
      <c r="H347" s="34" t="str">
        <f ca="1">IFERROR(INDEX(INDIRECT(zoneFichierFiltreCatalogue),S346,6),"")</f>
        <v>fall 2019 presentation_/catalogo fall 19.txt</v>
      </c>
      <c r="R347" s="21"/>
      <c r="S347" s="21"/>
    </row>
    <row r="348" spans="1:20" ht="39" customHeight="1" thickBot="1" x14ac:dyDescent="0.65">
      <c r="A348" s="9" t="str">
        <f ca="1">INDEX(INDIRECT(zoneFichierTraite),$J348+offsetInitialFichierTraite,6)</f>
        <v>UNICA</v>
      </c>
      <c r="B348" s="5" t="str">
        <f ca="1">INDEX(INDIRECT(zoneFichierTraite),$J348+offsetInitialFichierTraite,4)</f>
        <v>OBAGT002-FAS09-067</v>
      </c>
      <c r="C348" s="26" t="str">
        <f ca="1">INDEX(INDIRECT(zoneFichierTraite),$J348+offsetInitialFichierTraite,5)</f>
        <v>REVERS O BAG MINI EN FAUSSE FOURRURE LAPIN REX</v>
      </c>
      <c r="D348" s="27" t="str">
        <f ca="1">INDEX(INDIRECT(zoneFichierTraite),$J348+offsetInitialFichierTraite,13)</f>
        <v>phard</v>
      </c>
      <c r="E348" s="30">
        <f ca="1">INDEX(INDIRECT(zoneFichierTraite),$J348+offsetInitialFichierTraite,7)</f>
        <v>2</v>
      </c>
      <c r="F348" s="28">
        <f ca="1">INDEX(INDIRECT(zoneFichierTraite),$J348+offsetInitialFichierTraite,8)</f>
        <v>18.48</v>
      </c>
      <c r="G348" s="29">
        <f t="shared" ref="G348:G411" ca="1" si="158">ROUNDUP(F348*3,0)</f>
        <v>56</v>
      </c>
      <c r="H348" s="32" t="str">
        <f ca="1">IF(ISNUMBER(N348),codeEAN13(INT(N348/10)),"")</f>
        <v>8APGKTJ*bhjjah+</v>
      </c>
      <c r="J348" s="15">
        <f t="shared" si="149"/>
        <v>170</v>
      </c>
      <c r="L348" s="5" t="str">
        <f ca="1">INDEX(INDIRECT(zoneFichierTraite),$J348+offsetInitialFichierTraite,1)</f>
        <v>'170</v>
      </c>
      <c r="M348" s="11">
        <f ca="1">INDEX(INDIRECT(zoneFichierTraite),$J348+offsetInitialFichierTraite,9)</f>
        <v>36.96</v>
      </c>
      <c r="N348" s="14">
        <f ca="1">INDEX(INDIRECT(zoneFichierTraite),$J348+offsetInitialFichierTraite,3)</f>
        <v>8056099179907</v>
      </c>
      <c r="O348" s="1">
        <f ca="1">MATCH(N348,INDIRECT(nomFichierEAN13Valmag &amp; "!A:A"),0)</f>
        <v>1059</v>
      </c>
      <c r="P348" s="1">
        <f ca="1">MATCH(R348,INDIRECT(nomFichierEAN13Valmag &amp; "!A:A"),0)</f>
        <v>53</v>
      </c>
      <c r="Q348" s="1">
        <f ca="1">MATCH(LEFT(B348,14) &amp; "*",INDIRECT(nomFichierEAN13Valmag &amp; "!B:B"),0)</f>
        <v>53</v>
      </c>
      <c r="R348" s="14">
        <f ca="1">IFERROR(INDEX(INDIRECT(zoneFichierEAN13Valmag),Q348,1),"")</f>
        <v>8050538590896</v>
      </c>
      <c r="S348" s="1">
        <f ca="1">MATCH(B348,INDIRECT(nomFichierFiltreCatalogue &amp; "!B:B"),0)</f>
        <v>317</v>
      </c>
      <c r="T348" s="14"/>
    </row>
    <row r="349" spans="1:20" s="20" customFormat="1" ht="15.75" customHeight="1" x14ac:dyDescent="0.25">
      <c r="A349" s="25">
        <f ca="1">INDEX(INDIRECT(zoneFichierTraite),$J348+offsetInitialFichierTraite,2)</f>
        <v>53</v>
      </c>
      <c r="B349" s="45" t="str">
        <f ca="1">IF(C349="", IFERROR(INDEX(INDIRECT(zoneFichierEAN13Valmag),$P348,3),""), "")</f>
        <v/>
      </c>
      <c r="C349" s="44" t="str">
        <f ca="1">IFERROR(INDEX(INDIRECT(zoneFichierEAN13Valmag),$O348,3),"")</f>
        <v xml:space="preserve">MINIECOFOURRURE </v>
      </c>
      <c r="D349" s="19" t="str">
        <f ca="1">IFERROR(INDEX(INDIRECT(zoneFichierEAN13Valmag),$O348,4),"")</f>
        <v>LAPHA</v>
      </c>
      <c r="E349" s="33" t="str">
        <f ca="1">IFERROR(INDEX(INDIRECT(zoneFichierFiltreCatalogue),S348,3),"")</f>
        <v>p067-1-04</v>
      </c>
      <c r="F349" s="19"/>
      <c r="G349" s="18"/>
      <c r="H349" s="34" t="str">
        <f ca="1">IFERROR(INDEX(INDIRECT(zoneFichierFiltreCatalogue),S348,6),"")</f>
        <v>fall 2019 presentation_/catalogo fall 19.txt</v>
      </c>
      <c r="R349" s="21"/>
      <c r="S349" s="21"/>
    </row>
    <row r="350" spans="1:20" ht="39" customHeight="1" thickBot="1" x14ac:dyDescent="0.65">
      <c r="A350" s="9" t="str">
        <f ca="1">INDEX(INDIRECT(zoneFichierTraite),$J350+offsetInitialFichierTraite,6)</f>
        <v>UNICA</v>
      </c>
      <c r="B350" s="5" t="str">
        <f ca="1">INDEX(INDIRECT(zoneFichierTraite),$J350+offsetInitialFichierTraite,4)</f>
        <v>OBAGT002-FAS09-615</v>
      </c>
      <c r="C350" s="26" t="str">
        <f ca="1">INDEX(INDIRECT(zoneFichierTraite),$J350+offsetInitialFichierTraite,5)</f>
        <v>REVERS O BAG MINI EN FAUSSE FOURRURE LAPIN REX</v>
      </c>
      <c r="D350" s="27" t="str">
        <f ca="1">INDEX(INDIRECT(zoneFichierTraite),$J350+offsetInitialFichierTraite,13)</f>
        <v>military</v>
      </c>
      <c r="E350" s="30">
        <f ca="1">INDEX(INDIRECT(zoneFichierTraite),$J350+offsetInitialFichierTraite,7)</f>
        <v>2</v>
      </c>
      <c r="F350" s="28">
        <f ca="1">INDEX(INDIRECT(zoneFichierTraite),$J350+offsetInitialFichierTraite,8)</f>
        <v>18.48</v>
      </c>
      <c r="G350" s="29">
        <f t="shared" ref="G350:G413" ca="1" si="159">ROUNDUP(F350*3,0)</f>
        <v>56</v>
      </c>
      <c r="H350" s="32" t="str">
        <f ca="1">IF(ISNUMBER(N350),codeEAN13(INT(N350/10)),"")</f>
        <v>8APASOG*ajbbbf+</v>
      </c>
      <c r="J350" s="15">
        <f t="shared" si="149"/>
        <v>171</v>
      </c>
      <c r="L350" s="5" t="str">
        <f ca="1">INDEX(INDIRECT(zoneFichierTraite),$J350+offsetInitialFichierTraite,1)</f>
        <v>'171</v>
      </c>
      <c r="M350" s="11">
        <f ca="1">INDEX(INDIRECT(zoneFichierTraite),$J350+offsetInitialFichierTraite,9)</f>
        <v>36.96</v>
      </c>
      <c r="N350" s="14">
        <f ca="1">INDEX(INDIRECT(zoneFichierTraite),$J350+offsetInitialFichierTraite,3)</f>
        <v>8050846091115</v>
      </c>
      <c r="O350" s="1">
        <f ca="1">MATCH(N350,INDIRECT(nomFichierEAN13Valmag &amp; "!A:A"),0)</f>
        <v>789</v>
      </c>
      <c r="P350" s="1">
        <f ca="1">MATCH(R350,INDIRECT(nomFichierEAN13Valmag &amp; "!A:A"),0)</f>
        <v>53</v>
      </c>
      <c r="Q350" s="1">
        <f ca="1">MATCH(LEFT(B350,14) &amp; "*",INDIRECT(nomFichierEAN13Valmag &amp; "!B:B"),0)</f>
        <v>53</v>
      </c>
      <c r="R350" s="14">
        <f ca="1">IFERROR(INDEX(INDIRECT(zoneFichierEAN13Valmag),Q350,1),"")</f>
        <v>8050538590896</v>
      </c>
      <c r="S350" s="1">
        <f ca="1">MATCH(B350,INDIRECT(nomFichierFiltreCatalogue &amp; "!B:B"),0)</f>
        <v>321</v>
      </c>
      <c r="T350" s="14"/>
    </row>
    <row r="351" spans="1:20" s="20" customFormat="1" ht="15.75" customHeight="1" x14ac:dyDescent="0.25">
      <c r="A351" s="25">
        <f ca="1">INDEX(INDIRECT(zoneFichierTraite),$J350+offsetInitialFichierTraite,2)</f>
        <v>126</v>
      </c>
      <c r="B351" s="45" t="str">
        <f ca="1">IF(C351="", IFERROR(INDEX(INDIRECT(zoneFichierEAN13Valmag),$P350,3),""), "")</f>
        <v/>
      </c>
      <c r="C351" s="44" t="str">
        <f ca="1">IFERROR(INDEX(INDIRECT(zoneFichierEAN13Valmag),$O350,3),"")</f>
        <v xml:space="preserve"> </v>
      </c>
      <c r="D351" s="19" t="str">
        <f ca="1">IFERROR(INDEX(INDIRECT(zoneFichierEAN13Valmag),$O350,4),"")</f>
        <v xml:space="preserve"> </v>
      </c>
      <c r="E351" s="33" t="str">
        <f ca="1">IFERROR(INDEX(INDIRECT(zoneFichierFiltreCatalogue),S350,3),"")</f>
        <v>p067-1-08</v>
      </c>
      <c r="F351" s="19"/>
      <c r="G351" s="18"/>
      <c r="H351" s="34" t="str">
        <f ca="1">IFERROR(INDEX(INDIRECT(zoneFichierFiltreCatalogue),S350,6),"")</f>
        <v>fall 2019 presentation_/catalogo fall 19.txt</v>
      </c>
      <c r="R351" s="21"/>
      <c r="S351" s="21"/>
    </row>
    <row r="352" spans="1:20" ht="39" customHeight="1" thickBot="1" x14ac:dyDescent="0.65">
      <c r="A352" s="9" t="str">
        <f ca="1">INDEX(INDIRECT(zoneFichierTraite),$J352+offsetInitialFichierTraite,6)</f>
        <v>UNICA</v>
      </c>
      <c r="B352" s="5" t="str">
        <f ca="1">INDEX(INDIRECT(zoneFichierTraite),$J352+offsetInitialFichierTraite,4)</f>
        <v>OBAGT002-FAS58-078</v>
      </c>
      <c r="C352" s="26" t="str">
        <f ca="1">INDEX(INDIRECT(zoneFichierTraite),$J352+offsetInitialFichierTraite,5)</f>
        <v>REVERS O BAG MINI EN FAUSSE FOURRURE CASTOR</v>
      </c>
      <c r="D352" s="27" t="str">
        <f ca="1">INDEX(INDIRECT(zoneFichierTraite),$J352+offsetInitialFichierTraite,13)</f>
        <v>sabbia</v>
      </c>
      <c r="E352" s="30">
        <f ca="1">INDEX(INDIRECT(zoneFichierTraite),$J352+offsetInitialFichierTraite,7)</f>
        <v>2</v>
      </c>
      <c r="F352" s="28">
        <f ca="1">INDEX(INDIRECT(zoneFichierTraite),$J352+offsetInitialFichierTraite,8)</f>
        <v>24.07</v>
      </c>
      <c r="G352" s="29">
        <f t="shared" ref="G352:G415" ca="1" si="160">ROUNDUP(F352*3,0)</f>
        <v>73</v>
      </c>
      <c r="H352" s="32" t="str">
        <f ca="1">IF(ISNUMBER(N352),codeEAN13(INT(N352/10)),"")</f>
        <v>8APASOG*ajbagb+</v>
      </c>
      <c r="J352" s="15">
        <f t="shared" si="149"/>
        <v>172</v>
      </c>
      <c r="L352" s="5" t="str">
        <f ca="1">INDEX(INDIRECT(zoneFichierTraite),$J352+offsetInitialFichierTraite,1)</f>
        <v>'172</v>
      </c>
      <c r="M352" s="11">
        <f ca="1">INDEX(INDIRECT(zoneFichierTraite),$J352+offsetInitialFichierTraite,9)</f>
        <v>48.14</v>
      </c>
      <c r="N352" s="14">
        <f ca="1">INDEX(INDIRECT(zoneFichierTraite),$J352+offsetInitialFichierTraite,3)</f>
        <v>8050846091061</v>
      </c>
      <c r="O352" s="1">
        <f ca="1">MATCH(N352,INDIRECT(nomFichierEAN13Valmag &amp; "!A:A"),0)</f>
        <v>784</v>
      </c>
      <c r="P352" s="1">
        <f ca="1">MATCH(R352,INDIRECT(nomFichierEAN13Valmag &amp; "!A:A"),0)</f>
        <v>784</v>
      </c>
      <c r="Q352" s="1">
        <f ca="1">MATCH(LEFT(B352,14) &amp; "*",INDIRECT(nomFichierEAN13Valmag &amp; "!B:B"),0)</f>
        <v>784</v>
      </c>
      <c r="R352" s="14">
        <f ca="1">IFERROR(INDEX(INDIRECT(zoneFichierEAN13Valmag),Q352,1),"")</f>
        <v>8050846091061</v>
      </c>
      <c r="S352" s="1">
        <f ca="1">MATCH(B352,INDIRECT(nomFichierFiltreCatalogue &amp; "!B:B"),0)</f>
        <v>322</v>
      </c>
      <c r="T352" s="14"/>
    </row>
    <row r="353" spans="1:20" s="20" customFormat="1" ht="15.75" customHeight="1" x14ac:dyDescent="0.25">
      <c r="A353" s="25">
        <f ca="1">INDEX(INDIRECT(zoneFichierTraite),$J352+offsetInitialFichierTraite,2)</f>
        <v>39</v>
      </c>
      <c r="B353" s="45" t="str">
        <f ca="1">IF(C353="", IFERROR(INDEX(INDIRECT(zoneFichierEAN13Valmag),$P352,3),""), "")</f>
        <v/>
      </c>
      <c r="C353" s="44" t="str">
        <f ca="1">IFERROR(INDEX(INDIRECT(zoneFichierEAN13Valmag),$O352,3),"")</f>
        <v xml:space="preserve"> </v>
      </c>
      <c r="D353" s="19" t="str">
        <f ca="1">IFERROR(INDEX(INDIRECT(zoneFichierEAN13Valmag),$O352,4),"")</f>
        <v xml:space="preserve"> </v>
      </c>
      <c r="E353" s="33" t="str">
        <f ca="1">IFERROR(INDEX(INDIRECT(zoneFichierFiltreCatalogue),S352,3),"")</f>
        <v>p068-1-01</v>
      </c>
      <c r="F353" s="19"/>
      <c r="G353" s="18"/>
      <c r="H353" s="34" t="str">
        <f ca="1">IFERROR(INDEX(INDIRECT(zoneFichierFiltreCatalogue),S352,6),"")</f>
        <v>fall 2019 presentation_/catalogo fall 19.txt</v>
      </c>
      <c r="R353" s="21"/>
      <c r="S353" s="21"/>
    </row>
    <row r="354" spans="1:20" ht="39" customHeight="1" thickBot="1" x14ac:dyDescent="0.65">
      <c r="A354" s="9" t="str">
        <f ca="1">INDEX(INDIRECT(zoneFichierTraite),$J354+offsetInitialFichierTraite,6)</f>
        <v>UNICA</v>
      </c>
      <c r="B354" s="5" t="str">
        <f ca="1">INDEX(INDIRECT(zoneFichierTraite),$J354+offsetInitialFichierTraite,4)</f>
        <v>OBAGT002-FAS58-084</v>
      </c>
      <c r="C354" s="26" t="str">
        <f ca="1">INDEX(INDIRECT(zoneFichierTraite),$J354+offsetInitialFichierTraite,5)</f>
        <v>REVERS O BAG MINI EN FAUSSE FOURRURE CASTOR</v>
      </c>
      <c r="D354" s="27" t="str">
        <f ca="1">INDEX(INDIRECT(zoneFichierTraite),$J354+offsetInitialFichierTraite,13)</f>
        <v>testa di moro</v>
      </c>
      <c r="E354" s="30">
        <f ca="1">INDEX(INDIRECT(zoneFichierTraite),$J354+offsetInitialFichierTraite,7)</f>
        <v>2</v>
      </c>
      <c r="F354" s="28">
        <f ca="1">INDEX(INDIRECT(zoneFichierTraite),$J354+offsetInitialFichierTraite,8)</f>
        <v>24.07</v>
      </c>
      <c r="G354" s="29">
        <f t="shared" ref="G354:G417" ca="1" si="161">ROUNDUP(F354*3,0)</f>
        <v>73</v>
      </c>
      <c r="H354" s="32" t="str">
        <f ca="1">IF(ISNUMBER(N354),codeEAN13(INT(N354/10)),"")</f>
        <v>8APASOG*ajbahi+</v>
      </c>
      <c r="J354" s="15">
        <f t="shared" si="149"/>
        <v>173</v>
      </c>
      <c r="L354" s="5" t="str">
        <f ca="1">INDEX(INDIRECT(zoneFichierTraite),$J354+offsetInitialFichierTraite,1)</f>
        <v>'173</v>
      </c>
      <c r="M354" s="11">
        <f ca="1">INDEX(INDIRECT(zoneFichierTraite),$J354+offsetInitialFichierTraite,9)</f>
        <v>48.14</v>
      </c>
      <c r="N354" s="14">
        <f ca="1">INDEX(INDIRECT(zoneFichierTraite),$J354+offsetInitialFichierTraite,3)</f>
        <v>8050846091078</v>
      </c>
      <c r="O354" s="1">
        <f ca="1">MATCH(N354,INDIRECT(nomFichierEAN13Valmag &amp; "!A:A"),0)</f>
        <v>785</v>
      </c>
      <c r="P354" s="1">
        <f ca="1">MATCH(R354,INDIRECT(nomFichierEAN13Valmag &amp; "!A:A"),0)</f>
        <v>784</v>
      </c>
      <c r="Q354" s="1">
        <f ca="1">MATCH(LEFT(B354,14) &amp; "*",INDIRECT(nomFichierEAN13Valmag &amp; "!B:B"),0)</f>
        <v>784</v>
      </c>
      <c r="R354" s="14">
        <f ca="1">IFERROR(INDEX(INDIRECT(zoneFichierEAN13Valmag),Q354,1),"")</f>
        <v>8050846091061</v>
      </c>
      <c r="S354" s="1">
        <f ca="1">MATCH(B354,INDIRECT(nomFichierFiltreCatalogue &amp; "!B:B"),0)</f>
        <v>323</v>
      </c>
      <c r="T354" s="14"/>
    </row>
    <row r="355" spans="1:20" s="20" customFormat="1" ht="15.75" customHeight="1" x14ac:dyDescent="0.25">
      <c r="A355" s="25">
        <f ca="1">INDEX(INDIRECT(zoneFichierTraite),$J354+offsetInitialFichierTraite,2)</f>
        <v>135</v>
      </c>
      <c r="B355" s="45" t="str">
        <f ca="1">IF(C355="", IFERROR(INDEX(INDIRECT(zoneFichierEAN13Valmag),$P354,3),""), "")</f>
        <v/>
      </c>
      <c r="C355" s="44" t="str">
        <f ca="1">IFERROR(INDEX(INDIRECT(zoneFichierEAN13Valmag),$O354,3),"")</f>
        <v xml:space="preserve"> </v>
      </c>
      <c r="D355" s="19" t="str">
        <f ca="1">IFERROR(INDEX(INDIRECT(zoneFichierEAN13Valmag),$O354,4),"")</f>
        <v xml:space="preserve"> </v>
      </c>
      <c r="E355" s="33" t="str">
        <f ca="1">IFERROR(INDEX(INDIRECT(zoneFichierFiltreCatalogue),S354,3),"")</f>
        <v>p068-1-02</v>
      </c>
      <c r="F355" s="19"/>
      <c r="G355" s="18"/>
      <c r="H355" s="34" t="str">
        <f ca="1">IFERROR(INDEX(INDIRECT(zoneFichierFiltreCatalogue),S354,6),"")</f>
        <v>fall 2019 presentation_/catalogo fall 19.txt</v>
      </c>
      <c r="R355" s="21"/>
      <c r="S355" s="21"/>
    </row>
    <row r="356" spans="1:20" ht="39" customHeight="1" thickBot="1" x14ac:dyDescent="0.65">
      <c r="A356" s="9" t="str">
        <f ca="1">INDEX(INDIRECT(zoneFichierTraite),$J356+offsetInitialFichierTraite,6)</f>
        <v>UNICA</v>
      </c>
      <c r="B356" s="5" t="str">
        <f ca="1">INDEX(INDIRECT(zoneFichierTraite),$J356+offsetInitialFichierTraite,4)</f>
        <v>OBAGT002-FAS59-227</v>
      </c>
      <c r="C356" s="26" t="str">
        <f ca="1">INDEX(INDIRECT(zoneFichierTraite),$J356+offsetInitialFichierTraite,5)</f>
        <v>REVERS O BAG MINI EN FAUSSE FOURRURE LAPIN MARBLE</v>
      </c>
      <c r="D356" s="27" t="str">
        <f ca="1">INDEX(INDIRECT(zoneFichierTraite),$J356+offsetInitialFichierTraite,13)</f>
        <v>bianco/nero</v>
      </c>
      <c r="E356" s="30">
        <f ca="1">INDEX(INDIRECT(zoneFichierTraite),$J356+offsetInitialFichierTraite,7)</f>
        <v>2</v>
      </c>
      <c r="F356" s="28">
        <f ca="1">INDEX(INDIRECT(zoneFichierTraite),$J356+offsetInitialFichierTraite,8)</f>
        <v>20.37</v>
      </c>
      <c r="G356" s="29">
        <f t="shared" ref="G356:G419" ca="1" si="162">ROUNDUP(F356*3,0)</f>
        <v>62</v>
      </c>
      <c r="H356" s="32" t="str">
        <f ca="1">IF(ISNUMBER(N356),codeEAN13(INT(N356/10)),"")</f>
        <v>8APASOG*ajbajc+</v>
      </c>
      <c r="J356" s="15">
        <f t="shared" si="149"/>
        <v>174</v>
      </c>
      <c r="L356" s="5" t="str">
        <f ca="1">INDEX(INDIRECT(zoneFichierTraite),$J356+offsetInitialFichierTraite,1)</f>
        <v>'174</v>
      </c>
      <c r="M356" s="11">
        <f ca="1">INDEX(INDIRECT(zoneFichierTraite),$J356+offsetInitialFichierTraite,9)</f>
        <v>40.74</v>
      </c>
      <c r="N356" s="14">
        <f ca="1">INDEX(INDIRECT(zoneFichierTraite),$J356+offsetInitialFichierTraite,3)</f>
        <v>8050846091092</v>
      </c>
      <c r="O356" s="1">
        <f ca="1">MATCH(N356,INDIRECT(nomFichierEAN13Valmag &amp; "!A:A"),0)</f>
        <v>787</v>
      </c>
      <c r="P356" s="1">
        <f ca="1">MATCH(R356,INDIRECT(nomFichierEAN13Valmag &amp; "!A:A"),0)</f>
        <v>787</v>
      </c>
      <c r="Q356" s="1">
        <f ca="1">MATCH(LEFT(B356,14) &amp; "*",INDIRECT(nomFichierEAN13Valmag &amp; "!B:B"),0)</f>
        <v>787</v>
      </c>
      <c r="R356" s="14">
        <f ca="1">IFERROR(INDEX(INDIRECT(zoneFichierEAN13Valmag),Q356,1),"")</f>
        <v>8050846091092</v>
      </c>
      <c r="S356" s="1">
        <f ca="1">MATCH(B356,INDIRECT(nomFichierFiltreCatalogue &amp; "!B:B"),0)</f>
        <v>325</v>
      </c>
      <c r="T356" s="14"/>
    </row>
    <row r="357" spans="1:20" s="20" customFormat="1" ht="15.75" customHeight="1" x14ac:dyDescent="0.25">
      <c r="A357" s="25">
        <f ca="1">INDEX(INDIRECT(zoneFichierTraite),$J356+offsetInitialFichierTraite,2)</f>
        <v>68</v>
      </c>
      <c r="B357" s="45" t="str">
        <f ca="1">IF(C357="", IFERROR(INDEX(INDIRECT(zoneFichierEAN13Valmag),$P356,3),""), "")</f>
        <v/>
      </c>
      <c r="C357" s="44" t="str">
        <f ca="1">IFERROR(INDEX(INDIRECT(zoneFichierEAN13Valmag),$O356,3),"")</f>
        <v xml:space="preserve"> </v>
      </c>
      <c r="D357" s="19" t="str">
        <f ca="1">IFERROR(INDEX(INDIRECT(zoneFichierEAN13Valmag),$O356,4),"")</f>
        <v xml:space="preserve"> </v>
      </c>
      <c r="E357" s="33" t="str">
        <f ca="1">IFERROR(INDEX(INDIRECT(zoneFichierFiltreCatalogue),S356,3),"")</f>
        <v>p069-1-01</v>
      </c>
      <c r="F357" s="19"/>
      <c r="G357" s="18"/>
      <c r="H357" s="34" t="str">
        <f ca="1">IFERROR(INDEX(INDIRECT(zoneFichierFiltreCatalogue),S356,6),"")</f>
        <v>fall 2019 presentation_/catalogo fall 19.txt</v>
      </c>
      <c r="R357" s="21"/>
      <c r="S357" s="21"/>
    </row>
    <row r="358" spans="1:20" ht="39" customHeight="1" thickBot="1" x14ac:dyDescent="0.65">
      <c r="A358" s="9" t="str">
        <f ca="1">INDEX(INDIRECT(zoneFichierTraite),$J358+offsetInitialFichierTraite,6)</f>
        <v>UNICA</v>
      </c>
      <c r="B358" s="5" t="str">
        <f ca="1">INDEX(INDIRECT(zoneFichierTraite),$J358+offsetInitialFichierTraite,4)</f>
        <v>OBAGT002-FAS60-227</v>
      </c>
      <c r="C358" s="26" t="str">
        <f ca="1">INDEX(INDIRECT(zoneFichierTraite),$J358+offsetInitialFichierTraite,5)</f>
        <v>REVERS O BAG MINI EN FAUSSE FOURRURE RENARD MARQUETEE</v>
      </c>
      <c r="D358" s="27" t="str">
        <f ca="1">INDEX(INDIRECT(zoneFichierTraite),$J358+offsetInitialFichierTraite,13)</f>
        <v>bianco/nero</v>
      </c>
      <c r="E358" s="30">
        <f ca="1">INDEX(INDIRECT(zoneFichierTraite),$J358+offsetInitialFichierTraite,7)</f>
        <v>2</v>
      </c>
      <c r="F358" s="28">
        <f ca="1">INDEX(INDIRECT(zoneFichierTraite),$J358+offsetInitialFichierTraite,8)</f>
        <v>27.04</v>
      </c>
      <c r="G358" s="29">
        <f t="shared" ref="G358:G421" ca="1" si="163">ROUNDUP(F358*3,0)</f>
        <v>82</v>
      </c>
      <c r="H358" s="32" t="str">
        <f ca="1">IF(ISNUMBER(N358),codeEAN13(INT(N358/10)),"")</f>
        <v>8APASOG*ajbbai+</v>
      </c>
      <c r="J358" s="15">
        <f t="shared" si="149"/>
        <v>175</v>
      </c>
      <c r="L358" s="5" t="str">
        <f ca="1">INDEX(INDIRECT(zoneFichierTraite),$J358+offsetInitialFichierTraite,1)</f>
        <v>'175</v>
      </c>
      <c r="M358" s="11">
        <f ca="1">INDEX(INDIRECT(zoneFichierTraite),$J358+offsetInitialFichierTraite,9)</f>
        <v>54.08</v>
      </c>
      <c r="N358" s="14">
        <f ca="1">INDEX(INDIRECT(zoneFichierTraite),$J358+offsetInitialFichierTraite,3)</f>
        <v>8050846091108</v>
      </c>
      <c r="O358" s="1">
        <f ca="1">MATCH(N358,INDIRECT(nomFichierEAN13Valmag &amp; "!A:A"),0)</f>
        <v>788</v>
      </c>
      <c r="P358" s="1">
        <f ca="1">MATCH(R358,INDIRECT(nomFichierEAN13Valmag &amp; "!A:A"),0)</f>
        <v>788</v>
      </c>
      <c r="Q358" s="1">
        <f ca="1">MATCH(LEFT(B358,14) &amp; "*",INDIRECT(nomFichierEAN13Valmag &amp; "!B:B"),0)</f>
        <v>788</v>
      </c>
      <c r="R358" s="14">
        <f ca="1">IFERROR(INDEX(INDIRECT(zoneFichierEAN13Valmag),Q358,1),"")</f>
        <v>8050846091108</v>
      </c>
      <c r="S358" s="1">
        <f ca="1">MATCH(B358,INDIRECT(nomFichierFiltreCatalogue &amp; "!B:B"),0)</f>
        <v>324</v>
      </c>
      <c r="T358" s="14"/>
    </row>
    <row r="359" spans="1:20" s="20" customFormat="1" ht="15.75" customHeight="1" x14ac:dyDescent="0.25">
      <c r="A359" s="25">
        <f ca="1">INDEX(INDIRECT(zoneFichierTraite),$J358+offsetInitialFichierTraite,2)</f>
        <v>6</v>
      </c>
      <c r="B359" s="45" t="str">
        <f ca="1">IF(C359="", IFERROR(INDEX(INDIRECT(zoneFichierEAN13Valmag),$P358,3),""), "")</f>
        <v/>
      </c>
      <c r="C359" s="44" t="str">
        <f ca="1">IFERROR(INDEX(INDIRECT(zoneFichierEAN13Valmag),$O358,3),"")</f>
        <v xml:space="preserve"> </v>
      </c>
      <c r="D359" s="19" t="str">
        <f ca="1">IFERROR(INDEX(INDIRECT(zoneFichierEAN13Valmag),$O358,4),"")</f>
        <v xml:space="preserve"> </v>
      </c>
      <c r="E359" s="33" t="str">
        <f ca="1">IFERROR(INDEX(INDIRECT(zoneFichierFiltreCatalogue),S358,3),"")</f>
        <v>p068-2-01</v>
      </c>
      <c r="F359" s="19"/>
      <c r="G359" s="18"/>
      <c r="H359" s="34" t="str">
        <f ca="1">IFERROR(INDEX(INDIRECT(zoneFichierFiltreCatalogue),S358,6),"")</f>
        <v>fall 2019 presentation_/catalogo fall 19.txt</v>
      </c>
      <c r="R359" s="21"/>
      <c r="S359" s="21"/>
    </row>
    <row r="360" spans="1:20" ht="39" customHeight="1" thickBot="1" x14ac:dyDescent="0.65">
      <c r="A360" s="9" t="str">
        <f ca="1">INDEX(INDIRECT(zoneFichierTraite),$J360+offsetInitialFichierTraite,6)</f>
        <v>UNICA</v>
      </c>
      <c r="B360" s="5" t="str">
        <f ca="1">INDEX(INDIRECT(zoneFichierTraite),$J360+offsetInitialFichierTraite,4)</f>
        <v>OBAGT002-LAS43-017</v>
      </c>
      <c r="C360" s="26" t="str">
        <f ca="1">INDEX(INDIRECT(zoneFichierTraite),$J360+offsetInitialFichierTraite,5)</f>
        <v>REVERS O BAG MINI EN LAINE COPENHAGUE</v>
      </c>
      <c r="D360" s="27" t="str">
        <f ca="1">INDEX(INDIRECT(zoneFichierTraite),$J360+offsetInitialFichierTraite,13)</f>
        <v>blu navy</v>
      </c>
      <c r="E360" s="30">
        <f ca="1">INDEX(INDIRECT(zoneFichierTraite),$J360+offsetInitialFichierTraite,7)</f>
        <v>2</v>
      </c>
      <c r="F360" s="28">
        <f ca="1">INDEX(INDIRECT(zoneFichierTraite),$J360+offsetInitialFichierTraite,8)</f>
        <v>10.74</v>
      </c>
      <c r="G360" s="29">
        <f t="shared" ref="G360:G423" ca="1" si="164">ROUNDUP(F360*3,0)</f>
        <v>33</v>
      </c>
      <c r="H360" s="32" t="str">
        <f ca="1">IF(ISNUMBER(N360),codeEAN13(INT(N360/10)),"")</f>
        <v>8APASOG*ajbada+</v>
      </c>
      <c r="J360" s="15">
        <f t="shared" si="149"/>
        <v>176</v>
      </c>
      <c r="L360" s="5" t="str">
        <f ca="1">INDEX(INDIRECT(zoneFichierTraite),$J360+offsetInitialFichierTraite,1)</f>
        <v>'176</v>
      </c>
      <c r="M360" s="11">
        <f ca="1">INDEX(INDIRECT(zoneFichierTraite),$J360+offsetInitialFichierTraite,9)</f>
        <v>21.48</v>
      </c>
      <c r="N360" s="14">
        <f ca="1">INDEX(INDIRECT(zoneFichierTraite),$J360+offsetInitialFichierTraite,3)</f>
        <v>8050846091030</v>
      </c>
      <c r="O360" s="1">
        <f ca="1">MATCH(N360,INDIRECT(nomFichierEAN13Valmag &amp; "!A:A"),0)</f>
        <v>781</v>
      </c>
      <c r="P360" s="1">
        <f ca="1">MATCH(R360,INDIRECT(nomFichierEAN13Valmag &amp; "!A:A"),0)</f>
        <v>781</v>
      </c>
      <c r="Q360" s="1">
        <f ca="1">MATCH(LEFT(B360,14) &amp; "*",INDIRECT(nomFichierEAN13Valmag &amp; "!B:B"),0)</f>
        <v>781</v>
      </c>
      <c r="R360" s="14">
        <f ca="1">IFERROR(INDEX(INDIRECT(zoneFichierEAN13Valmag),Q360,1),"")</f>
        <v>8050846091030</v>
      </c>
      <c r="S360" s="1">
        <f ca="1">MATCH(B360,INDIRECT(nomFichierFiltreCatalogue &amp; "!B:B"),0)</f>
        <v>326</v>
      </c>
      <c r="T360" s="14"/>
    </row>
    <row r="361" spans="1:20" s="20" customFormat="1" ht="15.75" customHeight="1" x14ac:dyDescent="0.25">
      <c r="A361" s="25">
        <f ca="1">INDEX(INDIRECT(zoneFichierTraite),$J360+offsetInitialFichierTraite,2)</f>
        <v>177</v>
      </c>
      <c r="B361" s="45" t="str">
        <f ca="1">IF(C361="", IFERROR(INDEX(INDIRECT(zoneFichierEAN13Valmag),$P360,3),""), "")</f>
        <v/>
      </c>
      <c r="C361" s="44" t="str">
        <f ca="1">IFERROR(INDEX(INDIRECT(zoneFichierEAN13Valmag),$O360,3),"")</f>
        <v xml:space="preserve"> </v>
      </c>
      <c r="D361" s="19" t="str">
        <f ca="1">IFERROR(INDEX(INDIRECT(zoneFichierEAN13Valmag),$O360,4),"")</f>
        <v xml:space="preserve"> </v>
      </c>
      <c r="E361" s="33" t="str">
        <f ca="1">IFERROR(INDEX(INDIRECT(zoneFichierFiltreCatalogue),S360,3),"")</f>
        <v>p069-2-01</v>
      </c>
      <c r="F361" s="19"/>
      <c r="G361" s="18"/>
      <c r="H361" s="34" t="str">
        <f ca="1">IFERROR(INDEX(INDIRECT(zoneFichierFiltreCatalogue),S360,6),"")</f>
        <v>fall 2019 presentation_/catalogo fall 19.txt</v>
      </c>
      <c r="R361" s="21"/>
      <c r="S361" s="21"/>
    </row>
    <row r="362" spans="1:20" ht="39" customHeight="1" thickBot="1" x14ac:dyDescent="0.65">
      <c r="A362" s="9" t="str">
        <f ca="1">INDEX(INDIRECT(zoneFichierTraite),$J362+offsetInitialFichierTraite,6)</f>
        <v>UNICA</v>
      </c>
      <c r="B362" s="5" t="str">
        <f ca="1">INDEX(INDIRECT(zoneFichierTraite),$J362+offsetInitialFichierTraite,4)</f>
        <v>OBAGT002-LAS43-078</v>
      </c>
      <c r="C362" s="26" t="str">
        <f ca="1">INDEX(INDIRECT(zoneFichierTraite),$J362+offsetInitialFichierTraite,5)</f>
        <v>REVERS O BAG MINI EN LAINE COPENHAGUE</v>
      </c>
      <c r="D362" s="27" t="str">
        <f ca="1">INDEX(INDIRECT(zoneFichierTraite),$J362+offsetInitialFichierTraite,13)</f>
        <v>sabbia</v>
      </c>
      <c r="E362" s="30">
        <f ca="1">INDEX(INDIRECT(zoneFichierTraite),$J362+offsetInitialFichierTraite,7)</f>
        <v>2</v>
      </c>
      <c r="F362" s="28">
        <f ca="1">INDEX(INDIRECT(zoneFichierTraite),$J362+offsetInitialFichierTraite,8)</f>
        <v>10.74</v>
      </c>
      <c r="G362" s="29">
        <f t="shared" ref="G362:G425" ca="1" si="165">ROUNDUP(F362*3,0)</f>
        <v>33</v>
      </c>
      <c r="H362" s="32" t="str">
        <f ca="1">IF(ISNUMBER(N362),codeEAN13(INT(N362/10)),"")</f>
        <v>8APASOG*ajbafe+</v>
      </c>
      <c r="J362" s="15">
        <f t="shared" si="149"/>
        <v>177</v>
      </c>
      <c r="L362" s="5" t="str">
        <f ca="1">INDEX(INDIRECT(zoneFichierTraite),$J362+offsetInitialFichierTraite,1)</f>
        <v>'177</v>
      </c>
      <c r="M362" s="11">
        <f ca="1">INDEX(INDIRECT(zoneFichierTraite),$J362+offsetInitialFichierTraite,9)</f>
        <v>21.48</v>
      </c>
      <c r="N362" s="14">
        <f ca="1">INDEX(INDIRECT(zoneFichierTraite),$J362+offsetInitialFichierTraite,3)</f>
        <v>8050846091054</v>
      </c>
      <c r="O362" s="1">
        <f ca="1">MATCH(N362,INDIRECT(nomFichierEAN13Valmag &amp; "!A:A"),0)</f>
        <v>783</v>
      </c>
      <c r="P362" s="1">
        <f ca="1">MATCH(R362,INDIRECT(nomFichierEAN13Valmag &amp; "!A:A"),0)</f>
        <v>781</v>
      </c>
      <c r="Q362" s="1">
        <f ca="1">MATCH(LEFT(B362,14) &amp; "*",INDIRECT(nomFichierEAN13Valmag &amp; "!B:B"),0)</f>
        <v>781</v>
      </c>
      <c r="R362" s="14">
        <f ca="1">IFERROR(INDEX(INDIRECT(zoneFichierEAN13Valmag),Q362,1),"")</f>
        <v>8050846091030</v>
      </c>
      <c r="S362" s="1">
        <f ca="1">MATCH(B362,INDIRECT(nomFichierFiltreCatalogue &amp; "!B:B"),0)</f>
        <v>327</v>
      </c>
      <c r="T362" s="14"/>
    </row>
    <row r="363" spans="1:20" s="20" customFormat="1" ht="15.75" customHeight="1" x14ac:dyDescent="0.25">
      <c r="A363" s="25">
        <f ca="1">INDEX(INDIRECT(zoneFichierTraite),$J362+offsetInitialFichierTraite,2)</f>
        <v>121</v>
      </c>
      <c r="B363" s="45" t="str">
        <f ca="1">IF(C363="", IFERROR(INDEX(INDIRECT(zoneFichierEAN13Valmag),$P362,3),""), "")</f>
        <v/>
      </c>
      <c r="C363" s="44" t="str">
        <f ca="1">IFERROR(INDEX(INDIRECT(zoneFichierEAN13Valmag),$O362,3),"")</f>
        <v xml:space="preserve"> </v>
      </c>
      <c r="D363" s="19" t="str">
        <f ca="1">IFERROR(INDEX(INDIRECT(zoneFichierEAN13Valmag),$O362,4),"")</f>
        <v xml:space="preserve"> </v>
      </c>
      <c r="E363" s="33" t="str">
        <f ca="1">IFERROR(INDEX(INDIRECT(zoneFichierFiltreCatalogue),S362,3),"")</f>
        <v>p069-2-02</v>
      </c>
      <c r="F363" s="19"/>
      <c r="G363" s="18"/>
      <c r="H363" s="34" t="str">
        <f ca="1">IFERROR(INDEX(INDIRECT(zoneFichierFiltreCatalogue),S362,6),"")</f>
        <v>fall 2019 presentation_/catalogo fall 19.txt</v>
      </c>
      <c r="R363" s="21"/>
      <c r="S363" s="21"/>
    </row>
    <row r="364" spans="1:20" ht="39" customHeight="1" thickBot="1" x14ac:dyDescent="0.65">
      <c r="A364" s="9" t="str">
        <f ca="1">INDEX(INDIRECT(zoneFichierTraite),$J364+offsetInitialFichierTraite,6)</f>
        <v>UNICA</v>
      </c>
      <c r="B364" s="5" t="str">
        <f ca="1">INDEX(INDIRECT(zoneFichierTraite),$J364+offsetInitialFichierTraite,4)</f>
        <v>OBAGT002-LAS43-615</v>
      </c>
      <c r="C364" s="26" t="str">
        <f ca="1">INDEX(INDIRECT(zoneFichierTraite),$J364+offsetInitialFichierTraite,5)</f>
        <v>REVERS O BAG MINI EN LAINE COPENHAGUE</v>
      </c>
      <c r="D364" s="27" t="str">
        <f ca="1">INDEX(INDIRECT(zoneFichierTraite),$J364+offsetInitialFichierTraite,13)</f>
        <v>military</v>
      </c>
      <c r="E364" s="30">
        <f ca="1">INDEX(INDIRECT(zoneFichierTraite),$J364+offsetInitialFichierTraite,7)</f>
        <v>2</v>
      </c>
      <c r="F364" s="28">
        <f ca="1">INDEX(INDIRECT(zoneFichierTraite),$J364+offsetInitialFichierTraite,8)</f>
        <v>10.74</v>
      </c>
      <c r="G364" s="29">
        <f t="shared" ref="G364:G427" ca="1" si="166">ROUNDUP(F364*3,0)</f>
        <v>33</v>
      </c>
      <c r="H364" s="32" t="str">
        <f ca="1">IF(ISNUMBER(N364),codeEAN13(INT(N364/10)),"")</f>
        <v>8APASOG*ajbaeh+</v>
      </c>
      <c r="J364" s="15">
        <f t="shared" si="149"/>
        <v>178</v>
      </c>
      <c r="L364" s="5" t="str">
        <f ca="1">INDEX(INDIRECT(zoneFichierTraite),$J364+offsetInitialFichierTraite,1)</f>
        <v>'178</v>
      </c>
      <c r="M364" s="11">
        <f ca="1">INDEX(INDIRECT(zoneFichierTraite),$J364+offsetInitialFichierTraite,9)</f>
        <v>21.48</v>
      </c>
      <c r="N364" s="14">
        <f ca="1">INDEX(INDIRECT(zoneFichierTraite),$J364+offsetInitialFichierTraite,3)</f>
        <v>8050846091047</v>
      </c>
      <c r="O364" s="1">
        <f ca="1">MATCH(N364,INDIRECT(nomFichierEAN13Valmag &amp; "!A:A"),0)</f>
        <v>782</v>
      </c>
      <c r="P364" s="1">
        <f ca="1">MATCH(R364,INDIRECT(nomFichierEAN13Valmag &amp; "!A:A"),0)</f>
        <v>781</v>
      </c>
      <c r="Q364" s="1">
        <f ca="1">MATCH(LEFT(B364,14) &amp; "*",INDIRECT(nomFichierEAN13Valmag &amp; "!B:B"),0)</f>
        <v>781</v>
      </c>
      <c r="R364" s="14">
        <f ca="1">IFERROR(INDEX(INDIRECT(zoneFichierEAN13Valmag),Q364,1),"")</f>
        <v>8050846091030</v>
      </c>
      <c r="S364" s="1">
        <f ca="1">MATCH(B364,INDIRECT(nomFichierFiltreCatalogue &amp; "!B:B"),0)</f>
        <v>328</v>
      </c>
      <c r="T364" s="14"/>
    </row>
    <row r="365" spans="1:20" s="20" customFormat="1" ht="15.75" customHeight="1" x14ac:dyDescent="0.25">
      <c r="A365" s="25">
        <f ca="1">INDEX(INDIRECT(zoneFichierTraite),$J364+offsetInitialFichierTraite,2)</f>
        <v>73</v>
      </c>
      <c r="B365" s="45" t="str">
        <f ca="1">IF(C365="", IFERROR(INDEX(INDIRECT(zoneFichierEAN13Valmag),$P364,3),""), "")</f>
        <v/>
      </c>
      <c r="C365" s="44" t="str">
        <f ca="1">IFERROR(INDEX(INDIRECT(zoneFichierEAN13Valmag),$O364,3),"")</f>
        <v xml:space="preserve"> </v>
      </c>
      <c r="D365" s="19" t="str">
        <f ca="1">IFERROR(INDEX(INDIRECT(zoneFichierEAN13Valmag),$O364,4),"")</f>
        <v xml:space="preserve"> </v>
      </c>
      <c r="E365" s="33" t="str">
        <f ca="1">IFERROR(INDEX(INDIRECT(zoneFichierFiltreCatalogue),S364,3),"")</f>
        <v>p069-2-03</v>
      </c>
      <c r="F365" s="19"/>
      <c r="G365" s="18"/>
      <c r="H365" s="34" t="str">
        <f ca="1">IFERROR(INDEX(INDIRECT(zoneFichierFiltreCatalogue),S364,6),"")</f>
        <v>fall 2019 presentation_/catalogo fall 19.txt</v>
      </c>
      <c r="R365" s="21"/>
      <c r="S365" s="21"/>
    </row>
    <row r="366" spans="1:20" ht="39" customHeight="1" thickBot="1" x14ac:dyDescent="0.65">
      <c r="A366" s="9" t="str">
        <f ca="1">INDEX(INDIRECT(zoneFichierTraite),$J366+offsetInitialFichierTraite,6)</f>
        <v>UNICA</v>
      </c>
      <c r="B366" s="5" t="str">
        <f ca="1">INDEX(INDIRECT(zoneFichierTraite),$J366+offsetInitialFichierTraite,4)</f>
        <v>OBAGT002-LAS45-038</v>
      </c>
      <c r="C366" s="26" t="str">
        <f ca="1">INDEX(INDIRECT(zoneFichierTraite),$J366+offsetInitialFichierTraite,5)</f>
        <v>REVERS O BAG MINI EN LAINE OSLO</v>
      </c>
      <c r="D366" s="27" t="str">
        <f ca="1">INDEX(INDIRECT(zoneFichierTraite),$J366+offsetInitialFichierTraite,13)</f>
        <v>grafite</v>
      </c>
      <c r="E366" s="30">
        <f ca="1">INDEX(INDIRECT(zoneFichierTraite),$J366+offsetInitialFichierTraite,7)</f>
        <v>2</v>
      </c>
      <c r="F366" s="28">
        <f ca="1">INDEX(INDIRECT(zoneFichierTraite),$J366+offsetInitialFichierTraite,8)</f>
        <v>11.85</v>
      </c>
      <c r="G366" s="29">
        <f t="shared" ref="G366:G429" ca="1" si="167">ROUNDUP(F366*3,0)</f>
        <v>36</v>
      </c>
      <c r="H366" s="32" t="str">
        <f ca="1">IF(ISNUMBER(N366),codeEAN13(INT(N366/10)),"")</f>
        <v>8APASOG*ajbabg+</v>
      </c>
      <c r="J366" s="15">
        <f t="shared" si="149"/>
        <v>179</v>
      </c>
      <c r="L366" s="5" t="str">
        <f ca="1">INDEX(INDIRECT(zoneFichierTraite),$J366+offsetInitialFichierTraite,1)</f>
        <v>'179</v>
      </c>
      <c r="M366" s="11">
        <f ca="1">INDEX(INDIRECT(zoneFichierTraite),$J366+offsetInitialFichierTraite,9)</f>
        <v>23.7</v>
      </c>
      <c r="N366" s="14">
        <f ca="1">INDEX(INDIRECT(zoneFichierTraite),$J366+offsetInitialFichierTraite,3)</f>
        <v>8050846091016</v>
      </c>
      <c r="O366" s="1">
        <f ca="1">MATCH(N366,INDIRECT(nomFichierEAN13Valmag &amp; "!A:A"),0)</f>
        <v>779</v>
      </c>
      <c r="P366" s="1">
        <f ca="1">MATCH(R366,INDIRECT(nomFichierEAN13Valmag &amp; "!A:A"),0)</f>
        <v>779</v>
      </c>
      <c r="Q366" s="1">
        <f ca="1">MATCH(LEFT(B366,14) &amp; "*",INDIRECT(nomFichierEAN13Valmag &amp; "!B:B"),0)</f>
        <v>779</v>
      </c>
      <c r="R366" s="14">
        <f ca="1">IFERROR(INDEX(INDIRECT(zoneFichierEAN13Valmag),Q366,1),"")</f>
        <v>8050846091016</v>
      </c>
      <c r="S366" s="1">
        <f ca="1">MATCH(B366,INDIRECT(nomFichierFiltreCatalogue &amp; "!B:B"),0)</f>
        <v>329</v>
      </c>
      <c r="T366" s="14"/>
    </row>
    <row r="367" spans="1:20" s="20" customFormat="1" ht="15.75" customHeight="1" x14ac:dyDescent="0.25">
      <c r="A367" s="25">
        <f ca="1">INDEX(INDIRECT(zoneFichierTraite),$J366+offsetInitialFichierTraite,2)</f>
        <v>60</v>
      </c>
      <c r="B367" s="45" t="str">
        <f ca="1">IF(C367="", IFERROR(INDEX(INDIRECT(zoneFichierEAN13Valmag),$P366,3),""), "")</f>
        <v/>
      </c>
      <c r="C367" s="44" t="str">
        <f ca="1">IFERROR(INDEX(INDIRECT(zoneFichierEAN13Valmag),$O366,3),"")</f>
        <v xml:space="preserve"> </v>
      </c>
      <c r="D367" s="19" t="str">
        <f ca="1">IFERROR(INDEX(INDIRECT(zoneFichierEAN13Valmag),$O366,4),"")</f>
        <v xml:space="preserve"> </v>
      </c>
      <c r="E367" s="33" t="str">
        <f ca="1">IFERROR(INDEX(INDIRECT(zoneFichierFiltreCatalogue),S366,3),"")</f>
        <v>p070-2-01</v>
      </c>
      <c r="F367" s="19"/>
      <c r="G367" s="18"/>
      <c r="H367" s="34" t="str">
        <f ca="1">IFERROR(INDEX(INDIRECT(zoneFichierFiltreCatalogue),S366,6),"")</f>
        <v>fall 2019 presentation_/catalogo fall 19.txt</v>
      </c>
      <c r="R367" s="21"/>
      <c r="S367" s="21"/>
    </row>
    <row r="368" spans="1:20" ht="39" customHeight="1" thickBot="1" x14ac:dyDescent="0.65">
      <c r="A368" s="9" t="str">
        <f ca="1">INDEX(INDIRECT(zoneFichierTraite),$J368+offsetInitialFichierTraite,6)</f>
        <v>UNICA</v>
      </c>
      <c r="B368" s="5" t="str">
        <f ca="1">INDEX(INDIRECT(zoneFichierTraite),$J368+offsetInitialFichierTraite,4)</f>
        <v>OBAGT002-LAS46-227</v>
      </c>
      <c r="C368" s="26" t="str">
        <f ca="1">INDEX(INDIRECT(zoneFichierTraite),$J368+offsetInitialFichierTraite,5)</f>
        <v>REVERS O BAG MINI EN LAINE OPTICAL</v>
      </c>
      <c r="D368" s="27" t="str">
        <f ca="1">INDEX(INDIRECT(zoneFichierTraite),$J368+offsetInitialFichierTraite,13)</f>
        <v>bianco/nero</v>
      </c>
      <c r="E368" s="30">
        <f ca="1">INDEX(INDIRECT(zoneFichierTraite),$J368+offsetInitialFichierTraite,7)</f>
        <v>2</v>
      </c>
      <c r="F368" s="28">
        <f ca="1">INDEX(INDIRECT(zoneFichierTraite),$J368+offsetInitialFichierTraite,8)</f>
        <v>11.85</v>
      </c>
      <c r="G368" s="29">
        <f t="shared" ref="G368:G431" ca="1" si="168">ROUNDUP(F368*3,0)</f>
        <v>36</v>
      </c>
      <c r="H368" s="32" t="str">
        <f ca="1">IF(ISNUMBER(N368),codeEAN13(INT(N368/10)),"")</f>
        <v>8APASOG*ajbacd+</v>
      </c>
      <c r="J368" s="15">
        <f t="shared" si="149"/>
        <v>180</v>
      </c>
      <c r="L368" s="5" t="str">
        <f ca="1">INDEX(INDIRECT(zoneFichierTraite),$J368+offsetInitialFichierTraite,1)</f>
        <v>'180</v>
      </c>
      <c r="M368" s="11">
        <f ca="1">INDEX(INDIRECT(zoneFichierTraite),$J368+offsetInitialFichierTraite,9)</f>
        <v>23.7</v>
      </c>
      <c r="N368" s="14">
        <f ca="1">INDEX(INDIRECT(zoneFichierTraite),$J368+offsetInitialFichierTraite,3)</f>
        <v>8050846091023</v>
      </c>
      <c r="O368" s="1">
        <f ca="1">MATCH(N368,INDIRECT(nomFichierEAN13Valmag &amp; "!A:A"),0)</f>
        <v>780</v>
      </c>
      <c r="P368" s="1">
        <f ca="1">MATCH(R368,INDIRECT(nomFichierEAN13Valmag &amp; "!A:A"),0)</f>
        <v>780</v>
      </c>
      <c r="Q368" s="1">
        <f ca="1">MATCH(LEFT(B368,14) &amp; "*",INDIRECT(nomFichierEAN13Valmag &amp; "!B:B"),0)</f>
        <v>780</v>
      </c>
      <c r="R368" s="14">
        <f ca="1">IFERROR(INDEX(INDIRECT(zoneFichierEAN13Valmag),Q368,1),"")</f>
        <v>8050846091023</v>
      </c>
      <c r="S368" s="1">
        <f ca="1">MATCH(B368,INDIRECT(nomFichierFiltreCatalogue &amp; "!B:B"),0)</f>
        <v>333</v>
      </c>
      <c r="T368" s="14"/>
    </row>
    <row r="369" spans="1:20" s="20" customFormat="1" ht="15.75" customHeight="1" x14ac:dyDescent="0.25">
      <c r="A369" s="25">
        <f ca="1">INDEX(INDIRECT(zoneFichierTraite),$J368+offsetInitialFichierTraite,2)</f>
        <v>172</v>
      </c>
      <c r="B369" s="45" t="str">
        <f ca="1">IF(C369="", IFERROR(INDEX(INDIRECT(zoneFichierEAN13Valmag),$P368,3),""), "")</f>
        <v/>
      </c>
      <c r="C369" s="44" t="str">
        <f ca="1">IFERROR(INDEX(INDIRECT(zoneFichierEAN13Valmag),$O368,3),"")</f>
        <v xml:space="preserve"> </v>
      </c>
      <c r="D369" s="19" t="str">
        <f ca="1">IFERROR(INDEX(INDIRECT(zoneFichierEAN13Valmag),$O368,4),"")</f>
        <v xml:space="preserve"> </v>
      </c>
      <c r="E369" s="33" t="str">
        <f ca="1">IFERROR(INDEX(INDIRECT(zoneFichierFiltreCatalogue),S368,3),"")</f>
        <v>p071-1-01</v>
      </c>
      <c r="F369" s="19"/>
      <c r="G369" s="18"/>
      <c r="H369" s="34" t="str">
        <f ca="1">IFERROR(INDEX(INDIRECT(zoneFichierFiltreCatalogue),S368,6),"")</f>
        <v>fall 2019 presentation_/catalogo fall 19.txt</v>
      </c>
      <c r="R369" s="21"/>
      <c r="S369" s="21"/>
    </row>
    <row r="370" spans="1:20" ht="39" customHeight="1" thickBot="1" x14ac:dyDescent="0.65">
      <c r="A370" s="9" t="str">
        <f ca="1">INDEX(INDIRECT(zoneFichierTraite),$J370+offsetInitialFichierTraite,6)</f>
        <v>UNICA</v>
      </c>
      <c r="B370" s="5" t="str">
        <f ca="1">INDEX(INDIRECT(zoneFichierTraite),$J370+offsetInitialFichierTraite,4)</f>
        <v>OBAGT002-TESBB-615</v>
      </c>
      <c r="C370" s="26" t="str">
        <f ca="1">INDEX(INDIRECT(zoneFichierTraite),$J370+offsetInitialFichierTraite,5)</f>
        <v>REVERS O BAG MINI EN TISSU IMPRIME DIANTHUS</v>
      </c>
      <c r="D370" s="27" t="str">
        <f ca="1">INDEX(INDIRECT(zoneFichierTraite),$J370+offsetInitialFichierTraite,13)</f>
        <v>military</v>
      </c>
      <c r="E370" s="30">
        <f ca="1">INDEX(INDIRECT(zoneFichierTraite),$J370+offsetInitialFichierTraite,7)</f>
        <v>2</v>
      </c>
      <c r="F370" s="28">
        <f ca="1">INDEX(INDIRECT(zoneFichierTraite),$J370+offsetInitialFichierTraite,8)</f>
        <v>13.33</v>
      </c>
      <c r="G370" s="29">
        <f t="shared" ref="G370:G433" ca="1" si="169">ROUNDUP(F370*3,0)</f>
        <v>40</v>
      </c>
      <c r="H370" s="32" t="str">
        <f ca="1">IF(ISNUMBER(N370),codeEAN13(INT(N370/10)),"")</f>
        <v>8APASOG*ajajde+</v>
      </c>
      <c r="J370" s="15">
        <f t="shared" si="149"/>
        <v>181</v>
      </c>
      <c r="L370" s="5" t="str">
        <f ca="1">INDEX(INDIRECT(zoneFichierTraite),$J370+offsetInitialFichierTraite,1)</f>
        <v>'181</v>
      </c>
      <c r="M370" s="11">
        <f ca="1">INDEX(INDIRECT(zoneFichierTraite),$J370+offsetInitialFichierTraite,9)</f>
        <v>26.66</v>
      </c>
      <c r="N370" s="14">
        <f ca="1">INDEX(INDIRECT(zoneFichierTraite),$J370+offsetInitialFichierTraite,3)</f>
        <v>8050846090934</v>
      </c>
      <c r="O370" s="1">
        <f ca="1">MATCH(N370,INDIRECT(nomFichierEAN13Valmag &amp; "!A:A"),0)</f>
        <v>773</v>
      </c>
      <c r="P370" s="1">
        <f ca="1">MATCH(R370,INDIRECT(nomFichierEAN13Valmag &amp; "!A:A"),0)</f>
        <v>773</v>
      </c>
      <c r="Q370" s="1">
        <f ca="1">MATCH(LEFT(B370,14) &amp; "*",INDIRECT(nomFichierEAN13Valmag &amp; "!B:B"),0)</f>
        <v>773</v>
      </c>
      <c r="R370" s="14">
        <f ca="1">IFERROR(INDEX(INDIRECT(zoneFichierEAN13Valmag),Q370,1),"")</f>
        <v>8050846090934</v>
      </c>
      <c r="S370" s="1">
        <f ca="1">MATCH(B370,INDIRECT(nomFichierFiltreCatalogue &amp; "!B:B"),0)</f>
        <v>334</v>
      </c>
      <c r="T370" s="14"/>
    </row>
    <row r="371" spans="1:20" s="20" customFormat="1" ht="15.75" customHeight="1" x14ac:dyDescent="0.25">
      <c r="A371" s="25">
        <f ca="1">INDEX(INDIRECT(zoneFichierTraite),$J370+offsetInitialFichierTraite,2)</f>
        <v>145</v>
      </c>
      <c r="B371" s="45" t="str">
        <f ca="1">IF(C371="", IFERROR(INDEX(INDIRECT(zoneFichierEAN13Valmag),$P370,3),""), "")</f>
        <v/>
      </c>
      <c r="C371" s="44" t="str">
        <f ca="1">IFERROR(INDEX(INDIRECT(zoneFichierEAN13Valmag),$O370,3),"")</f>
        <v xml:space="preserve"> </v>
      </c>
      <c r="D371" s="19" t="str">
        <f ca="1">IFERROR(INDEX(INDIRECT(zoneFichierEAN13Valmag),$O370,4),"")</f>
        <v xml:space="preserve"> </v>
      </c>
      <c r="E371" s="33" t="str">
        <f ca="1">IFERROR(INDEX(INDIRECT(zoneFichierFiltreCatalogue),S370,3),"")</f>
        <v>p071-2-01</v>
      </c>
      <c r="F371" s="19"/>
      <c r="G371" s="18"/>
      <c r="H371" s="34" t="str">
        <f ca="1">IFERROR(INDEX(INDIRECT(zoneFichierFiltreCatalogue),S370,6),"")</f>
        <v>fall 2019 presentation_/catalogo fall 19.txt</v>
      </c>
      <c r="R371" s="21"/>
      <c r="S371" s="21"/>
    </row>
    <row r="372" spans="1:20" ht="39" customHeight="1" thickBot="1" x14ac:dyDescent="0.65">
      <c r="A372" s="9" t="str">
        <f ca="1">INDEX(INDIRECT(zoneFichierTraite),$J372+offsetInitialFichierTraite,6)</f>
        <v>UNICA</v>
      </c>
      <c r="B372" s="5" t="str">
        <f ca="1">INDEX(INDIRECT(zoneFichierTraite),$J372+offsetInitialFichierTraite,4)</f>
        <v>OBAGT002-TESBD-227</v>
      </c>
      <c r="C372" s="26" t="str">
        <f ca="1">INDEX(INDIRECT(zoneFichierTraite),$J372+offsetInitialFichierTraite,5)</f>
        <v>REVERS O BAG MINI EN TISSU CHECK EFFET LAINE</v>
      </c>
      <c r="D372" s="27" t="str">
        <f ca="1">INDEX(INDIRECT(zoneFichierTraite),$J372+offsetInitialFichierTraite,13)</f>
        <v>bianco/nero</v>
      </c>
      <c r="E372" s="30">
        <f ca="1">INDEX(INDIRECT(zoneFichierTraite),$J372+offsetInitialFichierTraite,7)</f>
        <v>2</v>
      </c>
      <c r="F372" s="28">
        <f ca="1">INDEX(INDIRECT(zoneFichierTraite),$J372+offsetInitialFichierTraite,8)</f>
        <v>13.33</v>
      </c>
      <c r="G372" s="29">
        <f t="shared" ref="G372:G435" ca="1" si="170">ROUNDUP(F372*3,0)</f>
        <v>40</v>
      </c>
      <c r="H372" s="32" t="str">
        <f ca="1">IF(ISNUMBER(N372),codeEAN13(INT(N372/10)),"")</f>
        <v>8APASOG*ajaijh+</v>
      </c>
      <c r="J372" s="15">
        <f t="shared" si="149"/>
        <v>182</v>
      </c>
      <c r="L372" s="5" t="str">
        <f ca="1">INDEX(INDIRECT(zoneFichierTraite),$J372+offsetInitialFichierTraite,1)</f>
        <v>'182</v>
      </c>
      <c r="M372" s="11">
        <f ca="1">INDEX(INDIRECT(zoneFichierTraite),$J372+offsetInitialFichierTraite,9)</f>
        <v>26.66</v>
      </c>
      <c r="N372" s="14">
        <f ca="1">INDEX(INDIRECT(zoneFichierTraite),$J372+offsetInitialFichierTraite,3)</f>
        <v>8050846090897</v>
      </c>
      <c r="O372" s="1">
        <f ca="1">MATCH(N372,INDIRECT(nomFichierEAN13Valmag &amp; "!A:A"),0)</f>
        <v>769</v>
      </c>
      <c r="P372" s="1">
        <f ca="1">MATCH(R372,INDIRECT(nomFichierEAN13Valmag &amp; "!A:A"),0)</f>
        <v>769</v>
      </c>
      <c r="Q372" s="1">
        <f ca="1">MATCH(LEFT(B372,14) &amp; "*",INDIRECT(nomFichierEAN13Valmag &amp; "!B:B"),0)</f>
        <v>769</v>
      </c>
      <c r="R372" s="14">
        <f ca="1">IFERROR(INDEX(INDIRECT(zoneFichierEAN13Valmag),Q372,1),"")</f>
        <v>8050846090897</v>
      </c>
      <c r="S372" s="1">
        <f ca="1">MATCH(B372,INDIRECT(nomFichierFiltreCatalogue &amp; "!B:B"),0)</f>
        <v>335</v>
      </c>
      <c r="T372" s="14"/>
    </row>
    <row r="373" spans="1:20" s="20" customFormat="1" ht="15.75" customHeight="1" x14ac:dyDescent="0.25">
      <c r="A373" s="25">
        <f ca="1">INDEX(INDIRECT(zoneFichierTraite),$J372+offsetInitialFichierTraite,2)</f>
        <v>127</v>
      </c>
      <c r="B373" s="45" t="str">
        <f ca="1">IF(C373="", IFERROR(INDEX(INDIRECT(zoneFichierEAN13Valmag),$P372,3),""), "")</f>
        <v/>
      </c>
      <c r="C373" s="44" t="str">
        <f ca="1">IFERROR(INDEX(INDIRECT(zoneFichierEAN13Valmag),$O372,3),"")</f>
        <v xml:space="preserve"> </v>
      </c>
      <c r="D373" s="19" t="str">
        <f ca="1">IFERROR(INDEX(INDIRECT(zoneFichierEAN13Valmag),$O372,4),"")</f>
        <v xml:space="preserve"> </v>
      </c>
      <c r="E373" s="33" t="str">
        <f ca="1">IFERROR(INDEX(INDIRECT(zoneFichierFiltreCatalogue),S372,3),"")</f>
        <v>p072-1-01</v>
      </c>
      <c r="F373" s="19"/>
      <c r="G373" s="18"/>
      <c r="H373" s="34" t="str">
        <f ca="1">IFERROR(INDEX(INDIRECT(zoneFichierFiltreCatalogue),S372,6),"")</f>
        <v>fall 2019 presentation_/catalogo fall 19.txt</v>
      </c>
      <c r="R373" s="21"/>
      <c r="S373" s="21"/>
    </row>
    <row r="374" spans="1:20" ht="39" customHeight="1" thickBot="1" x14ac:dyDescent="0.65">
      <c r="A374" s="9" t="str">
        <f ca="1">INDEX(INDIRECT(zoneFichierTraite),$J374+offsetInitialFichierTraite,6)</f>
        <v>UNICA</v>
      </c>
      <c r="B374" s="5" t="str">
        <f ca="1">INDEX(INDIRECT(zoneFichierTraite),$J374+offsetInitialFichierTraite,4)</f>
        <v>OBAGT002-TESBE-227</v>
      </c>
      <c r="C374" s="26" t="str">
        <f ca="1">INDEX(INDIRECT(zoneFichierTraite),$J374+offsetInitialFichierTraite,5)</f>
        <v>REVERS O BAG MINI EN TISSU Ã€ CHEVRONS</v>
      </c>
      <c r="D374" s="27" t="str">
        <f ca="1">INDEX(INDIRECT(zoneFichierTraite),$J374+offsetInitialFichierTraite,13)</f>
        <v>bianco/nero</v>
      </c>
      <c r="E374" s="30">
        <f ca="1">INDEX(INDIRECT(zoneFichierTraite),$J374+offsetInitialFichierTraite,7)</f>
        <v>2</v>
      </c>
      <c r="F374" s="28">
        <f ca="1">INDEX(INDIRECT(zoneFichierTraite),$J374+offsetInitialFichierTraite,8)</f>
        <v>13.33</v>
      </c>
      <c r="G374" s="29">
        <f t="shared" ref="G374:G437" ca="1" si="171">ROUNDUP(F374*3,0)</f>
        <v>40</v>
      </c>
      <c r="H374" s="32" t="str">
        <f ca="1">IF(ISNUMBER(N374),codeEAN13(INT(N374/10)),"")</f>
        <v>8APASOG*ajaiia+</v>
      </c>
      <c r="J374" s="15">
        <f t="shared" si="149"/>
        <v>183</v>
      </c>
      <c r="L374" s="5" t="str">
        <f ca="1">INDEX(INDIRECT(zoneFichierTraite),$J374+offsetInitialFichierTraite,1)</f>
        <v>'183</v>
      </c>
      <c r="M374" s="11">
        <f ca="1">INDEX(INDIRECT(zoneFichierTraite),$J374+offsetInitialFichierTraite,9)</f>
        <v>26.66</v>
      </c>
      <c r="N374" s="14">
        <f ca="1">INDEX(INDIRECT(zoneFichierTraite),$J374+offsetInitialFichierTraite,3)</f>
        <v>8050846090880</v>
      </c>
      <c r="O374" s="1">
        <f ca="1">MATCH(N374,INDIRECT(nomFichierEAN13Valmag &amp; "!A:A"),0)</f>
        <v>768</v>
      </c>
      <c r="P374" s="1">
        <f ca="1">MATCH(R374,INDIRECT(nomFichierEAN13Valmag &amp; "!A:A"),0)</f>
        <v>768</v>
      </c>
      <c r="Q374" s="1">
        <f ca="1">MATCH(LEFT(B374,14) &amp; "*",INDIRECT(nomFichierEAN13Valmag &amp; "!B:B"),0)</f>
        <v>768</v>
      </c>
      <c r="R374" s="14">
        <f ca="1">IFERROR(INDEX(INDIRECT(zoneFichierEAN13Valmag),Q374,1),"")</f>
        <v>8050846090880</v>
      </c>
      <c r="S374" s="1">
        <f ca="1">MATCH(B374,INDIRECT(nomFichierFiltreCatalogue &amp; "!B:B"),0)</f>
        <v>336</v>
      </c>
      <c r="T374" s="14"/>
    </row>
    <row r="375" spans="1:20" s="20" customFormat="1" ht="15.75" customHeight="1" x14ac:dyDescent="0.25">
      <c r="A375" s="25">
        <f ca="1">INDEX(INDIRECT(zoneFichierTraite),$J374+offsetInitialFichierTraite,2)</f>
        <v>200</v>
      </c>
      <c r="B375" s="45" t="str">
        <f ca="1">IF(C375="", IFERROR(INDEX(INDIRECT(zoneFichierEAN13Valmag),$P374,3),""), "")</f>
        <v/>
      </c>
      <c r="C375" s="44" t="str">
        <f ca="1">IFERROR(INDEX(INDIRECT(zoneFichierEAN13Valmag),$O374,3),"")</f>
        <v xml:space="preserve"> </v>
      </c>
      <c r="D375" s="19" t="str">
        <f ca="1">IFERROR(INDEX(INDIRECT(zoneFichierEAN13Valmag),$O374,4),"")</f>
        <v xml:space="preserve"> </v>
      </c>
      <c r="E375" s="33" t="str">
        <f ca="1">IFERROR(INDEX(INDIRECT(zoneFichierFiltreCatalogue),S374,3),"")</f>
        <v>p072-2-01</v>
      </c>
      <c r="F375" s="19"/>
      <c r="G375" s="18"/>
      <c r="H375" s="34" t="str">
        <f ca="1">IFERROR(INDEX(INDIRECT(zoneFichierFiltreCatalogue),S374,6),"")</f>
        <v>fall 2019 presentation_/catalogo fall 19.txt</v>
      </c>
      <c r="R375" s="21"/>
      <c r="S375" s="21"/>
    </row>
    <row r="376" spans="1:20" ht="39" customHeight="1" thickBot="1" x14ac:dyDescent="0.65">
      <c r="A376" s="9" t="str">
        <f ca="1">INDEX(INDIRECT(zoneFichierTraite),$J376+offsetInitialFichierTraite,6)</f>
        <v>UNICA</v>
      </c>
      <c r="B376" s="5" t="str">
        <f ca="1">INDEX(INDIRECT(zoneFichierTraite),$J376+offsetInitialFichierTraite,4)</f>
        <v>OBAGT002-TESBH-017</v>
      </c>
      <c r="C376" s="26" t="str">
        <f ca="1">INDEX(INDIRECT(zoneFichierTraite),$J376+offsetInitialFichierTraite,5)</f>
        <v>REVERS O BAG MINI EN TISSU IMPRIME JACQUARD MICRO FANTAISIE</v>
      </c>
      <c r="D376" s="27" t="str">
        <f ca="1">INDEX(INDIRECT(zoneFichierTraite),$J376+offsetInitialFichierTraite,13)</f>
        <v>blu navy</v>
      </c>
      <c r="E376" s="30">
        <f ca="1">INDEX(INDIRECT(zoneFichierTraite),$J376+offsetInitialFichierTraite,7)</f>
        <v>2</v>
      </c>
      <c r="F376" s="28">
        <f ca="1">INDEX(INDIRECT(zoneFichierTraite),$J376+offsetInitialFichierTraite,8)</f>
        <v>13.33</v>
      </c>
      <c r="G376" s="29">
        <f t="shared" ref="G376:G439" ca="1" si="172">ROUNDUP(F376*3,0)</f>
        <v>40</v>
      </c>
      <c r="H376" s="32" t="str">
        <f ca="1">IF(ISNUMBER(N376),codeEAN13(INT(N376/10)),"")</f>
        <v>8APASOG*ajajch+</v>
      </c>
      <c r="J376" s="15">
        <f t="shared" si="149"/>
        <v>184</v>
      </c>
      <c r="L376" s="5" t="str">
        <f ca="1">INDEX(INDIRECT(zoneFichierTraite),$J376+offsetInitialFichierTraite,1)</f>
        <v>'184</v>
      </c>
      <c r="M376" s="11">
        <f ca="1">INDEX(INDIRECT(zoneFichierTraite),$J376+offsetInitialFichierTraite,9)</f>
        <v>26.66</v>
      </c>
      <c r="N376" s="14">
        <f ca="1">INDEX(INDIRECT(zoneFichierTraite),$J376+offsetInitialFichierTraite,3)</f>
        <v>8050846090927</v>
      </c>
      <c r="O376" s="1">
        <f ca="1">MATCH(N376,INDIRECT(nomFichierEAN13Valmag &amp; "!A:A"),0)</f>
        <v>772</v>
      </c>
      <c r="P376" s="1">
        <f ca="1">MATCH(R376,INDIRECT(nomFichierEAN13Valmag &amp; "!A:A"),0)</f>
        <v>772</v>
      </c>
      <c r="Q376" s="1">
        <f ca="1">MATCH(LEFT(B376,14) &amp; "*",INDIRECT(nomFichierEAN13Valmag &amp; "!B:B"),0)</f>
        <v>772</v>
      </c>
      <c r="R376" s="14">
        <f ca="1">IFERROR(INDEX(INDIRECT(zoneFichierEAN13Valmag),Q376,1),"")</f>
        <v>8050846090927</v>
      </c>
      <c r="S376" s="1">
        <f ca="1">MATCH(B376,INDIRECT(nomFichierFiltreCatalogue &amp; "!B:B"),0)</f>
        <v>338</v>
      </c>
      <c r="T376" s="14"/>
    </row>
    <row r="377" spans="1:20" s="20" customFormat="1" ht="15.75" customHeight="1" x14ac:dyDescent="0.25">
      <c r="A377" s="25">
        <f ca="1">INDEX(INDIRECT(zoneFichierTraite),$J376+offsetInitialFichierTraite,2)</f>
        <v>157</v>
      </c>
      <c r="B377" s="45" t="str">
        <f ca="1">IF(C377="", IFERROR(INDEX(INDIRECT(zoneFichierEAN13Valmag),$P376,3),""), "")</f>
        <v/>
      </c>
      <c r="C377" s="44" t="str">
        <f ca="1">IFERROR(INDEX(INDIRECT(zoneFichierEAN13Valmag),$O376,3),"")</f>
        <v xml:space="preserve"> </v>
      </c>
      <c r="D377" s="19" t="str">
        <f ca="1">IFERROR(INDEX(INDIRECT(zoneFichierEAN13Valmag),$O376,4),"")</f>
        <v xml:space="preserve"> </v>
      </c>
      <c r="E377" s="33" t="str">
        <f ca="1">IFERROR(INDEX(INDIRECT(zoneFichierFiltreCatalogue),S376,3),"")</f>
        <v>p073-2-01</v>
      </c>
      <c r="F377" s="19"/>
      <c r="G377" s="18"/>
      <c r="H377" s="34" t="str">
        <f ca="1">IFERROR(INDEX(INDIRECT(zoneFichierFiltreCatalogue),S376,6),"")</f>
        <v>fall 2019 presentation_/catalogo fall 19.txt</v>
      </c>
      <c r="R377" s="21"/>
      <c r="S377" s="21"/>
    </row>
    <row r="378" spans="1:20" ht="39" customHeight="1" thickBot="1" x14ac:dyDescent="0.65">
      <c r="A378" s="9" t="str">
        <f ca="1">INDEX(INDIRECT(zoneFichierTraite),$J378+offsetInitialFichierTraite,6)</f>
        <v>UNICA</v>
      </c>
      <c r="B378" s="5" t="str">
        <f ca="1">INDEX(INDIRECT(zoneFichierTraite),$J378+offsetInitialFichierTraite,4)</f>
        <v>OBAGT002-TESBJ-227</v>
      </c>
      <c r="C378" s="26" t="str">
        <f ca="1">INDEX(INDIRECT(zoneFichierTraite),$J378+offsetInitialFichierTraite,5)</f>
        <v>REVERS O BAG MINI EN TISSU OPTICAL STRIPES</v>
      </c>
      <c r="D378" s="27" t="str">
        <f ca="1">INDEX(INDIRECT(zoneFichierTraite),$J378+offsetInitialFichierTraite,13)</f>
        <v>bianco/nero</v>
      </c>
      <c r="E378" s="30">
        <f ca="1">INDEX(INDIRECT(zoneFichierTraite),$J378+offsetInitialFichierTraite,7)</f>
        <v>2</v>
      </c>
      <c r="F378" s="28">
        <f ca="1">INDEX(INDIRECT(zoneFichierTraite),$J378+offsetInitialFichierTraite,8)</f>
        <v>11.85</v>
      </c>
      <c r="G378" s="29">
        <f t="shared" ref="G378:G441" ca="1" si="173">ROUNDUP(F378*3,0)</f>
        <v>36</v>
      </c>
      <c r="H378" s="32" t="str">
        <f ca="1">IF(ISNUMBER(N378),codeEAN13(INT(N378/10)),"")</f>
        <v>8APASOG*ajaihd+</v>
      </c>
      <c r="J378" s="15">
        <f t="shared" si="149"/>
        <v>185</v>
      </c>
      <c r="L378" s="5" t="str">
        <f ca="1">INDEX(INDIRECT(zoneFichierTraite),$J378+offsetInitialFichierTraite,1)</f>
        <v>'185</v>
      </c>
      <c r="M378" s="11">
        <f ca="1">INDEX(INDIRECT(zoneFichierTraite),$J378+offsetInitialFichierTraite,9)</f>
        <v>23.7</v>
      </c>
      <c r="N378" s="14">
        <f ca="1">INDEX(INDIRECT(zoneFichierTraite),$J378+offsetInitialFichierTraite,3)</f>
        <v>8050846090873</v>
      </c>
      <c r="O378" s="1">
        <f ca="1">MATCH(N378,INDIRECT(nomFichierEAN13Valmag &amp; "!A:A"),0)</f>
        <v>767</v>
      </c>
      <c r="P378" s="1">
        <f ca="1">MATCH(R378,INDIRECT(nomFichierEAN13Valmag &amp; "!A:A"),0)</f>
        <v>767</v>
      </c>
      <c r="Q378" s="1">
        <f ca="1">MATCH(LEFT(B378,14) &amp; "*",INDIRECT(nomFichierEAN13Valmag &amp; "!B:B"),0)</f>
        <v>767</v>
      </c>
      <c r="R378" s="14">
        <f ca="1">IFERROR(INDEX(INDIRECT(zoneFichierEAN13Valmag),Q378,1),"")</f>
        <v>8050846090873</v>
      </c>
      <c r="S378" s="1">
        <f ca="1">MATCH(B378,INDIRECT(nomFichierFiltreCatalogue &amp; "!B:B"),0)</f>
        <v>339</v>
      </c>
      <c r="T378" s="14"/>
    </row>
    <row r="379" spans="1:20" s="20" customFormat="1" ht="15.75" customHeight="1" x14ac:dyDescent="0.25">
      <c r="A379" s="25">
        <f ca="1">INDEX(INDIRECT(zoneFichierTraite),$J378+offsetInitialFichierTraite,2)</f>
        <v>201</v>
      </c>
      <c r="B379" s="45" t="str">
        <f ca="1">IF(C379="", IFERROR(INDEX(INDIRECT(zoneFichierEAN13Valmag),$P378,3),""), "")</f>
        <v/>
      </c>
      <c r="C379" s="44" t="str">
        <f ca="1">IFERROR(INDEX(INDIRECT(zoneFichierEAN13Valmag),$O378,3),"")</f>
        <v xml:space="preserve"> </v>
      </c>
      <c r="D379" s="19" t="str">
        <f ca="1">IFERROR(INDEX(INDIRECT(zoneFichierEAN13Valmag),$O378,4),"")</f>
        <v xml:space="preserve"> </v>
      </c>
      <c r="E379" s="33" t="str">
        <f ca="1">IFERROR(INDEX(INDIRECT(zoneFichierFiltreCatalogue),S378,3),"")</f>
        <v>p074-1-01</v>
      </c>
      <c r="F379" s="19"/>
      <c r="G379" s="18"/>
      <c r="H379" s="34" t="str">
        <f ca="1">IFERROR(INDEX(INDIRECT(zoneFichierFiltreCatalogue),S378,6),"")</f>
        <v>fall 2019 presentation_/catalogo fall 19.txt</v>
      </c>
      <c r="R379" s="21"/>
      <c r="S379" s="21"/>
    </row>
    <row r="380" spans="1:20" ht="39" customHeight="1" thickBot="1" x14ac:dyDescent="0.65">
      <c r="A380" s="9" t="str">
        <f ca="1">INDEX(INDIRECT(zoneFichierTraite),$J380+offsetInitialFichierTraite,6)</f>
        <v>UNICA</v>
      </c>
      <c r="B380" s="5" t="str">
        <f ca="1">INDEX(INDIRECT(zoneFichierTraite),$J380+offsetInitialFichierTraite,4)</f>
        <v>OBAGT002-TESBK-055</v>
      </c>
      <c r="C380" s="26" t="str">
        <f ca="1">INDEX(INDIRECT(zoneFichierTraite),$J380+offsetInitialFichierTraite,5)</f>
        <v>REVERS O BAG MINI EN TISSU DOUDOUNE Ã€ CHEVRONS</v>
      </c>
      <c r="D380" s="27" t="str">
        <f ca="1">INDEX(INDIRECT(zoneFichierTraite),$J380+offsetInitialFichierTraite,13)</f>
        <v>nero</v>
      </c>
      <c r="E380" s="30">
        <f ca="1">INDEX(INDIRECT(zoneFichierTraite),$J380+offsetInitialFichierTraite,7)</f>
        <v>2</v>
      </c>
      <c r="F380" s="28">
        <f ca="1">INDEX(INDIRECT(zoneFichierTraite),$J380+offsetInitialFichierTraite,8)</f>
        <v>11.85</v>
      </c>
      <c r="G380" s="29">
        <f t="shared" ref="G380:G443" ca="1" si="174">ROUNDUP(F380*3,0)</f>
        <v>36</v>
      </c>
      <c r="H380" s="32" t="str">
        <f ca="1">IF(ISNUMBER(N380),codeEAN13(INT(N380/10)),"")</f>
        <v>8APASOG*ajaigg+</v>
      </c>
      <c r="J380" s="15">
        <f t="shared" si="149"/>
        <v>186</v>
      </c>
      <c r="L380" s="5" t="str">
        <f ca="1">INDEX(INDIRECT(zoneFichierTraite),$J380+offsetInitialFichierTraite,1)</f>
        <v>'186</v>
      </c>
      <c r="M380" s="11">
        <f ca="1">INDEX(INDIRECT(zoneFichierTraite),$J380+offsetInitialFichierTraite,9)</f>
        <v>23.7</v>
      </c>
      <c r="N380" s="14">
        <f ca="1">INDEX(INDIRECT(zoneFichierTraite),$J380+offsetInitialFichierTraite,3)</f>
        <v>8050846090866</v>
      </c>
      <c r="O380" s="1">
        <f ca="1">MATCH(N380,INDIRECT(nomFichierEAN13Valmag &amp; "!A:A"),0)</f>
        <v>766</v>
      </c>
      <c r="P380" s="1">
        <f ca="1">MATCH(R380,INDIRECT(nomFichierEAN13Valmag &amp; "!A:A"),0)</f>
        <v>765</v>
      </c>
      <c r="Q380" s="1">
        <f ca="1">MATCH(LEFT(B380,14) &amp; "*",INDIRECT(nomFichierEAN13Valmag &amp; "!B:B"),0)</f>
        <v>765</v>
      </c>
      <c r="R380" s="14">
        <f ca="1">IFERROR(INDEX(INDIRECT(zoneFichierEAN13Valmag),Q380,1),"")</f>
        <v>8050846090859</v>
      </c>
      <c r="S380" s="1">
        <f ca="1">MATCH(B380,INDIRECT(nomFichierFiltreCatalogue &amp; "!B:B"),0)</f>
        <v>341</v>
      </c>
      <c r="T380" s="14"/>
    </row>
    <row r="381" spans="1:20" s="20" customFormat="1" ht="15.75" customHeight="1" x14ac:dyDescent="0.25">
      <c r="A381" s="25">
        <f ca="1">INDEX(INDIRECT(zoneFichierTraite),$J380+offsetInitialFichierTraite,2)</f>
        <v>108</v>
      </c>
      <c r="B381" s="45" t="str">
        <f ca="1">IF(C381="", IFERROR(INDEX(INDIRECT(zoneFichierEAN13Valmag),$P380,3),""), "")</f>
        <v/>
      </c>
      <c r="C381" s="44" t="str">
        <f ca="1">IFERROR(INDEX(INDIRECT(zoneFichierEAN13Valmag),$O380,3),"")</f>
        <v xml:space="preserve"> </v>
      </c>
      <c r="D381" s="19" t="str">
        <f ca="1">IFERROR(INDEX(INDIRECT(zoneFichierEAN13Valmag),$O380,4),"")</f>
        <v xml:space="preserve"> </v>
      </c>
      <c r="E381" s="33" t="str">
        <f ca="1">IFERROR(INDEX(INDIRECT(zoneFichierFiltreCatalogue),S380,3),"")</f>
        <v>p075-1-01</v>
      </c>
      <c r="F381" s="19"/>
      <c r="G381" s="18"/>
      <c r="H381" s="34" t="str">
        <f ca="1">IFERROR(INDEX(INDIRECT(zoneFichierFiltreCatalogue),S380,6),"")</f>
        <v>fall 2019 presentation_/catalogo fall 19.txt</v>
      </c>
      <c r="R381" s="21"/>
      <c r="S381" s="21"/>
    </row>
    <row r="382" spans="1:20" ht="39" customHeight="1" thickBot="1" x14ac:dyDescent="0.65">
      <c r="A382" s="9" t="str">
        <f ca="1">INDEX(INDIRECT(zoneFichierTraite),$J382+offsetInitialFichierTraite,6)</f>
        <v>UNICA</v>
      </c>
      <c r="B382" s="5" t="str">
        <f ca="1">INDEX(INDIRECT(zoneFichierTraite),$J382+offsetInitialFichierTraite,4)</f>
        <v>OBAGT002-TESBK-137</v>
      </c>
      <c r="C382" s="26" t="str">
        <f ca="1">INDEX(INDIRECT(zoneFichierTraite),$J382+offsetInitialFichierTraite,5)</f>
        <v>REVERS O BAG MINI EN TISSU DOUDOUNE Ã€ CHEVRONS</v>
      </c>
      <c r="D382" s="27" t="str">
        <f ca="1">INDEX(INDIRECT(zoneFichierTraite),$J382+offsetInitialFichierTraite,13)</f>
        <v>bluette</v>
      </c>
      <c r="E382" s="30">
        <f ca="1">INDEX(INDIRECT(zoneFichierTraite),$J382+offsetInitialFichierTraite,7)</f>
        <v>2</v>
      </c>
      <c r="F382" s="28">
        <f ca="1">INDEX(INDIRECT(zoneFichierTraite),$J382+offsetInitialFichierTraite,8)</f>
        <v>11.85</v>
      </c>
      <c r="G382" s="29">
        <f t="shared" ref="G382:G445" ca="1" si="175">ROUNDUP(F382*3,0)</f>
        <v>36</v>
      </c>
      <c r="H382" s="32" t="str">
        <f ca="1">IF(ISNUMBER(N382),codeEAN13(INT(N382/10)),"")</f>
        <v>8APASOG*ajaifj+</v>
      </c>
      <c r="J382" s="15">
        <f t="shared" si="149"/>
        <v>187</v>
      </c>
      <c r="L382" s="5" t="str">
        <f ca="1">INDEX(INDIRECT(zoneFichierTraite),$J382+offsetInitialFichierTraite,1)</f>
        <v>'187</v>
      </c>
      <c r="M382" s="11">
        <f ca="1">INDEX(INDIRECT(zoneFichierTraite),$J382+offsetInitialFichierTraite,9)</f>
        <v>23.7</v>
      </c>
      <c r="N382" s="14">
        <f ca="1">INDEX(INDIRECT(zoneFichierTraite),$J382+offsetInitialFichierTraite,3)</f>
        <v>8050846090859</v>
      </c>
      <c r="O382" s="1">
        <f ca="1">MATCH(N382,INDIRECT(nomFichierEAN13Valmag &amp; "!A:A"),0)</f>
        <v>765</v>
      </c>
      <c r="P382" s="1">
        <f ca="1">MATCH(R382,INDIRECT(nomFichierEAN13Valmag &amp; "!A:A"),0)</f>
        <v>765</v>
      </c>
      <c r="Q382" s="1">
        <f ca="1">MATCH(LEFT(B382,14) &amp; "*",INDIRECT(nomFichierEAN13Valmag &amp; "!B:B"),0)</f>
        <v>765</v>
      </c>
      <c r="R382" s="14">
        <f ca="1">IFERROR(INDEX(INDIRECT(zoneFichierEAN13Valmag),Q382,1),"")</f>
        <v>8050846090859</v>
      </c>
      <c r="S382" s="1">
        <f ca="1">MATCH(B382,INDIRECT(nomFichierFiltreCatalogue &amp; "!B:B"),0)</f>
        <v>342</v>
      </c>
      <c r="T382" s="14"/>
    </row>
    <row r="383" spans="1:20" s="20" customFormat="1" ht="15.75" customHeight="1" x14ac:dyDescent="0.25">
      <c r="A383" s="25">
        <f ca="1">INDEX(INDIRECT(zoneFichierTraite),$J382+offsetInitialFichierTraite,2)</f>
        <v>191</v>
      </c>
      <c r="B383" s="45" t="str">
        <f ca="1">IF(C383="", IFERROR(INDEX(INDIRECT(zoneFichierEAN13Valmag),$P382,3),""), "")</f>
        <v/>
      </c>
      <c r="C383" s="44" t="str">
        <f ca="1">IFERROR(INDEX(INDIRECT(zoneFichierEAN13Valmag),$O382,3),"")</f>
        <v xml:space="preserve"> </v>
      </c>
      <c r="D383" s="19" t="str">
        <f ca="1">IFERROR(INDEX(INDIRECT(zoneFichierEAN13Valmag),$O382,4),"")</f>
        <v xml:space="preserve"> </v>
      </c>
      <c r="E383" s="33" t="str">
        <f ca="1">IFERROR(INDEX(INDIRECT(zoneFichierFiltreCatalogue),S382,3),"")</f>
        <v>p075-1-02</v>
      </c>
      <c r="F383" s="19"/>
      <c r="G383" s="18"/>
      <c r="H383" s="34" t="str">
        <f ca="1">IFERROR(INDEX(INDIRECT(zoneFichierFiltreCatalogue),S382,6),"")</f>
        <v>fall 2019 presentation_/catalogo fall 19.txt</v>
      </c>
      <c r="R383" s="21"/>
      <c r="S383" s="21"/>
    </row>
    <row r="384" spans="1:20" ht="39" customHeight="1" thickBot="1" x14ac:dyDescent="0.65">
      <c r="A384" s="9" t="str">
        <f ca="1">INDEX(INDIRECT(zoneFichierTraite),$J384+offsetInitialFichierTraite,6)</f>
        <v>UNICA</v>
      </c>
      <c r="B384" s="5" t="str">
        <f ca="1">INDEX(INDIRECT(zoneFichierTraite),$J384+offsetInitialFichierTraite,4)</f>
        <v>OBAGT002-TESBN-615</v>
      </c>
      <c r="C384" s="26" t="str">
        <f ca="1">INDEX(INDIRECT(zoneFichierTraite),$J384+offsetInitialFichierTraite,5)</f>
        <v>REVERS O BAG MINI EN TISSU DOUDOUNE CHECK</v>
      </c>
      <c r="D384" s="27" t="str">
        <f ca="1">INDEX(INDIRECT(zoneFichierTraite),$J384+offsetInitialFichierTraite,13)</f>
        <v>military</v>
      </c>
      <c r="E384" s="30">
        <f ca="1">INDEX(INDIRECT(zoneFichierTraite),$J384+offsetInitialFichierTraite,7)</f>
        <v>2</v>
      </c>
      <c r="F384" s="28">
        <f ca="1">INDEX(INDIRECT(zoneFichierTraite),$J384+offsetInitialFichierTraite,8)</f>
        <v>15.56</v>
      </c>
      <c r="G384" s="29">
        <f t="shared" ref="G384:G447" ca="1" si="176">ROUNDUP(F384*3,0)</f>
        <v>47</v>
      </c>
      <c r="H384" s="32" t="str">
        <f ca="1">IF(ISNUMBER(N384),codeEAN13(INT(N384/10)),"")</f>
        <v>8APASOG*ajbaaj+</v>
      </c>
      <c r="J384" s="15">
        <f t="shared" si="149"/>
        <v>188</v>
      </c>
      <c r="L384" s="5" t="str">
        <f ca="1">INDEX(INDIRECT(zoneFichierTraite),$J384+offsetInitialFichierTraite,1)</f>
        <v>'188</v>
      </c>
      <c r="M384" s="11">
        <f ca="1">INDEX(INDIRECT(zoneFichierTraite),$J384+offsetInitialFichierTraite,9)</f>
        <v>31.12</v>
      </c>
      <c r="N384" s="14">
        <f ca="1">INDEX(INDIRECT(zoneFichierTraite),$J384+offsetInitialFichierTraite,3)</f>
        <v>8050846091009</v>
      </c>
      <c r="O384" s="1">
        <f ca="1">MATCH(N384,INDIRECT(nomFichierEAN13Valmag &amp; "!A:A"),0)</f>
        <v>778</v>
      </c>
      <c r="P384" s="1">
        <f ca="1">MATCH(R384,INDIRECT(nomFichierEAN13Valmag &amp; "!A:A"),0)</f>
        <v>778</v>
      </c>
      <c r="Q384" s="1">
        <f ca="1">MATCH(LEFT(B384,14) &amp; "*",INDIRECT(nomFichierEAN13Valmag &amp; "!B:B"),0)</f>
        <v>778</v>
      </c>
      <c r="R384" s="14">
        <f ca="1">IFERROR(INDEX(INDIRECT(zoneFichierEAN13Valmag),Q384,1),"")</f>
        <v>8050846091009</v>
      </c>
      <c r="S384" s="1">
        <f ca="1">MATCH(B384,INDIRECT(nomFichierFiltreCatalogue &amp; "!B:B"),0)</f>
        <v>340</v>
      </c>
      <c r="T384" s="14"/>
    </row>
    <row r="385" spans="1:20" s="20" customFormat="1" ht="15.75" customHeight="1" x14ac:dyDescent="0.25">
      <c r="A385" s="25">
        <f ca="1">INDEX(INDIRECT(zoneFichierTraite),$J384+offsetInitialFichierTraite,2)</f>
        <v>175</v>
      </c>
      <c r="B385" s="45" t="str">
        <f ca="1">IF(C385="", IFERROR(INDEX(INDIRECT(zoneFichierEAN13Valmag),$P384,3),""), "")</f>
        <v/>
      </c>
      <c r="C385" s="44" t="str">
        <f ca="1">IFERROR(INDEX(INDIRECT(zoneFichierEAN13Valmag),$O384,3),"")</f>
        <v xml:space="preserve"> </v>
      </c>
      <c r="D385" s="19" t="str">
        <f ca="1">IFERROR(INDEX(INDIRECT(zoneFichierEAN13Valmag),$O384,4),"")</f>
        <v xml:space="preserve"> </v>
      </c>
      <c r="E385" s="33" t="str">
        <f ca="1">IFERROR(INDEX(INDIRECT(zoneFichierFiltreCatalogue),S384,3),"")</f>
        <v>p074-2-01</v>
      </c>
      <c r="F385" s="19"/>
      <c r="G385" s="18"/>
      <c r="H385" s="34" t="str">
        <f ca="1">IFERROR(INDEX(INDIRECT(zoneFichierFiltreCatalogue),S384,6),"")</f>
        <v>fall 2019 presentation_/catalogo fall 19.txt</v>
      </c>
      <c r="R385" s="21"/>
      <c r="S385" s="21"/>
    </row>
    <row r="386" spans="1:20" ht="39" customHeight="1" thickBot="1" x14ac:dyDescent="0.65">
      <c r="A386" s="9" t="str">
        <f ca="1">INDEX(INDIRECT(zoneFichierTraite),$J386+offsetInitialFichierTraite,6)</f>
        <v>UNICA</v>
      </c>
      <c r="B386" s="5" t="str">
        <f ca="1">INDEX(INDIRECT(zoneFichierTraite),$J386+offsetInitialFichierTraite,4)</f>
        <v>OCLKD001-MESE3-067</v>
      </c>
      <c r="C386" s="26" t="str">
        <f ca="1">INDEX(INDIRECT(zoneFichierTraite),$J386+offsetInitialFichierTraite,5)</f>
        <v>O CLOCK MECANISME CIRCLE SOLEIL</v>
      </c>
      <c r="D386" s="27" t="str">
        <f ca="1">INDEX(INDIRECT(zoneFichierTraite),$J386+offsetInitialFichierTraite,13)</f>
        <v>phard</v>
      </c>
      <c r="E386" s="30">
        <f ca="1">INDEX(INDIRECT(zoneFichierTraite),$J386+offsetInitialFichierTraite,7)</f>
        <v>3</v>
      </c>
      <c r="F386" s="28">
        <f ca="1">INDEX(INDIRECT(zoneFichierTraite),$J386+offsetInitialFichierTraite,8)</f>
        <v>7.78</v>
      </c>
      <c r="G386" s="29">
        <f t="shared" ref="G386:G449" ca="1" si="177">ROUNDUP(F386*3,0)</f>
        <v>24</v>
      </c>
      <c r="H386" s="32" t="str">
        <f ca="1">IF(ISNUMBER(N386),codeEAN13(INT(N386/10)),"")</f>
        <v>8APASOG*ajcijb+</v>
      </c>
      <c r="J386" s="15">
        <f t="shared" si="149"/>
        <v>189</v>
      </c>
      <c r="L386" s="5" t="str">
        <f ca="1">INDEX(INDIRECT(zoneFichierTraite),$J386+offsetInitialFichierTraite,1)</f>
        <v>'189</v>
      </c>
      <c r="M386" s="11">
        <f ca="1">INDEX(INDIRECT(zoneFichierTraite),$J386+offsetInitialFichierTraite,9)</f>
        <v>23.34</v>
      </c>
      <c r="N386" s="14">
        <f ca="1">INDEX(INDIRECT(zoneFichierTraite),$J386+offsetInitialFichierTraite,3)</f>
        <v>8050846092891</v>
      </c>
      <c r="O386" s="1">
        <f ca="1">MATCH(N386,INDIRECT(nomFichierEAN13Valmag &amp; "!A:A"),0)</f>
        <v>897</v>
      </c>
      <c r="P386" s="1">
        <f ca="1">MATCH(R386,INDIRECT(nomFichierEAN13Valmag &amp; "!A:A"),0)</f>
        <v>895</v>
      </c>
      <c r="Q386" s="1">
        <f ca="1">MATCH(LEFT(B386,14) &amp; "*",INDIRECT(nomFichierEAN13Valmag &amp; "!B:B"),0)</f>
        <v>895</v>
      </c>
      <c r="R386" s="14">
        <f ca="1">IFERROR(INDEX(INDIRECT(zoneFichierEAN13Valmag),Q386,1),"")</f>
        <v>8050846092877</v>
      </c>
      <c r="S386" s="1">
        <f ca="1">MATCH(B386,INDIRECT(nomFichierFiltreCatalogue &amp; "!B:B"),0)</f>
        <v>572</v>
      </c>
      <c r="T386" s="14"/>
    </row>
    <row r="387" spans="1:20" s="20" customFormat="1" ht="15.75" customHeight="1" x14ac:dyDescent="0.25">
      <c r="A387" s="25">
        <f ca="1">INDEX(INDIRECT(zoneFichierTraite),$J386+offsetInitialFichierTraite,2)</f>
        <v>61</v>
      </c>
      <c r="B387" s="45" t="str">
        <f ca="1">IF(C387="", IFERROR(INDEX(INDIRECT(zoneFichierEAN13Valmag),$P386,3),""), "")</f>
        <v/>
      </c>
      <c r="C387" s="44" t="str">
        <f ca="1">IFERROR(INDEX(INDIRECT(zoneFichierEAN13Valmag),$O386,3),"")</f>
        <v xml:space="preserve"> </v>
      </c>
      <c r="D387" s="19" t="str">
        <f ca="1">IFERROR(INDEX(INDIRECT(zoneFichierEAN13Valmag),$O386,4),"")</f>
        <v xml:space="preserve"> </v>
      </c>
      <c r="E387" s="33" t="str">
        <f ca="1">IFERROR(INDEX(INDIRECT(zoneFichierFiltreCatalogue),S386,3),"")</f>
        <v>p148-1-01</v>
      </c>
      <c r="F387" s="19"/>
      <c r="G387" s="18"/>
      <c r="H387" s="34" t="str">
        <f ca="1">IFERROR(INDEX(INDIRECT(zoneFichierFiltreCatalogue),S386,6),"")</f>
        <v>fall 2019 presentation_/catalogo fall 19.txt</v>
      </c>
      <c r="R387" s="21"/>
      <c r="S387" s="21"/>
    </row>
    <row r="388" spans="1:20" ht="39" customHeight="1" thickBot="1" x14ac:dyDescent="0.65">
      <c r="A388" s="9" t="str">
        <f ca="1">INDEX(INDIRECT(zoneFichierTraite),$J388+offsetInitialFichierTraite,6)</f>
        <v>UNICA</v>
      </c>
      <c r="B388" s="5" t="str">
        <f ca="1">INDEX(INDIRECT(zoneFichierTraite),$J388+offsetInitialFichierTraite,4)</f>
        <v>OCLKD001-MESE3-137</v>
      </c>
      <c r="C388" s="26" t="str">
        <f ca="1">INDEX(INDIRECT(zoneFichierTraite),$J388+offsetInitialFichierTraite,5)</f>
        <v>O CLOCK MECANISME CIRCLE SOLEIL</v>
      </c>
      <c r="D388" s="27" t="str">
        <f ca="1">INDEX(INDIRECT(zoneFichierTraite),$J388+offsetInitialFichierTraite,13)</f>
        <v>bluette</v>
      </c>
      <c r="E388" s="30">
        <f ca="1">INDEX(INDIRECT(zoneFichierTraite),$J388+offsetInitialFichierTraite,7)</f>
        <v>3</v>
      </c>
      <c r="F388" s="28">
        <f ca="1">INDEX(INDIRECT(zoneFichierTraite),$J388+offsetInitialFichierTraite,8)</f>
        <v>7.78</v>
      </c>
      <c r="G388" s="29">
        <f t="shared" ref="G388:G451" ca="1" si="178">ROUNDUP(F388*3,0)</f>
        <v>24</v>
      </c>
      <c r="H388" s="32" t="str">
        <f ca="1">IF(ISNUMBER(N388),codeEAN13(INT(N388/10)),"")</f>
        <v>8APASOG*ajcihh+</v>
      </c>
      <c r="J388" s="15">
        <f t="shared" si="149"/>
        <v>190</v>
      </c>
      <c r="L388" s="5" t="str">
        <f ca="1">INDEX(INDIRECT(zoneFichierTraite),$J388+offsetInitialFichierTraite,1)</f>
        <v>'190</v>
      </c>
      <c r="M388" s="11">
        <f ca="1">INDEX(INDIRECT(zoneFichierTraite),$J388+offsetInitialFichierTraite,9)</f>
        <v>23.34</v>
      </c>
      <c r="N388" s="14">
        <f ca="1">INDEX(INDIRECT(zoneFichierTraite),$J388+offsetInitialFichierTraite,3)</f>
        <v>8050846092877</v>
      </c>
      <c r="O388" s="1">
        <f ca="1">MATCH(N388,INDIRECT(nomFichierEAN13Valmag &amp; "!A:A"),0)</f>
        <v>895</v>
      </c>
      <c r="P388" s="1">
        <f ca="1">MATCH(R388,INDIRECT(nomFichierEAN13Valmag &amp; "!A:A"),0)</f>
        <v>895</v>
      </c>
      <c r="Q388" s="1">
        <f ca="1">MATCH(LEFT(B388,14) &amp; "*",INDIRECT(nomFichierEAN13Valmag &amp; "!B:B"),0)</f>
        <v>895</v>
      </c>
      <c r="R388" s="14">
        <f ca="1">IFERROR(INDEX(INDIRECT(zoneFichierEAN13Valmag),Q388,1),"")</f>
        <v>8050846092877</v>
      </c>
      <c r="S388" s="1">
        <f ca="1">MATCH(B388,INDIRECT(nomFichierFiltreCatalogue &amp; "!B:B"),0)</f>
        <v>573</v>
      </c>
      <c r="T388" s="14"/>
    </row>
    <row r="389" spans="1:20" s="20" customFormat="1" ht="15.75" customHeight="1" x14ac:dyDescent="0.25">
      <c r="A389" s="25">
        <f ca="1">INDEX(INDIRECT(zoneFichierTraite),$J388+offsetInitialFichierTraite,2)</f>
        <v>193</v>
      </c>
      <c r="B389" s="45" t="str">
        <f ca="1">IF(C389="", IFERROR(INDEX(INDIRECT(zoneFichierEAN13Valmag),$P388,3),""), "")</f>
        <v/>
      </c>
      <c r="C389" s="44" t="str">
        <f ca="1">IFERROR(INDEX(INDIRECT(zoneFichierEAN13Valmag),$O388,3),"")</f>
        <v xml:space="preserve"> </v>
      </c>
      <c r="D389" s="19" t="str">
        <f ca="1">IFERROR(INDEX(INDIRECT(zoneFichierEAN13Valmag),$O388,4),"")</f>
        <v xml:space="preserve"> </v>
      </c>
      <c r="E389" s="33" t="str">
        <f ca="1">IFERROR(INDEX(INDIRECT(zoneFichierFiltreCatalogue),S388,3),"")</f>
        <v>p148-1-02</v>
      </c>
      <c r="F389" s="19"/>
      <c r="G389" s="18"/>
      <c r="H389" s="34" t="str">
        <f ca="1">IFERROR(INDEX(INDIRECT(zoneFichierFiltreCatalogue),S388,6),"")</f>
        <v>fall 2019 presentation_/catalogo fall 19.txt</v>
      </c>
      <c r="R389" s="21"/>
      <c r="S389" s="21"/>
    </row>
    <row r="390" spans="1:20" ht="39" customHeight="1" thickBot="1" x14ac:dyDescent="0.65">
      <c r="A390" s="9" t="str">
        <f ca="1">INDEX(INDIRECT(zoneFichierTraite),$J390+offsetInitialFichierTraite,6)</f>
        <v>UNICA</v>
      </c>
      <c r="B390" s="5" t="str">
        <f ca="1">INDEX(INDIRECT(zoneFichierTraite),$J390+offsetInitialFichierTraite,4)</f>
        <v>OCLKD001-MESE3-615</v>
      </c>
      <c r="C390" s="26" t="str">
        <f ca="1">INDEX(INDIRECT(zoneFichierTraite),$J390+offsetInitialFichierTraite,5)</f>
        <v>O CLOCK MECANISME CIRCLE SOLEIL</v>
      </c>
      <c r="D390" s="27" t="str">
        <f ca="1">INDEX(INDIRECT(zoneFichierTraite),$J390+offsetInitialFichierTraite,13)</f>
        <v>military</v>
      </c>
      <c r="E390" s="30">
        <f ca="1">INDEX(INDIRECT(zoneFichierTraite),$J390+offsetInitialFichierTraite,7)</f>
        <v>3</v>
      </c>
      <c r="F390" s="28">
        <f ca="1">INDEX(INDIRECT(zoneFichierTraite),$J390+offsetInitialFichierTraite,8)</f>
        <v>7.78</v>
      </c>
      <c r="G390" s="29">
        <f t="shared" ref="G390:G453" ca="1" si="179">ROUNDUP(F390*3,0)</f>
        <v>24</v>
      </c>
      <c r="H390" s="32" t="str">
        <f ca="1">IF(ISNUMBER(N390),codeEAN13(INT(N390/10)),"")</f>
        <v>8APASOG*ajciie+</v>
      </c>
      <c r="J390" s="15">
        <f t="shared" si="149"/>
        <v>191</v>
      </c>
      <c r="L390" s="5" t="str">
        <f ca="1">INDEX(INDIRECT(zoneFichierTraite),$J390+offsetInitialFichierTraite,1)</f>
        <v>'191</v>
      </c>
      <c r="M390" s="11">
        <f ca="1">INDEX(INDIRECT(zoneFichierTraite),$J390+offsetInitialFichierTraite,9)</f>
        <v>23.34</v>
      </c>
      <c r="N390" s="14">
        <f ca="1">INDEX(INDIRECT(zoneFichierTraite),$J390+offsetInitialFichierTraite,3)</f>
        <v>8050846092884</v>
      </c>
      <c r="O390" s="1">
        <f ca="1">MATCH(N390,INDIRECT(nomFichierEAN13Valmag &amp; "!A:A"),0)</f>
        <v>896</v>
      </c>
      <c r="P390" s="1">
        <f ca="1">MATCH(R390,INDIRECT(nomFichierEAN13Valmag &amp; "!A:A"),0)</f>
        <v>895</v>
      </c>
      <c r="Q390" s="1">
        <f ca="1">MATCH(LEFT(B390,14) &amp; "*",INDIRECT(nomFichierEAN13Valmag &amp; "!B:B"),0)</f>
        <v>895</v>
      </c>
      <c r="R390" s="14">
        <f ca="1">IFERROR(INDEX(INDIRECT(zoneFichierEAN13Valmag),Q390,1),"")</f>
        <v>8050846092877</v>
      </c>
      <c r="S390" s="1">
        <f ca="1">MATCH(B390,INDIRECT(nomFichierFiltreCatalogue &amp; "!B:B"),0)</f>
        <v>574</v>
      </c>
      <c r="T390" s="14"/>
    </row>
    <row r="391" spans="1:20" s="20" customFormat="1" ht="15.75" customHeight="1" x14ac:dyDescent="0.25">
      <c r="A391" s="25">
        <f ca="1">INDEX(INDIRECT(zoneFichierTraite),$J390+offsetInitialFichierTraite,2)</f>
        <v>28</v>
      </c>
      <c r="B391" s="45" t="str">
        <f ca="1">IF(C391="", IFERROR(INDEX(INDIRECT(zoneFichierEAN13Valmag),$P390,3),""), "")</f>
        <v/>
      </c>
      <c r="C391" s="44" t="str">
        <f ca="1">IFERROR(INDEX(INDIRECT(zoneFichierEAN13Valmag),$O390,3),"")</f>
        <v xml:space="preserve"> </v>
      </c>
      <c r="D391" s="19" t="str">
        <f ca="1">IFERROR(INDEX(INDIRECT(zoneFichierEAN13Valmag),$O390,4),"")</f>
        <v xml:space="preserve"> </v>
      </c>
      <c r="E391" s="33" t="str">
        <f ca="1">IFERROR(INDEX(INDIRECT(zoneFichierFiltreCatalogue),S390,3),"")</f>
        <v>p148-1-03</v>
      </c>
      <c r="F391" s="19"/>
      <c r="G391" s="18"/>
      <c r="H391" s="34" t="str">
        <f ca="1">IFERROR(INDEX(INDIRECT(zoneFichierFiltreCatalogue),S390,6),"")</f>
        <v>fall 2019 presentation_/catalogo fall 19.txt</v>
      </c>
      <c r="R391" s="21"/>
      <c r="S391" s="21"/>
    </row>
    <row r="392" spans="1:20" ht="39" customHeight="1" thickBot="1" x14ac:dyDescent="0.65">
      <c r="A392" s="9" t="str">
        <f ca="1">INDEX(INDIRECT(zoneFichierTraite),$J392+offsetInitialFichierTraite,6)</f>
        <v>UNICA</v>
      </c>
      <c r="B392" s="5" t="str">
        <f ca="1">INDEX(INDIRECT(zoneFichierTraite),$J392+offsetInitialFichierTraite,4)</f>
        <v>OCLKD001-MESE6-004</v>
      </c>
      <c r="C392" s="26" t="str">
        <f ca="1">INDEX(INDIRECT(zoneFichierTraite),$J392+offsetInitialFichierTraite,5)</f>
        <v>O CLOCK MECANISME GROOVE LUX</v>
      </c>
      <c r="D392" s="27" t="str">
        <f ca="1">INDEX(INDIRECT(zoneFichierTraite),$J392+offsetInitialFichierTraite,13)</f>
        <v>argento</v>
      </c>
      <c r="E392" s="30">
        <f ca="1">INDEX(INDIRECT(zoneFichierTraite),$J392+offsetInitialFichierTraite,7)</f>
        <v>3</v>
      </c>
      <c r="F392" s="28">
        <f ca="1">INDEX(INDIRECT(zoneFichierTraite),$J392+offsetInitialFichierTraite,8)</f>
        <v>10</v>
      </c>
      <c r="G392" s="29">
        <f t="shared" ref="G392:G455" ca="1" si="180">ROUNDUP(F392*3,0)</f>
        <v>30</v>
      </c>
      <c r="H392" s="32" t="str">
        <f ca="1">IF(ISNUMBER(N392),codeEAN13(INT(N392/10)),"")</f>
        <v>8APASOG*ajcjfc+</v>
      </c>
      <c r="J392" s="15">
        <f t="shared" si="149"/>
        <v>192</v>
      </c>
      <c r="L392" s="5" t="str">
        <f ca="1">INDEX(INDIRECT(zoneFichierTraite),$J392+offsetInitialFichierTraite,1)</f>
        <v>'192</v>
      </c>
      <c r="M392" s="11">
        <f ca="1">INDEX(INDIRECT(zoneFichierTraite),$J392+offsetInitialFichierTraite,9)</f>
        <v>30</v>
      </c>
      <c r="N392" s="14">
        <f ca="1">INDEX(INDIRECT(zoneFichierTraite),$J392+offsetInitialFichierTraite,3)</f>
        <v>8050846092952</v>
      </c>
      <c r="O392" s="1">
        <f ca="1">MATCH(N392,INDIRECT(nomFichierEAN13Valmag &amp; "!A:A"),0)</f>
        <v>899</v>
      </c>
      <c r="P392" s="1">
        <f ca="1">MATCH(R392,INDIRECT(nomFichierEAN13Valmag &amp; "!A:A"),0)</f>
        <v>898</v>
      </c>
      <c r="Q392" s="1">
        <f ca="1">MATCH(LEFT(B392,14) &amp; "*",INDIRECT(nomFichierEAN13Valmag &amp; "!B:B"),0)</f>
        <v>898</v>
      </c>
      <c r="R392" s="14">
        <f ca="1">IFERROR(INDEX(INDIRECT(zoneFichierEAN13Valmag),Q392,1),"")</f>
        <v>8050846092945</v>
      </c>
      <c r="S392" s="1">
        <f ca="1">MATCH(B392,INDIRECT(nomFichierFiltreCatalogue &amp; "!B:B"),0)</f>
        <v>577</v>
      </c>
      <c r="T392" s="14"/>
    </row>
    <row r="393" spans="1:20" s="20" customFormat="1" ht="15.75" customHeight="1" x14ac:dyDescent="0.25">
      <c r="A393" s="25">
        <f ca="1">INDEX(INDIRECT(zoneFichierTraite),$J392+offsetInitialFichierTraite,2)</f>
        <v>80</v>
      </c>
      <c r="B393" s="45" t="str">
        <f ca="1">IF(C393="", IFERROR(INDEX(INDIRECT(zoneFichierEAN13Valmag),$P392,3),""), "")</f>
        <v/>
      </c>
      <c r="C393" s="44" t="str">
        <f ca="1">IFERROR(INDEX(INDIRECT(zoneFichierEAN13Valmag),$O392,3),"")</f>
        <v xml:space="preserve"> </v>
      </c>
      <c r="D393" s="19" t="str">
        <f ca="1">IFERROR(INDEX(INDIRECT(zoneFichierEAN13Valmag),$O392,4),"")</f>
        <v xml:space="preserve"> </v>
      </c>
      <c r="E393" s="33" t="str">
        <f ca="1">IFERROR(INDEX(INDIRECT(zoneFichierFiltreCatalogue),S392,3),"")</f>
        <v>p149-1-01</v>
      </c>
      <c r="F393" s="19"/>
      <c r="G393" s="18"/>
      <c r="H393" s="34" t="str">
        <f ca="1">IFERROR(INDEX(INDIRECT(zoneFichierFiltreCatalogue),S392,6),"")</f>
        <v>fall 2019 presentation_/catalogo fall 19.txt</v>
      </c>
      <c r="R393" s="21"/>
      <c r="S393" s="21"/>
    </row>
    <row r="394" spans="1:20" ht="39" customHeight="1" thickBot="1" x14ac:dyDescent="0.65">
      <c r="A394" s="9" t="str">
        <f ca="1">INDEX(INDIRECT(zoneFichierTraite),$J394+offsetInitialFichierTraite,6)</f>
        <v>UNICA</v>
      </c>
      <c r="B394" s="5" t="str">
        <f ca="1">INDEX(INDIRECT(zoneFichierTraite),$J394+offsetInitialFichierTraite,4)</f>
        <v>OCLKD001-MESE6-061</v>
      </c>
      <c r="C394" s="26" t="str">
        <f ca="1">INDEX(INDIRECT(zoneFichierTraite),$J394+offsetInitialFichierTraite,5)</f>
        <v>O CLOCK MECANISME GROOVE LUX</v>
      </c>
      <c r="D394" s="27" t="str">
        <f ca="1">INDEX(INDIRECT(zoneFichierTraite),$J394+offsetInitialFichierTraite,13)</f>
        <v>oro</v>
      </c>
      <c r="E394" s="30">
        <f ca="1">INDEX(INDIRECT(zoneFichierTraite),$J394+offsetInitialFichierTraite,7)</f>
        <v>3</v>
      </c>
      <c r="F394" s="28">
        <f ca="1">INDEX(INDIRECT(zoneFichierTraite),$J394+offsetInitialFichierTraite,8)</f>
        <v>10</v>
      </c>
      <c r="G394" s="29">
        <f t="shared" ref="G394:G457" ca="1" si="181">ROUNDUP(F394*3,0)</f>
        <v>30</v>
      </c>
      <c r="H394" s="32" t="str">
        <f ca="1">IF(ISNUMBER(N394),codeEAN13(INT(N394/10)),"")</f>
        <v>8APASOG*ajcjef+</v>
      </c>
      <c r="J394" s="15">
        <f t="shared" ref="J394:J456" si="182">J392+1</f>
        <v>193</v>
      </c>
      <c r="L394" s="5" t="str">
        <f ca="1">INDEX(INDIRECT(zoneFichierTraite),$J394+offsetInitialFichierTraite,1)</f>
        <v>'193</v>
      </c>
      <c r="M394" s="11">
        <f ca="1">INDEX(INDIRECT(zoneFichierTraite),$J394+offsetInitialFichierTraite,9)</f>
        <v>30</v>
      </c>
      <c r="N394" s="14">
        <f ca="1">INDEX(INDIRECT(zoneFichierTraite),$J394+offsetInitialFichierTraite,3)</f>
        <v>8050846092945</v>
      </c>
      <c r="O394" s="1">
        <f ca="1">MATCH(N394,INDIRECT(nomFichierEAN13Valmag &amp; "!A:A"),0)</f>
        <v>898</v>
      </c>
      <c r="P394" s="1">
        <f ca="1">MATCH(R394,INDIRECT(nomFichierEAN13Valmag &amp; "!A:A"),0)</f>
        <v>898</v>
      </c>
      <c r="Q394" s="1">
        <f ca="1">MATCH(LEFT(B394,14) &amp; "*",INDIRECT(nomFichierEAN13Valmag &amp; "!B:B"),0)</f>
        <v>898</v>
      </c>
      <c r="R394" s="14">
        <f ca="1">IFERROR(INDEX(INDIRECT(zoneFichierEAN13Valmag),Q394,1),"")</f>
        <v>8050846092945</v>
      </c>
      <c r="S394" s="1">
        <f ca="1">MATCH(B394,INDIRECT(nomFichierFiltreCatalogue &amp; "!B:B"),0)</f>
        <v>578</v>
      </c>
      <c r="T394" s="14"/>
    </row>
    <row r="395" spans="1:20" s="20" customFormat="1" ht="15.75" customHeight="1" x14ac:dyDescent="0.25">
      <c r="A395" s="25">
        <f ca="1">INDEX(INDIRECT(zoneFichierTraite),$J394+offsetInitialFichierTraite,2)</f>
        <v>167</v>
      </c>
      <c r="B395" s="45" t="str">
        <f ca="1">IF(C395="", IFERROR(INDEX(INDIRECT(zoneFichierEAN13Valmag),$P394,3),""), "")</f>
        <v/>
      </c>
      <c r="C395" s="44" t="str">
        <f ca="1">IFERROR(INDEX(INDIRECT(zoneFichierEAN13Valmag),$O394,3),"")</f>
        <v xml:space="preserve"> </v>
      </c>
      <c r="D395" s="19" t="str">
        <f ca="1">IFERROR(INDEX(INDIRECT(zoneFichierEAN13Valmag),$O394,4),"")</f>
        <v xml:space="preserve"> </v>
      </c>
      <c r="E395" s="33" t="str">
        <f ca="1">IFERROR(INDEX(INDIRECT(zoneFichierFiltreCatalogue),S394,3),"")</f>
        <v>p149-1-02</v>
      </c>
      <c r="F395" s="19"/>
      <c r="G395" s="18"/>
      <c r="H395" s="34" t="str">
        <f ca="1">IFERROR(INDEX(INDIRECT(zoneFichierFiltreCatalogue),S394,6),"")</f>
        <v>fall 2019 presentation_/catalogo fall 19.txt</v>
      </c>
      <c r="R395" s="21"/>
      <c r="S395" s="21"/>
    </row>
    <row r="396" spans="1:20" ht="39" customHeight="1" thickBot="1" x14ac:dyDescent="0.65">
      <c r="A396" s="9" t="str">
        <f ca="1">INDEX(INDIRECT(zoneFichierTraite),$J396+offsetInitialFichierTraite,6)</f>
        <v>UNICA</v>
      </c>
      <c r="B396" s="5" t="str">
        <f ca="1">INDEX(INDIRECT(zoneFichierTraite),$J396+offsetInitialFichierTraite,4)</f>
        <v>OCLKD001-MESE7-055</v>
      </c>
      <c r="C396" s="26" t="str">
        <f ca="1">INDEX(INDIRECT(zoneFichierTraite),$J396+offsetInitialFichierTraite,5)</f>
        <v>O CLOCK MECANISME GROOVE SOLEIL</v>
      </c>
      <c r="D396" s="27" t="str">
        <f ca="1">INDEX(INDIRECT(zoneFichierTraite),$J396+offsetInitialFichierTraite,13)</f>
        <v>nero</v>
      </c>
      <c r="E396" s="30">
        <f ca="1">INDEX(INDIRECT(zoneFichierTraite),$J396+offsetInitialFichierTraite,7)</f>
        <v>3</v>
      </c>
      <c r="F396" s="28">
        <f ca="1">INDEX(INDIRECT(zoneFichierTraite),$J396+offsetInitialFichierTraite,8)</f>
        <v>8.52</v>
      </c>
      <c r="G396" s="29">
        <f t="shared" ref="G396:G459" ca="1" si="183">ROUNDUP(F396*3,0)</f>
        <v>26</v>
      </c>
      <c r="H396" s="32" t="str">
        <f ca="1">IF(ISNUMBER(N396),codeEAN13(INT(N396/10)),"")</f>
        <v>8APASOG*ajcjid+</v>
      </c>
      <c r="J396" s="15">
        <f t="shared" si="182"/>
        <v>194</v>
      </c>
      <c r="L396" s="5" t="str">
        <f ca="1">INDEX(INDIRECT(zoneFichierTraite),$J396+offsetInitialFichierTraite,1)</f>
        <v>'194</v>
      </c>
      <c r="M396" s="11">
        <f ca="1">INDEX(INDIRECT(zoneFichierTraite),$J396+offsetInitialFichierTraite,9)</f>
        <v>25.56</v>
      </c>
      <c r="N396" s="14">
        <f ca="1">INDEX(INDIRECT(zoneFichierTraite),$J396+offsetInitialFichierTraite,3)</f>
        <v>8050846092983</v>
      </c>
      <c r="O396" s="1">
        <f ca="1">MATCH(N396,INDIRECT(nomFichierEAN13Valmag &amp; "!A:A"),0)</f>
        <v>901</v>
      </c>
      <c r="P396" s="1">
        <f ca="1">MATCH(R396,INDIRECT(nomFichierEAN13Valmag &amp; "!A:A"),0)</f>
        <v>900</v>
      </c>
      <c r="Q396" s="1">
        <f ca="1">MATCH(LEFT(B396,14) &amp; "*",INDIRECT(nomFichierEAN13Valmag &amp; "!B:B"),0)</f>
        <v>900</v>
      </c>
      <c r="R396" s="14">
        <f ca="1">IFERROR(INDEX(INDIRECT(zoneFichierEAN13Valmag),Q396,1),"")</f>
        <v>8050846092969</v>
      </c>
      <c r="S396" s="1">
        <f ca="1">MATCH(B396,INDIRECT(nomFichierFiltreCatalogue &amp; "!B:B"),0)</f>
        <v>579</v>
      </c>
      <c r="T396" s="14"/>
    </row>
    <row r="397" spans="1:20" s="20" customFormat="1" ht="15.75" customHeight="1" x14ac:dyDescent="0.25">
      <c r="A397" s="25">
        <f ca="1">INDEX(INDIRECT(zoneFichierTraite),$J396+offsetInitialFichierTraite,2)</f>
        <v>22</v>
      </c>
      <c r="B397" s="45" t="str">
        <f ca="1">IF(C397="", IFERROR(INDEX(INDIRECT(zoneFichierEAN13Valmag),$P396,3),""), "")</f>
        <v/>
      </c>
      <c r="C397" s="44" t="str">
        <f ca="1">IFERROR(INDEX(INDIRECT(zoneFichierEAN13Valmag),$O396,3),"")</f>
        <v xml:space="preserve"> </v>
      </c>
      <c r="D397" s="19" t="str">
        <f ca="1">IFERROR(INDEX(INDIRECT(zoneFichierEAN13Valmag),$O396,4),"")</f>
        <v xml:space="preserve"> </v>
      </c>
      <c r="E397" s="33" t="str">
        <f ca="1">IFERROR(INDEX(INDIRECT(zoneFichierFiltreCatalogue),S396,3),"")</f>
        <v>p149-2-01</v>
      </c>
      <c r="F397" s="19"/>
      <c r="G397" s="18"/>
      <c r="H397" s="34" t="str">
        <f ca="1">IFERROR(INDEX(INDIRECT(zoneFichierFiltreCatalogue),S396,6),"")</f>
        <v>fall 2019 presentation_/catalogo fall 19.txt</v>
      </c>
      <c r="R397" s="21"/>
      <c r="S397" s="21"/>
    </row>
    <row r="398" spans="1:20" ht="39" customHeight="1" thickBot="1" x14ac:dyDescent="0.65">
      <c r="A398" s="9" t="str">
        <f ca="1">INDEX(INDIRECT(zoneFichierTraite),$J398+offsetInitialFichierTraite,6)</f>
        <v>UNICA</v>
      </c>
      <c r="B398" s="5" t="str">
        <f ca="1">INDEX(INDIRECT(zoneFichierTraite),$J398+offsetInitialFichierTraite,4)</f>
        <v>OCLKD001-MESE7-137</v>
      </c>
      <c r="C398" s="26" t="str">
        <f ca="1">INDEX(INDIRECT(zoneFichierTraite),$J398+offsetInitialFichierTraite,5)</f>
        <v>O CLOCK MECANISME GROOVE SOLEIL</v>
      </c>
      <c r="D398" s="27" t="str">
        <f ca="1">INDEX(INDIRECT(zoneFichierTraite),$J398+offsetInitialFichierTraite,13)</f>
        <v>bluette</v>
      </c>
      <c r="E398" s="30">
        <f ca="1">INDEX(INDIRECT(zoneFichierTraite),$J398+offsetInitialFichierTraite,7)</f>
        <v>3</v>
      </c>
      <c r="F398" s="28">
        <f ca="1">INDEX(INDIRECT(zoneFichierTraite),$J398+offsetInitialFichierTraite,8)</f>
        <v>8.52</v>
      </c>
      <c r="G398" s="29">
        <f t="shared" ref="G398:G461" ca="1" si="184">ROUNDUP(F398*3,0)</f>
        <v>26</v>
      </c>
      <c r="H398" s="32" t="str">
        <f ca="1">IF(ISNUMBER(N398),codeEAN13(INT(N398/10)),"")</f>
        <v>8APASOG*ajcjgj+</v>
      </c>
      <c r="J398" s="15">
        <f t="shared" si="182"/>
        <v>195</v>
      </c>
      <c r="L398" s="5" t="str">
        <f ca="1">INDEX(INDIRECT(zoneFichierTraite),$J398+offsetInitialFichierTraite,1)</f>
        <v>'195</v>
      </c>
      <c r="M398" s="11">
        <f ca="1">INDEX(INDIRECT(zoneFichierTraite),$J398+offsetInitialFichierTraite,9)</f>
        <v>25.56</v>
      </c>
      <c r="N398" s="14">
        <f ca="1">INDEX(INDIRECT(zoneFichierTraite),$J398+offsetInitialFichierTraite,3)</f>
        <v>8050846092969</v>
      </c>
      <c r="O398" s="1">
        <f ca="1">MATCH(N398,INDIRECT(nomFichierEAN13Valmag &amp; "!A:A"),0)</f>
        <v>900</v>
      </c>
      <c r="P398" s="1">
        <f ca="1">MATCH(R398,INDIRECT(nomFichierEAN13Valmag &amp; "!A:A"),0)</f>
        <v>900</v>
      </c>
      <c r="Q398" s="1">
        <f ca="1">MATCH(LEFT(B398,14) &amp; "*",INDIRECT(nomFichierEAN13Valmag &amp; "!B:B"),0)</f>
        <v>900</v>
      </c>
      <c r="R398" s="14">
        <f ca="1">IFERROR(INDEX(INDIRECT(zoneFichierEAN13Valmag),Q398,1),"")</f>
        <v>8050846092969</v>
      </c>
      <c r="S398" s="1">
        <f ca="1">MATCH(B398,INDIRECT(nomFichierFiltreCatalogue &amp; "!B:B"),0)</f>
        <v>580</v>
      </c>
      <c r="T398" s="14"/>
    </row>
    <row r="399" spans="1:20" s="20" customFormat="1" ht="15.75" customHeight="1" x14ac:dyDescent="0.25">
      <c r="A399" s="25">
        <f ca="1">INDEX(INDIRECT(zoneFichierTraite),$J398+offsetInitialFichierTraite,2)</f>
        <v>81</v>
      </c>
      <c r="B399" s="45" t="str">
        <f ca="1">IF(C399="", IFERROR(INDEX(INDIRECT(zoneFichierEAN13Valmag),$P398,3),""), "")</f>
        <v/>
      </c>
      <c r="C399" s="44" t="str">
        <f ca="1">IFERROR(INDEX(INDIRECT(zoneFichierEAN13Valmag),$O398,3),"")</f>
        <v xml:space="preserve"> </v>
      </c>
      <c r="D399" s="19" t="str">
        <f ca="1">IFERROR(INDEX(INDIRECT(zoneFichierEAN13Valmag),$O398,4),"")</f>
        <v xml:space="preserve"> </v>
      </c>
      <c r="E399" s="33" t="str">
        <f ca="1">IFERROR(INDEX(INDIRECT(zoneFichierFiltreCatalogue),S398,3),"")</f>
        <v>p149-2-02</v>
      </c>
      <c r="F399" s="19"/>
      <c r="G399" s="18"/>
      <c r="H399" s="34" t="str">
        <f ca="1">IFERROR(INDEX(INDIRECT(zoneFichierFiltreCatalogue),S398,6),"")</f>
        <v>fall 2019 presentation_/catalogo fall 19.txt</v>
      </c>
      <c r="R399" s="21"/>
      <c r="S399" s="21"/>
    </row>
    <row r="400" spans="1:20" ht="39" customHeight="1" thickBot="1" x14ac:dyDescent="0.65">
      <c r="A400" s="9" t="str">
        <f ca="1">INDEX(INDIRECT(zoneFichierTraite),$J400+offsetInitialFichierTraite,6)</f>
        <v>UNICA</v>
      </c>
      <c r="B400" s="5" t="str">
        <f ca="1">INDEX(INDIRECT(zoneFichierTraite),$J400+offsetInitialFichierTraite,4)</f>
        <v>OCLKD001-MESE9-008</v>
      </c>
      <c r="C400" s="26" t="str">
        <f ca="1">INDEX(INDIRECT(zoneFichierTraite),$J400+offsetInitialFichierTraite,5)</f>
        <v>O CLOCK MECANISME INDEX MIRROR</v>
      </c>
      <c r="D400" s="27" t="str">
        <f ca="1">INDEX(INDIRECT(zoneFichierTraite),$J400+offsetInitialFichierTraite,13)</f>
        <v>bianco</v>
      </c>
      <c r="E400" s="30">
        <f ca="1">INDEX(INDIRECT(zoneFichierTraite),$J400+offsetInitialFichierTraite,7)</f>
        <v>3</v>
      </c>
      <c r="F400" s="28">
        <f ca="1">INDEX(INDIRECT(zoneFichierTraite),$J400+offsetInitialFichierTraite,8)</f>
        <v>8.52</v>
      </c>
      <c r="G400" s="29">
        <f t="shared" ref="G400:G463" ca="1" si="185">ROUNDUP(F400*3,0)</f>
        <v>26</v>
      </c>
      <c r="H400" s="32" t="str">
        <f ca="1">IF(ISNUMBER(N400),codeEAN13(INT(N400/10)),"")</f>
        <v>8APASOG*ajdaba+</v>
      </c>
      <c r="J400" s="15">
        <f t="shared" si="182"/>
        <v>196</v>
      </c>
      <c r="L400" s="5" t="str">
        <f ca="1">INDEX(INDIRECT(zoneFichierTraite),$J400+offsetInitialFichierTraite,1)</f>
        <v>'196</v>
      </c>
      <c r="M400" s="11">
        <f ca="1">INDEX(INDIRECT(zoneFichierTraite),$J400+offsetInitialFichierTraite,9)</f>
        <v>25.56</v>
      </c>
      <c r="N400" s="14">
        <f ca="1">INDEX(INDIRECT(zoneFichierTraite),$J400+offsetInitialFichierTraite,3)</f>
        <v>8050846093010</v>
      </c>
      <c r="O400" s="1">
        <f ca="1">MATCH(N400,INDIRECT(nomFichierEAN13Valmag &amp; "!A:A"),0)</f>
        <v>902</v>
      </c>
      <c r="P400" s="1">
        <f ca="1">MATCH(R400,INDIRECT(nomFichierEAN13Valmag &amp; "!A:A"),0)</f>
        <v>902</v>
      </c>
      <c r="Q400" s="1">
        <f ca="1">MATCH(LEFT(B400,14) &amp; "*",INDIRECT(nomFichierEAN13Valmag &amp; "!B:B"),0)</f>
        <v>902</v>
      </c>
      <c r="R400" s="14">
        <f ca="1">IFERROR(INDEX(INDIRECT(zoneFichierEAN13Valmag),Q400,1),"")</f>
        <v>8050846093010</v>
      </c>
      <c r="S400" s="1">
        <f ca="1">MATCH(B400,INDIRECT(nomFichierFiltreCatalogue &amp; "!B:B"),0)</f>
        <v>581</v>
      </c>
      <c r="T400" s="14"/>
    </row>
    <row r="401" spans="1:20" s="20" customFormat="1" ht="15.75" customHeight="1" x14ac:dyDescent="0.25">
      <c r="A401" s="25">
        <f ca="1">INDEX(INDIRECT(zoneFichierTraite),$J400+offsetInitialFichierTraite,2)</f>
        <v>147</v>
      </c>
      <c r="B401" s="45" t="str">
        <f ca="1">IF(C401="", IFERROR(INDEX(INDIRECT(zoneFichierEAN13Valmag),$P400,3),""), "")</f>
        <v/>
      </c>
      <c r="C401" s="44" t="str">
        <f ca="1">IFERROR(INDEX(INDIRECT(zoneFichierEAN13Valmag),$O400,3),"")</f>
        <v xml:space="preserve"> </v>
      </c>
      <c r="D401" s="19" t="str">
        <f ca="1">IFERROR(INDEX(INDIRECT(zoneFichierEAN13Valmag),$O400,4),"")</f>
        <v xml:space="preserve"> </v>
      </c>
      <c r="E401" s="33" t="str">
        <f ca="1">IFERROR(INDEX(INDIRECT(zoneFichierFiltreCatalogue),S400,3),"")</f>
        <v>p150-1-01</v>
      </c>
      <c r="F401" s="19"/>
      <c r="G401" s="18"/>
      <c r="H401" s="34" t="str">
        <f ca="1">IFERROR(INDEX(INDIRECT(zoneFichierFiltreCatalogue),S400,6),"")</f>
        <v>fall 2019 presentation_/catalogo fall 19.txt</v>
      </c>
      <c r="R401" s="21"/>
      <c r="S401" s="21"/>
    </row>
    <row r="402" spans="1:20" ht="39" customHeight="1" thickBot="1" x14ac:dyDescent="0.65">
      <c r="A402" s="9" t="str">
        <f ca="1">INDEX(INDIRECT(zoneFichierTraite),$J402+offsetInitialFichierTraite,6)</f>
        <v>UNICA</v>
      </c>
      <c r="B402" s="5" t="str">
        <f ca="1">INDEX(INDIRECT(zoneFichierTraite),$J402+offsetInitialFichierTraite,4)</f>
        <v>OCLKD001-MESE9-055</v>
      </c>
      <c r="C402" s="26" t="str">
        <f ca="1">INDEX(INDIRECT(zoneFichierTraite),$J402+offsetInitialFichierTraite,5)</f>
        <v>O CLOCK MECANISME INDEX MIRROR</v>
      </c>
      <c r="D402" s="27" t="str">
        <f ca="1">INDEX(INDIRECT(zoneFichierTraite),$J402+offsetInitialFichierTraite,13)</f>
        <v>nero</v>
      </c>
      <c r="E402" s="30">
        <f ca="1">INDEX(INDIRECT(zoneFichierTraite),$J402+offsetInitialFichierTraite,7)</f>
        <v>3</v>
      </c>
      <c r="F402" s="28">
        <f ca="1">INDEX(INDIRECT(zoneFichierTraite),$J402+offsetInitialFichierTraite,8)</f>
        <v>8.52</v>
      </c>
      <c r="G402" s="29">
        <f t="shared" ref="G402:G465" ca="1" si="186">ROUNDUP(F402*3,0)</f>
        <v>26</v>
      </c>
      <c r="H402" s="32" t="str">
        <f ca="1">IF(ISNUMBER(N402),codeEAN13(INT(N402/10)),"")</f>
        <v>8APASOG*ajdach+</v>
      </c>
      <c r="J402" s="15">
        <f t="shared" si="182"/>
        <v>197</v>
      </c>
      <c r="L402" s="5" t="str">
        <f ca="1">INDEX(INDIRECT(zoneFichierTraite),$J402+offsetInitialFichierTraite,1)</f>
        <v>'197</v>
      </c>
      <c r="M402" s="11">
        <f ca="1">INDEX(INDIRECT(zoneFichierTraite),$J402+offsetInitialFichierTraite,9)</f>
        <v>25.56</v>
      </c>
      <c r="N402" s="14">
        <f ca="1">INDEX(INDIRECT(zoneFichierTraite),$J402+offsetInitialFichierTraite,3)</f>
        <v>8050846093027</v>
      </c>
      <c r="O402" s="1">
        <f ca="1">MATCH(N402,INDIRECT(nomFichierEAN13Valmag &amp; "!A:A"),0)</f>
        <v>903</v>
      </c>
      <c r="P402" s="1">
        <f ca="1">MATCH(R402,INDIRECT(nomFichierEAN13Valmag &amp; "!A:A"),0)</f>
        <v>902</v>
      </c>
      <c r="Q402" s="1">
        <f ca="1">MATCH(LEFT(B402,14) &amp; "*",INDIRECT(nomFichierEAN13Valmag &amp; "!B:B"),0)</f>
        <v>902</v>
      </c>
      <c r="R402" s="14">
        <f ca="1">IFERROR(INDEX(INDIRECT(zoneFichierEAN13Valmag),Q402,1),"")</f>
        <v>8050846093010</v>
      </c>
      <c r="S402" s="1">
        <f ca="1">MATCH(B402,INDIRECT(nomFichierFiltreCatalogue &amp; "!B:B"),0)</f>
        <v>582</v>
      </c>
      <c r="T402" s="14"/>
    </row>
    <row r="403" spans="1:20" s="20" customFormat="1" ht="15.75" customHeight="1" x14ac:dyDescent="0.25">
      <c r="A403" s="25">
        <f ca="1">INDEX(INDIRECT(zoneFichierTraite),$J402+offsetInitialFichierTraite,2)</f>
        <v>207</v>
      </c>
      <c r="B403" s="45" t="str">
        <f ca="1">IF(C403="", IFERROR(INDEX(INDIRECT(zoneFichierEAN13Valmag),$P402,3),""), "")</f>
        <v/>
      </c>
      <c r="C403" s="44" t="str">
        <f ca="1">IFERROR(INDEX(INDIRECT(zoneFichierEAN13Valmag),$O402,3),"")</f>
        <v xml:space="preserve"> </v>
      </c>
      <c r="D403" s="19" t="str">
        <f ca="1">IFERROR(INDEX(INDIRECT(zoneFichierEAN13Valmag),$O402,4),"")</f>
        <v xml:space="preserve"> </v>
      </c>
      <c r="E403" s="33" t="str">
        <f ca="1">IFERROR(INDEX(INDIRECT(zoneFichierFiltreCatalogue),S402,3),"")</f>
        <v>p150-1-02</v>
      </c>
      <c r="F403" s="19"/>
      <c r="G403" s="18"/>
      <c r="H403" s="34" t="str">
        <f ca="1">IFERROR(INDEX(INDIRECT(zoneFichierFiltreCatalogue),S402,6),"")</f>
        <v>fall 2019 presentation_/catalogo fall 19.txt</v>
      </c>
      <c r="R403" s="21"/>
      <c r="S403" s="21"/>
    </row>
    <row r="404" spans="1:20" ht="39" customHeight="1" thickBot="1" x14ac:dyDescent="0.65">
      <c r="A404" s="9" t="str">
        <f ca="1">INDEX(INDIRECT(zoneFichierTraite),$J404+offsetInitialFichierTraite,6)</f>
        <v>UNICA</v>
      </c>
      <c r="B404" s="5" t="str">
        <f ca="1">INDEX(INDIRECT(zoneFichierTraite),$J404+offsetInitialFichierTraite,4)</f>
        <v>OCLKD001-MESF2-055</v>
      </c>
      <c r="C404" s="26" t="str">
        <f ca="1">INDEX(INDIRECT(zoneFichierTraite),$J404+offsetInitialFichierTraite,5)</f>
        <v>O CLOCK MECANISME ACTIVE</v>
      </c>
      <c r="D404" s="27" t="str">
        <f ca="1">INDEX(INDIRECT(zoneFichierTraite),$J404+offsetInitialFichierTraite,13)</f>
        <v>nero</v>
      </c>
      <c r="E404" s="30">
        <f ca="1">INDEX(INDIRECT(zoneFichierTraite),$J404+offsetInitialFichierTraite,7)</f>
        <v>3</v>
      </c>
      <c r="F404" s="28">
        <f ca="1">INDEX(INDIRECT(zoneFichierTraite),$J404+offsetInitialFichierTraite,8)</f>
        <v>11.85</v>
      </c>
      <c r="G404" s="29">
        <f t="shared" ref="G404:G467" ca="1" si="187">ROUNDUP(F404*3,0)</f>
        <v>36</v>
      </c>
      <c r="H404" s="32" t="str">
        <f ca="1">IF(ISNUMBER(N404),codeEAN13(INT(N404/10)),"")</f>
        <v>8APASOG*ajejgd+</v>
      </c>
      <c r="J404" s="15">
        <f t="shared" si="182"/>
        <v>198</v>
      </c>
      <c r="L404" s="5" t="str">
        <f ca="1">INDEX(INDIRECT(zoneFichierTraite),$J404+offsetInitialFichierTraite,1)</f>
        <v>'198</v>
      </c>
      <c r="M404" s="11">
        <f ca="1">INDEX(INDIRECT(zoneFichierTraite),$J404+offsetInitialFichierTraite,9)</f>
        <v>35.549999999999997</v>
      </c>
      <c r="N404" s="14">
        <f ca="1">INDEX(INDIRECT(zoneFichierTraite),$J404+offsetInitialFichierTraite,3)</f>
        <v>8050846094963</v>
      </c>
      <c r="O404" s="1">
        <f ca="1">MATCH(N404,INDIRECT(nomFichierEAN13Valmag &amp; "!A:A"),0)</f>
        <v>928</v>
      </c>
      <c r="P404" s="1">
        <f ca="1">MATCH(R404,INDIRECT(nomFichierEAN13Valmag &amp; "!A:A"),0)</f>
        <v>928</v>
      </c>
      <c r="Q404" s="1">
        <f ca="1">MATCH(LEFT(B404,14) &amp; "*",INDIRECT(nomFichierEAN13Valmag &amp; "!B:B"),0)</f>
        <v>928</v>
      </c>
      <c r="R404" s="14">
        <f ca="1">IFERROR(INDEX(INDIRECT(zoneFichierEAN13Valmag),Q404,1),"")</f>
        <v>8050846094963</v>
      </c>
      <c r="S404" s="1">
        <f ca="1">MATCH(B404,INDIRECT(nomFichierFiltreCatalogue &amp; "!B:B"),0)</f>
        <v>575</v>
      </c>
      <c r="T404" s="14"/>
    </row>
    <row r="405" spans="1:20" s="20" customFormat="1" ht="15.75" customHeight="1" x14ac:dyDescent="0.25">
      <c r="A405" s="25">
        <f ca="1">INDEX(INDIRECT(zoneFichierTraite),$J404+offsetInitialFichierTraite,2)</f>
        <v>36</v>
      </c>
      <c r="B405" s="45" t="str">
        <f ca="1">IF(C405="", IFERROR(INDEX(INDIRECT(zoneFichierEAN13Valmag),$P404,3),""), "")</f>
        <v/>
      </c>
      <c r="C405" s="44" t="str">
        <f ca="1">IFERROR(INDEX(INDIRECT(zoneFichierEAN13Valmag),$O404,3),"")</f>
        <v xml:space="preserve"> </v>
      </c>
      <c r="D405" s="19" t="str">
        <f ca="1">IFERROR(INDEX(INDIRECT(zoneFichierEAN13Valmag),$O404,4),"")</f>
        <v xml:space="preserve"> </v>
      </c>
      <c r="E405" s="33" t="str">
        <f ca="1">IFERROR(INDEX(INDIRECT(zoneFichierFiltreCatalogue),S404,3),"")</f>
        <v>p148-2-01</v>
      </c>
      <c r="F405" s="19"/>
      <c r="G405" s="18"/>
      <c r="H405" s="34" t="str">
        <f ca="1">IFERROR(INDEX(INDIRECT(zoneFichierFiltreCatalogue),S404,6),"")</f>
        <v>fall 2019 presentation_/catalogo fall 19.txt</v>
      </c>
      <c r="R405" s="21"/>
      <c r="S405" s="21"/>
    </row>
    <row r="406" spans="1:20" ht="39" customHeight="1" thickBot="1" x14ac:dyDescent="0.65">
      <c r="A406" s="9" t="str">
        <f ca="1">INDEX(INDIRECT(zoneFichierTraite),$J406+offsetInitialFichierTraite,6)</f>
        <v>UNICA</v>
      </c>
      <c r="B406" s="5" t="str">
        <f ca="1">INDEX(INDIRECT(zoneFichierTraite),$J406+offsetInitialFichierTraite,4)</f>
        <v>OCLKD001-MESF2-137</v>
      </c>
      <c r="C406" s="26" t="str">
        <f ca="1">INDEX(INDIRECT(zoneFichierTraite),$J406+offsetInitialFichierTraite,5)</f>
        <v>O CLOCK MECANISME ACTIVE</v>
      </c>
      <c r="D406" s="27" t="str">
        <f ca="1">INDEX(INDIRECT(zoneFichierTraite),$J406+offsetInitialFichierTraite,13)</f>
        <v>bluette</v>
      </c>
      <c r="E406" s="30">
        <f ca="1">INDEX(INDIRECT(zoneFichierTraite),$J406+offsetInitialFichierTraite,7)</f>
        <v>3</v>
      </c>
      <c r="F406" s="28">
        <f ca="1">INDEX(INDIRECT(zoneFichierTraite),$J406+offsetInitialFichierTraite,8)</f>
        <v>11.85</v>
      </c>
      <c r="G406" s="29">
        <f t="shared" ref="G406:G469" ca="1" si="188">ROUNDUP(F406*3,0)</f>
        <v>36</v>
      </c>
      <c r="H406" s="32" t="str">
        <f ca="1">IF(ISNUMBER(N406),codeEAN13(INT(N406/10)),"")</f>
        <v>8APASOG*ajejih+</v>
      </c>
      <c r="J406" s="15">
        <f t="shared" si="182"/>
        <v>199</v>
      </c>
      <c r="L406" s="5" t="str">
        <f ca="1">INDEX(INDIRECT(zoneFichierTraite),$J406+offsetInitialFichierTraite,1)</f>
        <v>'199</v>
      </c>
      <c r="M406" s="11">
        <f ca="1">INDEX(INDIRECT(zoneFichierTraite),$J406+offsetInitialFichierTraite,9)</f>
        <v>35.549999999999997</v>
      </c>
      <c r="N406" s="14">
        <f ca="1">INDEX(INDIRECT(zoneFichierTraite),$J406+offsetInitialFichierTraite,3)</f>
        <v>8050846094987</v>
      </c>
      <c r="O406" s="1">
        <f ca="1">MATCH(N406,INDIRECT(nomFichierEAN13Valmag &amp; "!A:A"),0)</f>
        <v>929</v>
      </c>
      <c r="P406" s="1">
        <f ca="1">MATCH(R406,INDIRECT(nomFichierEAN13Valmag &amp; "!A:A"),0)</f>
        <v>928</v>
      </c>
      <c r="Q406" s="1">
        <f ca="1">MATCH(LEFT(B406,14) &amp; "*",INDIRECT(nomFichierEAN13Valmag &amp; "!B:B"),0)</f>
        <v>928</v>
      </c>
      <c r="R406" s="14">
        <f ca="1">IFERROR(INDEX(INDIRECT(zoneFichierEAN13Valmag),Q406,1),"")</f>
        <v>8050846094963</v>
      </c>
      <c r="S406" s="1">
        <f ca="1">MATCH(B406,INDIRECT(nomFichierFiltreCatalogue &amp; "!B:B"),0)</f>
        <v>576</v>
      </c>
      <c r="T406" s="14"/>
    </row>
    <row r="407" spans="1:20" s="20" customFormat="1" ht="15.75" customHeight="1" x14ac:dyDescent="0.25">
      <c r="A407" s="25">
        <f ca="1">INDEX(INDIRECT(zoneFichierTraite),$J406+offsetInitialFichierTraite,2)</f>
        <v>23</v>
      </c>
      <c r="B407" s="45" t="str">
        <f ca="1">IF(C407="", IFERROR(INDEX(INDIRECT(zoneFichierEAN13Valmag),$P406,3),""), "")</f>
        <v/>
      </c>
      <c r="C407" s="44" t="str">
        <f ca="1">IFERROR(INDEX(INDIRECT(zoneFichierEAN13Valmag),$O406,3),"")</f>
        <v xml:space="preserve"> </v>
      </c>
      <c r="D407" s="19" t="str">
        <f ca="1">IFERROR(INDEX(INDIRECT(zoneFichierEAN13Valmag),$O406,4),"")</f>
        <v xml:space="preserve"> </v>
      </c>
      <c r="E407" s="33" t="str">
        <f ca="1">IFERROR(INDEX(INDIRECT(zoneFichierFiltreCatalogue),S406,3),"")</f>
        <v>p148-2-02</v>
      </c>
      <c r="F407" s="19"/>
      <c r="G407" s="18"/>
      <c r="H407" s="34" t="str">
        <f ca="1">IFERROR(INDEX(INDIRECT(zoneFichierFiltreCatalogue),S406,6),"")</f>
        <v>fall 2019 presentation_/catalogo fall 19.txt</v>
      </c>
      <c r="R407" s="21"/>
      <c r="S407" s="21"/>
    </row>
    <row r="408" spans="1:20" ht="39" customHeight="1" thickBot="1" x14ac:dyDescent="0.65">
      <c r="A408" s="9" t="str">
        <f ca="1">INDEX(INDIRECT(zoneFichierTraite),$J408+offsetInitialFichierTraite,6)</f>
        <v>UNICA</v>
      </c>
      <c r="B408" s="5" t="str">
        <f ca="1">INDEX(INDIRECT(zoneFichierTraite),$J408+offsetInitialFichierTraite,4)</f>
        <v>OCLKD001-MESF2-615</v>
      </c>
      <c r="C408" s="26" t="str">
        <f ca="1">INDEX(INDIRECT(zoneFichierTraite),$J408+offsetInitialFichierTraite,5)</f>
        <v>O CLOCK MECANISME ACTIVE</v>
      </c>
      <c r="D408" s="27" t="str">
        <f ca="1">INDEX(INDIRECT(zoneFichierTraite),$J408+offsetInitialFichierTraite,13)</f>
        <v>CodeBarre</v>
      </c>
      <c r="E408" s="30">
        <f ca="1">INDEX(INDIRECT(zoneFichierTraite),$J408+offsetInitialFichierTraite,7)</f>
        <v>3</v>
      </c>
      <c r="F408" s="28">
        <f ca="1">INDEX(INDIRECT(zoneFichierTraite),$J408+offsetInitialFichierTraite,8)</f>
        <v>11.85</v>
      </c>
      <c r="G408" s="29">
        <f t="shared" ref="G408:G471" ca="1" si="189">ROUNDUP(F408*3,0)</f>
        <v>36</v>
      </c>
      <c r="H408" s="32" t="str">
        <f ca="1">IF(ISNUMBER(N408),codeEAN13(INT(N408/10)),"")</f>
        <v/>
      </c>
      <c r="J408" s="15">
        <f t="shared" si="182"/>
        <v>200</v>
      </c>
      <c r="L408" s="5" t="str">
        <f ca="1">INDEX(INDIRECT(zoneFichierTraite),$J408+offsetInitialFichierTraite,1)</f>
        <v>'200</v>
      </c>
      <c r="M408" s="11">
        <f ca="1">INDEX(INDIRECT(zoneFichierTraite),$J408+offsetInitialFichierTraite,9)</f>
        <v>35.549999999999997</v>
      </c>
      <c r="N408" s="14" t="str">
        <f ca="1">INDEX(INDIRECT(zoneFichierTraite),$J408+offsetInitialFichierTraite,3)</f>
        <v>CodeBarre</v>
      </c>
      <c r="O408" s="1" t="e">
        <f ca="1">MATCH(N408,INDIRECT(nomFichierEAN13Valmag &amp; "!A:A"),0)</f>
        <v>#N/A</v>
      </c>
      <c r="P408" s="1">
        <f ca="1">MATCH(R408,INDIRECT(nomFichierEAN13Valmag &amp; "!A:A"),0)</f>
        <v>928</v>
      </c>
      <c r="Q408" s="1">
        <f ca="1">MATCH(LEFT(B408,14) &amp; "*",INDIRECT(nomFichierEAN13Valmag &amp; "!B:B"),0)</f>
        <v>928</v>
      </c>
      <c r="R408" s="14">
        <f ca="1">IFERROR(INDEX(INDIRECT(zoneFichierEAN13Valmag),Q408,1),"")</f>
        <v>8050846094963</v>
      </c>
      <c r="S408" s="1" t="e">
        <f ca="1">MATCH(B408,INDIRECT(nomFichierFiltreCatalogue &amp; "!B:B"),0)</f>
        <v>#N/A</v>
      </c>
      <c r="T408" s="14"/>
    </row>
    <row r="409" spans="1:20" s="20" customFormat="1" ht="15.75" customHeight="1" x14ac:dyDescent="0.25">
      <c r="A409" s="25">
        <f ca="1">INDEX(INDIRECT(zoneFichierTraite),$J408+offsetInitialFichierTraite,2)</f>
        <v>158</v>
      </c>
      <c r="B409" s="45" t="str">
        <f ca="1">IF(C409="", IFERROR(INDEX(INDIRECT(zoneFichierEAN13Valmag),$P408,3),""), "")</f>
        <v xml:space="preserve"> </v>
      </c>
      <c r="C409" s="44" t="str">
        <f ca="1">IFERROR(INDEX(INDIRECT(zoneFichierEAN13Valmag),$O408,3),"")</f>
        <v/>
      </c>
      <c r="D409" s="19" t="str">
        <f ca="1">IFERROR(INDEX(INDIRECT(zoneFichierEAN13Valmag),$O408,4),"")</f>
        <v/>
      </c>
      <c r="E409" s="33" t="str">
        <f ca="1">IFERROR(INDEX(INDIRECT(zoneFichierFiltreCatalogue),S408,3),"")</f>
        <v/>
      </c>
      <c r="F409" s="19"/>
      <c r="G409" s="18"/>
      <c r="H409" s="34" t="str">
        <f ca="1">IFERROR(INDEX(INDIRECT(zoneFichierFiltreCatalogue),S408,6),"")</f>
        <v/>
      </c>
      <c r="R409" s="21"/>
      <c r="S409" s="21"/>
    </row>
    <row r="410" spans="1:20" ht="39" customHeight="1" thickBot="1" x14ac:dyDescent="0.65">
      <c r="A410" s="9" t="str">
        <f ca="1">INDEX(INDIRECT(zoneFichierTraite),$J410+offsetInitialFichierTraite,6)</f>
        <v>UNICA</v>
      </c>
      <c r="B410" s="5" t="str">
        <f ca="1">INDEX(INDIRECT(zoneFichierTraite),$J410+offsetInitialFichierTraite,4)</f>
        <v>OCLKD101-MESE4-004</v>
      </c>
      <c r="C410" s="26" t="str">
        <f ca="1">INDEX(INDIRECT(zoneFichierTraite),$J410+offsetInitialFichierTraite,5)</f>
        <v>O CLOCK MECANISME GREAT CIRCLE MOTHER OF PEARL</v>
      </c>
      <c r="D410" s="27" t="str">
        <f ca="1">INDEX(INDIRECT(zoneFichierTraite),$J410+offsetInitialFichierTraite,13)</f>
        <v>argento</v>
      </c>
      <c r="E410" s="30">
        <f ca="1">INDEX(INDIRECT(zoneFichierTraite),$J410+offsetInitialFichierTraite,7)</f>
        <v>3</v>
      </c>
      <c r="F410" s="28">
        <f ca="1">INDEX(INDIRECT(zoneFichierTraite),$J410+offsetInitialFichierTraite,8)</f>
        <v>9.6300000000000008</v>
      </c>
      <c r="G410" s="29">
        <f t="shared" ref="G410:G471" ca="1" si="190">ROUNDUP(F410*3,0)</f>
        <v>29</v>
      </c>
      <c r="H410" s="32" t="str">
        <f ca="1">IF(ISNUMBER(N410),codeEAN13(INT(N410/10)),"")</f>
        <v>8APASOG*ajdagf+</v>
      </c>
      <c r="J410" s="15">
        <f t="shared" si="182"/>
        <v>201</v>
      </c>
      <c r="L410" s="5" t="str">
        <f ca="1">INDEX(INDIRECT(zoneFichierTraite),$J410+offsetInitialFichierTraite,1)</f>
        <v>'201</v>
      </c>
      <c r="M410" s="11">
        <f ca="1">INDEX(INDIRECT(zoneFichierTraite),$J410+offsetInitialFichierTraite,9)</f>
        <v>28.89</v>
      </c>
      <c r="N410" s="14">
        <f ca="1">INDEX(INDIRECT(zoneFichierTraite),$J410+offsetInitialFichierTraite,3)</f>
        <v>8050846093065</v>
      </c>
      <c r="O410" s="1">
        <f ca="1">MATCH(N410,INDIRECT(nomFichierEAN13Valmag &amp; "!A:A"),0)</f>
        <v>904</v>
      </c>
      <c r="P410" s="1">
        <f ca="1">MATCH(R410,INDIRECT(nomFichierEAN13Valmag &amp; "!A:A"),0)</f>
        <v>904</v>
      </c>
      <c r="Q410" s="1">
        <f ca="1">MATCH(LEFT(B410,14) &amp; "*",INDIRECT(nomFichierEAN13Valmag &amp; "!B:B"),0)</f>
        <v>904</v>
      </c>
      <c r="R410" s="14">
        <f ca="1">IFERROR(INDEX(INDIRECT(zoneFichierEAN13Valmag),Q410,1),"")</f>
        <v>8050846093065</v>
      </c>
      <c r="S410" s="1">
        <f ca="1">MATCH(B410,INDIRECT(nomFichierFiltreCatalogue &amp; "!B:B"),0)</f>
        <v>741</v>
      </c>
      <c r="T410" s="14"/>
    </row>
    <row r="411" spans="1:20" s="20" customFormat="1" ht="15.75" customHeight="1" x14ac:dyDescent="0.25">
      <c r="A411" s="25">
        <f ca="1">INDEX(INDIRECT(zoneFichierTraite),$J410+offsetInitialFichierTraite,2)</f>
        <v>96</v>
      </c>
      <c r="B411" s="45" t="str">
        <f ca="1">IF(C411="", IFERROR(INDEX(INDIRECT(zoneFichierEAN13Valmag),$P410,3),""), "")</f>
        <v/>
      </c>
      <c r="C411" s="44" t="str">
        <f ca="1">IFERROR(INDEX(INDIRECT(zoneFichierEAN13Valmag),$O410,3),"")</f>
        <v xml:space="preserve"> </v>
      </c>
      <c r="D411" s="19" t="str">
        <f ca="1">IFERROR(INDEX(INDIRECT(zoneFichierEAN13Valmag),$O410,4),"")</f>
        <v xml:space="preserve"> </v>
      </c>
      <c r="E411" s="33" t="str">
        <f ca="1">IFERROR(INDEX(INDIRECT(zoneFichierFiltreCatalogue),S410,3),"")</f>
        <v>p165-2-01</v>
      </c>
      <c r="F411" s="19"/>
      <c r="G411" s="18"/>
      <c r="H411" s="34" t="str">
        <f ca="1">IFERROR(INDEX(INDIRECT(zoneFichierFiltreCatalogue),S410,6),"")</f>
        <v>fall 2019 presentation_/catalogo fall 19.txt</v>
      </c>
      <c r="R411" s="21"/>
      <c r="S411" s="21"/>
    </row>
    <row r="412" spans="1:20" ht="39" customHeight="1" thickBot="1" x14ac:dyDescent="0.65">
      <c r="A412" s="9" t="str">
        <f ca="1">INDEX(INDIRECT(zoneFichierTraite),$J412+offsetInitialFichierTraite,6)</f>
        <v>UNICA</v>
      </c>
      <c r="B412" s="5" t="str">
        <f ca="1">INDEX(INDIRECT(zoneFichierTraite),$J412+offsetInitialFichierTraite,4)</f>
        <v>SHOUB801-ECSC4-055</v>
      </c>
      <c r="C412" s="26" t="str">
        <f ca="1">INDEX(INDIRECT(zoneFichierTraite),$J412+offsetInitialFichierTraite,5)</f>
        <v>BANDOULIÃˆRE COURTE AVEC BOUCLE + CLIP EN FAUX CUIR EFFET GRIFFE + CLOUS</v>
      </c>
      <c r="D412" s="27" t="str">
        <f ca="1">INDEX(INDIRECT(zoneFichierTraite),$J412+offsetInitialFichierTraite,13)</f>
        <v>nero</v>
      </c>
      <c r="E412" s="30">
        <f ca="1">INDEX(INDIRECT(zoneFichierTraite),$J412+offsetInitialFichierTraite,7)</f>
        <v>4</v>
      </c>
      <c r="F412" s="28">
        <f ca="1">INDEX(INDIRECT(zoneFichierTraite),$J412+offsetInitialFichierTraite,8)</f>
        <v>16.670000000000002</v>
      </c>
      <c r="G412" s="29">
        <f t="shared" ref="G412:G471" ca="1" si="191">ROUNDUP(F412*3,0)</f>
        <v>51</v>
      </c>
      <c r="H412" s="32" t="str">
        <f ca="1">IF(ISNUMBER(N412),codeEAN13(INT(N412/10)),"")</f>
        <v>8APASOG*aijgei+</v>
      </c>
      <c r="J412" s="15">
        <f t="shared" si="182"/>
        <v>202</v>
      </c>
      <c r="L412" s="5" t="str">
        <f ca="1">INDEX(INDIRECT(zoneFichierTraite),$J412+offsetInitialFichierTraite,1)</f>
        <v>'202</v>
      </c>
      <c r="M412" s="11">
        <f ca="1">INDEX(INDIRECT(zoneFichierTraite),$J412+offsetInitialFichierTraite,9)</f>
        <v>66.680000000000007</v>
      </c>
      <c r="N412" s="14">
        <f ca="1">INDEX(INDIRECT(zoneFichierTraite),$J412+offsetInitialFichierTraite,3)</f>
        <v>8050846089648</v>
      </c>
      <c r="O412" s="1">
        <f ca="1">MATCH(N412,INDIRECT(nomFichierEAN13Valmag &amp; "!A:A"),0)</f>
        <v>651</v>
      </c>
      <c r="P412" s="1">
        <f ca="1">MATCH(R412,INDIRECT(nomFichierEAN13Valmag &amp; "!A:A"),0)</f>
        <v>650</v>
      </c>
      <c r="Q412" s="1">
        <f ca="1">MATCH(LEFT(B412,14) &amp; "*",INDIRECT(nomFichierEAN13Valmag &amp; "!B:B"),0)</f>
        <v>650</v>
      </c>
      <c r="R412" s="14">
        <f ca="1">IFERROR(INDEX(INDIRECT(zoneFichierEAN13Valmag),Q412,1),"")</f>
        <v>8050846089631</v>
      </c>
      <c r="S412" s="1">
        <f ca="1">MATCH(B412,INDIRECT(nomFichierFiltreCatalogue &amp; "!B:B"),0)</f>
        <v>197</v>
      </c>
      <c r="T412" s="14"/>
    </row>
    <row r="413" spans="1:20" s="20" customFormat="1" ht="15.75" customHeight="1" x14ac:dyDescent="0.25">
      <c r="A413" s="25">
        <f ca="1">INDEX(INDIRECT(zoneFichierTraite),$J412+offsetInitialFichierTraite,2)</f>
        <v>187</v>
      </c>
      <c r="B413" s="45" t="str">
        <f ca="1">IF(C413="", IFERROR(INDEX(INDIRECT(zoneFichierEAN13Valmag),$P412,3),""), "")</f>
        <v/>
      </c>
      <c r="C413" s="44" t="str">
        <f ca="1">IFERROR(INDEX(INDIRECT(zoneFichierEAN13Valmag),$O412,3),"")</f>
        <v xml:space="preserve"> </v>
      </c>
      <c r="D413" s="19" t="str">
        <f ca="1">IFERROR(INDEX(INDIRECT(zoneFichierEAN13Valmag),$O412,4),"")</f>
        <v xml:space="preserve"> </v>
      </c>
      <c r="E413" s="33" t="str">
        <f ca="1">IFERROR(INDEX(INDIRECT(zoneFichierFiltreCatalogue),S412,3),"")</f>
        <v>p037-1-01</v>
      </c>
      <c r="F413" s="19"/>
      <c r="G413" s="18"/>
      <c r="H413" s="34" t="str">
        <f ca="1">IFERROR(INDEX(INDIRECT(zoneFichierFiltreCatalogue),S412,6),"")</f>
        <v>fall 2019 presentation_/catalogo fall 19.txt</v>
      </c>
      <c r="R413" s="21"/>
      <c r="S413" s="21"/>
    </row>
    <row r="414" spans="1:20" ht="39" customHeight="1" thickBot="1" x14ac:dyDescent="0.65">
      <c r="A414" s="9" t="str">
        <f ca="1">INDEX(INDIRECT(zoneFichierTraite),$J414+offsetInitialFichierTraite,6)</f>
        <v>UNICA</v>
      </c>
      <c r="B414" s="5" t="str">
        <f ca="1">INDEX(INDIRECT(zoneFichierTraite),$J414+offsetInitialFichierTraite,4)</f>
        <v>SHOUB801-ECSC4-371</v>
      </c>
      <c r="C414" s="26" t="str">
        <f ca="1">INDEX(INDIRECT(zoneFichierTraite),$J414+offsetInitialFichierTraite,5)</f>
        <v>BANDOULIÃˆRE COURTE AVEC BOUCLE + CLIP EN FAUX CUIR EFFET GRIFFE + CLOUS</v>
      </c>
      <c r="D414" s="27" t="str">
        <f ca="1">INDEX(INDIRECT(zoneFichierTraite),$J414+offsetInitialFichierTraite,13)</f>
        <v>latte</v>
      </c>
      <c r="E414" s="30">
        <f ca="1">INDEX(INDIRECT(zoneFichierTraite),$J414+offsetInitialFichierTraite,7)</f>
        <v>4</v>
      </c>
      <c r="F414" s="28">
        <f ca="1">INDEX(INDIRECT(zoneFichierTraite),$J414+offsetInitialFichierTraite,8)</f>
        <v>16.670000000000002</v>
      </c>
      <c r="G414" s="29">
        <f t="shared" ref="G414:G471" ca="1" si="192">ROUNDUP(F414*3,0)</f>
        <v>51</v>
      </c>
      <c r="H414" s="32" t="str">
        <f ca="1">IF(ISNUMBER(N414),codeEAN13(INT(N414/10)),"")</f>
        <v>8APASOG*aijgdb+</v>
      </c>
      <c r="J414" s="15">
        <f t="shared" si="182"/>
        <v>203</v>
      </c>
      <c r="L414" s="5" t="str">
        <f ca="1">INDEX(INDIRECT(zoneFichierTraite),$J414+offsetInitialFichierTraite,1)</f>
        <v>'203</v>
      </c>
      <c r="M414" s="11">
        <f ca="1">INDEX(INDIRECT(zoneFichierTraite),$J414+offsetInitialFichierTraite,9)</f>
        <v>66.680000000000007</v>
      </c>
      <c r="N414" s="14">
        <f ca="1">INDEX(INDIRECT(zoneFichierTraite),$J414+offsetInitialFichierTraite,3)</f>
        <v>8050846089631</v>
      </c>
      <c r="O414" s="1">
        <f ca="1">MATCH(N414,INDIRECT(nomFichierEAN13Valmag &amp; "!A:A"),0)</f>
        <v>650</v>
      </c>
      <c r="P414" s="1">
        <f ca="1">MATCH(R414,INDIRECT(nomFichierEAN13Valmag &amp; "!A:A"),0)</f>
        <v>650</v>
      </c>
      <c r="Q414" s="1">
        <f ca="1">MATCH(LEFT(B414,14) &amp; "*",INDIRECT(nomFichierEAN13Valmag &amp; "!B:B"),0)</f>
        <v>650</v>
      </c>
      <c r="R414" s="14">
        <f ca="1">IFERROR(INDEX(INDIRECT(zoneFichierEAN13Valmag),Q414,1),"")</f>
        <v>8050846089631</v>
      </c>
      <c r="S414" s="1">
        <f ca="1">MATCH(B414,INDIRECT(nomFichierFiltreCatalogue &amp; "!B:B"),0)</f>
        <v>198</v>
      </c>
      <c r="T414" s="14"/>
    </row>
    <row r="415" spans="1:20" s="20" customFormat="1" ht="15.75" customHeight="1" x14ac:dyDescent="0.25">
      <c r="A415" s="25">
        <f ca="1">INDEX(INDIRECT(zoneFichierTraite),$J414+offsetInitialFichierTraite,2)</f>
        <v>92</v>
      </c>
      <c r="B415" s="45" t="str">
        <f ca="1">IF(C415="", IFERROR(INDEX(INDIRECT(zoneFichierEAN13Valmag),$P414,3),""), "")</f>
        <v/>
      </c>
      <c r="C415" s="44" t="str">
        <f ca="1">IFERROR(INDEX(INDIRECT(zoneFichierEAN13Valmag),$O414,3),"")</f>
        <v xml:space="preserve"> </v>
      </c>
      <c r="D415" s="19" t="str">
        <f ca="1">IFERROR(INDEX(INDIRECT(zoneFichierEAN13Valmag),$O414,4),"")</f>
        <v xml:space="preserve"> </v>
      </c>
      <c r="E415" s="33" t="str">
        <f ca="1">IFERROR(INDEX(INDIRECT(zoneFichierFiltreCatalogue),S414,3),"")</f>
        <v>p037-1-02</v>
      </c>
      <c r="F415" s="19"/>
      <c r="G415" s="18"/>
      <c r="H415" s="34" t="str">
        <f ca="1">IFERROR(INDEX(INDIRECT(zoneFichierFiltreCatalogue),S414,6),"")</f>
        <v>fall 2019 presentation_/catalogo fall 19.txt</v>
      </c>
      <c r="R415" s="21"/>
      <c r="S415" s="21"/>
    </row>
    <row r="416" spans="1:20" ht="39" customHeight="1" thickBot="1" x14ac:dyDescent="0.65">
      <c r="A416" s="9" t="str">
        <f ca="1">INDEX(INDIRECT(zoneFichierTraite),$J416+offsetInitialFichierTraite,6)</f>
        <v>UNICA</v>
      </c>
      <c r="B416" s="5" t="str">
        <f ca="1">INDEX(INDIRECT(zoneFichierTraite),$J416+offsetInitialFichierTraite,4)</f>
        <v>SHOUBG00-ECS00-055</v>
      </c>
      <c r="C416" s="26" t="str">
        <f ca="1">INDEX(INDIRECT(zoneFichierTraite),$J416+offsetInitialFichierTraite,5)</f>
        <v>BANDOULIÃˆRE/BRETELLE SLIM 140 EN FAUX CUIR</v>
      </c>
      <c r="D416" s="27" t="str">
        <f ca="1">INDEX(INDIRECT(zoneFichierTraite),$J416+offsetInitialFichierTraite,13)</f>
        <v>nero</v>
      </c>
      <c r="E416" s="30">
        <f ca="1">INDEX(INDIRECT(zoneFichierTraite),$J416+offsetInitialFichierTraite,7)</f>
        <v>2</v>
      </c>
      <c r="F416" s="28">
        <f ca="1">INDEX(INDIRECT(zoneFichierTraite),$J416+offsetInitialFichierTraite,8)</f>
        <v>7.8</v>
      </c>
      <c r="G416" s="29">
        <f t="shared" ref="G416:G471" ca="1" si="193">ROUNDUP(F416*3,0)</f>
        <v>24</v>
      </c>
      <c r="H416" s="32" t="str">
        <f ca="1">IF(ISNUMBER(N416),codeEAN13(INT(N416/10)),"")</f>
        <v>8APASOG*aadcei+</v>
      </c>
      <c r="J416" s="15">
        <f t="shared" si="182"/>
        <v>204</v>
      </c>
      <c r="L416" s="5" t="str">
        <f ca="1">INDEX(INDIRECT(zoneFichierTraite),$J416+offsetInitialFichierTraite,1)</f>
        <v>'204</v>
      </c>
      <c r="M416" s="11">
        <f ca="1">INDEX(INDIRECT(zoneFichierTraite),$J416+offsetInitialFichierTraite,9)</f>
        <v>15.6</v>
      </c>
      <c r="N416" s="14">
        <f ca="1">INDEX(INDIRECT(zoneFichierTraite),$J416+offsetInitialFichierTraite,3)</f>
        <v>8050846003248</v>
      </c>
      <c r="O416" s="1">
        <f ca="1">MATCH(N416,INDIRECT(nomFichierEAN13Valmag &amp; "!A:A"),0)</f>
        <v>77</v>
      </c>
      <c r="P416" s="1">
        <f ca="1">MATCH(R416,INDIRECT(nomFichierEAN13Valmag &amp; "!A:A"),0)</f>
        <v>77</v>
      </c>
      <c r="Q416" s="1">
        <f ca="1">MATCH(LEFT(B416,14) &amp; "*",INDIRECT(nomFichierEAN13Valmag &amp; "!B:B"),0)</f>
        <v>77</v>
      </c>
      <c r="R416" s="14">
        <f ca="1">IFERROR(INDEX(INDIRECT(zoneFichierEAN13Valmag),Q416,1),"")</f>
        <v>8050846003248</v>
      </c>
      <c r="S416" s="1">
        <f ca="1">MATCH(B416,INDIRECT(nomFichierFiltreCatalogue &amp; "!B:B"),0)</f>
        <v>562</v>
      </c>
      <c r="T416" s="14"/>
    </row>
    <row r="417" spans="1:20" s="20" customFormat="1" ht="15.75" customHeight="1" x14ac:dyDescent="0.25">
      <c r="A417" s="25">
        <f ca="1">INDEX(INDIRECT(zoneFichierTraite),$J416+offsetInitialFichierTraite,2)</f>
        <v>196</v>
      </c>
      <c r="B417" s="45" t="str">
        <f ca="1">IF(C417="", IFERROR(INDEX(INDIRECT(zoneFichierEAN13Valmag),$P416,3),""), "")</f>
        <v/>
      </c>
      <c r="C417" s="44" t="str">
        <f ca="1">IFERROR(INDEX(INDIRECT(zoneFichierEAN13Valmag),$O416,3),"")</f>
        <v xml:space="preserve">BANDOULIERE     </v>
      </c>
      <c r="D417" s="19" t="str">
        <f ca="1">IFERROR(INDEX(INDIRECT(zoneFichierEAN13Valmag),$O416,4),"")</f>
        <v>BLACK</v>
      </c>
      <c r="E417" s="33" t="str">
        <f ca="1">IFERROR(INDEX(INDIRECT(zoneFichierFiltreCatalogue),S416,3),"")</f>
        <v>p141-1-01</v>
      </c>
      <c r="F417" s="19"/>
      <c r="G417" s="18"/>
      <c r="H417" s="34" t="str">
        <f ca="1">IFERROR(INDEX(INDIRECT(zoneFichierFiltreCatalogue),S416,6),"")</f>
        <v>fall 2019 presentation_/catalogo fall 19.txt</v>
      </c>
      <c r="R417" s="21"/>
      <c r="S417" s="21"/>
    </row>
    <row r="418" spans="1:20" ht="39" customHeight="1" thickBot="1" x14ac:dyDescent="0.65">
      <c r="A418" s="9" t="str">
        <f ca="1">INDEX(INDIRECT(zoneFichierTraite),$J418+offsetInitialFichierTraite,6)</f>
        <v>UNICA</v>
      </c>
      <c r="B418" s="5" t="str">
        <f ca="1">INDEX(INDIRECT(zoneFichierTraite),$J418+offsetInitialFichierTraite,4)</f>
        <v>SHOUG801-ECSC4-055</v>
      </c>
      <c r="C418" s="26" t="str">
        <f ca="1">INDEX(INDIRECT(zoneFichierTraite),$J418+offsetInitialFichierTraite,5)</f>
        <v>BANDOULIÃˆRE 80 + CLIP EN FAUX CUIR EFFET GRIFFE + CLOUS</v>
      </c>
      <c r="D418" s="27" t="str">
        <f ca="1">INDEX(INDIRECT(zoneFichierTraite),$J418+offsetInitialFichierTraite,13)</f>
        <v>nero</v>
      </c>
      <c r="E418" s="30">
        <f ca="1">INDEX(INDIRECT(zoneFichierTraite),$J418+offsetInitialFichierTraite,7)</f>
        <v>4</v>
      </c>
      <c r="F418" s="28">
        <f ca="1">INDEX(INDIRECT(zoneFichierTraite),$J418+offsetInitialFichierTraite,8)</f>
        <v>20</v>
      </c>
      <c r="G418" s="29">
        <f t="shared" ref="G418:G471" ca="1" si="194">ROUNDUP(F418*3,0)</f>
        <v>60</v>
      </c>
      <c r="H418" s="32" t="str">
        <f ca="1">IF(ISNUMBER(N418),codeEAN13(INT(N418/10)),"")</f>
        <v>8APASOG*ajccdf+</v>
      </c>
      <c r="J418" s="15">
        <f t="shared" si="182"/>
        <v>205</v>
      </c>
      <c r="L418" s="5" t="str">
        <f ca="1">INDEX(INDIRECT(zoneFichierTraite),$J418+offsetInitialFichierTraite,1)</f>
        <v>'205</v>
      </c>
      <c r="M418" s="11">
        <f ca="1">INDEX(INDIRECT(zoneFichierTraite),$J418+offsetInitialFichierTraite,9)</f>
        <v>80</v>
      </c>
      <c r="N418" s="14">
        <f ca="1">INDEX(INDIRECT(zoneFichierTraite),$J418+offsetInitialFichierTraite,3)</f>
        <v>8050846092235</v>
      </c>
      <c r="O418" s="1">
        <f ca="1">MATCH(N418,INDIRECT(nomFichierEAN13Valmag &amp; "!A:A"),0)</f>
        <v>869</v>
      </c>
      <c r="P418" s="1">
        <f ca="1">MATCH(R418,INDIRECT(nomFichierEAN13Valmag &amp; "!A:A"),0)</f>
        <v>868</v>
      </c>
      <c r="Q418" s="1">
        <f ca="1">MATCH(LEFT(B418,14) &amp; "*",INDIRECT(nomFichierEAN13Valmag &amp; "!B:B"),0)</f>
        <v>868</v>
      </c>
      <c r="R418" s="14">
        <f ca="1">IFERROR(INDEX(INDIRECT(zoneFichierEAN13Valmag),Q418,1),"")</f>
        <v>8050846092228</v>
      </c>
      <c r="S418" s="1">
        <f ca="1">MATCH(B418,INDIRECT(nomFichierFiltreCatalogue &amp; "!B:B"),0)</f>
        <v>199</v>
      </c>
      <c r="T418" s="14"/>
    </row>
    <row r="419" spans="1:20" s="20" customFormat="1" ht="15.75" customHeight="1" x14ac:dyDescent="0.25">
      <c r="A419" s="25">
        <f ca="1">INDEX(INDIRECT(zoneFichierTraite),$J418+offsetInitialFichierTraite,2)</f>
        <v>192</v>
      </c>
      <c r="B419" s="45" t="str">
        <f ca="1">IF(C419="", IFERROR(INDEX(INDIRECT(zoneFichierEAN13Valmag),$P418,3),""), "")</f>
        <v/>
      </c>
      <c r="C419" s="44" t="str">
        <f ca="1">IFERROR(INDEX(INDIRECT(zoneFichierEAN13Valmag),$O418,3),"")</f>
        <v xml:space="preserve"> </v>
      </c>
      <c r="D419" s="19" t="str">
        <f ca="1">IFERROR(INDEX(INDIRECT(zoneFichierEAN13Valmag),$O418,4),"")</f>
        <v xml:space="preserve"> </v>
      </c>
      <c r="E419" s="33" t="str">
        <f ca="1">IFERROR(INDEX(INDIRECT(zoneFichierFiltreCatalogue),S418,3),"")</f>
        <v>p038-1-01</v>
      </c>
      <c r="F419" s="19"/>
      <c r="G419" s="18"/>
      <c r="H419" s="34" t="str">
        <f ca="1">IFERROR(INDEX(INDIRECT(zoneFichierFiltreCatalogue),S418,6),"")</f>
        <v>fall 2019 presentation_/catalogo fall 19.txt</v>
      </c>
      <c r="R419" s="21"/>
      <c r="S419" s="21"/>
    </row>
    <row r="420" spans="1:20" ht="39" customHeight="1" thickBot="1" x14ac:dyDescent="0.65">
      <c r="A420" s="9" t="str">
        <f ca="1">INDEX(INDIRECT(zoneFichierTraite),$J420+offsetInitialFichierTraite,6)</f>
        <v>UNICA</v>
      </c>
      <c r="B420" s="5" t="str">
        <f ca="1">INDEX(INDIRECT(zoneFichierTraite),$J420+offsetInitialFichierTraite,4)</f>
        <v>SHOUGC01-ECSD7-227</v>
      </c>
      <c r="C420" s="26" t="str">
        <f ca="1">INDEX(INDIRECT(zoneFichierTraite),$J420+offsetInitialFichierTraite,5)</f>
        <v>BANDOULIÃˆRE AJOUREE COURTE + CLIP EN FAUX CUIR BICOLORE</v>
      </c>
      <c r="D420" s="27" t="str">
        <f ca="1">INDEX(INDIRECT(zoneFichierTraite),$J420+offsetInitialFichierTraite,13)</f>
        <v>bianco/nero</v>
      </c>
      <c r="E420" s="30">
        <f ca="1">INDEX(INDIRECT(zoneFichierTraite),$J420+offsetInitialFichierTraite,7)</f>
        <v>2</v>
      </c>
      <c r="F420" s="28">
        <f ca="1">INDEX(INDIRECT(zoneFichierTraite),$J420+offsetInitialFichierTraite,8)</f>
        <v>12.59</v>
      </c>
      <c r="G420" s="29">
        <f t="shared" ref="G420:G471" ca="1" si="195">ROUNDUP(F420*3,0)</f>
        <v>38</v>
      </c>
      <c r="H420" s="32" t="str">
        <f ca="1">IF(ISNUMBER(N420),codeEAN13(INT(N420/10)),"")</f>
        <v>8APASOG*ajcdjg+</v>
      </c>
      <c r="J420" s="15">
        <f t="shared" si="182"/>
        <v>206</v>
      </c>
      <c r="L420" s="5" t="str">
        <f ca="1">INDEX(INDIRECT(zoneFichierTraite),$J420+offsetInitialFichierTraite,1)</f>
        <v>'206</v>
      </c>
      <c r="M420" s="11">
        <f ca="1">INDEX(INDIRECT(zoneFichierTraite),$J420+offsetInitialFichierTraite,9)</f>
        <v>25.18</v>
      </c>
      <c r="N420" s="14">
        <f ca="1">INDEX(INDIRECT(zoneFichierTraite),$J420+offsetInitialFichierTraite,3)</f>
        <v>8050846092396</v>
      </c>
      <c r="O420" s="1">
        <f ca="1">MATCH(N420,INDIRECT(nomFichierEAN13Valmag &amp; "!A:A"),0)</f>
        <v>884</v>
      </c>
      <c r="P420" s="1">
        <f ca="1">MATCH(R420,INDIRECT(nomFichierEAN13Valmag &amp; "!A:A"),0)</f>
        <v>884</v>
      </c>
      <c r="Q420" s="1">
        <f ca="1">MATCH(LEFT(B420,14) &amp; "*",INDIRECT(nomFichierEAN13Valmag &amp; "!B:B"),0)</f>
        <v>884</v>
      </c>
      <c r="R420" s="14">
        <f ca="1">IFERROR(INDEX(INDIRECT(zoneFichierEAN13Valmag),Q420,1),"")</f>
        <v>8050846092396</v>
      </c>
      <c r="S420" s="1">
        <f ca="1">MATCH(B420,INDIRECT(nomFichierFiltreCatalogue &amp; "!B:B"),0)</f>
        <v>201</v>
      </c>
      <c r="T420" s="14"/>
    </row>
    <row r="421" spans="1:20" s="20" customFormat="1" ht="15.75" customHeight="1" x14ac:dyDescent="0.25">
      <c r="A421" s="25">
        <f ca="1">INDEX(INDIRECT(zoneFichierTraite),$J420+offsetInitialFichierTraite,2)</f>
        <v>24</v>
      </c>
      <c r="B421" s="45" t="str">
        <f ca="1">IF(C421="", IFERROR(INDEX(INDIRECT(zoneFichierEAN13Valmag),$P420,3),""), "")</f>
        <v/>
      </c>
      <c r="C421" s="44" t="str">
        <f ca="1">IFERROR(INDEX(INDIRECT(zoneFichierEAN13Valmag),$O420,3),"")</f>
        <v xml:space="preserve"> </v>
      </c>
      <c r="D421" s="19" t="str">
        <f ca="1">IFERROR(INDEX(INDIRECT(zoneFichierEAN13Valmag),$O420,4),"")</f>
        <v xml:space="preserve"> </v>
      </c>
      <c r="E421" s="33" t="str">
        <f ca="1">IFERROR(INDEX(INDIRECT(zoneFichierFiltreCatalogue),S420,3),"")</f>
        <v>p038-2-01</v>
      </c>
      <c r="F421" s="19"/>
      <c r="G421" s="18"/>
      <c r="H421" s="34" t="str">
        <f ca="1">IFERROR(INDEX(INDIRECT(zoneFichierFiltreCatalogue),S420,6),"")</f>
        <v>fall 2019 presentation_/catalogo fall 19.txt</v>
      </c>
      <c r="R421" s="21"/>
      <c r="S421" s="21"/>
    </row>
    <row r="422" spans="1:20" ht="39" customHeight="1" thickBot="1" x14ac:dyDescent="0.65">
      <c r="A422" s="9" t="str">
        <f ca="1">INDEX(INDIRECT(zoneFichierTraite),$J422+offsetInitialFichierTraite,6)</f>
        <v>UNICA</v>
      </c>
      <c r="B422" s="5" t="str">
        <f ca="1">INDEX(INDIRECT(zoneFichierTraite),$J422+offsetInitialFichierTraite,4)</f>
        <v>SHOUGC01-ECSD7-622</v>
      </c>
      <c r="C422" s="26" t="str">
        <f ca="1">INDEX(INDIRECT(zoneFichierTraite),$J422+offsetInitialFichierTraite,5)</f>
        <v>BANDOULIÃˆRE AJOUREE COURTE + CLIP EN FAUX CUIR BICOLORE</v>
      </c>
      <c r="D422" s="27" t="str">
        <f ca="1">INDEX(INDIRECT(zoneFichierTraite),$J422+offsetInitialFichierTraite,13)</f>
        <v>military/phard</v>
      </c>
      <c r="E422" s="30">
        <f ca="1">INDEX(INDIRECT(zoneFichierTraite),$J422+offsetInitialFichierTraite,7)</f>
        <v>2</v>
      </c>
      <c r="F422" s="28">
        <f ca="1">INDEX(INDIRECT(zoneFichierTraite),$J422+offsetInitialFichierTraite,8)</f>
        <v>12.59</v>
      </c>
      <c r="G422" s="29">
        <f t="shared" ref="G422:G471" ca="1" si="196">ROUNDUP(F422*3,0)</f>
        <v>38</v>
      </c>
      <c r="H422" s="32" t="str">
        <f ca="1">IF(ISNUMBER(N422),codeEAN13(INT(N422/10)),"")</f>
        <v>8APASOG*ajceac+</v>
      </c>
      <c r="J422" s="15">
        <f t="shared" si="182"/>
        <v>207</v>
      </c>
      <c r="L422" s="5" t="str">
        <f ca="1">INDEX(INDIRECT(zoneFichierTraite),$J422+offsetInitialFichierTraite,1)</f>
        <v>'207</v>
      </c>
      <c r="M422" s="11">
        <f ca="1">INDEX(INDIRECT(zoneFichierTraite),$J422+offsetInitialFichierTraite,9)</f>
        <v>25.18</v>
      </c>
      <c r="N422" s="14">
        <f ca="1">INDEX(INDIRECT(zoneFichierTraite),$J422+offsetInitialFichierTraite,3)</f>
        <v>8050846092402</v>
      </c>
      <c r="O422" s="1">
        <f ca="1">MATCH(N422,INDIRECT(nomFichierEAN13Valmag &amp; "!A:A"),0)</f>
        <v>885</v>
      </c>
      <c r="P422" s="1">
        <f ca="1">MATCH(R422,INDIRECT(nomFichierEAN13Valmag &amp; "!A:A"),0)</f>
        <v>884</v>
      </c>
      <c r="Q422" s="1">
        <f ca="1">MATCH(LEFT(B422,14) &amp; "*",INDIRECT(nomFichierEAN13Valmag &amp; "!B:B"),0)</f>
        <v>884</v>
      </c>
      <c r="R422" s="14">
        <f ca="1">IFERROR(INDEX(INDIRECT(zoneFichierEAN13Valmag),Q422,1),"")</f>
        <v>8050846092396</v>
      </c>
      <c r="S422" s="1">
        <f ca="1">MATCH(B422,INDIRECT(nomFichierFiltreCatalogue &amp; "!B:B"),0)</f>
        <v>203</v>
      </c>
      <c r="T422" s="14"/>
    </row>
    <row r="423" spans="1:20" s="20" customFormat="1" ht="15.75" customHeight="1" x14ac:dyDescent="0.25">
      <c r="A423" s="25">
        <f ca="1">INDEX(INDIRECT(zoneFichierTraite),$J422+offsetInitialFichierTraite,2)</f>
        <v>131</v>
      </c>
      <c r="B423" s="45" t="str">
        <f ca="1">IF(C423="", IFERROR(INDEX(INDIRECT(zoneFichierEAN13Valmag),$P422,3),""), "")</f>
        <v/>
      </c>
      <c r="C423" s="44" t="str">
        <f ca="1">IFERROR(INDEX(INDIRECT(zoneFichierEAN13Valmag),$O422,3),"")</f>
        <v xml:space="preserve"> </v>
      </c>
      <c r="D423" s="19" t="str">
        <f ca="1">IFERROR(INDEX(INDIRECT(zoneFichierEAN13Valmag),$O422,4),"")</f>
        <v xml:space="preserve"> </v>
      </c>
      <c r="E423" s="33" t="str">
        <f ca="1">IFERROR(INDEX(INDIRECT(zoneFichierFiltreCatalogue),S422,3),"")</f>
        <v>p038-2-03</v>
      </c>
      <c r="F423" s="19"/>
      <c r="G423" s="18"/>
      <c r="H423" s="34" t="str">
        <f ca="1">IFERROR(INDEX(INDIRECT(zoneFichierFiltreCatalogue),S422,6),"")</f>
        <v>fall 2019 presentation_/catalogo fall 19.txt</v>
      </c>
      <c r="R423" s="21"/>
      <c r="S423" s="21"/>
    </row>
    <row r="424" spans="1:20" ht="39" customHeight="1" thickBot="1" x14ac:dyDescent="0.65">
      <c r="A424" s="9" t="str">
        <f ca="1">INDEX(INDIRECT(zoneFichierTraite),$J424+offsetInitialFichierTraite,6)</f>
        <v>UNICA</v>
      </c>
      <c r="B424" s="5" t="str">
        <f ca="1">INDEX(INDIRECT(zoneFichierTraite),$J424+offsetInitialFichierTraite,4)</f>
        <v>SHOUGC01-ECSD7-623</v>
      </c>
      <c r="C424" s="26" t="str">
        <f ca="1">INDEX(INDIRECT(zoneFichierTraite),$J424+offsetInitialFichierTraite,5)</f>
        <v>BANDOULIÃˆRE AJOUREE COURTE + CLIP EN FAUX CUIR BICOLORE</v>
      </c>
      <c r="D424" s="27" t="str">
        <f ca="1">INDEX(INDIRECT(zoneFichierTraite),$J424+offsetInitialFichierTraite,13)</f>
        <v>blu navy/ice</v>
      </c>
      <c r="E424" s="30">
        <f ca="1">INDEX(INDIRECT(zoneFichierTraite),$J424+offsetInitialFichierTraite,7)</f>
        <v>2</v>
      </c>
      <c r="F424" s="28">
        <f ca="1">INDEX(INDIRECT(zoneFichierTraite),$J424+offsetInitialFichierTraite,8)</f>
        <v>12.59</v>
      </c>
      <c r="G424" s="29">
        <f t="shared" ref="G424:G471" ca="1" si="197">ROUNDUP(F424*3,0)</f>
        <v>38</v>
      </c>
      <c r="H424" s="32" t="str">
        <f ca="1">IF(ISNUMBER(N424),codeEAN13(INT(N424/10)),"")</f>
        <v>8APASOG*ajcebj+</v>
      </c>
      <c r="J424" s="15">
        <f t="shared" si="182"/>
        <v>208</v>
      </c>
      <c r="L424" s="5" t="str">
        <f ca="1">INDEX(INDIRECT(zoneFichierTraite),$J424+offsetInitialFichierTraite,1)</f>
        <v>'208</v>
      </c>
      <c r="M424" s="11">
        <f ca="1">INDEX(INDIRECT(zoneFichierTraite),$J424+offsetInitialFichierTraite,9)</f>
        <v>25.18</v>
      </c>
      <c r="N424" s="14">
        <f ca="1">INDEX(INDIRECT(zoneFichierTraite),$J424+offsetInitialFichierTraite,3)</f>
        <v>8050846092419</v>
      </c>
      <c r="O424" s="1">
        <f ca="1">MATCH(N424,INDIRECT(nomFichierEAN13Valmag &amp; "!A:A"),0)</f>
        <v>886</v>
      </c>
      <c r="P424" s="1">
        <f ca="1">MATCH(R424,INDIRECT(nomFichierEAN13Valmag &amp; "!A:A"),0)</f>
        <v>884</v>
      </c>
      <c r="Q424" s="1">
        <f ca="1">MATCH(LEFT(B424,14) &amp; "*",INDIRECT(nomFichierEAN13Valmag &amp; "!B:B"),0)</f>
        <v>884</v>
      </c>
      <c r="R424" s="14">
        <f ca="1">IFERROR(INDEX(INDIRECT(zoneFichierEAN13Valmag),Q424,1),"")</f>
        <v>8050846092396</v>
      </c>
      <c r="S424" s="1">
        <f ca="1">MATCH(B424,INDIRECT(nomFichierFiltreCatalogue &amp; "!B:B"),0)</f>
        <v>204</v>
      </c>
      <c r="T424" s="14"/>
    </row>
    <row r="425" spans="1:20" s="20" customFormat="1" ht="15.75" customHeight="1" x14ac:dyDescent="0.25">
      <c r="A425" s="25">
        <f ca="1">INDEX(INDIRECT(zoneFichierTraite),$J424+offsetInitialFichierTraite,2)</f>
        <v>29</v>
      </c>
      <c r="B425" s="45" t="str">
        <f ca="1">IF(C425="", IFERROR(INDEX(INDIRECT(zoneFichierEAN13Valmag),$P424,3),""), "")</f>
        <v/>
      </c>
      <c r="C425" s="44" t="str">
        <f ca="1">IFERROR(INDEX(INDIRECT(zoneFichierEAN13Valmag),$O424,3),"")</f>
        <v xml:space="preserve"> </v>
      </c>
      <c r="D425" s="19" t="str">
        <f ca="1">IFERROR(INDEX(INDIRECT(zoneFichierEAN13Valmag),$O424,4),"")</f>
        <v xml:space="preserve"> </v>
      </c>
      <c r="E425" s="33" t="str">
        <f ca="1">IFERROR(INDEX(INDIRECT(zoneFichierFiltreCatalogue),S424,3),"")</f>
        <v>p038-2-04</v>
      </c>
      <c r="F425" s="19"/>
      <c r="G425" s="18"/>
      <c r="H425" s="34" t="str">
        <f ca="1">IFERROR(INDEX(INDIRECT(zoneFichierFiltreCatalogue),S424,6),"")</f>
        <v>fall 2019 presentation_/catalogo fall 19.txt</v>
      </c>
      <c r="R425" s="21"/>
      <c r="S425" s="21"/>
    </row>
    <row r="426" spans="1:20" ht="39" customHeight="1" thickBot="1" x14ac:dyDescent="0.65">
      <c r="A426" s="9" t="str">
        <f ca="1">INDEX(INDIRECT(zoneFichierTraite),$J426+offsetInitialFichierTraite,6)</f>
        <v>UNICA</v>
      </c>
      <c r="B426" s="5" t="str">
        <f ca="1">INDEX(INDIRECT(zoneFichierTraite),$J426+offsetInitialFichierTraite,4)</f>
        <v>SHOUGC01-ECSD7-624</v>
      </c>
      <c r="C426" s="26" t="str">
        <f ca="1">INDEX(INDIRECT(zoneFichierTraite),$J426+offsetInitialFichierTraite,5)</f>
        <v>BANDOULIÃˆRE AJOUREE COURTE + CLIP EN FAUX CUIR BICOLORE</v>
      </c>
      <c r="D426" s="27" t="str">
        <f ca="1">INDEX(INDIRECT(zoneFichierTraite),$J426+offsetInitialFichierTraite,13)</f>
        <v>biscotto/sabbia</v>
      </c>
      <c r="E426" s="30">
        <f ca="1">INDEX(INDIRECT(zoneFichierTraite),$J426+offsetInitialFichierTraite,7)</f>
        <v>2</v>
      </c>
      <c r="F426" s="28">
        <f ca="1">INDEX(INDIRECT(zoneFichierTraite),$J426+offsetInitialFichierTraite,8)</f>
        <v>12.59</v>
      </c>
      <c r="G426" s="29">
        <f t="shared" ref="G426:G471" ca="1" si="198">ROUNDUP(F426*3,0)</f>
        <v>38</v>
      </c>
      <c r="H426" s="32" t="str">
        <f ca="1">IF(ISNUMBER(N426),codeEAN13(INT(N426/10)),"")</f>
        <v>8APASOG*ajcecg+</v>
      </c>
      <c r="J426" s="15">
        <f t="shared" si="182"/>
        <v>209</v>
      </c>
      <c r="L426" s="5" t="str">
        <f ca="1">INDEX(INDIRECT(zoneFichierTraite),$J426+offsetInitialFichierTraite,1)</f>
        <v>'209</v>
      </c>
      <c r="M426" s="11">
        <f ca="1">INDEX(INDIRECT(zoneFichierTraite),$J426+offsetInitialFichierTraite,9)</f>
        <v>25.18</v>
      </c>
      <c r="N426" s="14">
        <f ca="1">INDEX(INDIRECT(zoneFichierTraite),$J426+offsetInitialFichierTraite,3)</f>
        <v>8050846092426</v>
      </c>
      <c r="O426" s="1">
        <f ca="1">MATCH(N426,INDIRECT(nomFichierEAN13Valmag &amp; "!A:A"),0)</f>
        <v>887</v>
      </c>
      <c r="P426" s="1">
        <f ca="1">MATCH(R426,INDIRECT(nomFichierEAN13Valmag &amp; "!A:A"),0)</f>
        <v>884</v>
      </c>
      <c r="Q426" s="1">
        <f ca="1">MATCH(LEFT(B426,14) &amp; "*",INDIRECT(nomFichierEAN13Valmag &amp; "!B:B"),0)</f>
        <v>884</v>
      </c>
      <c r="R426" s="14">
        <f ca="1">IFERROR(INDEX(INDIRECT(zoneFichierEAN13Valmag),Q426,1),"")</f>
        <v>8050846092396</v>
      </c>
      <c r="S426" s="1">
        <f ca="1">MATCH(B426,INDIRECT(nomFichierFiltreCatalogue &amp; "!B:B"),0)</f>
        <v>202</v>
      </c>
      <c r="T426" s="14"/>
    </row>
    <row r="427" spans="1:20" s="20" customFormat="1" ht="15.75" customHeight="1" x14ac:dyDescent="0.25">
      <c r="A427" s="25">
        <f ca="1">INDEX(INDIRECT(zoneFichierTraite),$J426+offsetInitialFichierTraite,2)</f>
        <v>162</v>
      </c>
      <c r="B427" s="45" t="str">
        <f ca="1">IF(C427="", IFERROR(INDEX(INDIRECT(zoneFichierEAN13Valmag),$P426,3),""), "")</f>
        <v/>
      </c>
      <c r="C427" s="44" t="str">
        <f ca="1">IFERROR(INDEX(INDIRECT(zoneFichierEAN13Valmag),$O426,3),"")</f>
        <v xml:space="preserve"> </v>
      </c>
      <c r="D427" s="19" t="str">
        <f ca="1">IFERROR(INDEX(INDIRECT(zoneFichierEAN13Valmag),$O426,4),"")</f>
        <v xml:space="preserve"> </v>
      </c>
      <c r="E427" s="33" t="str">
        <f ca="1">IFERROR(INDEX(INDIRECT(zoneFichierFiltreCatalogue),S426,3),"")</f>
        <v>p038-2-02</v>
      </c>
      <c r="F427" s="19"/>
      <c r="G427" s="18"/>
      <c r="H427" s="34" t="str">
        <f ca="1">IFERROR(INDEX(INDIRECT(zoneFichierFiltreCatalogue),S426,6),"")</f>
        <v>fall 2019 presentation_/catalogo fall 19.txt</v>
      </c>
      <c r="R427" s="21"/>
      <c r="S427" s="21"/>
    </row>
    <row r="428" spans="1:20" ht="39" customHeight="1" thickBot="1" x14ac:dyDescent="0.65">
      <c r="A428" s="9" t="str">
        <f ca="1">INDEX(INDIRECT(zoneFichierTraite),$J428+offsetInitialFichierTraite,6)</f>
        <v>UNICA</v>
      </c>
      <c r="B428" s="5" t="str">
        <f ca="1">INDEX(INDIRECT(zoneFichierTraite),$J428+offsetInitialFichierTraite,4)</f>
        <v>SHOUGG00-ECSC9-055</v>
      </c>
      <c r="C428" s="26" t="str">
        <f ca="1">INDEX(INDIRECT(zoneFichierTraite),$J428+offsetInitialFichierTraite,5)</f>
        <v>BANDOULIÃˆRE 80/120 + CLIP EN FAUX CUIR IMPRIME ATHLEISURE</v>
      </c>
      <c r="D428" s="27" t="str">
        <f ca="1">INDEX(INDIRECT(zoneFichierTraite),$J428+offsetInitialFichierTraite,13)</f>
        <v>nero</v>
      </c>
      <c r="E428" s="30">
        <f ca="1">INDEX(INDIRECT(zoneFichierTraite),$J428+offsetInitialFichierTraite,7)</f>
        <v>4</v>
      </c>
      <c r="F428" s="28">
        <f ca="1">INDEX(INDIRECT(zoneFichierTraite),$J428+offsetInitialFichierTraite,8)</f>
        <v>15.56</v>
      </c>
      <c r="G428" s="29">
        <f t="shared" ref="G428:G471" ca="1" si="199">ROUNDUP(F428*3,0)</f>
        <v>47</v>
      </c>
      <c r="H428" s="32" t="str">
        <f ca="1">IF(ISNUMBER(N428),codeEAN13(INT(N428/10)),"")</f>
        <v>8APASOG*ajcdad+</v>
      </c>
      <c r="J428" s="15">
        <f t="shared" si="182"/>
        <v>210</v>
      </c>
      <c r="L428" s="5" t="str">
        <f ca="1">INDEX(INDIRECT(zoneFichierTraite),$J428+offsetInitialFichierTraite,1)</f>
        <v>'210</v>
      </c>
      <c r="M428" s="11">
        <f ca="1">INDEX(INDIRECT(zoneFichierTraite),$J428+offsetInitialFichierTraite,9)</f>
        <v>62.24</v>
      </c>
      <c r="N428" s="14">
        <f ca="1">INDEX(INDIRECT(zoneFichierTraite),$J428+offsetInitialFichierTraite,3)</f>
        <v>8050846092303</v>
      </c>
      <c r="O428" s="1">
        <f ca="1">MATCH(N428,INDIRECT(nomFichierEAN13Valmag &amp; "!A:A"),0)</f>
        <v>876</v>
      </c>
      <c r="P428" s="1">
        <f ca="1">MATCH(R428,INDIRECT(nomFichierEAN13Valmag &amp; "!A:A"),0)</f>
        <v>875</v>
      </c>
      <c r="Q428" s="1">
        <f ca="1">MATCH(LEFT(B428,14) &amp; "*",INDIRECT(nomFichierEAN13Valmag &amp; "!B:B"),0)</f>
        <v>875</v>
      </c>
      <c r="R428" s="14">
        <f ca="1">IFERROR(INDEX(INDIRECT(zoneFichierEAN13Valmag),Q428,1),"")</f>
        <v>8050846092297</v>
      </c>
      <c r="S428" s="1">
        <f ca="1">MATCH(B428,INDIRECT(nomFichierFiltreCatalogue &amp; "!B:B"),0)</f>
        <v>205</v>
      </c>
      <c r="T428" s="14"/>
    </row>
    <row r="429" spans="1:20" s="20" customFormat="1" ht="15.75" customHeight="1" x14ac:dyDescent="0.25">
      <c r="A429" s="25">
        <f ca="1">INDEX(INDIRECT(zoneFichierTraite),$J428+offsetInitialFichierTraite,2)</f>
        <v>178</v>
      </c>
      <c r="B429" s="45" t="str">
        <f ca="1">IF(C429="", IFERROR(INDEX(INDIRECT(zoneFichierEAN13Valmag),$P428,3),""), "")</f>
        <v/>
      </c>
      <c r="C429" s="44" t="str">
        <f ca="1">IFERROR(INDEX(INDIRECT(zoneFichierEAN13Valmag),$O428,3),"")</f>
        <v xml:space="preserve"> </v>
      </c>
      <c r="D429" s="19" t="str">
        <f ca="1">IFERROR(INDEX(INDIRECT(zoneFichierEAN13Valmag),$O428,4),"")</f>
        <v xml:space="preserve"> </v>
      </c>
      <c r="E429" s="33" t="str">
        <f ca="1">IFERROR(INDEX(INDIRECT(zoneFichierFiltreCatalogue),S428,3),"")</f>
        <v>p039-1-01</v>
      </c>
      <c r="F429" s="19"/>
      <c r="G429" s="18"/>
      <c r="H429" s="34" t="str">
        <f ca="1">IFERROR(INDEX(INDIRECT(zoneFichierFiltreCatalogue),S428,6),"")</f>
        <v>fall 2019 presentation_/catalogo fall 19.txt</v>
      </c>
      <c r="R429" s="21"/>
      <c r="S429" s="21"/>
    </row>
    <row r="430" spans="1:20" ht="39" customHeight="1" thickBot="1" x14ac:dyDescent="0.65">
      <c r="A430" s="9" t="str">
        <f ca="1">INDEX(INDIRECT(zoneFichierTraite),$J430+offsetInitialFichierTraite,6)</f>
        <v>UNICA</v>
      </c>
      <c r="B430" s="5" t="str">
        <f ca="1">INDEX(INDIRECT(zoneFichierTraite),$J430+offsetInitialFichierTraite,4)</f>
        <v>SHOUGG00-ECSC9-137</v>
      </c>
      <c r="C430" s="26" t="str">
        <f ca="1">INDEX(INDIRECT(zoneFichierTraite),$J430+offsetInitialFichierTraite,5)</f>
        <v>BANDOULIÃˆRE 80/120 + CLIP EN FAUX CUIR IMPRIME ATHLEISURE</v>
      </c>
      <c r="D430" s="27" t="str">
        <f ca="1">INDEX(INDIRECT(zoneFichierTraite),$J430+offsetInitialFichierTraite,13)</f>
        <v>bluette</v>
      </c>
      <c r="E430" s="30">
        <f ca="1">INDEX(INDIRECT(zoneFichierTraite),$J430+offsetInitialFichierTraite,7)</f>
        <v>2</v>
      </c>
      <c r="F430" s="28">
        <f ca="1">INDEX(INDIRECT(zoneFichierTraite),$J430+offsetInitialFichierTraite,8)</f>
        <v>15.56</v>
      </c>
      <c r="G430" s="29">
        <f t="shared" ref="G430:G471" ca="1" si="200">ROUNDUP(F430*3,0)</f>
        <v>47</v>
      </c>
      <c r="H430" s="32" t="str">
        <f ca="1">IF(ISNUMBER(N430),codeEAN13(INT(N430/10)),"")</f>
        <v>8APASOG*ajccjh+</v>
      </c>
      <c r="J430" s="15">
        <f t="shared" si="182"/>
        <v>211</v>
      </c>
      <c r="L430" s="5" t="str">
        <f ca="1">INDEX(INDIRECT(zoneFichierTraite),$J430+offsetInitialFichierTraite,1)</f>
        <v>'211</v>
      </c>
      <c r="M430" s="11">
        <f ca="1">INDEX(INDIRECT(zoneFichierTraite),$J430+offsetInitialFichierTraite,9)</f>
        <v>31.12</v>
      </c>
      <c r="N430" s="14">
        <f ca="1">INDEX(INDIRECT(zoneFichierTraite),$J430+offsetInitialFichierTraite,3)</f>
        <v>8050846092297</v>
      </c>
      <c r="O430" s="1">
        <f ca="1">MATCH(N430,INDIRECT(nomFichierEAN13Valmag &amp; "!A:A"),0)</f>
        <v>875</v>
      </c>
      <c r="P430" s="1">
        <f ca="1">MATCH(R430,INDIRECT(nomFichierEAN13Valmag &amp; "!A:A"),0)</f>
        <v>875</v>
      </c>
      <c r="Q430" s="1">
        <f ca="1">MATCH(LEFT(B430,14) &amp; "*",INDIRECT(nomFichierEAN13Valmag &amp; "!B:B"),0)</f>
        <v>875</v>
      </c>
      <c r="R430" s="14">
        <f ca="1">IFERROR(INDEX(INDIRECT(zoneFichierEAN13Valmag),Q430,1),"")</f>
        <v>8050846092297</v>
      </c>
      <c r="S430" s="1">
        <f ca="1">MATCH(B430,INDIRECT(nomFichierFiltreCatalogue &amp; "!B:B"),0)</f>
        <v>206</v>
      </c>
      <c r="T430" s="14"/>
    </row>
    <row r="431" spans="1:20" s="20" customFormat="1" ht="15.75" customHeight="1" x14ac:dyDescent="0.25">
      <c r="A431" s="25">
        <f ca="1">INDEX(INDIRECT(zoneFichierTraite),$J430+offsetInitialFichierTraite,2)</f>
        <v>93</v>
      </c>
      <c r="B431" s="45" t="str">
        <f ca="1">IF(C431="", IFERROR(INDEX(INDIRECT(zoneFichierEAN13Valmag),$P430,3),""), "")</f>
        <v/>
      </c>
      <c r="C431" s="44" t="str">
        <f ca="1">IFERROR(INDEX(INDIRECT(zoneFichierEAN13Valmag),$O430,3),"")</f>
        <v xml:space="preserve"> </v>
      </c>
      <c r="D431" s="19" t="str">
        <f ca="1">IFERROR(INDEX(INDIRECT(zoneFichierEAN13Valmag),$O430,4),"")</f>
        <v xml:space="preserve"> </v>
      </c>
      <c r="E431" s="33" t="str">
        <f ca="1">IFERROR(INDEX(INDIRECT(zoneFichierFiltreCatalogue),S430,3),"")</f>
        <v>p039-1-02</v>
      </c>
      <c r="F431" s="19"/>
      <c r="G431" s="18"/>
      <c r="H431" s="34" t="str">
        <f ca="1">IFERROR(INDEX(INDIRECT(zoneFichierFiltreCatalogue),S430,6),"")</f>
        <v>fall 2019 presentation_/catalogo fall 19.txt</v>
      </c>
      <c r="R431" s="21"/>
      <c r="S431" s="21"/>
    </row>
    <row r="432" spans="1:20" ht="39" customHeight="1" thickBot="1" x14ac:dyDescent="0.65">
      <c r="A432" s="9" t="str">
        <f ca="1">INDEX(INDIRECT(zoneFichierTraite),$J432+offsetInitialFichierTraite,6)</f>
        <v>UNICA</v>
      </c>
      <c r="B432" s="5" t="str">
        <f ca="1">INDEX(INDIRECT(zoneFichierTraite),$J432+offsetInitialFichierTraite,4)</f>
        <v>SHOUGG00-ECSD6-615</v>
      </c>
      <c r="C432" s="26" t="str">
        <f ca="1">INDEX(INDIRECT(zoneFichierTraite),$J432+offsetInitialFichierTraite,5)</f>
        <v>BANDOULIÃˆRE 80/120 + CLIP EN FAUX CUIR IMPRIME DIANTHUS</v>
      </c>
      <c r="D432" s="27" t="str">
        <f ca="1">INDEX(INDIRECT(zoneFichierTraite),$J432+offsetInitialFichierTraite,13)</f>
        <v>military</v>
      </c>
      <c r="E432" s="30">
        <f ca="1">INDEX(INDIRECT(zoneFichierTraite),$J432+offsetInitialFichierTraite,7)</f>
        <v>2</v>
      </c>
      <c r="F432" s="28">
        <f ca="1">INDEX(INDIRECT(zoneFichierTraite),$J432+offsetInitialFichierTraite,8)</f>
        <v>13.33</v>
      </c>
      <c r="G432" s="29">
        <f t="shared" ref="G432:G471" ca="1" si="201">ROUNDUP(F432*3,0)</f>
        <v>40</v>
      </c>
      <c r="H432" s="32" t="str">
        <f ca="1">IF(ISNUMBER(N432),codeEAN13(INT(N432/10)),"")</f>
        <v>8APASOG*ajccgg+</v>
      </c>
      <c r="J432" s="15">
        <f t="shared" si="182"/>
        <v>212</v>
      </c>
      <c r="L432" s="5" t="str">
        <f ca="1">INDEX(INDIRECT(zoneFichierTraite),$J432+offsetInitialFichierTraite,1)</f>
        <v>'212</v>
      </c>
      <c r="M432" s="11">
        <f ca="1">INDEX(INDIRECT(zoneFichierTraite),$J432+offsetInitialFichierTraite,9)</f>
        <v>26.66</v>
      </c>
      <c r="N432" s="14">
        <f ca="1">INDEX(INDIRECT(zoneFichierTraite),$J432+offsetInitialFichierTraite,3)</f>
        <v>8050846092266</v>
      </c>
      <c r="O432" s="1">
        <f ca="1">MATCH(N432,INDIRECT(nomFichierEAN13Valmag &amp; "!A:A"),0)</f>
        <v>872</v>
      </c>
      <c r="P432" s="1">
        <f ca="1">MATCH(R432,INDIRECT(nomFichierEAN13Valmag &amp; "!A:A"),0)</f>
        <v>872</v>
      </c>
      <c r="Q432" s="1">
        <f ca="1">MATCH(LEFT(B432,14) &amp; "*",INDIRECT(nomFichierEAN13Valmag &amp; "!B:B"),0)</f>
        <v>872</v>
      </c>
      <c r="R432" s="14">
        <f ca="1">IFERROR(INDEX(INDIRECT(zoneFichierEAN13Valmag),Q432,1),"")</f>
        <v>8050846092266</v>
      </c>
      <c r="S432" s="1">
        <f ca="1">MATCH(B432,INDIRECT(nomFichierFiltreCatalogue &amp; "!B:B"),0)</f>
        <v>209</v>
      </c>
      <c r="T432" s="14"/>
    </row>
    <row r="433" spans="1:20" s="20" customFormat="1" ht="15.75" customHeight="1" x14ac:dyDescent="0.25">
      <c r="A433" s="25">
        <f ca="1">INDEX(INDIRECT(zoneFichierTraite),$J432+offsetInitialFichierTraite,2)</f>
        <v>136</v>
      </c>
      <c r="B433" s="45" t="str">
        <f ca="1">IF(C433="", IFERROR(INDEX(INDIRECT(zoneFichierEAN13Valmag),$P432,3),""), "")</f>
        <v/>
      </c>
      <c r="C433" s="44" t="str">
        <f ca="1">IFERROR(INDEX(INDIRECT(zoneFichierEAN13Valmag),$O432,3),"")</f>
        <v xml:space="preserve"> </v>
      </c>
      <c r="D433" s="19" t="str">
        <f ca="1">IFERROR(INDEX(INDIRECT(zoneFichierEAN13Valmag),$O432,4),"")</f>
        <v xml:space="preserve"> </v>
      </c>
      <c r="E433" s="33" t="str">
        <f ca="1">IFERROR(INDEX(INDIRECT(zoneFichierFiltreCatalogue),S432,3),"")</f>
        <v>p040-1-01</v>
      </c>
      <c r="F433" s="19"/>
      <c r="G433" s="18"/>
      <c r="H433" s="34" t="str">
        <f ca="1">IFERROR(INDEX(INDIRECT(zoneFichierFiltreCatalogue),S432,6),"")</f>
        <v>fall 2019 presentation_/catalogo fall 19.txt</v>
      </c>
      <c r="R433" s="21"/>
      <c r="S433" s="21"/>
    </row>
    <row r="434" spans="1:20" ht="39" customHeight="1" thickBot="1" x14ac:dyDescent="0.65">
      <c r="A434" s="9" t="str">
        <f ca="1">INDEX(INDIRECT(zoneFichierTraite),$J434+offsetInitialFichierTraite,6)</f>
        <v>UNICA</v>
      </c>
      <c r="B434" s="5" t="str">
        <f ca="1">INDEX(INDIRECT(zoneFichierTraite),$J434+offsetInitialFichierTraite,4)</f>
        <v>SHOUGG00-TESBM-227</v>
      </c>
      <c r="C434" s="26" t="str">
        <f ca="1">INDEX(INDIRECT(zoneFichierTraite),$J434+offsetInitialFichierTraite,5)</f>
        <v>BANDOULIÃˆRE 80/120 + CLIP EN TISSU IMPRIME GEOMETRIC LILY</v>
      </c>
      <c r="D434" s="27" t="str">
        <f ca="1">INDEX(INDIRECT(zoneFichierTraite),$J434+offsetInitialFichierTraite,13)</f>
        <v>bianco/nero</v>
      </c>
      <c r="E434" s="30">
        <f ca="1">INDEX(INDIRECT(zoneFichierTraite),$J434+offsetInitialFichierTraite,7)</f>
        <v>2</v>
      </c>
      <c r="F434" s="28">
        <f ca="1">INDEX(INDIRECT(zoneFichierTraite),$J434+offsetInitialFichierTraite,8)</f>
        <v>15.56</v>
      </c>
      <c r="G434" s="29">
        <f t="shared" ref="G434:G471" ca="1" si="202">ROUNDUP(F434*3,0)</f>
        <v>47</v>
      </c>
      <c r="H434" s="32" t="str">
        <f ca="1">IF(ISNUMBER(N434),codeEAN13(INT(N434/10)),"")</f>
        <v>8APASOG*ajccec+</v>
      </c>
      <c r="J434" s="15">
        <f t="shared" si="182"/>
        <v>213</v>
      </c>
      <c r="L434" s="5" t="str">
        <f ca="1">INDEX(INDIRECT(zoneFichierTraite),$J434+offsetInitialFichierTraite,1)</f>
        <v>'213</v>
      </c>
      <c r="M434" s="11">
        <f ca="1">INDEX(INDIRECT(zoneFichierTraite),$J434+offsetInitialFichierTraite,9)</f>
        <v>31.12</v>
      </c>
      <c r="N434" s="14">
        <f ca="1">INDEX(INDIRECT(zoneFichierTraite),$J434+offsetInitialFichierTraite,3)</f>
        <v>8050846092242</v>
      </c>
      <c r="O434" s="1">
        <f ca="1">MATCH(N434,INDIRECT(nomFichierEAN13Valmag &amp; "!A:A"),0)</f>
        <v>870</v>
      </c>
      <c r="P434" s="1">
        <f ca="1">MATCH(R434,INDIRECT(nomFichierEAN13Valmag &amp; "!A:A"),0)</f>
        <v>870</v>
      </c>
      <c r="Q434" s="1">
        <f ca="1">MATCH(LEFT(B434,14) &amp; "*",INDIRECT(nomFichierEAN13Valmag &amp; "!B:B"),0)</f>
        <v>870</v>
      </c>
      <c r="R434" s="14">
        <f ca="1">IFERROR(INDEX(INDIRECT(zoneFichierEAN13Valmag),Q434,1),"")</f>
        <v>8050846092242</v>
      </c>
      <c r="S434" s="1">
        <f ca="1">MATCH(B434,INDIRECT(nomFichierFiltreCatalogue &amp; "!B:B"),0)</f>
        <v>211</v>
      </c>
      <c r="T434" s="14"/>
    </row>
    <row r="435" spans="1:20" s="20" customFormat="1" ht="15.75" customHeight="1" x14ac:dyDescent="0.25">
      <c r="A435" s="25">
        <f ca="1">INDEX(INDIRECT(zoneFichierTraite),$J434+offsetInitialFichierTraite,2)</f>
        <v>74</v>
      </c>
      <c r="B435" s="45" t="str">
        <f ca="1">IF(C435="", IFERROR(INDEX(INDIRECT(zoneFichierEAN13Valmag),$P434,3),""), "")</f>
        <v/>
      </c>
      <c r="C435" s="44" t="str">
        <f ca="1">IFERROR(INDEX(INDIRECT(zoneFichierEAN13Valmag),$O434,3),"")</f>
        <v xml:space="preserve"> </v>
      </c>
      <c r="D435" s="19" t="str">
        <f ca="1">IFERROR(INDEX(INDIRECT(zoneFichierEAN13Valmag),$O434,4),"")</f>
        <v xml:space="preserve"> </v>
      </c>
      <c r="E435" s="33" t="str">
        <f ca="1">IFERROR(INDEX(INDIRECT(zoneFichierFiltreCatalogue),S434,3),"")</f>
        <v>p041-1-01</v>
      </c>
      <c r="F435" s="19"/>
      <c r="G435" s="18"/>
      <c r="H435" s="34" t="str">
        <f ca="1">IFERROR(INDEX(INDIRECT(zoneFichierFiltreCatalogue),S434,6),"")</f>
        <v>fall 2019 presentation_/catalogo fall 19.txt</v>
      </c>
      <c r="R435" s="21"/>
      <c r="S435" s="21"/>
    </row>
    <row r="436" spans="1:20" ht="39" customHeight="1" thickBot="1" x14ac:dyDescent="0.65">
      <c r="A436" s="9" t="str">
        <f ca="1">INDEX(INDIRECT(zoneFichierTraite),$J436+offsetInitialFichierTraite,6)</f>
        <v>UNICA</v>
      </c>
      <c r="B436" s="5" t="str">
        <f ca="1">INDEX(INDIRECT(zoneFichierTraite),$J436+offsetInitialFichierTraite,4)</f>
        <v>SHOUU000-TESBM-227</v>
      </c>
      <c r="C436" s="26" t="str">
        <f ca="1">INDEX(INDIRECT(zoneFichierTraite),$J436+offsetInitialFichierTraite,5)</f>
        <v>BANDOULIÃˆRE FOULARD EN TISSU IMPRIME GEOMETRIC LILY</v>
      </c>
      <c r="D436" s="27" t="str">
        <f ca="1">INDEX(INDIRECT(zoneFichierTraite),$J436+offsetInitialFichierTraite,13)</f>
        <v>bianco/nero</v>
      </c>
      <c r="E436" s="30">
        <f ca="1">INDEX(INDIRECT(zoneFichierTraite),$J436+offsetInitialFichierTraite,7)</f>
        <v>4</v>
      </c>
      <c r="F436" s="28">
        <f ca="1">INDEX(INDIRECT(zoneFichierTraite),$J436+offsetInitialFichierTraite,8)</f>
        <v>7.78</v>
      </c>
      <c r="G436" s="29">
        <f t="shared" ref="G436:G471" ca="1" si="203">ROUNDUP(F436*3,0)</f>
        <v>24</v>
      </c>
      <c r="H436" s="32" t="str">
        <f ca="1">IF(ISNUMBER(N436),codeEAN13(INT(N436/10)),"")</f>
        <v>8APASOG*ajcehb+</v>
      </c>
      <c r="J436" s="15">
        <f t="shared" si="182"/>
        <v>214</v>
      </c>
      <c r="L436" s="5" t="str">
        <f ca="1">INDEX(INDIRECT(zoneFichierTraite),$J436+offsetInitialFichierTraite,1)</f>
        <v>'214</v>
      </c>
      <c r="M436" s="11">
        <f ca="1">INDEX(INDIRECT(zoneFichierTraite),$J436+offsetInitialFichierTraite,9)</f>
        <v>31.12</v>
      </c>
      <c r="N436" s="14">
        <f ca="1">INDEX(INDIRECT(zoneFichierTraite),$J436+offsetInitialFichierTraite,3)</f>
        <v>8050846092471</v>
      </c>
      <c r="O436" s="1">
        <f ca="1">MATCH(N436,INDIRECT(nomFichierEAN13Valmag &amp; "!A:A"),0)</f>
        <v>888</v>
      </c>
      <c r="P436" s="1">
        <f ca="1">MATCH(R436,INDIRECT(nomFichierEAN13Valmag &amp; "!A:A"),0)</f>
        <v>888</v>
      </c>
      <c r="Q436" s="1">
        <f ca="1">MATCH(LEFT(B436,14) &amp; "*",INDIRECT(nomFichierEAN13Valmag &amp; "!B:B"),0)</f>
        <v>888</v>
      </c>
      <c r="R436" s="14">
        <f ca="1">IFERROR(INDEX(INDIRECT(zoneFichierEAN13Valmag),Q436,1),"")</f>
        <v>8050846092471</v>
      </c>
      <c r="S436" s="1">
        <f ca="1">MATCH(B436,INDIRECT(nomFichierFiltreCatalogue &amp; "!B:B"),0)</f>
        <v>212</v>
      </c>
      <c r="T436" s="14"/>
    </row>
    <row r="437" spans="1:20" s="20" customFormat="1" ht="15.75" customHeight="1" x14ac:dyDescent="0.25">
      <c r="A437" s="25">
        <f ca="1">INDEX(INDIRECT(zoneFichierTraite),$J436+offsetInitialFichierTraite,2)</f>
        <v>202</v>
      </c>
      <c r="B437" s="45" t="str">
        <f ca="1">IF(C437="", IFERROR(INDEX(INDIRECT(zoneFichierEAN13Valmag),$P436,3),""), "")</f>
        <v/>
      </c>
      <c r="C437" s="44" t="str">
        <f ca="1">IFERROR(INDEX(INDIRECT(zoneFichierEAN13Valmag),$O436,3),"")</f>
        <v xml:space="preserve"> </v>
      </c>
      <c r="D437" s="19" t="str">
        <f ca="1">IFERROR(INDEX(INDIRECT(zoneFichierEAN13Valmag),$O436,4),"")</f>
        <v xml:space="preserve"> </v>
      </c>
      <c r="E437" s="33" t="str">
        <f ca="1">IFERROR(INDEX(INDIRECT(zoneFichierFiltreCatalogue),S436,3),"")</f>
        <v>p041-2-01</v>
      </c>
      <c r="F437" s="19"/>
      <c r="G437" s="18"/>
      <c r="H437" s="34" t="str">
        <f ca="1">IFERROR(INDEX(INDIRECT(zoneFichierFiltreCatalogue),S436,6),"")</f>
        <v>fall 2019 presentation_/catalogo fall 19.txt</v>
      </c>
      <c r="R437" s="21"/>
      <c r="S437" s="21"/>
    </row>
    <row r="438" spans="1:20" ht="39" customHeight="1" thickBot="1" x14ac:dyDescent="0.65">
      <c r="A438" s="9" t="str">
        <f ca="1">INDEX(INDIRECT(zoneFichierTraite),$J438+offsetInitialFichierTraite,6)</f>
        <v>UNICA</v>
      </c>
      <c r="B438" s="5" t="str">
        <f ca="1">INDEX(INDIRECT(zoneFichierTraite),$J438+offsetInitialFichierTraite,4)</f>
        <v>SHOUX001-ECS03-615</v>
      </c>
      <c r="C438" s="26" t="str">
        <f ca="1">INDEX(INDIRECT(zoneFichierTraite),$J438+offsetInitialFichierTraite,5)</f>
        <v>BANDOULIÃˆRE EXTRASLIM 110 + CLIP EN FAUX CUIR SUÃˆDE</v>
      </c>
      <c r="D438" s="27" t="str">
        <f ca="1">INDEX(INDIRECT(zoneFichierTraite),$J438+offsetInitialFichierTraite,13)</f>
        <v>military</v>
      </c>
      <c r="E438" s="30">
        <f ca="1">INDEX(INDIRECT(zoneFichierTraite),$J438+offsetInitialFichierTraite,7)</f>
        <v>2</v>
      </c>
      <c r="F438" s="28">
        <f ca="1">INDEX(INDIRECT(zoneFichierTraite),$J438+offsetInitialFichierTraite,8)</f>
        <v>10</v>
      </c>
      <c r="G438" s="29">
        <f t="shared" ref="G438:G471" ca="1" si="204">ROUNDUP(F438*3,0)</f>
        <v>30</v>
      </c>
      <c r="H438" s="32" t="str">
        <f ca="1">IF(ISNUMBER(N438),codeEAN13(INT(N438/10)),"")</f>
        <v>8APASOG*ajcdba+</v>
      </c>
      <c r="J438" s="15">
        <f t="shared" si="182"/>
        <v>215</v>
      </c>
      <c r="L438" s="5" t="str">
        <f ca="1">INDEX(INDIRECT(zoneFichierTraite),$J438+offsetInitialFichierTraite,1)</f>
        <v>'215</v>
      </c>
      <c r="M438" s="11">
        <f ca="1">INDEX(INDIRECT(zoneFichierTraite),$J438+offsetInitialFichierTraite,9)</f>
        <v>20</v>
      </c>
      <c r="N438" s="14">
        <f ca="1">INDEX(INDIRECT(zoneFichierTraite),$J438+offsetInitialFichierTraite,3)</f>
        <v>8050846092310</v>
      </c>
      <c r="O438" s="1">
        <f ca="1">MATCH(N438,INDIRECT(nomFichierEAN13Valmag &amp; "!A:A"),0)</f>
        <v>877</v>
      </c>
      <c r="P438" s="1">
        <f ca="1">MATCH(R438,INDIRECT(nomFichierEAN13Valmag &amp; "!A:A"),0)</f>
        <v>877</v>
      </c>
      <c r="Q438" s="1">
        <f ca="1">MATCH(LEFT(B438,14) &amp; "*",INDIRECT(nomFichierEAN13Valmag &amp; "!B:B"),0)</f>
        <v>877</v>
      </c>
      <c r="R438" s="14">
        <f ca="1">IFERROR(INDEX(INDIRECT(zoneFichierEAN13Valmag),Q438,1),"")</f>
        <v>8050846092310</v>
      </c>
      <c r="S438" s="1">
        <f ca="1">MATCH(B438,INDIRECT(nomFichierFiltreCatalogue &amp; "!B:B"),0)</f>
        <v>225</v>
      </c>
      <c r="T438" s="14"/>
    </row>
    <row r="439" spans="1:20" s="20" customFormat="1" ht="15.75" customHeight="1" x14ac:dyDescent="0.25">
      <c r="A439" s="25">
        <f ca="1">INDEX(INDIRECT(zoneFichierTraite),$J438+offsetInitialFichierTraite,2)</f>
        <v>220</v>
      </c>
      <c r="B439" s="45" t="str">
        <f ca="1">IF(C439="", IFERROR(INDEX(INDIRECT(zoneFichierEAN13Valmag),$P438,3),""), "")</f>
        <v/>
      </c>
      <c r="C439" s="44" t="str">
        <f ca="1">IFERROR(INDEX(INDIRECT(zoneFichierEAN13Valmag),$O438,3),"")</f>
        <v xml:space="preserve"> </v>
      </c>
      <c r="D439" s="19" t="str">
        <f ca="1">IFERROR(INDEX(INDIRECT(zoneFichierEAN13Valmag),$O438,4),"")</f>
        <v xml:space="preserve"> </v>
      </c>
      <c r="E439" s="33" t="str">
        <f ca="1">IFERROR(INDEX(INDIRECT(zoneFichierFiltreCatalogue),S438,3),"")</f>
        <v>p044-1-02</v>
      </c>
      <c r="F439" s="19"/>
      <c r="G439" s="18"/>
      <c r="H439" s="34" t="str">
        <f ca="1">IFERROR(INDEX(INDIRECT(zoneFichierFiltreCatalogue),S438,6),"")</f>
        <v>fall 2019 presentation_/catalogo fall 19.txt</v>
      </c>
      <c r="R439" s="21"/>
      <c r="S439" s="21"/>
    </row>
    <row r="440" spans="1:20" ht="39" customHeight="1" thickBot="1" x14ac:dyDescent="0.65">
      <c r="A440" s="9" t="str">
        <f ca="1">INDEX(INDIRECT(zoneFichierTraite),$J440+offsetInitialFichierTraite,6)</f>
        <v>UNICA</v>
      </c>
      <c r="B440" s="5" t="str">
        <f ca="1">INDEX(INDIRECT(zoneFichierTraite),$J440+offsetInitialFichierTraite,4)</f>
        <v>SHOUX001-ECS29-017</v>
      </c>
      <c r="C440" s="26" t="str">
        <f ca="1">INDEX(INDIRECT(zoneFichierTraite),$J440+offsetInitialFichierTraite,5)</f>
        <v>BANDOULIÃˆRE EXTRASLIM 110 + CLIP EN FAUX CUIR IMPRIME COCO</v>
      </c>
      <c r="D440" s="27" t="str">
        <f ca="1">INDEX(INDIRECT(zoneFichierTraite),$J440+offsetInitialFichierTraite,13)</f>
        <v>blu navy</v>
      </c>
      <c r="E440" s="30">
        <f ca="1">INDEX(INDIRECT(zoneFichierTraite),$J440+offsetInitialFichierTraite,7)</f>
        <v>2</v>
      </c>
      <c r="F440" s="28">
        <f ca="1">INDEX(INDIRECT(zoneFichierTraite),$J440+offsetInitialFichierTraite,8)</f>
        <v>10</v>
      </c>
      <c r="G440" s="29">
        <f t="shared" ref="G440:G471" ca="1" si="205">ROUNDUP(F440*3,0)</f>
        <v>30</v>
      </c>
      <c r="H440" s="32" t="str">
        <f ca="1">IF(ISNUMBER(N440),codeEAN13(INT(N440/10)),"")</f>
        <v>8APASOG*ajcdeb+</v>
      </c>
      <c r="J440" s="15">
        <f t="shared" si="182"/>
        <v>216</v>
      </c>
      <c r="L440" s="5" t="str">
        <f ca="1">INDEX(INDIRECT(zoneFichierTraite),$J440+offsetInitialFichierTraite,1)</f>
        <v>'216</v>
      </c>
      <c r="M440" s="11">
        <f ca="1">INDEX(INDIRECT(zoneFichierTraite),$J440+offsetInitialFichierTraite,9)</f>
        <v>20</v>
      </c>
      <c r="N440" s="14">
        <f ca="1">INDEX(INDIRECT(zoneFichierTraite),$J440+offsetInitialFichierTraite,3)</f>
        <v>8050846092341</v>
      </c>
      <c r="O440" s="1">
        <f ca="1">MATCH(N440,INDIRECT(nomFichierEAN13Valmag &amp; "!A:A"),0)</f>
        <v>879</v>
      </c>
      <c r="P440" s="1">
        <f ca="1">MATCH(R440,INDIRECT(nomFichierEAN13Valmag &amp; "!A:A"),0)</f>
        <v>879</v>
      </c>
      <c r="Q440" s="1">
        <f ca="1">MATCH(LEFT(B440,14) &amp; "*",INDIRECT(nomFichierEAN13Valmag &amp; "!B:B"),0)</f>
        <v>879</v>
      </c>
      <c r="R440" s="14">
        <f ca="1">IFERROR(INDEX(INDIRECT(zoneFichierEAN13Valmag),Q440,1),"")</f>
        <v>8050846092341</v>
      </c>
      <c r="S440" s="1">
        <f ca="1">MATCH(B440,INDIRECT(nomFichierFiltreCatalogue &amp; "!B:B"),0)</f>
        <v>217</v>
      </c>
      <c r="T440" s="14"/>
    </row>
    <row r="441" spans="1:20" s="20" customFormat="1" ht="15.75" customHeight="1" x14ac:dyDescent="0.25">
      <c r="A441" s="25">
        <f ca="1">INDEX(INDIRECT(zoneFichierTraite),$J440+offsetInitialFichierTraite,2)</f>
        <v>118</v>
      </c>
      <c r="B441" s="45" t="str">
        <f ca="1">IF(C441="", IFERROR(INDEX(INDIRECT(zoneFichierEAN13Valmag),$P440,3),""), "")</f>
        <v/>
      </c>
      <c r="C441" s="44" t="str">
        <f ca="1">IFERROR(INDEX(INDIRECT(zoneFichierEAN13Valmag),$O440,3),"")</f>
        <v xml:space="preserve"> </v>
      </c>
      <c r="D441" s="19" t="str">
        <f ca="1">IFERROR(INDEX(INDIRECT(zoneFichierEAN13Valmag),$O440,4),"")</f>
        <v xml:space="preserve"> </v>
      </c>
      <c r="E441" s="33" t="str">
        <f ca="1">IFERROR(INDEX(INDIRECT(zoneFichierFiltreCatalogue),S440,3),"")</f>
        <v>p043-1-01</v>
      </c>
      <c r="F441" s="19"/>
      <c r="G441" s="18"/>
      <c r="H441" s="34" t="str">
        <f ca="1">IFERROR(INDEX(INDIRECT(zoneFichierFiltreCatalogue),S440,6),"")</f>
        <v>fall 2019 presentation_/catalogo fall 19.txt</v>
      </c>
      <c r="R441" s="21"/>
      <c r="S441" s="21"/>
    </row>
    <row r="442" spans="1:20" ht="39" customHeight="1" thickBot="1" x14ac:dyDescent="0.65">
      <c r="A442" s="9" t="str">
        <f ca="1">INDEX(INDIRECT(zoneFichierTraite),$J442+offsetInitialFichierTraite,6)</f>
        <v>UNICA</v>
      </c>
      <c r="B442" s="5" t="str">
        <f ca="1">INDEX(INDIRECT(zoneFichierTraite),$J442+offsetInitialFichierTraite,4)</f>
        <v>SHOUX001-ECS29-084</v>
      </c>
      <c r="C442" s="26" t="str">
        <f ca="1">INDEX(INDIRECT(zoneFichierTraite),$J442+offsetInitialFichierTraite,5)</f>
        <v>BANDOULIÃˆRE EXTRASLIM 110 + CLIP EN FAUX CUIR IMPRIME COCO</v>
      </c>
      <c r="D442" s="27" t="str">
        <f ca="1">INDEX(INDIRECT(zoneFichierTraite),$J442+offsetInitialFichierTraite,13)</f>
        <v>testa di moro</v>
      </c>
      <c r="E442" s="30">
        <f ca="1">INDEX(INDIRECT(zoneFichierTraite),$J442+offsetInitialFichierTraite,7)</f>
        <v>2</v>
      </c>
      <c r="F442" s="28">
        <f ca="1">INDEX(INDIRECT(zoneFichierTraite),$J442+offsetInitialFichierTraite,8)</f>
        <v>10</v>
      </c>
      <c r="G442" s="29">
        <f t="shared" ref="G442:G471" ca="1" si="206">ROUNDUP(F442*3,0)</f>
        <v>30</v>
      </c>
      <c r="H442" s="32" t="str">
        <f ca="1">IF(ISNUMBER(N442),codeEAN13(INT(N442/10)),"")</f>
        <v>8APASOG*ajcdfi+</v>
      </c>
      <c r="J442" s="15">
        <f t="shared" si="182"/>
        <v>217</v>
      </c>
      <c r="L442" s="5" t="str">
        <f ca="1">INDEX(INDIRECT(zoneFichierTraite),$J442+offsetInitialFichierTraite,1)</f>
        <v>'217</v>
      </c>
      <c r="M442" s="11">
        <f ca="1">INDEX(INDIRECT(zoneFichierTraite),$J442+offsetInitialFichierTraite,9)</f>
        <v>20</v>
      </c>
      <c r="N442" s="14">
        <f ca="1">INDEX(INDIRECT(zoneFichierTraite),$J442+offsetInitialFichierTraite,3)</f>
        <v>8050846092358</v>
      </c>
      <c r="O442" s="1">
        <f ca="1">MATCH(N442,INDIRECT(nomFichierEAN13Valmag &amp; "!A:A"),0)</f>
        <v>880</v>
      </c>
      <c r="P442" s="1">
        <f ca="1">MATCH(R442,INDIRECT(nomFichierEAN13Valmag &amp; "!A:A"),0)</f>
        <v>879</v>
      </c>
      <c r="Q442" s="1">
        <f ca="1">MATCH(LEFT(B442,14) &amp; "*",INDIRECT(nomFichierEAN13Valmag &amp; "!B:B"),0)</f>
        <v>879</v>
      </c>
      <c r="R442" s="14">
        <f ca="1">IFERROR(INDEX(INDIRECT(zoneFichierEAN13Valmag),Q442,1),"")</f>
        <v>8050846092341</v>
      </c>
      <c r="S442" s="1">
        <f ca="1">MATCH(B442,INDIRECT(nomFichierFiltreCatalogue &amp; "!B:B"),0)</f>
        <v>218</v>
      </c>
      <c r="T442" s="14"/>
    </row>
    <row r="443" spans="1:20" s="20" customFormat="1" ht="15.75" customHeight="1" x14ac:dyDescent="0.25">
      <c r="A443" s="25">
        <f ca="1">INDEX(INDIRECT(zoneFichierTraite),$J442+offsetInitialFichierTraite,2)</f>
        <v>109</v>
      </c>
      <c r="B443" s="45" t="str">
        <f ca="1">IF(C443="", IFERROR(INDEX(INDIRECT(zoneFichierEAN13Valmag),$P442,3),""), "")</f>
        <v/>
      </c>
      <c r="C443" s="44" t="str">
        <f ca="1">IFERROR(INDEX(INDIRECT(zoneFichierEAN13Valmag),$O442,3),"")</f>
        <v xml:space="preserve"> </v>
      </c>
      <c r="D443" s="19" t="str">
        <f ca="1">IFERROR(INDEX(INDIRECT(zoneFichierEAN13Valmag),$O442,4),"")</f>
        <v xml:space="preserve"> </v>
      </c>
      <c r="E443" s="33" t="str">
        <f ca="1">IFERROR(INDEX(INDIRECT(zoneFichierFiltreCatalogue),S442,3),"")</f>
        <v>p043-1-02</v>
      </c>
      <c r="F443" s="19"/>
      <c r="G443" s="18"/>
      <c r="H443" s="34" t="str">
        <f ca="1">IFERROR(INDEX(INDIRECT(zoneFichierFiltreCatalogue),S442,6),"")</f>
        <v>fall 2019 presentation_/catalogo fall 19.txt</v>
      </c>
      <c r="R443" s="21"/>
      <c r="S443" s="21"/>
    </row>
    <row r="444" spans="1:20" ht="39" customHeight="1" thickBot="1" x14ac:dyDescent="0.65">
      <c r="A444" s="9" t="str">
        <f ca="1">INDEX(INDIRECT(zoneFichierTraite),$J444+offsetInitialFichierTraite,6)</f>
        <v>UNICA</v>
      </c>
      <c r="B444" s="5" t="str">
        <f ca="1">INDEX(INDIRECT(zoneFichierTraite),$J444+offsetInitialFichierTraite,4)</f>
        <v>SHOUX101-ECS00-017</v>
      </c>
      <c r="C444" s="26" t="str">
        <f ca="1">INDEX(INDIRECT(zoneFichierTraite),$J444+offsetInitialFichierTraite,5)</f>
        <v>BANDOULIÃˆRE EXTRASLIM 110 + ANSES TUBULAIRES + CLIP FAUX CUIR</v>
      </c>
      <c r="D444" s="27" t="str">
        <f ca="1">INDEX(INDIRECT(zoneFichierTraite),$J444+offsetInitialFichierTraite,13)</f>
        <v>blu navy</v>
      </c>
      <c r="E444" s="30">
        <f ca="1">INDEX(INDIRECT(zoneFichierTraite),$J444+offsetInitialFichierTraite,7)</f>
        <v>2</v>
      </c>
      <c r="F444" s="28">
        <f ca="1">INDEX(INDIRECT(zoneFichierTraite),$J444+offsetInitialFichierTraite,8)</f>
        <v>18.96</v>
      </c>
      <c r="G444" s="29">
        <f t="shared" ref="G444:G471" ca="1" si="207">ROUNDUP(F444*3,0)</f>
        <v>57</v>
      </c>
      <c r="H444" s="32" t="str">
        <f ca="1">IF(ISNUMBER(N444),codeEAN13(INT(N444/10)),"")</f>
        <v>8APASOG*adfbii+</v>
      </c>
      <c r="J444" s="15">
        <f t="shared" si="182"/>
        <v>218</v>
      </c>
      <c r="L444" s="5" t="str">
        <f ca="1">INDEX(INDIRECT(zoneFichierTraite),$J444+offsetInitialFichierTraite,1)</f>
        <v>'218</v>
      </c>
      <c r="M444" s="11">
        <f ca="1">INDEX(INDIRECT(zoneFichierTraite),$J444+offsetInitialFichierTraite,9)</f>
        <v>37.92</v>
      </c>
      <c r="N444" s="14">
        <f ca="1">INDEX(INDIRECT(zoneFichierTraite),$J444+offsetInitialFichierTraite,3)</f>
        <v>8050846035188</v>
      </c>
      <c r="O444" s="1">
        <f ca="1">MATCH(N444,INDIRECT(nomFichierEAN13Valmag &amp; "!A:A"),0)</f>
        <v>194</v>
      </c>
      <c r="P444" s="1">
        <f ca="1">MATCH(R444,INDIRECT(nomFichierEAN13Valmag &amp; "!A:A"),0)</f>
        <v>194</v>
      </c>
      <c r="Q444" s="1">
        <f ca="1">MATCH(LEFT(B444,14) &amp; "*",INDIRECT(nomFichierEAN13Valmag &amp; "!B:B"),0)</f>
        <v>194</v>
      </c>
      <c r="R444" s="14">
        <f ca="1">IFERROR(INDEX(INDIRECT(zoneFichierEAN13Valmag),Q444,1),"")</f>
        <v>8050846035188</v>
      </c>
      <c r="S444" s="1">
        <f ca="1">MATCH(B444,INDIRECT(nomFichierFiltreCatalogue &amp; "!B:B"),0)</f>
        <v>226</v>
      </c>
      <c r="T444" s="14"/>
    </row>
    <row r="445" spans="1:20" s="20" customFormat="1" ht="15.75" customHeight="1" x14ac:dyDescent="0.25">
      <c r="A445" s="25">
        <f ca="1">INDEX(INDIRECT(zoneFichierTraite),$J444+offsetInitialFichierTraite,2)</f>
        <v>85</v>
      </c>
      <c r="B445" s="45" t="str">
        <f ca="1">IF(C445="", IFERROR(INDEX(INDIRECT(zoneFichierEAN13Valmag),$P444,3),""), "")</f>
        <v/>
      </c>
      <c r="C445" s="44" t="str">
        <f ca="1">IFERROR(INDEX(INDIRECT(zoneFichierEAN13Valmag),$O444,3),"")</f>
        <v>ANSESTUB/BANDOUL</v>
      </c>
      <c r="D445" s="19" t="str">
        <f ca="1">IFERROR(INDEX(INDIRECT(zoneFichierEAN13Valmag),$O444,4),"")</f>
        <v xml:space="preserve">NAVY </v>
      </c>
      <c r="E445" s="33" t="str">
        <f ca="1">IFERROR(INDEX(INDIRECT(zoneFichierFiltreCatalogue),S444,3),"")</f>
        <v>p044-2-01</v>
      </c>
      <c r="F445" s="19"/>
      <c r="G445" s="18"/>
      <c r="H445" s="34" t="str">
        <f ca="1">IFERROR(INDEX(INDIRECT(zoneFichierFiltreCatalogue),S444,6),"")</f>
        <v>fall 2019 presentation_/catalogo fall 19.txt</v>
      </c>
      <c r="R445" s="21"/>
      <c r="S445" s="21"/>
    </row>
    <row r="446" spans="1:20" ht="39" customHeight="1" thickBot="1" x14ac:dyDescent="0.65">
      <c r="A446" s="9" t="str">
        <f ca="1">INDEX(INDIRECT(zoneFichierTraite),$J446+offsetInitialFichierTraite,6)</f>
        <v>UNICA</v>
      </c>
      <c r="B446" s="5" t="str">
        <f ca="1">INDEX(INDIRECT(zoneFichierTraite),$J446+offsetInitialFichierTraite,4)</f>
        <v>SHOUX101-ECS00-055</v>
      </c>
      <c r="C446" s="26" t="str">
        <f ca="1">INDEX(INDIRECT(zoneFichierTraite),$J446+offsetInitialFichierTraite,5)</f>
        <v>BANDOULIÃˆRE EXTRASLIM 110 + ANSES TUBULAIRES + CLIP FAUX CUIR</v>
      </c>
      <c r="D446" s="27" t="str">
        <f ca="1">INDEX(INDIRECT(zoneFichierTraite),$J446+offsetInitialFichierTraite,13)</f>
        <v>nero</v>
      </c>
      <c r="E446" s="30">
        <f ca="1">INDEX(INDIRECT(zoneFichierTraite),$J446+offsetInitialFichierTraite,7)</f>
        <v>3</v>
      </c>
      <c r="F446" s="28">
        <f ca="1">INDEX(INDIRECT(zoneFichierTraite),$J446+offsetInitialFichierTraite,8)</f>
        <v>18.96</v>
      </c>
      <c r="G446" s="29">
        <f t="shared" ref="G446:G471" ca="1" si="208">ROUNDUP(F446*3,0)</f>
        <v>57</v>
      </c>
      <c r="H446" s="32" t="str">
        <f ca="1">IF(ISNUMBER(N446),codeEAN13(INT(N446/10)),"")</f>
        <v>8APASOG*adfcab+</v>
      </c>
      <c r="J446" s="15">
        <f t="shared" si="182"/>
        <v>219</v>
      </c>
      <c r="L446" s="5" t="str">
        <f ca="1">INDEX(INDIRECT(zoneFichierTraite),$J446+offsetInitialFichierTraite,1)</f>
        <v>'219</v>
      </c>
      <c r="M446" s="11">
        <f ca="1">INDEX(INDIRECT(zoneFichierTraite),$J446+offsetInitialFichierTraite,9)</f>
        <v>56.88</v>
      </c>
      <c r="N446" s="14">
        <f ca="1">INDEX(INDIRECT(zoneFichierTraite),$J446+offsetInitialFichierTraite,3)</f>
        <v>8050846035201</v>
      </c>
      <c r="O446" s="1">
        <f ca="1">MATCH(N446,INDIRECT(nomFichierEAN13Valmag &amp; "!A:A"),0)</f>
        <v>195</v>
      </c>
      <c r="P446" s="1">
        <f ca="1">MATCH(R446,INDIRECT(nomFichierEAN13Valmag &amp; "!A:A"),0)</f>
        <v>194</v>
      </c>
      <c r="Q446" s="1">
        <f ca="1">MATCH(LEFT(B446,14) &amp; "*",INDIRECT(nomFichierEAN13Valmag &amp; "!B:B"),0)</f>
        <v>194</v>
      </c>
      <c r="R446" s="14">
        <f ca="1">IFERROR(INDEX(INDIRECT(zoneFichierEAN13Valmag),Q446,1),"")</f>
        <v>8050846035188</v>
      </c>
      <c r="S446" s="1">
        <f ca="1">MATCH(B446,INDIRECT(nomFichierFiltreCatalogue &amp; "!B:B"),0)</f>
        <v>228</v>
      </c>
      <c r="T446" s="14"/>
    </row>
    <row r="447" spans="1:20" s="20" customFormat="1" ht="15.75" customHeight="1" x14ac:dyDescent="0.25">
      <c r="A447" s="25">
        <f ca="1">INDEX(INDIRECT(zoneFichierTraite),$J446+offsetInitialFichierTraite,2)</f>
        <v>102</v>
      </c>
      <c r="B447" s="45" t="str">
        <f ca="1">IF(C447="", IFERROR(INDEX(INDIRECT(zoneFichierEAN13Valmag),$P446,3),""), "")</f>
        <v/>
      </c>
      <c r="C447" s="44" t="str">
        <f ca="1">IFERROR(INDEX(INDIRECT(zoneFichierEAN13Valmag),$O446,3),"")</f>
        <v>ANSESTUB/BANDOUL</v>
      </c>
      <c r="D447" s="19" t="str">
        <f ca="1">IFERROR(INDEX(INDIRECT(zoneFichierEAN13Valmag),$O446,4),"")</f>
        <v>BLACK</v>
      </c>
      <c r="E447" s="33" t="str">
        <f ca="1">IFERROR(INDEX(INDIRECT(zoneFichierFiltreCatalogue),S446,3),"")</f>
        <v>p044-2-03</v>
      </c>
      <c r="F447" s="19"/>
      <c r="G447" s="18"/>
      <c r="H447" s="34" t="str">
        <f ca="1">IFERROR(INDEX(INDIRECT(zoneFichierFiltreCatalogue),S446,6),"")</f>
        <v>fall 2019 presentation_/catalogo fall 19.txt</v>
      </c>
      <c r="R447" s="21"/>
      <c r="S447" s="21"/>
    </row>
    <row r="448" spans="1:20" ht="39" customHeight="1" thickBot="1" x14ac:dyDescent="0.65">
      <c r="A448" s="9" t="str">
        <f ca="1">INDEX(INDIRECT(zoneFichierTraite),$J448+offsetInitialFichierTraite,6)</f>
        <v>UNICA</v>
      </c>
      <c r="B448" s="5" t="str">
        <f ca="1">INDEX(INDIRECT(zoneFichierTraite),$J448+offsetInitialFichierTraite,4)</f>
        <v>SHOUX101-ECS00-634</v>
      </c>
      <c r="C448" s="26" t="str">
        <f ca="1">INDEX(INDIRECT(zoneFichierTraite),$J448+offsetInitialFichierTraite,5)</f>
        <v>BANDOULIÃˆRE EXTRASLIM 110 + ANSES TUBULAIRES + CLIP FAUX CUIR</v>
      </c>
      <c r="D448" s="27" t="str">
        <f ca="1">INDEX(INDIRECT(zoneFichierTraite),$J448+offsetInitialFichierTraite,13)</f>
        <v>rosso + argento</v>
      </c>
      <c r="E448" s="30">
        <f ca="1">INDEX(INDIRECT(zoneFichierTraite),$J448+offsetInitialFichierTraite,7)</f>
        <v>2</v>
      </c>
      <c r="F448" s="28">
        <f ca="1">INDEX(INDIRECT(zoneFichierTraite),$J448+offsetInitialFichierTraite,8)</f>
        <v>18.96</v>
      </c>
      <c r="G448" s="29">
        <f t="shared" ref="G448:G471" ca="1" si="209">ROUNDUP(F448*3,0)</f>
        <v>57</v>
      </c>
      <c r="H448" s="32" t="str">
        <f ca="1">IF(ISNUMBER(N448),codeEAN13(INT(N448/10)),"")</f>
        <v>8APASOG*aejbjc+</v>
      </c>
      <c r="J448" s="15">
        <f t="shared" si="182"/>
        <v>220</v>
      </c>
      <c r="L448" s="5" t="str">
        <f ca="1">INDEX(INDIRECT(zoneFichierTraite),$J448+offsetInitialFichierTraite,1)</f>
        <v>'220</v>
      </c>
      <c r="M448" s="11">
        <f ca="1">INDEX(INDIRECT(zoneFichierTraite),$J448+offsetInitialFichierTraite,9)</f>
        <v>37.92</v>
      </c>
      <c r="N448" s="14">
        <f ca="1">INDEX(INDIRECT(zoneFichierTraite),$J448+offsetInitialFichierTraite,3)</f>
        <v>8050846049192</v>
      </c>
      <c r="O448" s="1">
        <f ca="1">MATCH(N448,INDIRECT(nomFichierEAN13Valmag &amp; "!A:A"),0)</f>
        <v>310</v>
      </c>
      <c r="P448" s="1">
        <f ca="1">MATCH(R448,INDIRECT(nomFichierEAN13Valmag &amp; "!A:A"),0)</f>
        <v>194</v>
      </c>
      <c r="Q448" s="1">
        <f ca="1">MATCH(LEFT(B448,14) &amp; "*",INDIRECT(nomFichierEAN13Valmag &amp; "!B:B"),0)</f>
        <v>194</v>
      </c>
      <c r="R448" s="14">
        <f ca="1">IFERROR(INDEX(INDIRECT(zoneFichierEAN13Valmag),Q448,1),"")</f>
        <v>8050846035188</v>
      </c>
      <c r="S448" s="1">
        <f ca="1">MATCH(B448,INDIRECT(nomFichierFiltreCatalogue &amp; "!B:B"),0)</f>
        <v>230</v>
      </c>
      <c r="T448" s="14"/>
    </row>
    <row r="449" spans="1:20" s="20" customFormat="1" ht="15.75" customHeight="1" x14ac:dyDescent="0.25">
      <c r="A449" s="25">
        <f ca="1">INDEX(INDIRECT(zoneFichierTraite),$J448+offsetInitialFichierTraite,2)</f>
        <v>14</v>
      </c>
      <c r="B449" s="45" t="str">
        <f ca="1">IF(C449="", IFERROR(INDEX(INDIRECT(zoneFichierEAN13Valmag),$P448,3),""), "")</f>
        <v/>
      </c>
      <c r="C449" s="44" t="str">
        <f ca="1">IFERROR(INDEX(INDIRECT(zoneFichierEAN13Valmag),$O448,3),"")</f>
        <v>ANSESTUB/BANDOUL</v>
      </c>
      <c r="D449" s="19" t="str">
        <f ca="1">IFERROR(INDEX(INDIRECT(zoneFichierEAN13Valmag),$O448,4),"")</f>
        <v xml:space="preserve">RED  </v>
      </c>
      <c r="E449" s="33" t="str">
        <f ca="1">IFERROR(INDEX(INDIRECT(zoneFichierFiltreCatalogue),S448,3),"")</f>
        <v>p044-2-05</v>
      </c>
      <c r="F449" s="19"/>
      <c r="G449" s="18"/>
      <c r="H449" s="34" t="str">
        <f ca="1">IFERROR(INDEX(INDIRECT(zoneFichierFiltreCatalogue),S448,6),"")</f>
        <v>fall 2019 presentation_/catalogo fall 19.txt</v>
      </c>
      <c r="R449" s="21"/>
      <c r="S449" s="21"/>
    </row>
    <row r="450" spans="1:20" ht="39" customHeight="1" thickBot="1" x14ac:dyDescent="0.65">
      <c r="A450" s="9" t="str">
        <f ca="1">INDEX(INDIRECT(zoneFichierTraite),$J450+offsetInitialFichierTraite,6)</f>
        <v>UNICA</v>
      </c>
      <c r="B450" s="5" t="str">
        <f ca="1">INDEX(INDIRECT(zoneFichierTraite),$J450+offsetInitialFichierTraite,4)</f>
        <v>SHOUX101-ECS00-635</v>
      </c>
      <c r="C450" s="26" t="str">
        <f ca="1">INDEX(INDIRECT(zoneFichierTraite),$J450+offsetInitialFichierTraite,5)</f>
        <v>BANDOULIÃˆRE EXTRASLIM 110 + ANSES TUBULAIRES + CLIP FAUX CUIR</v>
      </c>
      <c r="D450" s="27" t="str">
        <f ca="1">INDEX(INDIRECT(zoneFichierTraite),$J450+offsetInitialFichierTraite,13)</f>
        <v>bluette + argento</v>
      </c>
      <c r="E450" s="30">
        <f ca="1">INDEX(INDIRECT(zoneFichierTraite),$J450+offsetInitialFichierTraite,7)</f>
        <v>2</v>
      </c>
      <c r="F450" s="28">
        <f ca="1">INDEX(INDIRECT(zoneFichierTraite),$J450+offsetInitialFichierTraite,8)</f>
        <v>18.96</v>
      </c>
      <c r="G450" s="29">
        <f t="shared" ref="G450:G471" ca="1" si="210">ROUNDUP(F450*3,0)</f>
        <v>57</v>
      </c>
      <c r="H450" s="32" t="str">
        <f ca="1">IF(ISNUMBER(N450),codeEAN13(INT(N450/10)),"")</f>
        <v>8APASOG*adfcfg+</v>
      </c>
      <c r="J450" s="15">
        <f t="shared" si="182"/>
        <v>221</v>
      </c>
      <c r="L450" s="5" t="str">
        <f ca="1">INDEX(INDIRECT(zoneFichierTraite),$J450+offsetInitialFichierTraite,1)</f>
        <v>'221</v>
      </c>
      <c r="M450" s="11">
        <f ca="1">INDEX(INDIRECT(zoneFichierTraite),$J450+offsetInitialFichierTraite,9)</f>
        <v>37.92</v>
      </c>
      <c r="N450" s="14">
        <f ca="1">INDEX(INDIRECT(zoneFichierTraite),$J450+offsetInitialFichierTraite,3)</f>
        <v>8050846035256</v>
      </c>
      <c r="O450" s="1">
        <f ca="1">MATCH(N450,INDIRECT(nomFichierEAN13Valmag &amp; "!A:A"),0)</f>
        <v>197</v>
      </c>
      <c r="P450" s="1">
        <f ca="1">MATCH(R450,INDIRECT(nomFichierEAN13Valmag &amp; "!A:A"),0)</f>
        <v>194</v>
      </c>
      <c r="Q450" s="1">
        <f ca="1">MATCH(LEFT(B450,14) &amp; "*",INDIRECT(nomFichierEAN13Valmag &amp; "!B:B"),0)</f>
        <v>194</v>
      </c>
      <c r="R450" s="14">
        <f ca="1">IFERROR(INDEX(INDIRECT(zoneFichierEAN13Valmag),Q450,1),"")</f>
        <v>8050846035188</v>
      </c>
      <c r="S450" s="1">
        <f ca="1">MATCH(B450,INDIRECT(nomFichierFiltreCatalogue &amp; "!B:B"),0)</f>
        <v>231</v>
      </c>
      <c r="T450" s="14"/>
    </row>
    <row r="451" spans="1:20" s="20" customFormat="1" ht="15.75" customHeight="1" x14ac:dyDescent="0.25">
      <c r="A451" s="25">
        <f ca="1">INDEX(INDIRECT(zoneFichierTraite),$J450+offsetInitialFichierTraite,2)</f>
        <v>75</v>
      </c>
      <c r="B451" s="45" t="str">
        <f ca="1">IF(C451="", IFERROR(INDEX(INDIRECT(zoneFichierEAN13Valmag),$P450,3),""), "")</f>
        <v/>
      </c>
      <c r="C451" s="44" t="str">
        <f ca="1">IFERROR(INDEX(INDIRECT(zoneFichierEAN13Valmag),$O450,3),"")</f>
        <v>ANSESTUB/BANDOUL</v>
      </c>
      <c r="D451" s="19" t="str">
        <f ca="1">IFERROR(INDEX(INDIRECT(zoneFichierEAN13Valmag),$O450,4),"")</f>
        <v>BLUET</v>
      </c>
      <c r="E451" s="33" t="str">
        <f ca="1">IFERROR(INDEX(INDIRECT(zoneFichierFiltreCatalogue),S450,3),"")</f>
        <v>p044-2-06</v>
      </c>
      <c r="F451" s="19"/>
      <c r="G451" s="18"/>
      <c r="H451" s="34" t="str">
        <f ca="1">IFERROR(INDEX(INDIRECT(zoneFichierFiltreCatalogue),S450,6),"")</f>
        <v>fall 2019 presentation_/catalogo fall 19.txt</v>
      </c>
      <c r="R451" s="21"/>
      <c r="S451" s="21"/>
    </row>
    <row r="452" spans="1:20" ht="39" customHeight="1" thickBot="1" x14ac:dyDescent="0.65">
      <c r="A452" s="9">
        <f ca="1">INDEX(INDIRECT(zoneFichierTraite),$J452+offsetInitialFichierTraite,6)</f>
        <v>0</v>
      </c>
      <c r="B452" s="5">
        <f ca="1">INDEX(INDIRECT(zoneFichierTraite),$J452+offsetInitialFichierTraite,4)</f>
        <v>0</v>
      </c>
      <c r="C452" s="26">
        <f ca="1">INDEX(INDIRECT(zoneFichierTraite),$J452+offsetInitialFichierTraite,5)</f>
        <v>0</v>
      </c>
      <c r="D452" s="27">
        <f ca="1">INDEX(INDIRECT(zoneFichierTraite),$J452+offsetInitialFichierTraite,13)</f>
        <v>0</v>
      </c>
      <c r="E452" s="30">
        <f ca="1">INDEX(INDIRECT(zoneFichierTraite),$J452+offsetInitialFichierTraite,7)</f>
        <v>0</v>
      </c>
      <c r="F452" s="28">
        <f ca="1">INDEX(INDIRECT(zoneFichierTraite),$J452+offsetInitialFichierTraite,8)</f>
        <v>0</v>
      </c>
      <c r="G452" s="29">
        <f t="shared" ref="G452:G471" ca="1" si="211">ROUNDUP(F452*3,0)</f>
        <v>0</v>
      </c>
      <c r="H452" s="32" t="str">
        <f ca="1">IF(ISNUMBER(N452),codeEAN13(INT(N452/10)),"")</f>
        <v/>
      </c>
      <c r="J452" s="15">
        <f t="shared" si="182"/>
        <v>222</v>
      </c>
      <c r="L452" s="5">
        <f ca="1">INDEX(INDIRECT(zoneFichierTraite),$J452+offsetInitialFichierTraite,1)</f>
        <v>0</v>
      </c>
      <c r="M452" s="11">
        <f ca="1">INDEX(INDIRECT(zoneFichierTraite),$J452+offsetInitialFichierTraite,9)</f>
        <v>0</v>
      </c>
      <c r="N452" s="14">
        <f ca="1">INDEX(INDIRECT(zoneFichierTraite),$J452+offsetInitialFichierTraite,3)</f>
        <v>0</v>
      </c>
      <c r="O452" s="1" t="e">
        <f ca="1">MATCH(N452,INDIRECT(nomFichierEAN13Valmag &amp; "!A:A"),0)</f>
        <v>#N/A</v>
      </c>
      <c r="P452" s="1" t="e">
        <f ca="1">MATCH(R452,INDIRECT(nomFichierEAN13Valmag &amp; "!A:A"),0)</f>
        <v>#N/A</v>
      </c>
      <c r="Q452" s="1" t="e">
        <f ca="1">MATCH(LEFT(B452,14) &amp; "*",INDIRECT(nomFichierEAN13Valmag &amp; "!B:B"),0)</f>
        <v>#N/A</v>
      </c>
      <c r="R452" s="14" t="str">
        <f ca="1">IFERROR(INDEX(INDIRECT(zoneFichierEAN13Valmag),Q452,1),"")</f>
        <v/>
      </c>
      <c r="S452" s="1" t="e">
        <f ca="1">MATCH(B452,INDIRECT(nomFichierFiltreCatalogue &amp; "!B:B"),0)</f>
        <v>#N/A</v>
      </c>
      <c r="T452" s="14"/>
    </row>
    <row r="453" spans="1:20" s="20" customFormat="1" ht="15.75" customHeight="1" x14ac:dyDescent="0.25">
      <c r="A453" s="25">
        <f ca="1">INDEX(INDIRECT(zoneFichierTraite),$J452+offsetInitialFichierTraite,2)</f>
        <v>0</v>
      </c>
      <c r="B453" s="45" t="str">
        <f ca="1">IF(C453="", IFERROR(INDEX(INDIRECT(zoneFichierEAN13Valmag),$P452,3),""), "")</f>
        <v/>
      </c>
      <c r="C453" s="44" t="str">
        <f ca="1">IFERROR(INDEX(INDIRECT(zoneFichierEAN13Valmag),$O452,3),"")</f>
        <v/>
      </c>
      <c r="D453" s="19" t="str">
        <f ca="1">IFERROR(INDEX(INDIRECT(zoneFichierEAN13Valmag),$O452,4),"")</f>
        <v/>
      </c>
      <c r="E453" s="33" t="str">
        <f ca="1">IFERROR(INDEX(INDIRECT(zoneFichierFiltreCatalogue),S452,3),"")</f>
        <v/>
      </c>
      <c r="F453" s="19"/>
      <c r="G453" s="18"/>
      <c r="H453" s="34" t="str">
        <f ca="1">IFERROR(INDEX(INDIRECT(zoneFichierFiltreCatalogue),S452,6),"")</f>
        <v/>
      </c>
      <c r="R453" s="21"/>
      <c r="S453" s="21"/>
    </row>
    <row r="454" spans="1:20" ht="39" customHeight="1" thickBot="1" x14ac:dyDescent="0.65">
      <c r="A454" s="9">
        <f ca="1">INDEX(INDIRECT(zoneFichierTraite),$J454+offsetInitialFichierTraite,6)</f>
        <v>0</v>
      </c>
      <c r="B454" s="5">
        <f ca="1">INDEX(INDIRECT(zoneFichierTraite),$J454+offsetInitialFichierTraite,4)</f>
        <v>0</v>
      </c>
      <c r="C454" s="26">
        <f ca="1">INDEX(INDIRECT(zoneFichierTraite),$J454+offsetInitialFichierTraite,5)</f>
        <v>0</v>
      </c>
      <c r="D454" s="27">
        <f ca="1">INDEX(INDIRECT(zoneFichierTraite),$J454+offsetInitialFichierTraite,13)</f>
        <v>0</v>
      </c>
      <c r="E454" s="30">
        <f ca="1">INDEX(INDIRECT(zoneFichierTraite),$J454+offsetInitialFichierTraite,7)</f>
        <v>0</v>
      </c>
      <c r="F454" s="28">
        <f ca="1">INDEX(INDIRECT(zoneFichierTraite),$J454+offsetInitialFichierTraite,8)</f>
        <v>0</v>
      </c>
      <c r="G454" s="29">
        <f t="shared" ref="G454:G471" ca="1" si="212">ROUNDUP(F454*3,0)</f>
        <v>0</v>
      </c>
      <c r="H454" s="32" t="str">
        <f ca="1">IF(ISNUMBER(N454),codeEAN13(INT(N454/10)),"")</f>
        <v/>
      </c>
      <c r="J454" s="15">
        <f t="shared" si="182"/>
        <v>223</v>
      </c>
      <c r="L454" s="5">
        <f ca="1">INDEX(INDIRECT(zoneFichierTraite),$J454+offsetInitialFichierTraite,1)</f>
        <v>0</v>
      </c>
      <c r="M454" s="11">
        <f ca="1">INDEX(INDIRECT(zoneFichierTraite),$J454+offsetInitialFichierTraite,9)</f>
        <v>0</v>
      </c>
      <c r="N454" s="14">
        <f ca="1">INDEX(INDIRECT(zoneFichierTraite),$J454+offsetInitialFichierTraite,3)</f>
        <v>0</v>
      </c>
      <c r="O454" s="1" t="e">
        <f ca="1">MATCH(N454,INDIRECT(nomFichierEAN13Valmag &amp; "!A:A"),0)</f>
        <v>#N/A</v>
      </c>
      <c r="P454" s="1" t="e">
        <f ca="1">MATCH(R454,INDIRECT(nomFichierEAN13Valmag &amp; "!A:A"),0)</f>
        <v>#N/A</v>
      </c>
      <c r="Q454" s="1" t="e">
        <f ca="1">MATCH(LEFT(B454,14) &amp; "*",INDIRECT(nomFichierEAN13Valmag &amp; "!B:B"),0)</f>
        <v>#N/A</v>
      </c>
      <c r="R454" s="14" t="str">
        <f ca="1">IFERROR(INDEX(INDIRECT(zoneFichierEAN13Valmag),Q454,1),"")</f>
        <v/>
      </c>
      <c r="S454" s="1" t="e">
        <f ca="1">MATCH(B454,INDIRECT(nomFichierFiltreCatalogue &amp; "!B:B"),0)</f>
        <v>#N/A</v>
      </c>
      <c r="T454" s="14"/>
    </row>
    <row r="455" spans="1:20" s="20" customFormat="1" ht="15.75" customHeight="1" x14ac:dyDescent="0.25">
      <c r="A455" s="25">
        <f ca="1">INDEX(INDIRECT(zoneFichierTraite),$J454+offsetInitialFichierTraite,2)</f>
        <v>0</v>
      </c>
      <c r="B455" s="45" t="str">
        <f ca="1">IF(C455="", IFERROR(INDEX(INDIRECT(zoneFichierEAN13Valmag),$P454,3),""), "")</f>
        <v/>
      </c>
      <c r="C455" s="44" t="str">
        <f ca="1">IFERROR(INDEX(INDIRECT(zoneFichierEAN13Valmag),$O454,3),"")</f>
        <v/>
      </c>
      <c r="D455" s="19" t="str">
        <f ca="1">IFERROR(INDEX(INDIRECT(zoneFichierEAN13Valmag),$O454,4),"")</f>
        <v/>
      </c>
      <c r="E455" s="33" t="str">
        <f ca="1">IFERROR(INDEX(INDIRECT(zoneFichierFiltreCatalogue),S454,3),"")</f>
        <v/>
      </c>
      <c r="F455" s="19"/>
      <c r="G455" s="18"/>
      <c r="H455" s="34" t="str">
        <f ca="1">IFERROR(INDEX(INDIRECT(zoneFichierFiltreCatalogue),S454,6),"")</f>
        <v/>
      </c>
      <c r="R455" s="21"/>
      <c r="S455" s="21"/>
    </row>
    <row r="456" spans="1:20" ht="39" customHeight="1" thickBot="1" x14ac:dyDescent="0.65">
      <c r="A456" s="9">
        <f ca="1">INDEX(INDIRECT(zoneFichierTraite),$J456+offsetInitialFichierTraite,6)</f>
        <v>0</v>
      </c>
      <c r="B456" s="5">
        <f ca="1">INDEX(INDIRECT(zoneFichierTraite),$J456+offsetInitialFichierTraite,4)</f>
        <v>0</v>
      </c>
      <c r="C456" s="26">
        <f ca="1">INDEX(INDIRECT(zoneFichierTraite),$J456+offsetInitialFichierTraite,5)</f>
        <v>0</v>
      </c>
      <c r="D456" s="27">
        <f ca="1">INDEX(INDIRECT(zoneFichierTraite),$J456+offsetInitialFichierTraite,13)</f>
        <v>0</v>
      </c>
      <c r="E456" s="30">
        <f ca="1">INDEX(INDIRECT(zoneFichierTraite),$J456+offsetInitialFichierTraite,7)</f>
        <v>0</v>
      </c>
      <c r="F456" s="28">
        <f ca="1">INDEX(INDIRECT(zoneFichierTraite),$J456+offsetInitialFichierTraite,8)</f>
        <v>0</v>
      </c>
      <c r="G456" s="29">
        <f t="shared" ref="G456:G471" ca="1" si="213">ROUNDUP(F456*3,0)</f>
        <v>0</v>
      </c>
      <c r="H456" s="32" t="str">
        <f ca="1">IF(ISNUMBER(N456),codeEAN13(INT(N456/10)),"")</f>
        <v/>
      </c>
      <c r="J456" s="15">
        <f t="shared" si="182"/>
        <v>224</v>
      </c>
      <c r="L456" s="5">
        <f ca="1">INDEX(INDIRECT(zoneFichierTraite),$J456+offsetInitialFichierTraite,1)</f>
        <v>0</v>
      </c>
      <c r="M456" s="11">
        <f ca="1">INDEX(INDIRECT(zoneFichierTraite),$J456+offsetInitialFichierTraite,9)</f>
        <v>0</v>
      </c>
      <c r="N456" s="14">
        <f ca="1">INDEX(INDIRECT(zoneFichierTraite),$J456+offsetInitialFichierTraite,3)</f>
        <v>0</v>
      </c>
      <c r="O456" s="1" t="e">
        <f ca="1">MATCH(N456,INDIRECT(nomFichierEAN13Valmag &amp; "!A:A"),0)</f>
        <v>#N/A</v>
      </c>
      <c r="P456" s="1" t="e">
        <f ca="1">MATCH(R456,INDIRECT(nomFichierEAN13Valmag &amp; "!A:A"),0)</f>
        <v>#N/A</v>
      </c>
      <c r="Q456" s="1" t="e">
        <f ca="1">MATCH(LEFT(B456,14) &amp; "*",INDIRECT(nomFichierEAN13Valmag &amp; "!B:B"),0)</f>
        <v>#N/A</v>
      </c>
      <c r="R456" s="14" t="str">
        <f ca="1">IFERROR(INDEX(INDIRECT(zoneFichierEAN13Valmag),Q456,1),"")</f>
        <v/>
      </c>
      <c r="S456" s="1" t="e">
        <f ca="1">MATCH(B456,INDIRECT(nomFichierFiltreCatalogue &amp; "!B:B"),0)</f>
        <v>#N/A</v>
      </c>
      <c r="T456" s="14"/>
    </row>
    <row r="457" spans="1:20" s="20" customFormat="1" ht="15.75" customHeight="1" x14ac:dyDescent="0.25">
      <c r="A457" s="25">
        <f ca="1">INDEX(INDIRECT(zoneFichierTraite),$J456+offsetInitialFichierTraite,2)</f>
        <v>0</v>
      </c>
      <c r="B457" s="45" t="str">
        <f ca="1">IF(C457="", IFERROR(INDEX(INDIRECT(zoneFichierEAN13Valmag),$P456,3),""), "")</f>
        <v/>
      </c>
      <c r="C457" s="44" t="str">
        <f ca="1">IFERROR(INDEX(INDIRECT(zoneFichierEAN13Valmag),$O456,3),"")</f>
        <v/>
      </c>
      <c r="D457" s="19" t="str">
        <f ca="1">IFERROR(INDEX(INDIRECT(zoneFichierEAN13Valmag),$O456,4),"")</f>
        <v/>
      </c>
      <c r="E457" s="33" t="str">
        <f ca="1">IFERROR(INDEX(INDIRECT(zoneFichierFiltreCatalogue),S456,3),"")</f>
        <v/>
      </c>
      <c r="F457" s="19"/>
      <c r="G457" s="18"/>
      <c r="H457" s="34" t="str">
        <f ca="1">IFERROR(INDEX(INDIRECT(zoneFichierFiltreCatalogue),S456,6),"")</f>
        <v/>
      </c>
      <c r="R457" s="21"/>
      <c r="S457" s="21"/>
    </row>
    <row r="458" spans="1:20" ht="39" customHeight="1" thickBot="1" x14ac:dyDescent="0.65">
      <c r="A458" s="9">
        <f ca="1">INDEX(INDIRECT(zoneFichierTraite),$J458+offsetInitialFichierTraite,6)</f>
        <v>0</v>
      </c>
      <c r="B458" s="5">
        <f ca="1">INDEX(INDIRECT(zoneFichierTraite),$J458+offsetInitialFichierTraite,4)</f>
        <v>0</v>
      </c>
      <c r="C458" s="26">
        <f ca="1">INDEX(INDIRECT(zoneFichierTraite),$J458+offsetInitialFichierTraite,5)</f>
        <v>0</v>
      </c>
      <c r="D458" s="27">
        <f ca="1">INDEX(INDIRECT(zoneFichierTraite),$J458+offsetInitialFichierTraite,13)</f>
        <v>0</v>
      </c>
      <c r="E458" s="30">
        <f ca="1">INDEX(INDIRECT(zoneFichierTraite),$J458+offsetInitialFichierTraite,7)</f>
        <v>0</v>
      </c>
      <c r="F458" s="28">
        <f ca="1">INDEX(INDIRECT(zoneFichierTraite),$J458+offsetInitialFichierTraite,8)</f>
        <v>0</v>
      </c>
      <c r="G458" s="29">
        <f t="shared" ref="G458:G471" ca="1" si="214">ROUNDUP(F458*3,0)</f>
        <v>0</v>
      </c>
      <c r="H458" s="32" t="str">
        <f ca="1">IF(ISNUMBER(N458),codeEAN13(INT(N458/10)),"")</f>
        <v/>
      </c>
      <c r="J458" s="15">
        <f t="shared" ref="J458:J470" si="215">J456+1</f>
        <v>225</v>
      </c>
      <c r="L458" s="5">
        <f ca="1">INDEX(INDIRECT(zoneFichierTraite),$J458+offsetInitialFichierTraite,1)</f>
        <v>0</v>
      </c>
      <c r="M458" s="11">
        <f ca="1">INDEX(INDIRECT(zoneFichierTraite),$J458+offsetInitialFichierTraite,9)</f>
        <v>0</v>
      </c>
      <c r="N458" s="14">
        <f ca="1">INDEX(INDIRECT(zoneFichierTraite),$J458+offsetInitialFichierTraite,3)</f>
        <v>0</v>
      </c>
      <c r="O458" s="1" t="e">
        <f ca="1">MATCH(N458,INDIRECT(nomFichierEAN13Valmag &amp; "!A:A"),0)</f>
        <v>#N/A</v>
      </c>
      <c r="P458" s="1" t="e">
        <f ca="1">MATCH(R458,INDIRECT(nomFichierEAN13Valmag &amp; "!A:A"),0)</f>
        <v>#N/A</v>
      </c>
      <c r="Q458" s="1" t="e">
        <f ca="1">MATCH(LEFT(B458,14) &amp; "*",INDIRECT(nomFichierEAN13Valmag &amp; "!B:B"),0)</f>
        <v>#N/A</v>
      </c>
      <c r="R458" s="14" t="str">
        <f ca="1">IFERROR(INDEX(INDIRECT(zoneFichierEAN13Valmag),Q458,1),"")</f>
        <v/>
      </c>
      <c r="S458" s="1" t="e">
        <f ca="1">MATCH(B458,INDIRECT(nomFichierFiltreCatalogue &amp; "!B:B"),0)</f>
        <v>#N/A</v>
      </c>
      <c r="T458" s="14"/>
    </row>
    <row r="459" spans="1:20" s="20" customFormat="1" ht="15.75" customHeight="1" x14ac:dyDescent="0.25">
      <c r="A459" s="25">
        <f ca="1">INDEX(INDIRECT(zoneFichierTraite),$J458+offsetInitialFichierTraite,2)</f>
        <v>0</v>
      </c>
      <c r="B459" s="45" t="str">
        <f ca="1">IF(C459="", IFERROR(INDEX(INDIRECT(zoneFichierEAN13Valmag),$P458,3),""), "")</f>
        <v/>
      </c>
      <c r="C459" s="44" t="str">
        <f ca="1">IFERROR(INDEX(INDIRECT(zoneFichierEAN13Valmag),$O458,3),"")</f>
        <v/>
      </c>
      <c r="D459" s="19" t="str">
        <f ca="1">IFERROR(INDEX(INDIRECT(zoneFichierEAN13Valmag),$O458,4),"")</f>
        <v/>
      </c>
      <c r="E459" s="33" t="str">
        <f ca="1">IFERROR(INDEX(INDIRECT(zoneFichierFiltreCatalogue),S458,3),"")</f>
        <v/>
      </c>
      <c r="F459" s="19"/>
      <c r="G459" s="18"/>
      <c r="H459" s="34" t="str">
        <f ca="1">IFERROR(INDEX(INDIRECT(zoneFichierFiltreCatalogue),S458,6),"")</f>
        <v/>
      </c>
      <c r="R459" s="21"/>
      <c r="S459" s="21"/>
    </row>
    <row r="460" spans="1:20" ht="39" customHeight="1" thickBot="1" x14ac:dyDescent="0.65">
      <c r="A460" s="9">
        <f ca="1">INDEX(INDIRECT(zoneFichierTraite),$J460+offsetInitialFichierTraite,6)</f>
        <v>0</v>
      </c>
      <c r="B460" s="5">
        <f ca="1">INDEX(INDIRECT(zoneFichierTraite),$J460+offsetInitialFichierTraite,4)</f>
        <v>0</v>
      </c>
      <c r="C460" s="26">
        <f ca="1">INDEX(INDIRECT(zoneFichierTraite),$J460+offsetInitialFichierTraite,5)</f>
        <v>0</v>
      </c>
      <c r="D460" s="27">
        <f ca="1">INDEX(INDIRECT(zoneFichierTraite),$J460+offsetInitialFichierTraite,13)</f>
        <v>0</v>
      </c>
      <c r="E460" s="30">
        <f ca="1">INDEX(INDIRECT(zoneFichierTraite),$J460+offsetInitialFichierTraite,7)</f>
        <v>0</v>
      </c>
      <c r="F460" s="28">
        <f ca="1">INDEX(INDIRECT(zoneFichierTraite),$J460+offsetInitialFichierTraite,8)</f>
        <v>0</v>
      </c>
      <c r="G460" s="29">
        <f t="shared" ref="G460:G471" ca="1" si="216">ROUNDUP(F460*3,0)</f>
        <v>0</v>
      </c>
      <c r="H460" s="32" t="str">
        <f ca="1">IF(ISNUMBER(N460),codeEAN13(INT(N460/10)),"")</f>
        <v/>
      </c>
      <c r="J460" s="15">
        <f t="shared" si="215"/>
        <v>226</v>
      </c>
      <c r="L460" s="5">
        <f ca="1">INDEX(INDIRECT(zoneFichierTraite),$J460+offsetInitialFichierTraite,1)</f>
        <v>0</v>
      </c>
      <c r="M460" s="11">
        <f ca="1">INDEX(INDIRECT(zoneFichierTraite),$J460+offsetInitialFichierTraite,9)</f>
        <v>0</v>
      </c>
      <c r="N460" s="14">
        <f ca="1">INDEX(INDIRECT(zoneFichierTraite),$J460+offsetInitialFichierTraite,3)</f>
        <v>0</v>
      </c>
      <c r="O460" s="1" t="e">
        <f ca="1">MATCH(N460,INDIRECT(nomFichierEAN13Valmag &amp; "!A:A"),0)</f>
        <v>#N/A</v>
      </c>
      <c r="P460" s="1" t="e">
        <f ca="1">MATCH(R460,INDIRECT(nomFichierEAN13Valmag &amp; "!A:A"),0)</f>
        <v>#N/A</v>
      </c>
      <c r="Q460" s="1" t="e">
        <f ca="1">MATCH(LEFT(B460,14) &amp; "*",INDIRECT(nomFichierEAN13Valmag &amp; "!B:B"),0)</f>
        <v>#N/A</v>
      </c>
      <c r="R460" s="14" t="str">
        <f ca="1">IFERROR(INDEX(INDIRECT(zoneFichierEAN13Valmag),Q460,1),"")</f>
        <v/>
      </c>
      <c r="S460" s="1" t="e">
        <f ca="1">MATCH(B460,INDIRECT(nomFichierFiltreCatalogue &amp; "!B:B"),0)</f>
        <v>#N/A</v>
      </c>
      <c r="T460" s="14"/>
    </row>
    <row r="461" spans="1:20" s="20" customFormat="1" ht="15.75" customHeight="1" x14ac:dyDescent="0.25">
      <c r="A461" s="25">
        <f ca="1">INDEX(INDIRECT(zoneFichierTraite),$J460+offsetInitialFichierTraite,2)</f>
        <v>0</v>
      </c>
      <c r="B461" s="45" t="str">
        <f ca="1">IF(C461="", IFERROR(INDEX(INDIRECT(zoneFichierEAN13Valmag),$P460,3),""), "")</f>
        <v/>
      </c>
      <c r="C461" s="44" t="str">
        <f ca="1">IFERROR(INDEX(INDIRECT(zoneFichierEAN13Valmag),$O460,3),"")</f>
        <v/>
      </c>
      <c r="D461" s="19" t="str">
        <f ca="1">IFERROR(INDEX(INDIRECT(zoneFichierEAN13Valmag),$O460,4),"")</f>
        <v/>
      </c>
      <c r="E461" s="33" t="str">
        <f ca="1">IFERROR(INDEX(INDIRECT(zoneFichierFiltreCatalogue),S460,3),"")</f>
        <v/>
      </c>
      <c r="F461" s="19"/>
      <c r="G461" s="18"/>
      <c r="H461" s="34" t="str">
        <f ca="1">IFERROR(INDEX(INDIRECT(zoneFichierFiltreCatalogue),S460,6),"")</f>
        <v/>
      </c>
      <c r="R461" s="21"/>
      <c r="S461" s="21"/>
    </row>
    <row r="462" spans="1:20" ht="39" customHeight="1" thickBot="1" x14ac:dyDescent="0.65">
      <c r="A462" s="9">
        <f ca="1">INDEX(INDIRECT(zoneFichierTraite),$J462+offsetInitialFichierTraite,6)</f>
        <v>0</v>
      </c>
      <c r="B462" s="5">
        <f ca="1">INDEX(INDIRECT(zoneFichierTraite),$J462+offsetInitialFichierTraite,4)</f>
        <v>0</v>
      </c>
      <c r="C462" s="26">
        <f ca="1">INDEX(INDIRECT(zoneFichierTraite),$J462+offsetInitialFichierTraite,5)</f>
        <v>0</v>
      </c>
      <c r="D462" s="27">
        <f ca="1">INDEX(INDIRECT(zoneFichierTraite),$J462+offsetInitialFichierTraite,13)</f>
        <v>0</v>
      </c>
      <c r="E462" s="30">
        <f ca="1">INDEX(INDIRECT(zoneFichierTraite),$J462+offsetInitialFichierTraite,7)</f>
        <v>0</v>
      </c>
      <c r="F462" s="28">
        <f ca="1">INDEX(INDIRECT(zoneFichierTraite),$J462+offsetInitialFichierTraite,8)</f>
        <v>0</v>
      </c>
      <c r="G462" s="29">
        <f t="shared" ref="G462:G471" ca="1" si="217">ROUNDUP(F462*3,0)</f>
        <v>0</v>
      </c>
      <c r="H462" s="32" t="str">
        <f ca="1">IF(ISNUMBER(N462),codeEAN13(INT(N462/10)),"")</f>
        <v/>
      </c>
      <c r="J462" s="15">
        <f t="shared" si="215"/>
        <v>227</v>
      </c>
      <c r="L462" s="5">
        <f ca="1">INDEX(INDIRECT(zoneFichierTraite),$J462+offsetInitialFichierTraite,1)</f>
        <v>0</v>
      </c>
      <c r="M462" s="11">
        <f ca="1">INDEX(INDIRECT(zoneFichierTraite),$J462+offsetInitialFichierTraite,9)</f>
        <v>0</v>
      </c>
      <c r="N462" s="14">
        <f ca="1">INDEX(INDIRECT(zoneFichierTraite),$J462+offsetInitialFichierTraite,3)</f>
        <v>0</v>
      </c>
      <c r="O462" s="1" t="e">
        <f ca="1">MATCH(N462,INDIRECT(nomFichierEAN13Valmag &amp; "!A:A"),0)</f>
        <v>#N/A</v>
      </c>
      <c r="P462" s="1" t="e">
        <f ca="1">MATCH(R462,INDIRECT(nomFichierEAN13Valmag &amp; "!A:A"),0)</f>
        <v>#N/A</v>
      </c>
      <c r="Q462" s="1" t="e">
        <f ca="1">MATCH(LEFT(B462,14) &amp; "*",INDIRECT(nomFichierEAN13Valmag &amp; "!B:B"),0)</f>
        <v>#N/A</v>
      </c>
      <c r="R462" s="14" t="str">
        <f ca="1">IFERROR(INDEX(INDIRECT(zoneFichierEAN13Valmag),Q462,1),"")</f>
        <v/>
      </c>
      <c r="S462" s="1" t="e">
        <f ca="1">MATCH(B462,INDIRECT(nomFichierFiltreCatalogue &amp; "!B:B"),0)</f>
        <v>#N/A</v>
      </c>
      <c r="T462" s="14"/>
    </row>
    <row r="463" spans="1:20" s="20" customFormat="1" ht="15.75" customHeight="1" x14ac:dyDescent="0.25">
      <c r="A463" s="25">
        <f ca="1">INDEX(INDIRECT(zoneFichierTraite),$J462+offsetInitialFichierTraite,2)</f>
        <v>0</v>
      </c>
      <c r="B463" s="45" t="str">
        <f ca="1">IF(C463="", IFERROR(INDEX(INDIRECT(zoneFichierEAN13Valmag),$P462,3),""), "")</f>
        <v/>
      </c>
      <c r="C463" s="44" t="str">
        <f ca="1">IFERROR(INDEX(INDIRECT(zoneFichierEAN13Valmag),$O462,3),"")</f>
        <v/>
      </c>
      <c r="D463" s="19" t="str">
        <f ca="1">IFERROR(INDEX(INDIRECT(zoneFichierEAN13Valmag),$O462,4),"")</f>
        <v/>
      </c>
      <c r="E463" s="33" t="str">
        <f ca="1">IFERROR(INDEX(INDIRECT(zoneFichierFiltreCatalogue),S462,3),"")</f>
        <v/>
      </c>
      <c r="F463" s="19"/>
      <c r="G463" s="18"/>
      <c r="H463" s="34" t="str">
        <f ca="1">IFERROR(INDEX(INDIRECT(zoneFichierFiltreCatalogue),S462,6),"")</f>
        <v/>
      </c>
      <c r="R463" s="21"/>
      <c r="S463" s="21"/>
    </row>
    <row r="464" spans="1:20" ht="39" customHeight="1" thickBot="1" x14ac:dyDescent="0.65">
      <c r="A464" s="9">
        <f ca="1">INDEX(INDIRECT(zoneFichierTraite),$J464+offsetInitialFichierTraite,6)</f>
        <v>0</v>
      </c>
      <c r="B464" s="5">
        <f ca="1">INDEX(INDIRECT(zoneFichierTraite),$J464+offsetInitialFichierTraite,4)</f>
        <v>0</v>
      </c>
      <c r="C464" s="26">
        <f ca="1">INDEX(INDIRECT(zoneFichierTraite),$J464+offsetInitialFichierTraite,5)</f>
        <v>0</v>
      </c>
      <c r="D464" s="27">
        <f ca="1">INDEX(INDIRECT(zoneFichierTraite),$J464+offsetInitialFichierTraite,13)</f>
        <v>0</v>
      </c>
      <c r="E464" s="30">
        <f ca="1">INDEX(INDIRECT(zoneFichierTraite),$J464+offsetInitialFichierTraite,7)</f>
        <v>0</v>
      </c>
      <c r="F464" s="28">
        <f ca="1">INDEX(INDIRECT(zoneFichierTraite),$J464+offsetInitialFichierTraite,8)</f>
        <v>0</v>
      </c>
      <c r="G464" s="29">
        <f t="shared" ref="G464:G471" ca="1" si="218">ROUNDUP(F464*3,0)</f>
        <v>0</v>
      </c>
      <c r="H464" s="32" t="str">
        <f ca="1">IF(ISNUMBER(N464),codeEAN13(INT(N464/10)),"")</f>
        <v/>
      </c>
      <c r="J464" s="15">
        <f t="shared" si="215"/>
        <v>228</v>
      </c>
      <c r="L464" s="5">
        <f ca="1">INDEX(INDIRECT(zoneFichierTraite),$J464+offsetInitialFichierTraite,1)</f>
        <v>0</v>
      </c>
      <c r="M464" s="11">
        <f ca="1">INDEX(INDIRECT(zoneFichierTraite),$J464+offsetInitialFichierTraite,9)</f>
        <v>0</v>
      </c>
      <c r="N464" s="14">
        <f ca="1">INDEX(INDIRECT(zoneFichierTraite),$J464+offsetInitialFichierTraite,3)</f>
        <v>0</v>
      </c>
      <c r="O464" s="1" t="e">
        <f ca="1">MATCH(N464,INDIRECT(nomFichierEAN13Valmag &amp; "!A:A"),0)</f>
        <v>#N/A</v>
      </c>
      <c r="P464" s="1" t="e">
        <f ca="1">MATCH(R464,INDIRECT(nomFichierEAN13Valmag &amp; "!A:A"),0)</f>
        <v>#N/A</v>
      </c>
      <c r="Q464" s="1" t="e">
        <f ca="1">MATCH(LEFT(B464,14) &amp; "*",INDIRECT(nomFichierEAN13Valmag &amp; "!B:B"),0)</f>
        <v>#N/A</v>
      </c>
      <c r="R464" s="14" t="str">
        <f ca="1">IFERROR(INDEX(INDIRECT(zoneFichierEAN13Valmag),Q464,1),"")</f>
        <v/>
      </c>
      <c r="S464" s="1" t="e">
        <f ca="1">MATCH(B464,INDIRECT(nomFichierFiltreCatalogue &amp; "!B:B"),0)</f>
        <v>#N/A</v>
      </c>
      <c r="T464" s="14"/>
    </row>
    <row r="465" spans="1:20" s="20" customFormat="1" ht="15.75" customHeight="1" x14ac:dyDescent="0.25">
      <c r="A465" s="25">
        <f ca="1">INDEX(INDIRECT(zoneFichierTraite),$J464+offsetInitialFichierTraite,2)</f>
        <v>0</v>
      </c>
      <c r="B465" s="45" t="str">
        <f ca="1">IF(C465="", IFERROR(INDEX(INDIRECT(zoneFichierEAN13Valmag),$P464,3),""), "")</f>
        <v/>
      </c>
      <c r="C465" s="44" t="str">
        <f ca="1">IFERROR(INDEX(INDIRECT(zoneFichierEAN13Valmag),$O464,3),"")</f>
        <v/>
      </c>
      <c r="D465" s="19" t="str">
        <f ca="1">IFERROR(INDEX(INDIRECT(zoneFichierEAN13Valmag),$O464,4),"")</f>
        <v/>
      </c>
      <c r="E465" s="33" t="str">
        <f ca="1">IFERROR(INDEX(INDIRECT(zoneFichierFiltreCatalogue),S464,3),"")</f>
        <v/>
      </c>
      <c r="F465" s="19"/>
      <c r="G465" s="18"/>
      <c r="H465" s="34" t="str">
        <f ca="1">IFERROR(INDEX(INDIRECT(zoneFichierFiltreCatalogue),S464,6),"")</f>
        <v/>
      </c>
      <c r="R465" s="21"/>
      <c r="S465" s="21"/>
    </row>
    <row r="466" spans="1:20" ht="39" customHeight="1" thickBot="1" x14ac:dyDescent="0.65">
      <c r="A466" s="9">
        <f ca="1">INDEX(INDIRECT(zoneFichierTraite),$J466+offsetInitialFichierTraite,6)</f>
        <v>0</v>
      </c>
      <c r="B466" s="5">
        <f ca="1">INDEX(INDIRECT(zoneFichierTraite),$J466+offsetInitialFichierTraite,4)</f>
        <v>0</v>
      </c>
      <c r="C466" s="26">
        <f ca="1">INDEX(INDIRECT(zoneFichierTraite),$J466+offsetInitialFichierTraite,5)</f>
        <v>0</v>
      </c>
      <c r="D466" s="27">
        <f ca="1">INDEX(INDIRECT(zoneFichierTraite),$J466+offsetInitialFichierTraite,13)</f>
        <v>0</v>
      </c>
      <c r="E466" s="30">
        <f ca="1">INDEX(INDIRECT(zoneFichierTraite),$J466+offsetInitialFichierTraite,7)</f>
        <v>0</v>
      </c>
      <c r="F466" s="28">
        <f ca="1">INDEX(INDIRECT(zoneFichierTraite),$J466+offsetInitialFichierTraite,8)</f>
        <v>0</v>
      </c>
      <c r="G466" s="29">
        <f t="shared" ref="G466:G471" ca="1" si="219">ROUNDUP(F466*3,0)</f>
        <v>0</v>
      </c>
      <c r="H466" s="32" t="str">
        <f ca="1">IF(ISNUMBER(N466),codeEAN13(INT(N466/10)),"")</f>
        <v/>
      </c>
      <c r="J466" s="15">
        <f t="shared" si="215"/>
        <v>229</v>
      </c>
      <c r="L466" s="5">
        <f ca="1">INDEX(INDIRECT(zoneFichierTraite),$J466+offsetInitialFichierTraite,1)</f>
        <v>0</v>
      </c>
      <c r="M466" s="11">
        <f ca="1">INDEX(INDIRECT(zoneFichierTraite),$J466+offsetInitialFichierTraite,9)</f>
        <v>0</v>
      </c>
      <c r="N466" s="14">
        <f ca="1">INDEX(INDIRECT(zoneFichierTraite),$J466+offsetInitialFichierTraite,3)</f>
        <v>0</v>
      </c>
      <c r="O466" s="1" t="e">
        <f ca="1">MATCH(N466,INDIRECT(nomFichierEAN13Valmag &amp; "!A:A"),0)</f>
        <v>#N/A</v>
      </c>
      <c r="P466" s="1" t="e">
        <f ca="1">MATCH(R466,INDIRECT(nomFichierEAN13Valmag &amp; "!A:A"),0)</f>
        <v>#N/A</v>
      </c>
      <c r="Q466" s="1" t="e">
        <f ca="1">MATCH(LEFT(B466,14) &amp; "*",INDIRECT(nomFichierEAN13Valmag &amp; "!B:B"),0)</f>
        <v>#N/A</v>
      </c>
      <c r="R466" s="14" t="str">
        <f ca="1">IFERROR(INDEX(INDIRECT(zoneFichierEAN13Valmag),Q466,1),"")</f>
        <v/>
      </c>
      <c r="S466" s="1" t="e">
        <f ca="1">MATCH(B466,INDIRECT(nomFichierFiltreCatalogue &amp; "!B:B"),0)</f>
        <v>#N/A</v>
      </c>
      <c r="T466" s="14"/>
    </row>
    <row r="467" spans="1:20" s="20" customFormat="1" ht="15.75" customHeight="1" x14ac:dyDescent="0.25">
      <c r="A467" s="25">
        <f ca="1">INDEX(INDIRECT(zoneFichierTraite),$J466+offsetInitialFichierTraite,2)</f>
        <v>0</v>
      </c>
      <c r="B467" s="45" t="str">
        <f ca="1">IF(C467="", IFERROR(INDEX(INDIRECT(zoneFichierEAN13Valmag),$P466,3),""), "")</f>
        <v/>
      </c>
      <c r="C467" s="44" t="str">
        <f ca="1">IFERROR(INDEX(INDIRECT(zoneFichierEAN13Valmag),$O466,3),"")</f>
        <v/>
      </c>
      <c r="D467" s="19" t="str">
        <f ca="1">IFERROR(INDEX(INDIRECT(zoneFichierEAN13Valmag),$O466,4),"")</f>
        <v/>
      </c>
      <c r="E467" s="33" t="str">
        <f ca="1">IFERROR(INDEX(INDIRECT(zoneFichierFiltreCatalogue),S466,3),"")</f>
        <v/>
      </c>
      <c r="F467" s="19"/>
      <c r="G467" s="18"/>
      <c r="H467" s="34" t="str">
        <f ca="1">IFERROR(INDEX(INDIRECT(zoneFichierFiltreCatalogue),S466,6),"")</f>
        <v/>
      </c>
      <c r="R467" s="21"/>
      <c r="S467" s="21"/>
    </row>
    <row r="468" spans="1:20" ht="39" customHeight="1" thickBot="1" x14ac:dyDescent="0.65">
      <c r="A468" s="9">
        <f ca="1">INDEX(INDIRECT(zoneFichierTraite),$J468+offsetInitialFichierTraite,6)</f>
        <v>0</v>
      </c>
      <c r="B468" s="5">
        <f ca="1">INDEX(INDIRECT(zoneFichierTraite),$J468+offsetInitialFichierTraite,4)</f>
        <v>0</v>
      </c>
      <c r="C468" s="26">
        <f ca="1">INDEX(INDIRECT(zoneFichierTraite),$J468+offsetInitialFichierTraite,5)</f>
        <v>0</v>
      </c>
      <c r="D468" s="27">
        <f ca="1">INDEX(INDIRECT(zoneFichierTraite),$J468+offsetInitialFichierTraite,13)</f>
        <v>0</v>
      </c>
      <c r="E468" s="30">
        <f ca="1">INDEX(INDIRECT(zoneFichierTraite),$J468+offsetInitialFichierTraite,7)</f>
        <v>0</v>
      </c>
      <c r="F468" s="28">
        <f ca="1">INDEX(INDIRECT(zoneFichierTraite),$J468+offsetInitialFichierTraite,8)</f>
        <v>0</v>
      </c>
      <c r="G468" s="29">
        <f t="shared" ref="G468:G471" ca="1" si="220">ROUNDUP(F468*3,0)</f>
        <v>0</v>
      </c>
      <c r="H468" s="32" t="str">
        <f ca="1">IF(ISNUMBER(N468),codeEAN13(INT(N468/10)),"")</f>
        <v/>
      </c>
      <c r="J468" s="15">
        <f t="shared" si="215"/>
        <v>230</v>
      </c>
      <c r="L468" s="5">
        <f ca="1">INDEX(INDIRECT(zoneFichierTraite),$J468+offsetInitialFichierTraite,1)</f>
        <v>0</v>
      </c>
      <c r="M468" s="11">
        <f ca="1">INDEX(INDIRECT(zoneFichierTraite),$J468+offsetInitialFichierTraite,9)</f>
        <v>0</v>
      </c>
      <c r="N468" s="14">
        <f ca="1">INDEX(INDIRECT(zoneFichierTraite),$J468+offsetInitialFichierTraite,3)</f>
        <v>0</v>
      </c>
      <c r="O468" s="1" t="e">
        <f ca="1">MATCH(N468,INDIRECT(nomFichierEAN13Valmag &amp; "!A:A"),0)</f>
        <v>#N/A</v>
      </c>
      <c r="P468" s="1" t="e">
        <f ca="1">MATCH(R468,INDIRECT(nomFichierEAN13Valmag &amp; "!A:A"),0)</f>
        <v>#N/A</v>
      </c>
      <c r="Q468" s="1" t="e">
        <f ca="1">MATCH(LEFT(B468,14) &amp; "*",INDIRECT(nomFichierEAN13Valmag &amp; "!B:B"),0)</f>
        <v>#N/A</v>
      </c>
      <c r="R468" s="14" t="str">
        <f ca="1">IFERROR(INDEX(INDIRECT(zoneFichierEAN13Valmag),Q468,1),"")</f>
        <v/>
      </c>
      <c r="S468" s="1" t="e">
        <f ca="1">MATCH(B468,INDIRECT(nomFichierFiltreCatalogue &amp; "!B:B"),0)</f>
        <v>#N/A</v>
      </c>
      <c r="T468" s="14"/>
    </row>
    <row r="469" spans="1:20" s="20" customFormat="1" ht="15.75" customHeight="1" x14ac:dyDescent="0.25">
      <c r="A469" s="25">
        <f ca="1">INDEX(INDIRECT(zoneFichierTraite),$J468+offsetInitialFichierTraite,2)</f>
        <v>0</v>
      </c>
      <c r="B469" s="45" t="str">
        <f ca="1">IF(C469="", IFERROR(INDEX(INDIRECT(zoneFichierEAN13Valmag),$P468,3),""), "")</f>
        <v/>
      </c>
      <c r="C469" s="44" t="str">
        <f ca="1">IFERROR(INDEX(INDIRECT(zoneFichierEAN13Valmag),$O468,3),"")</f>
        <v/>
      </c>
      <c r="D469" s="19" t="str">
        <f ca="1">IFERROR(INDEX(INDIRECT(zoneFichierEAN13Valmag),$O468,4),"")</f>
        <v/>
      </c>
      <c r="E469" s="33" t="str">
        <f ca="1">IFERROR(INDEX(INDIRECT(zoneFichierFiltreCatalogue),S468,3),"")</f>
        <v/>
      </c>
      <c r="F469" s="19"/>
      <c r="G469" s="18"/>
      <c r="H469" s="34" t="str">
        <f ca="1">IFERROR(INDEX(INDIRECT(zoneFichierFiltreCatalogue),S468,6),"")</f>
        <v/>
      </c>
      <c r="R469" s="21"/>
      <c r="S469" s="21"/>
    </row>
    <row r="470" spans="1:20" ht="39" customHeight="1" thickBot="1" x14ac:dyDescent="0.65">
      <c r="A470" s="9">
        <f ca="1">INDEX(INDIRECT(zoneFichierTraite),$J470+offsetInitialFichierTraite,6)</f>
        <v>0</v>
      </c>
      <c r="B470" s="5">
        <f ca="1">INDEX(INDIRECT(zoneFichierTraite),$J470+offsetInitialFichierTraite,4)</f>
        <v>0</v>
      </c>
      <c r="C470" s="26">
        <f ca="1">INDEX(INDIRECT(zoneFichierTraite),$J470+offsetInitialFichierTraite,5)</f>
        <v>0</v>
      </c>
      <c r="D470" s="27">
        <f ca="1">INDEX(INDIRECT(zoneFichierTraite),$J470+offsetInitialFichierTraite,13)</f>
        <v>0</v>
      </c>
      <c r="E470" s="30">
        <f ca="1">INDEX(INDIRECT(zoneFichierTraite),$J470+offsetInitialFichierTraite,7)</f>
        <v>0</v>
      </c>
      <c r="F470" s="28">
        <f ca="1">INDEX(INDIRECT(zoneFichierTraite),$J470+offsetInitialFichierTraite,8)</f>
        <v>0</v>
      </c>
      <c r="G470" s="29">
        <f t="shared" ref="G470:G471" ca="1" si="221">ROUNDUP(F470*3,0)</f>
        <v>0</v>
      </c>
      <c r="H470" s="32" t="str">
        <f ca="1">IF(ISNUMBER(N470),codeEAN13(INT(N470/10)),"")</f>
        <v/>
      </c>
      <c r="J470" s="15">
        <f t="shared" si="215"/>
        <v>231</v>
      </c>
      <c r="L470" s="5">
        <f ca="1">INDEX(INDIRECT(zoneFichierTraite),$J470+offsetInitialFichierTraite,1)</f>
        <v>0</v>
      </c>
      <c r="M470" s="11">
        <f ca="1">INDEX(INDIRECT(zoneFichierTraite),$J470+offsetInitialFichierTraite,9)</f>
        <v>0</v>
      </c>
      <c r="N470" s="14">
        <f ca="1">INDEX(INDIRECT(zoneFichierTraite),$J470+offsetInitialFichierTraite,3)</f>
        <v>0</v>
      </c>
      <c r="O470" s="1" t="e">
        <f ca="1">MATCH(N470,INDIRECT(nomFichierEAN13Valmag &amp; "!A:A"),0)</f>
        <v>#N/A</v>
      </c>
      <c r="P470" s="1" t="e">
        <f ca="1">MATCH(R470,INDIRECT(nomFichierEAN13Valmag &amp; "!A:A"),0)</f>
        <v>#N/A</v>
      </c>
      <c r="Q470" s="1" t="e">
        <f ca="1">MATCH(LEFT(B470,14) &amp; "*",INDIRECT(nomFichierEAN13Valmag &amp; "!B:B"),0)</f>
        <v>#N/A</v>
      </c>
      <c r="R470" s="14" t="str">
        <f ca="1">IFERROR(INDEX(INDIRECT(zoneFichierEAN13Valmag),Q470,1),"")</f>
        <v/>
      </c>
      <c r="S470" s="1" t="e">
        <f ca="1">MATCH(B470,INDIRECT(nomFichierFiltreCatalogue &amp; "!B:B"),0)</f>
        <v>#N/A</v>
      </c>
      <c r="T470" s="14"/>
    </row>
    <row r="471" spans="1:20" s="20" customFormat="1" ht="15.75" customHeight="1" x14ac:dyDescent="0.25">
      <c r="A471" s="25">
        <f ca="1">INDEX(INDIRECT(zoneFichierTraite),$J470+offsetInitialFichierTraite,2)</f>
        <v>0</v>
      </c>
      <c r="B471" s="45" t="str">
        <f ca="1">IF(C471="", IFERROR(INDEX(INDIRECT(zoneFichierEAN13Valmag),$P470,3),""), "")</f>
        <v/>
      </c>
      <c r="C471" s="44" t="str">
        <f ca="1">IFERROR(INDEX(INDIRECT(zoneFichierEAN13Valmag),$O470,3),"")</f>
        <v/>
      </c>
      <c r="D471" s="19" t="str">
        <f ca="1">IFERROR(INDEX(INDIRECT(zoneFichierEAN13Valmag),$O470,4),"")</f>
        <v/>
      </c>
      <c r="E471" s="33" t="str">
        <f ca="1">IFERROR(INDEX(INDIRECT(zoneFichierFiltreCatalogue),S470,3),"")</f>
        <v/>
      </c>
      <c r="F471" s="19"/>
      <c r="G471" s="18"/>
      <c r="H471" s="34" t="str">
        <f ca="1">IFERROR(INDEX(INDIRECT(zoneFichierFiltreCatalogue),S470,6),"")</f>
        <v/>
      </c>
      <c r="R471" s="21"/>
      <c r="S471" s="21"/>
    </row>
  </sheetData>
  <pageMargins left="0.39370078740157483" right="0.39370078740157483" top="0.39370078740157483" bottom="0.39370078740157483" header="0.31496062992125984" footer="0.31496062992125984"/>
  <pageSetup paperSize="9" scale="65" fitToHeight="0" orientation="landscape" horizontalDpi="0" verticalDpi="0" r:id="rId1"/>
  <headerFooter>
    <oddFooter>&amp;L&amp;A&amp;C&amp;P / &amp;N&amp;R&amp;D &amp;T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A1:E7"/>
  <sheetViews>
    <sheetView topLeftCell="A40" workbookViewId="0">
      <selection activeCell="A58" sqref="A58"/>
    </sheetView>
  </sheetViews>
  <sheetFormatPr baseColWidth="10" defaultRowHeight="15" x14ac:dyDescent="0.25"/>
  <cols>
    <col min="1" max="1" width="21.7109375" bestFit="1" customWidth="1"/>
  </cols>
  <sheetData>
    <row r="1" spans="1:5" x14ac:dyDescent="0.25">
      <c r="A1" s="16" t="s">
        <v>3</v>
      </c>
      <c r="B1" s="1" t="s">
        <v>11</v>
      </c>
      <c r="C1" s="1"/>
    </row>
    <row r="2" spans="1:5" x14ac:dyDescent="0.25">
      <c r="A2" s="2" t="s">
        <v>0</v>
      </c>
      <c r="B2" s="6">
        <v>7</v>
      </c>
      <c r="C2" s="1" t="str">
        <f>nomFichierTraite &amp; "!A:Z"</f>
        <v>EAN13_traite.csv!A:Z</v>
      </c>
    </row>
    <row r="3" spans="1:5" x14ac:dyDescent="0.25">
      <c r="A3" s="16" t="s">
        <v>12</v>
      </c>
      <c r="B3" s="12"/>
      <c r="C3" s="1"/>
    </row>
    <row r="4" spans="1:5" x14ac:dyDescent="0.25">
      <c r="A4" s="2" t="s">
        <v>28</v>
      </c>
      <c r="B4" s="13"/>
      <c r="C4" s="1" t="str">
        <f>nomFichierEAN13Valmag &amp; "!A:Z"</f>
        <v>base.ValmagEAN13.csv!A:Z</v>
      </c>
      <c r="E4" s="2" t="s">
        <v>13</v>
      </c>
    </row>
    <row r="5" spans="1:5" x14ac:dyDescent="0.25">
      <c r="A5" s="16" t="s">
        <v>16</v>
      </c>
      <c r="B5" s="1"/>
      <c r="C5" s="1"/>
      <c r="E5" s="2" t="s">
        <v>28</v>
      </c>
    </row>
    <row r="6" spans="1:5" x14ac:dyDescent="0.25">
      <c r="A6" s="2" t="s">
        <v>6</v>
      </c>
      <c r="B6" s="1"/>
      <c r="C6" s="1" t="str">
        <f>nomFichierBaseCatalogue &amp; "!A:Z"</f>
        <v>base.EAN13.csv!A:Z</v>
      </c>
    </row>
    <row r="7" spans="1:5" x14ac:dyDescent="0.25">
      <c r="C7" s="2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</vt:i4>
      </vt:variant>
      <vt:variant>
        <vt:lpstr>Plages nommées</vt:lpstr>
      </vt:variant>
      <vt:variant>
        <vt:i4>11</vt:i4>
      </vt:variant>
    </vt:vector>
  </HeadingPairs>
  <TitlesOfParts>
    <vt:vector size="14" baseType="lpstr">
      <vt:lpstr>Requêteur</vt:lpstr>
      <vt:lpstr>Synthèse Proforma</vt:lpstr>
      <vt:lpstr>Paramètres</vt:lpstr>
      <vt:lpstr>listeFichierPDF</vt:lpstr>
      <vt:lpstr>nomFichierBaseCatalogue</vt:lpstr>
      <vt:lpstr>nomFichierEAN13Valmag</vt:lpstr>
      <vt:lpstr>nomFichierFiltreCatalogue</vt:lpstr>
      <vt:lpstr>nomFichierTraite</vt:lpstr>
      <vt:lpstr>offsetInitialFichierTraite</vt:lpstr>
      <vt:lpstr>'Synthèse Proforma'!Zone_d_impression</vt:lpstr>
      <vt:lpstr>zoneFichierBaseCatalogue</vt:lpstr>
      <vt:lpstr>zoneFichierEAN13Valmag</vt:lpstr>
      <vt:lpstr>zoneFichierFiltreCatalogue</vt:lpstr>
      <vt:lpstr>zoneFichierTraite</vt:lpstr>
    </vt:vector>
  </TitlesOfParts>
  <Company>Air France KLM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Lestang, Jean (DI NH RC) - AF</dc:creator>
  <cp:lastModifiedBy>Lestang, Jean (DI NH RC) - AF</cp:lastModifiedBy>
  <cp:lastPrinted>2019-10-05T06:39:35Z</cp:lastPrinted>
  <dcterms:created xsi:type="dcterms:W3CDTF">2019-10-04T18:50:53Z</dcterms:created>
  <dcterms:modified xsi:type="dcterms:W3CDTF">2019-10-05T17:02:36Z</dcterms:modified>
</cp:coreProperties>
</file>