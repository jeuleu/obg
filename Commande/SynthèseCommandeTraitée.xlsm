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 Proforma" sheetId="2" r:id="rId1"/>
    <sheet name="Paramètres" sheetId="3" r:id="rId2"/>
    <sheet name="Requêteur" sheetId="1" r:id="rId3"/>
  </sheets>
  <functionGroups builtInGroupCount="18"/>
  <definedNames>
    <definedName name="listeFichierPDF">Requêteur!$A:$A</definedName>
    <definedName name="nomFichierBaseCatalogue">Paramètres!$A$4</definedName>
    <definedName name="nomFichierEAN13Valmag">Paramètres!$A$6</definedName>
    <definedName name="nomFichierEAN13ValmagUniq">Paramètres!$A$7</definedName>
    <definedName name="nomFichierFiltreCatalogue">'Synthèse Proforma'!$I$6</definedName>
    <definedName name="nomFichierTraite">Paramètres!$A$2</definedName>
    <definedName name="offsetInitialFichierTraite">Paramètres!$B$2</definedName>
    <definedName name="_xlnm.Print_Area" localSheetId="0">'Synthèse Proforma'!$A:$H</definedName>
    <definedName name="zoneFichierBaseCatalogue">Paramètres!$C$4</definedName>
    <definedName name="zoneFichierEAN13Valmag">Paramètres!$C$6</definedName>
    <definedName name="zoneFichierEAN13ValmagUniq">Paramètres!$C$7</definedName>
    <definedName name="zoneFichierFiltreCatalogue">'Synthèse Proforma'!$K$7</definedName>
    <definedName name="zoneFichierTraite">Paramètres!$C$2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2" l="1"/>
  <c r="J14" i="2" s="1"/>
  <c r="J10" i="2"/>
  <c r="I5" i="2"/>
  <c r="I4" i="2"/>
  <c r="I3" i="2"/>
  <c r="C7" i="3"/>
  <c r="I2" i="2"/>
  <c r="G2" i="1"/>
  <c r="B12" i="2"/>
  <c r="F12" i="2"/>
  <c r="A13" i="2"/>
  <c r="L12" i="2"/>
  <c r="C14" i="2"/>
  <c r="D12" i="2"/>
  <c r="M10" i="2"/>
  <c r="D10" i="2"/>
  <c r="B10" i="2"/>
  <c r="N10" i="2"/>
  <c r="K12" i="2" l="1"/>
  <c r="G12" i="2"/>
  <c r="S12" i="2"/>
  <c r="J16" i="2"/>
  <c r="H10" i="2"/>
  <c r="S10" i="2"/>
  <c r="A3" i="1"/>
  <c r="A2" i="1"/>
  <c r="C4" i="3"/>
  <c r="C6" i="3"/>
  <c r="C2" i="3"/>
  <c r="N14" i="2"/>
  <c r="E14" i="2"/>
  <c r="D14" i="2"/>
  <c r="M12" i="2"/>
  <c r="F14" i="2"/>
  <c r="A14" i="2"/>
  <c r="N12" i="2"/>
  <c r="M14" i="2"/>
  <c r="L14" i="2"/>
  <c r="E12" i="2"/>
  <c r="AD12" i="2"/>
  <c r="B14" i="2"/>
  <c r="A15" i="2"/>
  <c r="A12" i="2"/>
  <c r="C12" i="2"/>
  <c r="P10" i="2"/>
  <c r="F10" i="2"/>
  <c r="L10" i="2"/>
  <c r="C10" i="2"/>
  <c r="A11" i="2"/>
  <c r="A10" i="2"/>
  <c r="E10" i="2"/>
  <c r="B6" i="2"/>
  <c r="C3" i="2"/>
  <c r="P10" i="1"/>
  <c r="N10" i="1" s="1"/>
  <c r="C6" i="2"/>
  <c r="C4" i="2"/>
  <c r="E10" i="1"/>
  <c r="H1" i="2"/>
  <c r="M10" i="1"/>
  <c r="C7" i="2"/>
  <c r="L10" i="1"/>
  <c r="I12" i="2" l="1"/>
  <c r="K14" i="2"/>
  <c r="S14" i="2"/>
  <c r="H12" i="2"/>
  <c r="G14" i="2"/>
  <c r="J18" i="2"/>
  <c r="K10" i="2"/>
  <c r="G10" i="2"/>
  <c r="I6" i="2"/>
  <c r="H13" i="2"/>
  <c r="T12" i="2"/>
  <c r="A16" i="2"/>
  <c r="B16" i="2"/>
  <c r="E16" i="2"/>
  <c r="E13" i="2"/>
  <c r="H14" i="2"/>
  <c r="A17" i="2"/>
  <c r="C16" i="2"/>
  <c r="AD14" i="2"/>
  <c r="D16" i="2"/>
  <c r="P12" i="2"/>
  <c r="P14" i="2"/>
  <c r="M16" i="2"/>
  <c r="L16" i="2"/>
  <c r="F16" i="2"/>
  <c r="N16" i="2"/>
  <c r="AD10" i="2"/>
  <c r="D11" i="2"/>
  <c r="T10" i="2"/>
  <c r="B11" i="2"/>
  <c r="B10" i="1"/>
  <c r="E11" i="1"/>
  <c r="C11" i="1" s="1"/>
  <c r="C10" i="1"/>
  <c r="P11" i="1"/>
  <c r="B11" i="1"/>
  <c r="M11" i="1"/>
  <c r="A10" i="1"/>
  <c r="A11" i="1"/>
  <c r="N11" i="1"/>
  <c r="L11" i="1"/>
  <c r="G16" i="2" l="1"/>
  <c r="I14" i="2"/>
  <c r="K16" i="2"/>
  <c r="S16" i="2"/>
  <c r="J20" i="2"/>
  <c r="I10" i="2"/>
  <c r="K7" i="2"/>
  <c r="P16" i="2"/>
  <c r="D13" i="2"/>
  <c r="U12" i="2"/>
  <c r="B18" i="2"/>
  <c r="B13" i="2"/>
  <c r="V12" i="2"/>
  <c r="A19" i="2"/>
  <c r="C18" i="2"/>
  <c r="M18" i="2"/>
  <c r="B15" i="2"/>
  <c r="H15" i="2"/>
  <c r="T14" i="2"/>
  <c r="L18" i="2"/>
  <c r="N18" i="2"/>
  <c r="E18" i="2"/>
  <c r="H16" i="2"/>
  <c r="D15" i="2"/>
  <c r="E15" i="2"/>
  <c r="AD16" i="2"/>
  <c r="D18" i="2"/>
  <c r="F18" i="2"/>
  <c r="A18" i="2"/>
  <c r="E11" i="2"/>
  <c r="H11" i="2"/>
  <c r="V10" i="2"/>
  <c r="U10" i="2"/>
  <c r="E12" i="1"/>
  <c r="B12" i="1" s="1"/>
  <c r="P12" i="1"/>
  <c r="L12" i="1" s="1"/>
  <c r="A12" i="1"/>
  <c r="C12" i="1"/>
  <c r="M12" i="1"/>
  <c r="N12" i="1"/>
  <c r="P13" i="1"/>
  <c r="M13" i="1"/>
  <c r="E13" i="1"/>
  <c r="B13" i="1" s="1"/>
  <c r="N13" i="1"/>
  <c r="C13" i="1"/>
  <c r="A13" i="1"/>
  <c r="P14" i="1"/>
  <c r="L14" i="1"/>
  <c r="N14" i="1"/>
  <c r="L13" i="1"/>
  <c r="M14" i="1"/>
  <c r="E14" i="1"/>
  <c r="B14" i="1"/>
  <c r="C14" i="1"/>
  <c r="A14" i="1"/>
  <c r="E15" i="1"/>
  <c r="P15" i="1"/>
  <c r="E16" i="1"/>
  <c r="M15" i="1"/>
  <c r="E19" i="1"/>
  <c r="E17" i="1"/>
  <c r="L15" i="1"/>
  <c r="N15" i="1"/>
  <c r="E22" i="1"/>
  <c r="E18" i="1"/>
  <c r="B18" i="1"/>
  <c r="A21" i="1"/>
  <c r="A17" i="1"/>
  <c r="C18" i="1"/>
  <c r="C16" i="1"/>
  <c r="A20" i="1"/>
  <c r="A19" i="1"/>
  <c r="B16" i="1"/>
  <c r="C17" i="1"/>
  <c r="A18" i="1"/>
  <c r="A15" i="1"/>
  <c r="B20" i="1"/>
  <c r="C22" i="1"/>
  <c r="B17" i="1"/>
  <c r="B22" i="1"/>
  <c r="C15" i="1"/>
  <c r="A16" i="1"/>
  <c r="A22" i="1"/>
  <c r="B19" i="1"/>
  <c r="C19" i="1"/>
  <c r="B15" i="1"/>
  <c r="C21" i="1"/>
  <c r="B21" i="1"/>
  <c r="C20" i="1"/>
  <c r="E21" i="1"/>
  <c r="E20" i="1"/>
  <c r="P16" i="1"/>
  <c r="L16" i="1"/>
  <c r="M16" i="1"/>
  <c r="P17" i="1"/>
  <c r="M17" i="1"/>
  <c r="L17" i="1"/>
  <c r="N16" i="1"/>
  <c r="N17" i="1"/>
  <c r="P18" i="1"/>
  <c r="L18" i="1"/>
  <c r="N18" i="1"/>
  <c r="M18" i="1"/>
  <c r="P19" i="1"/>
  <c r="M19" i="1"/>
  <c r="P20" i="1"/>
  <c r="N20" i="1"/>
  <c r="L19" i="1"/>
  <c r="L20" i="1"/>
  <c r="N19" i="1"/>
  <c r="M20" i="1"/>
  <c r="P21" i="1"/>
  <c r="P22" i="1"/>
  <c r="L22" i="1"/>
  <c r="M21" i="1"/>
  <c r="M22" i="1"/>
  <c r="N21" i="1"/>
  <c r="L21" i="1"/>
  <c r="N22" i="1"/>
  <c r="P23" i="1"/>
  <c r="N23" i="1"/>
  <c r="M23" i="1"/>
  <c r="P24" i="1"/>
  <c r="M24" i="1"/>
  <c r="L23" i="1"/>
  <c r="P25" i="1"/>
  <c r="M25" i="1"/>
  <c r="L24" i="1"/>
  <c r="N25" i="1"/>
  <c r="N24" i="1"/>
  <c r="L25" i="1"/>
  <c r="P26" i="1"/>
  <c r="M26" i="1"/>
  <c r="N26" i="1"/>
  <c r="L26" i="1"/>
  <c r="P27" i="1"/>
  <c r="L27" i="1"/>
  <c r="N27" i="1"/>
  <c r="M27" i="1"/>
  <c r="P28" i="1"/>
  <c r="M28" i="1"/>
  <c r="L28" i="1"/>
  <c r="N28" i="1"/>
  <c r="P29" i="1"/>
  <c r="N29" i="1"/>
  <c r="L29" i="1"/>
  <c r="M29" i="1"/>
  <c r="P30" i="1"/>
  <c r="P31" i="1"/>
  <c r="M30" i="1"/>
  <c r="M31" i="1"/>
  <c r="L30" i="1"/>
  <c r="L31" i="1"/>
  <c r="N31" i="1"/>
  <c r="N30" i="1"/>
  <c r="P32" i="1"/>
  <c r="P33" i="1"/>
  <c r="P34" i="1"/>
  <c r="N32" i="1"/>
  <c r="M32" i="1"/>
  <c r="L34" i="1"/>
  <c r="N33" i="1"/>
  <c r="N34" i="1"/>
  <c r="L33" i="1"/>
  <c r="L32" i="1"/>
  <c r="M34" i="1"/>
  <c r="M33" i="1"/>
  <c r="P35" i="1"/>
  <c r="P36" i="1"/>
  <c r="P37" i="1"/>
  <c r="L37" i="1"/>
  <c r="M35" i="1"/>
  <c r="L35" i="1"/>
  <c r="M37" i="1"/>
  <c r="L36" i="1"/>
  <c r="N35" i="1"/>
  <c r="N37" i="1"/>
  <c r="M36" i="1"/>
  <c r="N36" i="1"/>
  <c r="P38" i="1"/>
  <c r="P39" i="1"/>
  <c r="P42" i="1" s="1"/>
  <c r="P40" i="1"/>
  <c r="L39" i="1"/>
  <c r="L41" i="1"/>
  <c r="L40" i="1"/>
  <c r="N42" i="1"/>
  <c r="N40" i="1"/>
  <c r="N39" i="1"/>
  <c r="L42" i="1"/>
  <c r="N41" i="1"/>
  <c r="L38" i="1"/>
  <c r="M42" i="1"/>
  <c r="M40" i="1"/>
  <c r="M38" i="1"/>
  <c r="M41" i="1"/>
  <c r="N38" i="1"/>
  <c r="M39" i="1"/>
  <c r="J10" i="1" s="1"/>
  <c r="P41" i="1"/>
  <c r="J11" i="1"/>
  <c r="J12" i="1"/>
  <c r="J13" i="1"/>
  <c r="J14" i="1"/>
  <c r="J15" i="1"/>
  <c r="J16" i="1"/>
  <c r="G18" i="2" l="1"/>
  <c r="I16" i="2"/>
  <c r="K18" i="2"/>
  <c r="W12" i="2"/>
  <c r="S18" i="2"/>
  <c r="J22" i="2"/>
  <c r="W10" i="2"/>
  <c r="H10" i="1"/>
  <c r="G10" i="1"/>
  <c r="H11" i="1"/>
  <c r="G11" i="1"/>
  <c r="H12" i="1"/>
  <c r="G12" i="1"/>
  <c r="H13" i="1"/>
  <c r="G13" i="1"/>
  <c r="H14" i="1"/>
  <c r="G14" i="1"/>
  <c r="G15" i="1"/>
  <c r="H15" i="1"/>
  <c r="G16" i="1"/>
  <c r="H16" i="1"/>
  <c r="P18" i="2"/>
  <c r="C20" i="2"/>
  <c r="M20" i="2"/>
  <c r="D20" i="2"/>
  <c r="H17" i="2"/>
  <c r="U14" i="2"/>
  <c r="Q12" i="2"/>
  <c r="N20" i="2"/>
  <c r="E20" i="2"/>
  <c r="L20" i="2"/>
  <c r="E17" i="2"/>
  <c r="V14" i="2"/>
  <c r="AD18" i="2"/>
  <c r="B17" i="2"/>
  <c r="T16" i="2"/>
  <c r="F20" i="2"/>
  <c r="A20" i="2"/>
  <c r="H18" i="2"/>
  <c r="D17" i="2"/>
  <c r="B20" i="2"/>
  <c r="A21" i="2"/>
  <c r="Q10" i="2"/>
  <c r="J17" i="1"/>
  <c r="J18" i="1" s="1"/>
  <c r="J19" i="1"/>
  <c r="J20" i="1"/>
  <c r="J21" i="1" s="1"/>
  <c r="K20" i="2" l="1"/>
  <c r="I18" i="2"/>
  <c r="S20" i="2"/>
  <c r="G20" i="2"/>
  <c r="W14" i="2"/>
  <c r="J24" i="2"/>
  <c r="G20" i="1"/>
  <c r="G21" i="1"/>
  <c r="G19" i="1"/>
  <c r="H21" i="1"/>
  <c r="H18" i="1"/>
  <c r="G18" i="1"/>
  <c r="G17" i="1"/>
  <c r="H19" i="1"/>
  <c r="H20" i="1"/>
  <c r="H17" i="1"/>
  <c r="H19" i="2"/>
  <c r="N22" i="2"/>
  <c r="E22" i="2"/>
  <c r="D22" i="2"/>
  <c r="U16" i="2"/>
  <c r="Q14" i="2"/>
  <c r="F22" i="2"/>
  <c r="A22" i="2"/>
  <c r="C22" i="2"/>
  <c r="T18" i="2"/>
  <c r="H20" i="2"/>
  <c r="AD20" i="2"/>
  <c r="V16" i="2"/>
  <c r="P20" i="2"/>
  <c r="D19" i="2"/>
  <c r="B22" i="2"/>
  <c r="A23" i="2"/>
  <c r="X12" i="2"/>
  <c r="E19" i="2"/>
  <c r="B19" i="2"/>
  <c r="M22" i="2"/>
  <c r="L22" i="2"/>
  <c r="Y12" i="2"/>
  <c r="X10" i="2"/>
  <c r="Y10" i="2"/>
  <c r="J22" i="1"/>
  <c r="Z12" i="2" l="1"/>
  <c r="I20" i="2"/>
  <c r="K22" i="2"/>
  <c r="S22" i="2"/>
  <c r="W16" i="2"/>
  <c r="G22" i="2"/>
  <c r="J26" i="2"/>
  <c r="Z10" i="2"/>
  <c r="H22" i="1"/>
  <c r="G22" i="1"/>
  <c r="AA12" i="2"/>
  <c r="A24" i="2"/>
  <c r="C24" i="2"/>
  <c r="D21" i="2"/>
  <c r="E21" i="2"/>
  <c r="Q16" i="2"/>
  <c r="M24" i="2"/>
  <c r="L24" i="2"/>
  <c r="F24" i="2"/>
  <c r="Y14" i="2"/>
  <c r="H22" i="2"/>
  <c r="T20" i="2"/>
  <c r="AD22" i="2"/>
  <c r="A25" i="2"/>
  <c r="B21" i="2"/>
  <c r="U18" i="2"/>
  <c r="E24" i="2"/>
  <c r="D24" i="2"/>
  <c r="B24" i="2"/>
  <c r="V18" i="2"/>
  <c r="N24" i="2"/>
  <c r="H21" i="2"/>
  <c r="P22" i="2"/>
  <c r="X14" i="2"/>
  <c r="AA10" i="2"/>
  <c r="W18" i="2" l="1"/>
  <c r="S24" i="2"/>
  <c r="I22" i="2"/>
  <c r="K24" i="2"/>
  <c r="Z14" i="2"/>
  <c r="G24" i="2"/>
  <c r="AB12" i="2"/>
  <c r="C13" i="2" s="1"/>
  <c r="J28" i="2"/>
  <c r="AB10" i="2"/>
  <c r="C11" i="2" s="1"/>
  <c r="D23" i="2"/>
  <c r="U20" i="2"/>
  <c r="B26" i="2"/>
  <c r="T22" i="2"/>
  <c r="Y16" i="2"/>
  <c r="AA14" i="2"/>
  <c r="E23" i="2"/>
  <c r="D26" i="2"/>
  <c r="F26" i="2"/>
  <c r="M26" i="2"/>
  <c r="H24" i="2"/>
  <c r="AD24" i="2"/>
  <c r="V20" i="2"/>
  <c r="A27" i="2"/>
  <c r="C26" i="2"/>
  <c r="E26" i="2"/>
  <c r="P24" i="2"/>
  <c r="Q18" i="2"/>
  <c r="H23" i="2"/>
  <c r="L26" i="2"/>
  <c r="N26" i="2"/>
  <c r="A26" i="2"/>
  <c r="B23" i="2"/>
  <c r="X16" i="2"/>
  <c r="I24" i="2" l="1"/>
  <c r="K26" i="2"/>
  <c r="W20" i="2"/>
  <c r="G26" i="2"/>
  <c r="AB14" i="2"/>
  <c r="C15" i="2" s="1"/>
  <c r="Z16" i="2"/>
  <c r="S26" i="2"/>
  <c r="J30" i="2"/>
  <c r="D25" i="2"/>
  <c r="H25" i="2"/>
  <c r="AA16" i="2"/>
  <c r="Y18" i="2"/>
  <c r="F28" i="2"/>
  <c r="A28" i="2"/>
  <c r="H26" i="2"/>
  <c r="E25" i="2"/>
  <c r="U22" i="2"/>
  <c r="B28" i="2"/>
  <c r="D28" i="2"/>
  <c r="C28" i="2"/>
  <c r="M28" i="2"/>
  <c r="T24" i="2"/>
  <c r="P26" i="2"/>
  <c r="V22" i="2"/>
  <c r="Q20" i="2"/>
  <c r="A29" i="2"/>
  <c r="B25" i="2"/>
  <c r="AD26" i="2"/>
  <c r="X18" i="2"/>
  <c r="N28" i="2"/>
  <c r="E28" i="2"/>
  <c r="L28" i="2"/>
  <c r="H28" i="2" l="1"/>
  <c r="K28" i="2"/>
  <c r="I26" i="2"/>
  <c r="W22" i="2"/>
  <c r="S28" i="2"/>
  <c r="G28" i="2"/>
  <c r="Z18" i="2"/>
  <c r="AB16" i="2"/>
  <c r="C17" i="2" s="1"/>
  <c r="J32" i="2"/>
  <c r="B27" i="2"/>
  <c r="AD28" i="2"/>
  <c r="Y20" i="2"/>
  <c r="M30" i="2"/>
  <c r="L30" i="2"/>
  <c r="U24" i="2"/>
  <c r="AA18" i="2"/>
  <c r="N30" i="2"/>
  <c r="E30" i="2"/>
  <c r="D30" i="2"/>
  <c r="E27" i="2"/>
  <c r="V24" i="2"/>
  <c r="F30" i="2"/>
  <c r="A30" i="2"/>
  <c r="C30" i="2"/>
  <c r="T26" i="2"/>
  <c r="P28" i="2"/>
  <c r="H27" i="2"/>
  <c r="D27" i="2"/>
  <c r="Q22" i="2"/>
  <c r="X20" i="2"/>
  <c r="B30" i="2"/>
  <c r="A31" i="2"/>
  <c r="I28" i="2" l="1"/>
  <c r="K30" i="2"/>
  <c r="S30" i="2"/>
  <c r="G30" i="2"/>
  <c r="W24" i="2"/>
  <c r="AB18" i="2"/>
  <c r="C19" i="2" s="1"/>
  <c r="Z20" i="2"/>
  <c r="J34" i="2"/>
  <c r="E29" i="2"/>
  <c r="A33" i="2"/>
  <c r="X22" i="2"/>
  <c r="D29" i="2"/>
  <c r="P30" i="2"/>
  <c r="M32" i="2"/>
  <c r="L32" i="2"/>
  <c r="B32" i="2"/>
  <c r="Y22" i="2"/>
  <c r="B29" i="2"/>
  <c r="AA20" i="2"/>
  <c r="E32" i="2"/>
  <c r="D32" i="2"/>
  <c r="N32" i="2"/>
  <c r="Q24" i="2"/>
  <c r="H29" i="2"/>
  <c r="A32" i="2"/>
  <c r="F32" i="2"/>
  <c r="T28" i="2"/>
  <c r="H30" i="2"/>
  <c r="C32" i="2"/>
  <c r="V26" i="2"/>
  <c r="AD30" i="2"/>
  <c r="U26" i="2"/>
  <c r="W26" i="2" l="1"/>
  <c r="G32" i="2"/>
  <c r="AB20" i="2"/>
  <c r="C21" i="2" s="1"/>
  <c r="Z22" i="2"/>
  <c r="S32" i="2"/>
  <c r="I30" i="2"/>
  <c r="K32" i="2"/>
  <c r="J36" i="2"/>
  <c r="H31" i="2"/>
  <c r="V28" i="2"/>
  <c r="A35" i="2"/>
  <c r="C34" i="2"/>
  <c r="A34" i="2"/>
  <c r="Y24" i="2"/>
  <c r="D34" i="2"/>
  <c r="F34" i="2"/>
  <c r="M34" i="2"/>
  <c r="U28" i="2"/>
  <c r="P32" i="2"/>
  <c r="AD32" i="2"/>
  <c r="B34" i="2"/>
  <c r="X24" i="2"/>
  <c r="E31" i="2"/>
  <c r="AA22" i="2"/>
  <c r="B31" i="2"/>
  <c r="L34" i="2"/>
  <c r="N34" i="2"/>
  <c r="E34" i="2"/>
  <c r="T30" i="2"/>
  <c r="Q26" i="2"/>
  <c r="H32" i="2"/>
  <c r="D31" i="2"/>
  <c r="AB22" i="2" l="1"/>
  <c r="C23" i="2" s="1"/>
  <c r="S34" i="2"/>
  <c r="G34" i="2"/>
  <c r="Z24" i="2"/>
  <c r="I32" i="2"/>
  <c r="K34" i="2"/>
  <c r="W28" i="2"/>
  <c r="J38" i="2"/>
  <c r="U30" i="2"/>
  <c r="D33" i="2"/>
  <c r="X26" i="2"/>
  <c r="N36" i="2"/>
  <c r="E36" i="2"/>
  <c r="D36" i="2"/>
  <c r="H33" i="2"/>
  <c r="AA24" i="2"/>
  <c r="Y26" i="2"/>
  <c r="F36" i="2"/>
  <c r="A36" i="2"/>
  <c r="V30" i="2"/>
  <c r="H34" i="2"/>
  <c r="E33" i="2"/>
  <c r="Q28" i="2"/>
  <c r="B36" i="2"/>
  <c r="A37" i="2"/>
  <c r="P34" i="2"/>
  <c r="AD34" i="2"/>
  <c r="B33" i="2"/>
  <c r="T32" i="2"/>
  <c r="C36" i="2"/>
  <c r="M36" i="2"/>
  <c r="L36" i="2"/>
  <c r="K36" i="2" l="1"/>
  <c r="I34" i="2"/>
  <c r="S36" i="2"/>
  <c r="W30" i="2"/>
  <c r="G36" i="2"/>
  <c r="Z26" i="2"/>
  <c r="AB24" i="2"/>
  <c r="C25" i="2" s="1"/>
  <c r="J40" i="2"/>
  <c r="H35" i="2"/>
  <c r="P36" i="2"/>
  <c r="Q30" i="2"/>
  <c r="M38" i="2"/>
  <c r="L38" i="2"/>
  <c r="B38" i="2"/>
  <c r="A39" i="2"/>
  <c r="U32" i="2"/>
  <c r="D35" i="2"/>
  <c r="AD36" i="2"/>
  <c r="H36" i="2"/>
  <c r="N38" i="2"/>
  <c r="E38" i="2"/>
  <c r="D38" i="2"/>
  <c r="X28" i="2"/>
  <c r="T34" i="2"/>
  <c r="V32" i="2"/>
  <c r="B35" i="2"/>
  <c r="AA26" i="2"/>
  <c r="F38" i="2"/>
  <c r="A38" i="2"/>
  <c r="C38" i="2"/>
  <c r="Y28" i="2"/>
  <c r="E35" i="2"/>
  <c r="Z28" i="2" l="1"/>
  <c r="G38" i="2"/>
  <c r="AB26" i="2"/>
  <c r="C27" i="2" s="1"/>
  <c r="W32" i="2"/>
  <c r="I36" i="2"/>
  <c r="K38" i="2"/>
  <c r="S38" i="2"/>
  <c r="J42" i="2"/>
  <c r="AA28" i="2"/>
  <c r="U34" i="2"/>
  <c r="P38" i="2"/>
  <c r="AD38" i="2"/>
  <c r="T36" i="2"/>
  <c r="A40" i="2"/>
  <c r="B40" i="2"/>
  <c r="E37" i="2"/>
  <c r="M40" i="2"/>
  <c r="L40" i="2"/>
  <c r="Y30" i="2"/>
  <c r="Q32" i="2"/>
  <c r="V34" i="2"/>
  <c r="H37" i="2"/>
  <c r="D37" i="2"/>
  <c r="A41" i="2"/>
  <c r="C40" i="2"/>
  <c r="X30" i="2"/>
  <c r="B37" i="2"/>
  <c r="N40" i="2"/>
  <c r="H38" i="2"/>
  <c r="E40" i="2"/>
  <c r="D40" i="2"/>
  <c r="F40" i="2"/>
  <c r="G40" i="2" l="1"/>
  <c r="I38" i="2"/>
  <c r="K40" i="2"/>
  <c r="W34" i="2"/>
  <c r="Z30" i="2"/>
  <c r="S40" i="2"/>
  <c r="AB28" i="2"/>
  <c r="C29" i="2" s="1"/>
  <c r="J44" i="2"/>
  <c r="H39" i="2"/>
  <c r="Q34" i="2"/>
  <c r="Y32" i="2"/>
  <c r="C42" i="2"/>
  <c r="N42" i="2"/>
  <c r="D39" i="2"/>
  <c r="B42" i="2"/>
  <c r="H40" i="2"/>
  <c r="AD40" i="2"/>
  <c r="E39" i="2"/>
  <c r="T38" i="2"/>
  <c r="M42" i="2"/>
  <c r="A43" i="2"/>
  <c r="E42" i="2"/>
  <c r="AA30" i="2"/>
  <c r="X32" i="2"/>
  <c r="D42" i="2"/>
  <c r="P40" i="2"/>
  <c r="U36" i="2"/>
  <c r="B39" i="2"/>
  <c r="L42" i="2"/>
  <c r="F42" i="2"/>
  <c r="A42" i="2"/>
  <c r="V36" i="2"/>
  <c r="W36" i="2" l="1"/>
  <c r="G42" i="2"/>
  <c r="AB30" i="2"/>
  <c r="C31" i="2" s="1"/>
  <c r="I40" i="2"/>
  <c r="K42" i="2"/>
  <c r="S42" i="2"/>
  <c r="Z32" i="2"/>
  <c r="J46" i="2"/>
  <c r="D41" i="2"/>
  <c r="E41" i="2"/>
  <c r="P42" i="2"/>
  <c r="N44" i="2"/>
  <c r="E44" i="2"/>
  <c r="D44" i="2"/>
  <c r="U38" i="2"/>
  <c r="AD42" i="2"/>
  <c r="AA32" i="2"/>
  <c r="F44" i="2"/>
  <c r="A44" i="2"/>
  <c r="C44" i="2"/>
  <c r="T40" i="2"/>
  <c r="H41" i="2"/>
  <c r="Y34" i="2"/>
  <c r="L44" i="2"/>
  <c r="Q36" i="2"/>
  <c r="V38" i="2"/>
  <c r="X34" i="2"/>
  <c r="B44" i="2"/>
  <c r="A45" i="2"/>
  <c r="B41" i="2"/>
  <c r="H42" i="2"/>
  <c r="M44" i="2"/>
  <c r="K44" i="2" l="1"/>
  <c r="I42" i="2"/>
  <c r="S44" i="2"/>
  <c r="W38" i="2"/>
  <c r="Z34" i="2"/>
  <c r="G44" i="2"/>
  <c r="AB32" i="2"/>
  <c r="C33" i="2" s="1"/>
  <c r="J48" i="2"/>
  <c r="V40" i="2"/>
  <c r="E43" i="2"/>
  <c r="P44" i="2"/>
  <c r="Y36" i="2"/>
  <c r="A47" i="2"/>
  <c r="C46" i="2"/>
  <c r="E46" i="2"/>
  <c r="N46" i="2"/>
  <c r="AD44" i="2"/>
  <c r="H43" i="2"/>
  <c r="A46" i="2"/>
  <c r="D43" i="2"/>
  <c r="M46" i="2"/>
  <c r="L46" i="2"/>
  <c r="B46" i="2"/>
  <c r="T42" i="2"/>
  <c r="X36" i="2"/>
  <c r="F46" i="2"/>
  <c r="AA34" i="2"/>
  <c r="Q38" i="2"/>
  <c r="B43" i="2"/>
  <c r="D46" i="2"/>
  <c r="U40" i="2"/>
  <c r="H44" i="2"/>
  <c r="AB34" i="2" l="1"/>
  <c r="C35" i="2" s="1"/>
  <c r="G46" i="2"/>
  <c r="S46" i="2"/>
  <c r="I44" i="2"/>
  <c r="K46" i="2"/>
  <c r="Z36" i="2"/>
  <c r="W40" i="2"/>
  <c r="J50" i="2"/>
  <c r="Q40" i="2"/>
  <c r="AD46" i="2"/>
  <c r="P46" i="2"/>
  <c r="B45" i="2"/>
  <c r="A49" i="2"/>
  <c r="C48" i="2"/>
  <c r="A48" i="2"/>
  <c r="F48" i="2"/>
  <c r="Y38" i="2"/>
  <c r="U42" i="2"/>
  <c r="H45" i="2"/>
  <c r="D45" i="2"/>
  <c r="L48" i="2"/>
  <c r="N48" i="2"/>
  <c r="M48" i="2"/>
  <c r="X38" i="2"/>
  <c r="E48" i="2"/>
  <c r="H46" i="2"/>
  <c r="T44" i="2"/>
  <c r="V42" i="2"/>
  <c r="E45" i="2"/>
  <c r="D48" i="2"/>
  <c r="AA36" i="2"/>
  <c r="B48" i="2"/>
  <c r="S48" i="2" l="1"/>
  <c r="AB36" i="2"/>
  <c r="C37" i="2" s="1"/>
  <c r="W42" i="2"/>
  <c r="Z38" i="2"/>
  <c r="G48" i="2"/>
  <c r="I46" i="2"/>
  <c r="K48" i="2"/>
  <c r="J52" i="2"/>
  <c r="AD48" i="2"/>
  <c r="U44" i="2"/>
  <c r="P48" i="2"/>
  <c r="D47" i="2"/>
  <c r="B50" i="2"/>
  <c r="A51" i="2"/>
  <c r="AA38" i="2"/>
  <c r="Y40" i="2"/>
  <c r="V44" i="2"/>
  <c r="H47" i="2"/>
  <c r="T46" i="2"/>
  <c r="C50" i="2"/>
  <c r="M50" i="2"/>
  <c r="L50" i="2"/>
  <c r="H48" i="2"/>
  <c r="B47" i="2"/>
  <c r="A50" i="2"/>
  <c r="Q42" i="2"/>
  <c r="E47" i="2"/>
  <c r="X40" i="2"/>
  <c r="N50" i="2"/>
  <c r="E50" i="2"/>
  <c r="D50" i="2"/>
  <c r="F50" i="2"/>
  <c r="G50" i="2" l="1"/>
  <c r="W44" i="2"/>
  <c r="Z40" i="2"/>
  <c r="AB38" i="2"/>
  <c r="C39" i="2" s="1"/>
  <c r="K50" i="2"/>
  <c r="I48" i="2"/>
  <c r="S50" i="2"/>
  <c r="J54" i="2"/>
  <c r="U46" i="2"/>
  <c r="Q44" i="2"/>
  <c r="Y42" i="2"/>
  <c r="N52" i="2"/>
  <c r="P50" i="2"/>
  <c r="V46" i="2"/>
  <c r="D49" i="2"/>
  <c r="E49" i="2"/>
  <c r="F52" i="2"/>
  <c r="A52" i="2"/>
  <c r="C52" i="2"/>
  <c r="AD50" i="2"/>
  <c r="T48" i="2"/>
  <c r="E52" i="2"/>
  <c r="H50" i="2"/>
  <c r="B49" i="2"/>
  <c r="H49" i="2"/>
  <c r="B52" i="2"/>
  <c r="A53" i="2"/>
  <c r="AA40" i="2"/>
  <c r="X42" i="2"/>
  <c r="M52" i="2"/>
  <c r="L52" i="2"/>
  <c r="D52" i="2"/>
  <c r="AB40" i="2" l="1"/>
  <c r="C41" i="2" s="1"/>
  <c r="I50" i="2"/>
  <c r="K52" i="2"/>
  <c r="S52" i="2"/>
  <c r="G52" i="2"/>
  <c r="W46" i="2"/>
  <c r="Z42" i="2"/>
  <c r="J56" i="2"/>
  <c r="H51" i="2"/>
  <c r="D51" i="2"/>
  <c r="AA42" i="2"/>
  <c r="E54" i="2"/>
  <c r="D54" i="2"/>
  <c r="F54" i="2"/>
  <c r="M54" i="2"/>
  <c r="N54" i="2"/>
  <c r="AD52" i="2"/>
  <c r="E51" i="2"/>
  <c r="B51" i="2"/>
  <c r="Q46" i="2"/>
  <c r="A54" i="2"/>
  <c r="B54" i="2"/>
  <c r="T50" i="2"/>
  <c r="P52" i="2"/>
  <c r="Y44" i="2"/>
  <c r="U48" i="2"/>
  <c r="H52" i="2"/>
  <c r="A55" i="2"/>
  <c r="C54" i="2"/>
  <c r="X44" i="2"/>
  <c r="V48" i="2"/>
  <c r="L54" i="2"/>
  <c r="W48" i="2" l="1"/>
  <c r="I52" i="2"/>
  <c r="K54" i="2"/>
  <c r="Z44" i="2"/>
  <c r="S54" i="2"/>
  <c r="G54" i="2"/>
  <c r="AB42" i="2"/>
  <c r="C43" i="2" s="1"/>
  <c r="J58" i="2"/>
  <c r="Q48" i="2"/>
  <c r="D53" i="2"/>
  <c r="AD54" i="2"/>
  <c r="P54" i="2"/>
  <c r="L56" i="2"/>
  <c r="N56" i="2"/>
  <c r="E56" i="2"/>
  <c r="T52" i="2"/>
  <c r="U50" i="2"/>
  <c r="H53" i="2"/>
  <c r="D56" i="2"/>
  <c r="F56" i="2"/>
  <c r="A56" i="2"/>
  <c r="B56" i="2"/>
  <c r="X46" i="2"/>
  <c r="B53" i="2"/>
  <c r="A57" i="2"/>
  <c r="C56" i="2"/>
  <c r="M56" i="2"/>
  <c r="AA44" i="2"/>
  <c r="V50" i="2"/>
  <c r="E53" i="2"/>
  <c r="H54" i="2"/>
  <c r="Y46" i="2"/>
  <c r="Z46" i="2" l="1"/>
  <c r="W50" i="2"/>
  <c r="AB44" i="2"/>
  <c r="C45" i="2" s="1"/>
  <c r="I54" i="2"/>
  <c r="K56" i="2"/>
  <c r="S56" i="2"/>
  <c r="G56" i="2"/>
  <c r="J60" i="2"/>
  <c r="AA46" i="2"/>
  <c r="V52" i="2"/>
  <c r="D55" i="2"/>
  <c r="C58" i="2"/>
  <c r="M58" i="2"/>
  <c r="L58" i="2"/>
  <c r="T54" i="2"/>
  <c r="H56" i="2"/>
  <c r="H55" i="2"/>
  <c r="N58" i="2"/>
  <c r="E58" i="2"/>
  <c r="D58" i="2"/>
  <c r="X48" i="2"/>
  <c r="A58" i="2"/>
  <c r="A59" i="2"/>
  <c r="AD56" i="2"/>
  <c r="Q50" i="2"/>
  <c r="P56" i="2"/>
  <c r="E55" i="2"/>
  <c r="F58" i="2"/>
  <c r="Y48" i="2"/>
  <c r="U52" i="2"/>
  <c r="B55" i="2"/>
  <c r="B58" i="2"/>
  <c r="S58" i="2" l="1"/>
  <c r="Z48" i="2"/>
  <c r="G58" i="2"/>
  <c r="K58" i="2"/>
  <c r="I56" i="2"/>
  <c r="W52" i="2"/>
  <c r="AB46" i="2"/>
  <c r="C47" i="2" s="1"/>
  <c r="J62" i="2"/>
  <c r="H57" i="2"/>
  <c r="P58" i="2"/>
  <c r="B60" i="2"/>
  <c r="A61" i="2"/>
  <c r="C60" i="2"/>
  <c r="X50" i="2"/>
  <c r="D57" i="2"/>
  <c r="H58" i="2"/>
  <c r="M60" i="2"/>
  <c r="Q52" i="2"/>
  <c r="B57" i="2"/>
  <c r="U54" i="2"/>
  <c r="N60" i="2"/>
  <c r="E60" i="2"/>
  <c r="D60" i="2"/>
  <c r="AD58" i="2"/>
  <c r="AA48" i="2"/>
  <c r="E57" i="2"/>
  <c r="V54" i="2"/>
  <c r="F60" i="2"/>
  <c r="A60" i="2"/>
  <c r="T56" i="2"/>
  <c r="L60" i="2"/>
  <c r="Y50" i="2"/>
  <c r="Z50" i="2" l="1"/>
  <c r="G60" i="2"/>
  <c r="W54" i="2"/>
  <c r="AB48" i="2"/>
  <c r="C49" i="2" s="1"/>
  <c r="I58" i="2"/>
  <c r="K60" i="2"/>
  <c r="S60" i="2"/>
  <c r="J64" i="2"/>
  <c r="U56" i="2"/>
  <c r="P60" i="2"/>
  <c r="D59" i="2"/>
  <c r="A62" i="2"/>
  <c r="B62" i="2"/>
  <c r="T58" i="2"/>
  <c r="V56" i="2"/>
  <c r="H59" i="2"/>
  <c r="Q54" i="2"/>
  <c r="B59" i="2"/>
  <c r="A63" i="2"/>
  <c r="C62" i="2"/>
  <c r="X52" i="2"/>
  <c r="E59" i="2"/>
  <c r="M62" i="2"/>
  <c r="L62" i="2"/>
  <c r="F62" i="2"/>
  <c r="Y52" i="2"/>
  <c r="AA50" i="2"/>
  <c r="H60" i="2"/>
  <c r="AD60" i="2"/>
  <c r="E62" i="2"/>
  <c r="D62" i="2"/>
  <c r="N62" i="2"/>
  <c r="AB50" i="2" l="1"/>
  <c r="C51" i="2" s="1"/>
  <c r="Z52" i="2"/>
  <c r="G62" i="2"/>
  <c r="I60" i="2"/>
  <c r="K62" i="2"/>
  <c r="W56" i="2"/>
  <c r="S62" i="2"/>
  <c r="J66" i="2"/>
  <c r="H61" i="2"/>
  <c r="AD62" i="2"/>
  <c r="D64" i="2"/>
  <c r="F64" i="2"/>
  <c r="A64" i="2"/>
  <c r="V58" i="2"/>
  <c r="A65" i="2"/>
  <c r="P62" i="2"/>
  <c r="N64" i="2"/>
  <c r="E61" i="2"/>
  <c r="U58" i="2"/>
  <c r="B61" i="2"/>
  <c r="X54" i="2"/>
  <c r="B64" i="2"/>
  <c r="H62" i="2"/>
  <c r="D61" i="2"/>
  <c r="Y54" i="2"/>
  <c r="C64" i="2"/>
  <c r="M64" i="2"/>
  <c r="AA52" i="2"/>
  <c r="Q56" i="2"/>
  <c r="T60" i="2"/>
  <c r="L64" i="2"/>
  <c r="E64" i="2"/>
  <c r="AB52" i="2" l="1"/>
  <c r="C53" i="2" s="1"/>
  <c r="Z54" i="2"/>
  <c r="S64" i="2"/>
  <c r="I62" i="2"/>
  <c r="K64" i="2"/>
  <c r="W58" i="2"/>
  <c r="G64" i="2"/>
  <c r="J68" i="2"/>
  <c r="P64" i="2"/>
  <c r="E63" i="2"/>
  <c r="F66" i="2"/>
  <c r="A66" i="2"/>
  <c r="Y56" i="2"/>
  <c r="B63" i="2"/>
  <c r="D66" i="2"/>
  <c r="U60" i="2"/>
  <c r="Q58" i="2"/>
  <c r="D63" i="2"/>
  <c r="C66" i="2"/>
  <c r="M66" i="2"/>
  <c r="A67" i="2"/>
  <c r="V60" i="2"/>
  <c r="H64" i="2"/>
  <c r="H63" i="2"/>
  <c r="N66" i="2"/>
  <c r="L66" i="2"/>
  <c r="AA54" i="2"/>
  <c r="B66" i="2"/>
  <c r="AD64" i="2"/>
  <c r="T62" i="2"/>
  <c r="E66" i="2"/>
  <c r="X56" i="2"/>
  <c r="S66" i="2" l="1"/>
  <c r="AB54" i="2"/>
  <c r="C55" i="2" s="1"/>
  <c r="W60" i="2"/>
  <c r="K66" i="2"/>
  <c r="I64" i="2"/>
  <c r="Z56" i="2"/>
  <c r="G66" i="2"/>
  <c r="J70" i="2"/>
  <c r="V62" i="2"/>
  <c r="Q60" i="2"/>
  <c r="B65" i="2"/>
  <c r="X58" i="2"/>
  <c r="B68" i="2"/>
  <c r="A69" i="2"/>
  <c r="P66" i="2"/>
  <c r="D68" i="2"/>
  <c r="AD66" i="2"/>
  <c r="D65" i="2"/>
  <c r="T64" i="2"/>
  <c r="A68" i="2"/>
  <c r="E65" i="2"/>
  <c r="AA56" i="2"/>
  <c r="Y58" i="2"/>
  <c r="M68" i="2"/>
  <c r="L68" i="2"/>
  <c r="H65" i="2"/>
  <c r="N68" i="2"/>
  <c r="E68" i="2"/>
  <c r="U62" i="2"/>
  <c r="H66" i="2"/>
  <c r="F68" i="2"/>
  <c r="C68" i="2"/>
  <c r="G68" i="2" l="1"/>
  <c r="Z58" i="2"/>
  <c r="AB56" i="2"/>
  <c r="C57" i="2" s="1"/>
  <c r="I66" i="2"/>
  <c r="K68" i="2"/>
  <c r="S68" i="2"/>
  <c r="W62" i="2"/>
  <c r="J72" i="2"/>
  <c r="P68" i="2"/>
  <c r="V64" i="2"/>
  <c r="B67" i="2"/>
  <c r="AD68" i="2"/>
  <c r="E70" i="2"/>
  <c r="D70" i="2"/>
  <c r="B70" i="2"/>
  <c r="N70" i="2"/>
  <c r="D67" i="2"/>
  <c r="M70" i="2"/>
  <c r="F70" i="2"/>
  <c r="Y60" i="2"/>
  <c r="Q62" i="2"/>
  <c r="AA58" i="2"/>
  <c r="H67" i="2"/>
  <c r="A70" i="2"/>
  <c r="T66" i="2"/>
  <c r="L70" i="2"/>
  <c r="E67" i="2"/>
  <c r="A71" i="2"/>
  <c r="C70" i="2"/>
  <c r="X60" i="2"/>
  <c r="H68" i="2"/>
  <c r="U64" i="2"/>
  <c r="I68" i="2" l="1"/>
  <c r="K70" i="2"/>
  <c r="AB58" i="2"/>
  <c r="C59" i="2" s="1"/>
  <c r="Z60" i="2"/>
  <c r="G70" i="2"/>
  <c r="S70" i="2"/>
  <c r="W64" i="2"/>
  <c r="J74" i="2"/>
  <c r="Q64" i="2"/>
  <c r="AA60" i="2"/>
  <c r="C72" i="2"/>
  <c r="E72" i="2"/>
  <c r="A73" i="2"/>
  <c r="A72" i="2"/>
  <c r="U66" i="2"/>
  <c r="AD70" i="2"/>
  <c r="B69" i="2"/>
  <c r="N72" i="2"/>
  <c r="P70" i="2"/>
  <c r="Y62" i="2"/>
  <c r="V66" i="2"/>
  <c r="H70" i="2"/>
  <c r="H69" i="2"/>
  <c r="D69" i="2"/>
  <c r="X62" i="2"/>
  <c r="L72" i="2"/>
  <c r="F72" i="2"/>
  <c r="M72" i="2"/>
  <c r="E69" i="2"/>
  <c r="T68" i="2"/>
  <c r="D72" i="2"/>
  <c r="B72" i="2"/>
  <c r="S72" i="2" l="1"/>
  <c r="G72" i="2"/>
  <c r="W66" i="2"/>
  <c r="Z62" i="2"/>
  <c r="I70" i="2"/>
  <c r="K72" i="2"/>
  <c r="AB60" i="2"/>
  <c r="C61" i="2" s="1"/>
  <c r="J76" i="2"/>
  <c r="U68" i="2"/>
  <c r="H72" i="2"/>
  <c r="B74" i="2"/>
  <c r="C74" i="2"/>
  <c r="X64" i="2"/>
  <c r="T70" i="2"/>
  <c r="V68" i="2"/>
  <c r="AA62" i="2"/>
  <c r="P72" i="2"/>
  <c r="Q66" i="2"/>
  <c r="M74" i="2"/>
  <c r="A75" i="2"/>
  <c r="Y64" i="2"/>
  <c r="AD72" i="2"/>
  <c r="H71" i="2"/>
  <c r="L74" i="2"/>
  <c r="A74" i="2"/>
  <c r="B71" i="2"/>
  <c r="N74" i="2"/>
  <c r="E74" i="2"/>
  <c r="D71" i="2"/>
  <c r="E71" i="2"/>
  <c r="F74" i="2"/>
  <c r="D74" i="2"/>
  <c r="G74" i="2" l="1"/>
  <c r="Z64" i="2"/>
  <c r="K74" i="2"/>
  <c r="I72" i="2"/>
  <c r="AB62" i="2"/>
  <c r="C63" i="2" s="1"/>
  <c r="W68" i="2"/>
  <c r="S74" i="2"/>
  <c r="J78" i="2"/>
  <c r="P74" i="2"/>
  <c r="AA64" i="2"/>
  <c r="B73" i="2"/>
  <c r="V70" i="2"/>
  <c r="T72" i="2"/>
  <c r="M76" i="2"/>
  <c r="L76" i="2"/>
  <c r="X66" i="2"/>
  <c r="H74" i="2"/>
  <c r="N76" i="2"/>
  <c r="D76" i="2"/>
  <c r="H73" i="2"/>
  <c r="AD74" i="2"/>
  <c r="F76" i="2"/>
  <c r="A76" i="2"/>
  <c r="E73" i="2"/>
  <c r="D73" i="2"/>
  <c r="U70" i="2"/>
  <c r="B76" i="2"/>
  <c r="A77" i="2"/>
  <c r="C76" i="2"/>
  <c r="Q68" i="2"/>
  <c r="E76" i="2"/>
  <c r="Y66" i="2"/>
  <c r="Z66" i="2" l="1"/>
  <c r="I74" i="2"/>
  <c r="K76" i="2"/>
  <c r="S76" i="2"/>
  <c r="G76" i="2"/>
  <c r="W70" i="2"/>
  <c r="AB64" i="2"/>
  <c r="C65" i="2" s="1"/>
  <c r="J80" i="2"/>
  <c r="AA66" i="2"/>
  <c r="AD76" i="2"/>
  <c r="H75" i="2"/>
  <c r="T74" i="2"/>
  <c r="A78" i="2"/>
  <c r="B78" i="2"/>
  <c r="X68" i="2"/>
  <c r="Q70" i="2"/>
  <c r="E75" i="2"/>
  <c r="U72" i="2"/>
  <c r="D75" i="2"/>
  <c r="A79" i="2"/>
  <c r="C78" i="2"/>
  <c r="Y68" i="2"/>
  <c r="H76" i="2"/>
  <c r="V72" i="2"/>
  <c r="B75" i="2"/>
  <c r="M78" i="2"/>
  <c r="L78" i="2"/>
  <c r="N78" i="2"/>
  <c r="P76" i="2"/>
  <c r="E78" i="2"/>
  <c r="D78" i="2"/>
  <c r="F78" i="2"/>
  <c r="G78" i="2" l="1"/>
  <c r="W72" i="2"/>
  <c r="Z68" i="2"/>
  <c r="I76" i="2"/>
  <c r="K78" i="2"/>
  <c r="S78" i="2"/>
  <c r="AB66" i="2"/>
  <c r="C67" i="2" s="1"/>
  <c r="J82" i="2"/>
  <c r="P78" i="2"/>
  <c r="H77" i="2"/>
  <c r="Y70" i="2"/>
  <c r="A81" i="2"/>
  <c r="C80" i="2"/>
  <c r="M80" i="2"/>
  <c r="Q72" i="2"/>
  <c r="AD78" i="2"/>
  <c r="T76" i="2"/>
  <c r="N80" i="2"/>
  <c r="X70" i="2"/>
  <c r="B80" i="2"/>
  <c r="B77" i="2"/>
  <c r="E77" i="2"/>
  <c r="L80" i="2"/>
  <c r="E80" i="2"/>
  <c r="F80" i="2"/>
  <c r="H78" i="2"/>
  <c r="D77" i="2"/>
  <c r="AA68" i="2"/>
  <c r="U74" i="2"/>
  <c r="D80" i="2"/>
  <c r="A80" i="2"/>
  <c r="V74" i="2"/>
  <c r="W74" i="2" l="1"/>
  <c r="AB68" i="2"/>
  <c r="C69" i="2" s="1"/>
  <c r="G80" i="2"/>
  <c r="S80" i="2"/>
  <c r="I78" i="2"/>
  <c r="K80" i="2"/>
  <c r="Z70" i="2"/>
  <c r="J84" i="2"/>
  <c r="H80" i="2"/>
  <c r="H79" i="2"/>
  <c r="AA70" i="2"/>
  <c r="C82" i="2"/>
  <c r="M82" i="2"/>
  <c r="L82" i="2"/>
  <c r="V76" i="2"/>
  <c r="AD80" i="2"/>
  <c r="P80" i="2"/>
  <c r="E79" i="2"/>
  <c r="B79" i="2"/>
  <c r="N82" i="2"/>
  <c r="E82" i="2"/>
  <c r="D82" i="2"/>
  <c r="D79" i="2"/>
  <c r="A82" i="2"/>
  <c r="T78" i="2"/>
  <c r="B82" i="2"/>
  <c r="Y72" i="2"/>
  <c r="Q74" i="2"/>
  <c r="U76" i="2"/>
  <c r="F82" i="2"/>
  <c r="X72" i="2"/>
  <c r="A83" i="2"/>
  <c r="K82" i="2" l="1"/>
  <c r="I80" i="2"/>
  <c r="G82" i="2"/>
  <c r="Z72" i="2"/>
  <c r="S82" i="2"/>
  <c r="W76" i="2"/>
  <c r="AB70" i="2"/>
  <c r="C71" i="2" s="1"/>
  <c r="J86" i="2"/>
  <c r="AA72" i="2"/>
  <c r="V78" i="2"/>
  <c r="B81" i="2"/>
  <c r="N84" i="2"/>
  <c r="E84" i="2"/>
  <c r="D84" i="2"/>
  <c r="Y74" i="2"/>
  <c r="M84" i="2"/>
  <c r="X74" i="2"/>
  <c r="AD82" i="2"/>
  <c r="P82" i="2"/>
  <c r="E81" i="2"/>
  <c r="F84" i="2"/>
  <c r="A84" i="2"/>
  <c r="H82" i="2"/>
  <c r="H81" i="2"/>
  <c r="B84" i="2"/>
  <c r="A85" i="2"/>
  <c r="C84" i="2"/>
  <c r="Q76" i="2"/>
  <c r="U78" i="2"/>
  <c r="D81" i="2"/>
  <c r="T80" i="2"/>
  <c r="L84" i="2"/>
  <c r="I82" i="2" l="1"/>
  <c r="K84" i="2"/>
  <c r="S84" i="2"/>
  <c r="G84" i="2"/>
  <c r="Z74" i="2"/>
  <c r="W78" i="2"/>
  <c r="AB72" i="2"/>
  <c r="C73" i="2" s="1"/>
  <c r="J88" i="2"/>
  <c r="U80" i="2"/>
  <c r="E83" i="2"/>
  <c r="P84" i="2"/>
  <c r="T82" i="2"/>
  <c r="A86" i="2"/>
  <c r="N86" i="2"/>
  <c r="V80" i="2"/>
  <c r="D83" i="2"/>
  <c r="A87" i="2"/>
  <c r="C86" i="2"/>
  <c r="X76" i="2"/>
  <c r="L86" i="2"/>
  <c r="Y76" i="2"/>
  <c r="H83" i="2"/>
  <c r="E86" i="2"/>
  <c r="D86" i="2"/>
  <c r="Q78" i="2"/>
  <c r="B83" i="2"/>
  <c r="AA74" i="2"/>
  <c r="M86" i="2"/>
  <c r="F86" i="2"/>
  <c r="AD84" i="2"/>
  <c r="H84" i="2"/>
  <c r="B86" i="2"/>
  <c r="S86" i="2" l="1"/>
  <c r="G86" i="2"/>
  <c r="AB74" i="2"/>
  <c r="C75" i="2" s="1"/>
  <c r="Z76" i="2"/>
  <c r="I84" i="2"/>
  <c r="K86" i="2"/>
  <c r="W80" i="2"/>
  <c r="J90" i="2"/>
  <c r="P86" i="2"/>
  <c r="D85" i="2"/>
  <c r="D88" i="2"/>
  <c r="F88" i="2"/>
  <c r="M88" i="2"/>
  <c r="T84" i="2"/>
  <c r="AD86" i="2"/>
  <c r="U82" i="2"/>
  <c r="Q80" i="2"/>
  <c r="B88" i="2"/>
  <c r="X78" i="2"/>
  <c r="E85" i="2"/>
  <c r="H86" i="2"/>
  <c r="A88" i="2"/>
  <c r="H85" i="2"/>
  <c r="AA76" i="2"/>
  <c r="V82" i="2"/>
  <c r="A89" i="2"/>
  <c r="C88" i="2"/>
  <c r="E88" i="2"/>
  <c r="Y78" i="2"/>
  <c r="B85" i="2"/>
  <c r="L88" i="2"/>
  <c r="N88" i="2"/>
  <c r="Z78" i="2" l="1"/>
  <c r="I86" i="2"/>
  <c r="K88" i="2"/>
  <c r="W82" i="2"/>
  <c r="AB76" i="2"/>
  <c r="C77" i="2" s="1"/>
  <c r="S88" i="2"/>
  <c r="G88" i="2"/>
  <c r="J92" i="2"/>
  <c r="H88" i="2"/>
  <c r="AD88" i="2"/>
  <c r="H87" i="2"/>
  <c r="Y80" i="2"/>
  <c r="F90" i="2"/>
  <c r="A90" i="2"/>
  <c r="E87" i="2"/>
  <c r="B87" i="2"/>
  <c r="D90" i="2"/>
  <c r="V84" i="2"/>
  <c r="P88" i="2"/>
  <c r="B90" i="2"/>
  <c r="X80" i="2"/>
  <c r="AA78" i="2"/>
  <c r="U84" i="2"/>
  <c r="D87" i="2"/>
  <c r="C90" i="2"/>
  <c r="M90" i="2"/>
  <c r="L90" i="2"/>
  <c r="T86" i="2"/>
  <c r="Q82" i="2"/>
  <c r="N90" i="2"/>
  <c r="E90" i="2"/>
  <c r="A91" i="2"/>
  <c r="K90" i="2" l="1"/>
  <c r="I88" i="2"/>
  <c r="AB78" i="2"/>
  <c r="C79" i="2" s="1"/>
  <c r="S90" i="2"/>
  <c r="W84" i="2"/>
  <c r="G90" i="2"/>
  <c r="Z80" i="2"/>
  <c r="J94" i="2"/>
  <c r="V86" i="2"/>
  <c r="B89" i="2"/>
  <c r="E89" i="2"/>
  <c r="T88" i="2"/>
  <c r="F92" i="2"/>
  <c r="A92" i="2"/>
  <c r="C92" i="2"/>
  <c r="P90" i="2"/>
  <c r="AD90" i="2"/>
  <c r="H89" i="2"/>
  <c r="X82" i="2"/>
  <c r="B92" i="2"/>
  <c r="A93" i="2"/>
  <c r="N92" i="2"/>
  <c r="D92" i="2"/>
  <c r="H90" i="2"/>
  <c r="Q84" i="2"/>
  <c r="Y82" i="2"/>
  <c r="M92" i="2"/>
  <c r="L92" i="2"/>
  <c r="U86" i="2"/>
  <c r="D89" i="2"/>
  <c r="AA80" i="2"/>
  <c r="E92" i="2"/>
  <c r="AB80" i="2" l="1"/>
  <c r="C81" i="2" s="1"/>
  <c r="Z82" i="2"/>
  <c r="I90" i="2"/>
  <c r="K92" i="2"/>
  <c r="S92" i="2"/>
  <c r="G92" i="2"/>
  <c r="W86" i="2"/>
  <c r="J96" i="2"/>
  <c r="H92" i="2"/>
  <c r="E91" i="2"/>
  <c r="U88" i="2"/>
  <c r="T90" i="2"/>
  <c r="Q86" i="2"/>
  <c r="P92" i="2"/>
  <c r="AD92" i="2"/>
  <c r="D91" i="2"/>
  <c r="V88" i="2"/>
  <c r="A95" i="2"/>
  <c r="C94" i="2"/>
  <c r="X84" i="2"/>
  <c r="H91" i="2"/>
  <c r="B94" i="2"/>
  <c r="N94" i="2"/>
  <c r="B91" i="2"/>
  <c r="M94" i="2"/>
  <c r="L94" i="2"/>
  <c r="F94" i="2"/>
  <c r="Y84" i="2"/>
  <c r="AA82" i="2"/>
  <c r="E94" i="2"/>
  <c r="D94" i="2"/>
  <c r="A94" i="2"/>
  <c r="AB82" i="2" l="1"/>
  <c r="C83" i="2" s="1"/>
  <c r="Z84" i="2"/>
  <c r="G94" i="2"/>
  <c r="S94" i="2"/>
  <c r="I92" i="2"/>
  <c r="K94" i="2"/>
  <c r="W88" i="2"/>
  <c r="J98" i="2"/>
  <c r="AA84" i="2"/>
  <c r="B93" i="2"/>
  <c r="Q88" i="2"/>
  <c r="A97" i="2"/>
  <c r="C96" i="2"/>
  <c r="E96" i="2"/>
  <c r="AD94" i="2"/>
  <c r="D93" i="2"/>
  <c r="L96" i="2"/>
  <c r="N96" i="2"/>
  <c r="A96" i="2"/>
  <c r="H94" i="2"/>
  <c r="H93" i="2"/>
  <c r="U90" i="2"/>
  <c r="X86" i="2"/>
  <c r="D96" i="2"/>
  <c r="F96" i="2"/>
  <c r="M96" i="2"/>
  <c r="P94" i="2"/>
  <c r="E93" i="2"/>
  <c r="V90" i="2"/>
  <c r="Y86" i="2"/>
  <c r="B96" i="2"/>
  <c r="T92" i="2"/>
  <c r="S96" i="2" l="1"/>
  <c r="Z86" i="2"/>
  <c r="W90" i="2"/>
  <c r="G96" i="2"/>
  <c r="I94" i="2"/>
  <c r="K96" i="2"/>
  <c r="AB84" i="2"/>
  <c r="C85" i="2" s="1"/>
  <c r="J100" i="2"/>
  <c r="AD96" i="2"/>
  <c r="B95" i="2"/>
  <c r="H95" i="2"/>
  <c r="F98" i="2"/>
  <c r="A98" i="2"/>
  <c r="X88" i="2"/>
  <c r="T94" i="2"/>
  <c r="D95" i="2"/>
  <c r="Q90" i="2"/>
  <c r="E95" i="2"/>
  <c r="B98" i="2"/>
  <c r="D98" i="2"/>
  <c r="Y88" i="2"/>
  <c r="U92" i="2"/>
  <c r="AA86" i="2"/>
  <c r="H96" i="2"/>
  <c r="C98" i="2"/>
  <c r="A99" i="2"/>
  <c r="V92" i="2"/>
  <c r="P96" i="2"/>
  <c r="E98" i="2"/>
  <c r="M98" i="2"/>
  <c r="N98" i="2"/>
  <c r="L98" i="2"/>
  <c r="W92" i="2" l="1"/>
  <c r="K98" i="2"/>
  <c r="I96" i="2"/>
  <c r="AB86" i="2"/>
  <c r="C87" i="2" s="1"/>
  <c r="Z88" i="2"/>
  <c r="S98" i="2"/>
  <c r="G98" i="2"/>
  <c r="J102" i="2"/>
  <c r="P98" i="2"/>
  <c r="Y90" i="2"/>
  <c r="M100" i="2"/>
  <c r="L100" i="2"/>
  <c r="H98" i="2"/>
  <c r="Q92" i="2"/>
  <c r="U94" i="2"/>
  <c r="E97" i="2"/>
  <c r="N100" i="2"/>
  <c r="E100" i="2"/>
  <c r="D100" i="2"/>
  <c r="T96" i="2"/>
  <c r="D97" i="2"/>
  <c r="AA88" i="2"/>
  <c r="V94" i="2"/>
  <c r="H97" i="2"/>
  <c r="F100" i="2"/>
  <c r="A100" i="2"/>
  <c r="C100" i="2"/>
  <c r="B97" i="2"/>
  <c r="AD98" i="2"/>
  <c r="X90" i="2"/>
  <c r="B100" i="2"/>
  <c r="A101" i="2"/>
  <c r="I98" i="2" l="1"/>
  <c r="K100" i="2"/>
  <c r="S100" i="2"/>
  <c r="G100" i="2"/>
  <c r="W94" i="2"/>
  <c r="AB88" i="2"/>
  <c r="C89" i="2" s="1"/>
  <c r="Z90" i="2"/>
  <c r="J104" i="2"/>
  <c r="H99" i="2"/>
  <c r="P100" i="2"/>
  <c r="D99" i="2"/>
  <c r="A102" i="2"/>
  <c r="F102" i="2"/>
  <c r="X92" i="2"/>
  <c r="E99" i="2"/>
  <c r="U96" i="2"/>
  <c r="Q94" i="2"/>
  <c r="B99" i="2"/>
  <c r="A103" i="2"/>
  <c r="C102" i="2"/>
  <c r="Y92" i="2"/>
  <c r="AD100" i="2"/>
  <c r="V96" i="2"/>
  <c r="M102" i="2"/>
  <c r="L102" i="2"/>
  <c r="B102" i="2"/>
  <c r="T98" i="2"/>
  <c r="H100" i="2"/>
  <c r="AA90" i="2"/>
  <c r="E102" i="2"/>
  <c r="D102" i="2"/>
  <c r="N102" i="2"/>
  <c r="AB90" i="2" l="1"/>
  <c r="C91" i="2" s="1"/>
  <c r="S102" i="2"/>
  <c r="W96" i="2"/>
  <c r="Z92" i="2"/>
  <c r="I100" i="2"/>
  <c r="K102" i="2"/>
  <c r="G102" i="2"/>
  <c r="J106" i="2"/>
  <c r="H102" i="2"/>
  <c r="V98" i="2"/>
  <c r="H101" i="2"/>
  <c r="Y94" i="2"/>
  <c r="P102" i="2"/>
  <c r="E101" i="2"/>
  <c r="Q96" i="2"/>
  <c r="B101" i="2"/>
  <c r="T100" i="2"/>
  <c r="L104" i="2"/>
  <c r="N104" i="2"/>
  <c r="M104" i="2"/>
  <c r="X94" i="2"/>
  <c r="A105" i="2"/>
  <c r="A104" i="2"/>
  <c r="AD102" i="2"/>
  <c r="AA92" i="2"/>
  <c r="D101" i="2"/>
  <c r="D104" i="2"/>
  <c r="F104" i="2"/>
  <c r="E104" i="2"/>
  <c r="U98" i="2"/>
  <c r="B104" i="2"/>
  <c r="C104" i="2"/>
  <c r="S104" i="2" l="1"/>
  <c r="G104" i="2"/>
  <c r="AB92" i="2"/>
  <c r="C93" i="2" s="1"/>
  <c r="I102" i="2"/>
  <c r="K104" i="2"/>
  <c r="Z94" i="2"/>
  <c r="W98" i="2"/>
  <c r="J108" i="2"/>
  <c r="U100" i="2"/>
  <c r="AA94" i="2"/>
  <c r="B106" i="2"/>
  <c r="A107" i="2"/>
  <c r="H103" i="2"/>
  <c r="V100" i="2"/>
  <c r="C106" i="2"/>
  <c r="M106" i="2"/>
  <c r="T102" i="2"/>
  <c r="Q98" i="2"/>
  <c r="E103" i="2"/>
  <c r="H104" i="2"/>
  <c r="B103" i="2"/>
  <c r="X96" i="2"/>
  <c r="N106" i="2"/>
  <c r="E106" i="2"/>
  <c r="D106" i="2"/>
  <c r="AD104" i="2"/>
  <c r="P104" i="2"/>
  <c r="D103" i="2"/>
  <c r="Y96" i="2"/>
  <c r="F106" i="2"/>
  <c r="A106" i="2"/>
  <c r="L106" i="2"/>
  <c r="G106" i="2" l="1"/>
  <c r="Z96" i="2"/>
  <c r="W100" i="2"/>
  <c r="K106" i="2"/>
  <c r="I104" i="2"/>
  <c r="S106" i="2"/>
  <c r="AB94" i="2"/>
  <c r="C95" i="2" s="1"/>
  <c r="J110" i="2"/>
  <c r="E105" i="2"/>
  <c r="Y98" i="2"/>
  <c r="B108" i="2"/>
  <c r="A108" i="2"/>
  <c r="AA96" i="2"/>
  <c r="H105" i="2"/>
  <c r="U102" i="2"/>
  <c r="A109" i="2"/>
  <c r="L108" i="2"/>
  <c r="T104" i="2"/>
  <c r="D105" i="2"/>
  <c r="P106" i="2"/>
  <c r="V102" i="2"/>
  <c r="AD106" i="2"/>
  <c r="Q100" i="2"/>
  <c r="N108" i="2"/>
  <c r="M108" i="2"/>
  <c r="D108" i="2"/>
  <c r="B105" i="2"/>
  <c r="H106" i="2"/>
  <c r="X98" i="2"/>
  <c r="F108" i="2"/>
  <c r="E108" i="2"/>
  <c r="C108" i="2"/>
  <c r="G108" i="2" l="1"/>
  <c r="W102" i="2"/>
  <c r="I106" i="2"/>
  <c r="K108" i="2"/>
  <c r="AB96" i="2"/>
  <c r="C97" i="2" s="1"/>
  <c r="S108" i="2"/>
  <c r="Z98" i="2"/>
  <c r="J112" i="2"/>
  <c r="H107" i="2"/>
  <c r="B107" i="2"/>
  <c r="AD108" i="2"/>
  <c r="T106" i="2"/>
  <c r="M110" i="2"/>
  <c r="C110" i="2"/>
  <c r="N110" i="2"/>
  <c r="E110" i="2"/>
  <c r="A111" i="2"/>
  <c r="D107" i="2"/>
  <c r="Y100" i="2"/>
  <c r="E107" i="2"/>
  <c r="U104" i="2"/>
  <c r="Q102" i="2"/>
  <c r="H108" i="2"/>
  <c r="V104" i="2"/>
  <c r="AA98" i="2"/>
  <c r="X100" i="2"/>
  <c r="F110" i="2"/>
  <c r="A110" i="2"/>
  <c r="L110" i="2"/>
  <c r="P108" i="2"/>
  <c r="B110" i="2"/>
  <c r="D110" i="2"/>
  <c r="S110" i="2" l="1"/>
  <c r="G110" i="2"/>
  <c r="AB98" i="2"/>
  <c r="C99" i="2" s="1"/>
  <c r="W104" i="2"/>
  <c r="Z100" i="2"/>
  <c r="K110" i="2"/>
  <c r="I108" i="2"/>
  <c r="J114" i="2"/>
  <c r="AD110" i="2"/>
  <c r="Q104" i="2"/>
  <c r="V106" i="2"/>
  <c r="Y102" i="2"/>
  <c r="N112" i="2"/>
  <c r="E112" i="2"/>
  <c r="D112" i="2"/>
  <c r="H109" i="2"/>
  <c r="A112" i="2"/>
  <c r="C112" i="2"/>
  <c r="X102" i="2"/>
  <c r="L112" i="2"/>
  <c r="P110" i="2"/>
  <c r="F112" i="2"/>
  <c r="U106" i="2"/>
  <c r="D109" i="2"/>
  <c r="AA100" i="2"/>
  <c r="H110" i="2"/>
  <c r="E109" i="2"/>
  <c r="T108" i="2"/>
  <c r="B112" i="2"/>
  <c r="A113" i="2"/>
  <c r="B109" i="2"/>
  <c r="M112" i="2"/>
  <c r="I110" i="2" l="1"/>
  <c r="K112" i="2"/>
  <c r="S112" i="2"/>
  <c r="AB100" i="2"/>
  <c r="C101" i="2" s="1"/>
  <c r="G112" i="2"/>
  <c r="Z102" i="2"/>
  <c r="W106" i="2"/>
  <c r="J116" i="2"/>
  <c r="U108" i="2"/>
  <c r="Q106" i="2"/>
  <c r="Y104" i="2"/>
  <c r="A115" i="2"/>
  <c r="C114" i="2"/>
  <c r="AA102" i="2"/>
  <c r="V108" i="2"/>
  <c r="H112" i="2"/>
  <c r="H111" i="2"/>
  <c r="M114" i="2"/>
  <c r="L114" i="2"/>
  <c r="B114" i="2"/>
  <c r="T110" i="2"/>
  <c r="AD112" i="2"/>
  <c r="X104" i="2"/>
  <c r="D111" i="2"/>
  <c r="P112" i="2"/>
  <c r="E111" i="2"/>
  <c r="E114" i="2"/>
  <c r="D114" i="2"/>
  <c r="N114" i="2"/>
  <c r="B111" i="2"/>
  <c r="A114" i="2"/>
  <c r="F114" i="2"/>
  <c r="G114" i="2" l="1"/>
  <c r="S114" i="2"/>
  <c r="W108" i="2"/>
  <c r="AB102" i="2"/>
  <c r="C103" i="2" s="1"/>
  <c r="I112" i="2"/>
  <c r="K114" i="2"/>
  <c r="Z104" i="2"/>
  <c r="J118" i="2"/>
  <c r="H114" i="2"/>
  <c r="V110" i="2"/>
  <c r="B116" i="2"/>
  <c r="X106" i="2"/>
  <c r="P114" i="2"/>
  <c r="H113" i="2"/>
  <c r="A117" i="2"/>
  <c r="A116" i="2"/>
  <c r="Y106" i="2"/>
  <c r="B113" i="2"/>
  <c r="E113" i="2"/>
  <c r="AD114" i="2"/>
  <c r="T112" i="2"/>
  <c r="L116" i="2"/>
  <c r="N116" i="2"/>
  <c r="M116" i="2"/>
  <c r="D113" i="2"/>
  <c r="U110" i="2"/>
  <c r="AA104" i="2"/>
  <c r="D116" i="2"/>
  <c r="F116" i="2"/>
  <c r="E116" i="2"/>
  <c r="Q108" i="2"/>
  <c r="C116" i="2"/>
  <c r="G116" i="2" l="1"/>
  <c r="AB104" i="2"/>
  <c r="C105" i="2" s="1"/>
  <c r="Z106" i="2"/>
  <c r="I114" i="2"/>
  <c r="K116" i="2"/>
  <c r="S116" i="2"/>
  <c r="W110" i="2"/>
  <c r="J120" i="2"/>
  <c r="P116" i="2"/>
  <c r="E115" i="2"/>
  <c r="B115" i="2"/>
  <c r="C118" i="2"/>
  <c r="M118" i="2"/>
  <c r="L118" i="2"/>
  <c r="U112" i="2"/>
  <c r="AA106" i="2"/>
  <c r="D115" i="2"/>
  <c r="N118" i="2"/>
  <c r="E118" i="2"/>
  <c r="D118" i="2"/>
  <c r="Q110" i="2"/>
  <c r="V112" i="2"/>
  <c r="X108" i="2"/>
  <c r="T114" i="2"/>
  <c r="F118" i="2"/>
  <c r="A118" i="2"/>
  <c r="H116" i="2"/>
  <c r="H115" i="2"/>
  <c r="AD116" i="2"/>
  <c r="Y108" i="2"/>
  <c r="B118" i="2"/>
  <c r="A119" i="2"/>
  <c r="K118" i="2" l="1"/>
  <c r="I116" i="2"/>
  <c r="S118" i="2"/>
  <c r="Z108" i="2"/>
  <c r="G118" i="2"/>
  <c r="W112" i="2"/>
  <c r="AB106" i="2"/>
  <c r="C107" i="2" s="1"/>
  <c r="J122" i="2"/>
  <c r="AA108" i="2"/>
  <c r="U114" i="2"/>
  <c r="P118" i="2"/>
  <c r="Q112" i="2"/>
  <c r="F120" i="2"/>
  <c r="A120" i="2"/>
  <c r="C120" i="2"/>
  <c r="E120" i="2"/>
  <c r="Y110" i="2"/>
  <c r="E117" i="2"/>
  <c r="V114" i="2"/>
  <c r="H118" i="2"/>
  <c r="D117" i="2"/>
  <c r="B120" i="2"/>
  <c r="A121" i="2"/>
  <c r="N120" i="2"/>
  <c r="D120" i="2"/>
  <c r="AD118" i="2"/>
  <c r="H117" i="2"/>
  <c r="B117" i="2"/>
  <c r="M120" i="2"/>
  <c r="L120" i="2"/>
  <c r="X110" i="2"/>
  <c r="T116" i="2"/>
  <c r="I118" i="2" l="1"/>
  <c r="K120" i="2"/>
  <c r="S120" i="2"/>
  <c r="W114" i="2"/>
  <c r="Z110" i="2"/>
  <c r="G120" i="2"/>
  <c r="AB108" i="2"/>
  <c r="C109" i="2" s="1"/>
  <c r="J124" i="2"/>
  <c r="U116" i="2"/>
  <c r="E119" i="2"/>
  <c r="AA110" i="2"/>
  <c r="Q114" i="2"/>
  <c r="T118" i="2"/>
  <c r="M122" i="2"/>
  <c r="L122" i="2"/>
  <c r="N122" i="2"/>
  <c r="D122" i="2"/>
  <c r="B122" i="2"/>
  <c r="C122" i="2"/>
  <c r="V116" i="2"/>
  <c r="H120" i="2"/>
  <c r="E122" i="2"/>
  <c r="F122" i="2"/>
  <c r="A123" i="2"/>
  <c r="P120" i="2"/>
  <c r="AD120" i="2"/>
  <c r="D119" i="2"/>
  <c r="X112" i="2"/>
  <c r="A122" i="2"/>
  <c r="H119" i="2"/>
  <c r="B119" i="2"/>
  <c r="Y112" i="2"/>
  <c r="Z112" i="2" l="1"/>
  <c r="I120" i="2"/>
  <c r="K122" i="2"/>
  <c r="G122" i="2"/>
  <c r="W116" i="2"/>
  <c r="S122" i="2"/>
  <c r="AB110" i="2"/>
  <c r="C111" i="2" s="1"/>
  <c r="J126" i="2"/>
  <c r="AA112" i="2"/>
  <c r="B121" i="2"/>
  <c r="H122" i="2"/>
  <c r="N124" i="2"/>
  <c r="D121" i="2"/>
  <c r="P122" i="2"/>
  <c r="Q116" i="2"/>
  <c r="D124" i="2"/>
  <c r="F124" i="2"/>
  <c r="A124" i="2"/>
  <c r="E121" i="2"/>
  <c r="AD122" i="2"/>
  <c r="A125" i="2"/>
  <c r="Y114" i="2"/>
  <c r="T120" i="2"/>
  <c r="H121" i="2"/>
  <c r="U118" i="2"/>
  <c r="C124" i="2"/>
  <c r="B124" i="2"/>
  <c r="X114" i="2"/>
  <c r="V118" i="2"/>
  <c r="M124" i="2"/>
  <c r="L124" i="2"/>
  <c r="E124" i="2"/>
  <c r="W118" i="2" l="1"/>
  <c r="S124" i="2"/>
  <c r="Z114" i="2"/>
  <c r="I122" i="2"/>
  <c r="K124" i="2"/>
  <c r="G124" i="2"/>
  <c r="AB112" i="2"/>
  <c r="C113" i="2" s="1"/>
  <c r="J128" i="2"/>
  <c r="Q118" i="2"/>
  <c r="P124" i="2"/>
  <c r="T122" i="2"/>
  <c r="A126" i="2"/>
  <c r="F126" i="2"/>
  <c r="X116" i="2"/>
  <c r="AD124" i="2"/>
  <c r="U120" i="2"/>
  <c r="B123" i="2"/>
  <c r="N126" i="2"/>
  <c r="A127" i="2"/>
  <c r="C126" i="2"/>
  <c r="V120" i="2"/>
  <c r="H123" i="2"/>
  <c r="D123" i="2"/>
  <c r="M126" i="2"/>
  <c r="L126" i="2"/>
  <c r="B126" i="2"/>
  <c r="AA114" i="2"/>
  <c r="E123" i="2"/>
  <c r="H124" i="2"/>
  <c r="E126" i="2"/>
  <c r="D126" i="2"/>
  <c r="Y116" i="2"/>
  <c r="Z116" i="2" l="1"/>
  <c r="AB114" i="2"/>
  <c r="C115" i="2" s="1"/>
  <c r="S126" i="2"/>
  <c r="W120" i="2"/>
  <c r="I124" i="2"/>
  <c r="K126" i="2"/>
  <c r="G126" i="2"/>
  <c r="J130" i="2"/>
  <c r="AA116" i="2"/>
  <c r="P126" i="2"/>
  <c r="V122" i="2"/>
  <c r="B125" i="2"/>
  <c r="A128" i="2"/>
  <c r="N128" i="2"/>
  <c r="AD126" i="2"/>
  <c r="H125" i="2"/>
  <c r="U122" i="2"/>
  <c r="L128" i="2"/>
  <c r="Y118" i="2"/>
  <c r="Q120" i="2"/>
  <c r="D125" i="2"/>
  <c r="A129" i="2"/>
  <c r="C128" i="2"/>
  <c r="X118" i="2"/>
  <c r="T124" i="2"/>
  <c r="H126" i="2"/>
  <c r="M128" i="2"/>
  <c r="F128" i="2"/>
  <c r="E125" i="2"/>
  <c r="E128" i="2"/>
  <c r="D128" i="2"/>
  <c r="B128" i="2"/>
  <c r="S128" i="2" l="1"/>
  <c r="G128" i="2"/>
  <c r="I126" i="2"/>
  <c r="K128" i="2"/>
  <c r="Z118" i="2"/>
  <c r="W122" i="2"/>
  <c r="AB116" i="2"/>
  <c r="C117" i="2" s="1"/>
  <c r="J132" i="2"/>
  <c r="V124" i="2"/>
  <c r="AA118" i="2"/>
  <c r="E127" i="2"/>
  <c r="B127" i="2"/>
  <c r="D130" i="2"/>
  <c r="AD128" i="2"/>
  <c r="Q122" i="2"/>
  <c r="H128" i="2"/>
  <c r="D127" i="2"/>
  <c r="B130" i="2"/>
  <c r="X120" i="2"/>
  <c r="Y120" i="2"/>
  <c r="L130" i="2"/>
  <c r="A130" i="2"/>
  <c r="M130" i="2"/>
  <c r="P128" i="2"/>
  <c r="A131" i="2"/>
  <c r="C130" i="2"/>
  <c r="E130" i="2"/>
  <c r="U124" i="2"/>
  <c r="H127" i="2"/>
  <c r="T126" i="2"/>
  <c r="N130" i="2"/>
  <c r="F130" i="2"/>
  <c r="G130" i="2" l="1"/>
  <c r="I128" i="2"/>
  <c r="K130" i="2"/>
  <c r="Z120" i="2"/>
  <c r="S130" i="2"/>
  <c r="AB118" i="2"/>
  <c r="C119" i="2" s="1"/>
  <c r="W124" i="2"/>
  <c r="J134" i="2"/>
  <c r="H130" i="2"/>
  <c r="B129" i="2"/>
  <c r="AD130" i="2"/>
  <c r="B132" i="2"/>
  <c r="D132" i="2"/>
  <c r="P130" i="2"/>
  <c r="Q124" i="2"/>
  <c r="D129" i="2"/>
  <c r="C132" i="2"/>
  <c r="A133" i="2"/>
  <c r="U126" i="2"/>
  <c r="AA120" i="2"/>
  <c r="H129" i="2"/>
  <c r="X122" i="2"/>
  <c r="N132" i="2"/>
  <c r="E132" i="2"/>
  <c r="L132" i="2"/>
  <c r="V126" i="2"/>
  <c r="E129" i="2"/>
  <c r="Y122" i="2"/>
  <c r="F132" i="2"/>
  <c r="A132" i="2"/>
  <c r="M132" i="2"/>
  <c r="T128" i="2"/>
  <c r="G132" i="2" l="1"/>
  <c r="Z122" i="2"/>
  <c r="W126" i="2"/>
  <c r="AB120" i="2"/>
  <c r="C121" i="2" s="1"/>
  <c r="K132" i="2"/>
  <c r="I130" i="2"/>
  <c r="S132" i="2"/>
  <c r="J136" i="2"/>
  <c r="V128" i="2"/>
  <c r="P132" i="2"/>
  <c r="D131" i="2"/>
  <c r="E131" i="2"/>
  <c r="F134" i="2"/>
  <c r="A134" i="2"/>
  <c r="C134" i="2"/>
  <c r="H132" i="2"/>
  <c r="Q126" i="2"/>
  <c r="B131" i="2"/>
  <c r="H131" i="2"/>
  <c r="B134" i="2"/>
  <c r="A135" i="2"/>
  <c r="Y124" i="2"/>
  <c r="AA122" i="2"/>
  <c r="AD132" i="2"/>
  <c r="X124" i="2"/>
  <c r="T130" i="2"/>
  <c r="M134" i="2"/>
  <c r="L134" i="2"/>
  <c r="U128" i="2"/>
  <c r="N134" i="2"/>
  <c r="E134" i="2"/>
  <c r="D134" i="2"/>
  <c r="AB122" i="2" l="1"/>
  <c r="C123" i="2" s="1"/>
  <c r="Z124" i="2"/>
  <c r="I132" i="2"/>
  <c r="K134" i="2"/>
  <c r="S134" i="2"/>
  <c r="G134" i="2"/>
  <c r="W128" i="2"/>
  <c r="J138" i="2"/>
  <c r="H134" i="2"/>
  <c r="U130" i="2"/>
  <c r="E133" i="2"/>
  <c r="D133" i="2"/>
  <c r="T132" i="2"/>
  <c r="M136" i="2"/>
  <c r="L136" i="2"/>
  <c r="B136" i="2"/>
  <c r="B133" i="2"/>
  <c r="E136" i="2"/>
  <c r="P134" i="2"/>
  <c r="V130" i="2"/>
  <c r="N136" i="2"/>
  <c r="Q128" i="2"/>
  <c r="AA124" i="2"/>
  <c r="AD134" i="2"/>
  <c r="X126" i="2"/>
  <c r="A136" i="2"/>
  <c r="F136" i="2"/>
  <c r="H133" i="2"/>
  <c r="Y126" i="2"/>
  <c r="A137" i="2"/>
  <c r="C136" i="2"/>
  <c r="D136" i="2"/>
  <c r="I134" i="2" l="1"/>
  <c r="K136" i="2"/>
  <c r="Z126" i="2"/>
  <c r="G136" i="2"/>
  <c r="AB124" i="2"/>
  <c r="C125" i="2" s="1"/>
  <c r="W130" i="2"/>
  <c r="S136" i="2"/>
  <c r="J140" i="2"/>
  <c r="H136" i="2"/>
  <c r="D135" i="2"/>
  <c r="V132" i="2"/>
  <c r="L138" i="2"/>
  <c r="N138" i="2"/>
  <c r="M138" i="2"/>
  <c r="H135" i="2"/>
  <c r="P136" i="2"/>
  <c r="Q130" i="2"/>
  <c r="D138" i="2"/>
  <c r="F138" i="2"/>
  <c r="E138" i="2"/>
  <c r="AA126" i="2"/>
  <c r="E135" i="2"/>
  <c r="AD136" i="2"/>
  <c r="B138" i="2"/>
  <c r="X128" i="2"/>
  <c r="A138" i="2"/>
  <c r="T134" i="2"/>
  <c r="B135" i="2"/>
  <c r="U132" i="2"/>
  <c r="A139" i="2"/>
  <c r="C138" i="2"/>
  <c r="Y128" i="2"/>
  <c r="Z128" i="2" l="1"/>
  <c r="I136" i="2"/>
  <c r="K138" i="2"/>
  <c r="S138" i="2"/>
  <c r="AB126" i="2"/>
  <c r="C127" i="2" s="1"/>
  <c r="G138" i="2"/>
  <c r="W132" i="2"/>
  <c r="J142" i="2"/>
  <c r="V134" i="2"/>
  <c r="H137" i="2"/>
  <c r="B137" i="2"/>
  <c r="F140" i="2"/>
  <c r="A140" i="2"/>
  <c r="X130" i="2"/>
  <c r="T136" i="2"/>
  <c r="AD138" i="2"/>
  <c r="H138" i="2"/>
  <c r="M140" i="2"/>
  <c r="U134" i="2"/>
  <c r="E140" i="2"/>
  <c r="E137" i="2"/>
  <c r="D137" i="2"/>
  <c r="B140" i="2"/>
  <c r="A141" i="2"/>
  <c r="Y130" i="2"/>
  <c r="AA128" i="2"/>
  <c r="Q132" i="2"/>
  <c r="C140" i="2"/>
  <c r="L140" i="2"/>
  <c r="P138" i="2"/>
  <c r="N140" i="2"/>
  <c r="D140" i="2"/>
  <c r="AB128" i="2" l="1"/>
  <c r="C129" i="2" s="1"/>
  <c r="Z130" i="2"/>
  <c r="K140" i="2"/>
  <c r="I138" i="2"/>
  <c r="S140" i="2"/>
  <c r="G140" i="2"/>
  <c r="W134" i="2"/>
  <c r="J144" i="2"/>
  <c r="P140" i="2"/>
  <c r="AD140" i="2"/>
  <c r="E139" i="2"/>
  <c r="F142" i="2"/>
  <c r="A142" i="2"/>
  <c r="T138" i="2"/>
  <c r="N142" i="2"/>
  <c r="H140" i="2"/>
  <c r="AA130" i="2"/>
  <c r="H139" i="2"/>
  <c r="B142" i="2"/>
  <c r="A143" i="2"/>
  <c r="C142" i="2"/>
  <c r="X132" i="2"/>
  <c r="E142" i="2"/>
  <c r="D139" i="2"/>
  <c r="U136" i="2"/>
  <c r="M142" i="2"/>
  <c r="L142" i="2"/>
  <c r="Y132" i="2"/>
  <c r="B139" i="2"/>
  <c r="Q134" i="2"/>
  <c r="V136" i="2"/>
  <c r="D142" i="2"/>
  <c r="W136" i="2" l="1"/>
  <c r="Z132" i="2"/>
  <c r="I140" i="2"/>
  <c r="K142" i="2"/>
  <c r="S142" i="2"/>
  <c r="AB130" i="2"/>
  <c r="C131" i="2" s="1"/>
  <c r="G142" i="2"/>
  <c r="AD142" i="2"/>
  <c r="U138" i="2"/>
  <c r="E141" i="2"/>
  <c r="Y134" i="2"/>
  <c r="M144" i="2"/>
  <c r="L144" i="2"/>
  <c r="F144" i="2"/>
  <c r="D141" i="2"/>
  <c r="E144" i="2"/>
  <c r="B144" i="2"/>
  <c r="H141" i="2"/>
  <c r="X134" i="2"/>
  <c r="A145" i="2"/>
  <c r="AA132" i="2"/>
  <c r="V138" i="2"/>
  <c r="D144" i="2"/>
  <c r="P142" i="2"/>
  <c r="Q136" i="2"/>
  <c r="H142" i="2"/>
  <c r="B141" i="2"/>
  <c r="T140" i="2"/>
  <c r="A144" i="2"/>
  <c r="C144" i="2"/>
  <c r="N144" i="2"/>
  <c r="W138" i="2" l="1"/>
  <c r="AB132" i="2"/>
  <c r="C133" i="2" s="1"/>
  <c r="I144" i="2"/>
  <c r="H3" i="2" s="1"/>
  <c r="I142" i="2"/>
  <c r="K144" i="2"/>
  <c r="S144" i="2"/>
  <c r="G144" i="2"/>
  <c r="G7" i="2"/>
  <c r="Z134" i="2"/>
  <c r="H144" i="2"/>
  <c r="B143" i="2"/>
  <c r="P144" i="2"/>
  <c r="D143" i="2"/>
  <c r="AD144" i="2"/>
  <c r="Q138" i="2"/>
  <c r="T142" i="2"/>
  <c r="Y136" i="2"/>
  <c r="U140" i="2"/>
  <c r="V140" i="2"/>
  <c r="H143" i="2"/>
  <c r="AA134" i="2"/>
  <c r="E143" i="2"/>
  <c r="X136" i="2"/>
  <c r="AB134" i="2" l="1"/>
  <c r="C135" i="2" s="1"/>
  <c r="W140" i="2"/>
  <c r="Z136" i="2"/>
  <c r="Q140" i="2"/>
  <c r="H145" i="2"/>
  <c r="Y138" i="2"/>
  <c r="E145" i="2"/>
  <c r="T144" i="2"/>
  <c r="AA136" i="2"/>
  <c r="U142" i="2"/>
  <c r="B145" i="2"/>
  <c r="X138" i="2"/>
  <c r="V142" i="2"/>
  <c r="D145" i="2"/>
  <c r="W142" i="2" l="1"/>
  <c r="AB136" i="2"/>
  <c r="C137" i="2" s="1"/>
  <c r="H7" i="2"/>
  <c r="Z138" i="2"/>
  <c r="AA138" i="2"/>
  <c r="U144" i="2"/>
  <c r="X140" i="2"/>
  <c r="Y140" i="2"/>
  <c r="V144" i="2"/>
  <c r="Q142" i="2"/>
  <c r="W144" i="2" l="1"/>
  <c r="Z140" i="2"/>
  <c r="AB138" i="2"/>
  <c r="C139" i="2" s="1"/>
  <c r="AA140" i="2"/>
  <c r="X142" i="2"/>
  <c r="Y142" i="2"/>
  <c r="Q144" i="2"/>
  <c r="Z142" i="2" l="1"/>
  <c r="AB140" i="2"/>
  <c r="C141" i="2" s="1"/>
  <c r="AA142" i="2"/>
  <c r="Y144" i="2"/>
  <c r="X144" i="2"/>
  <c r="Z144" i="2" l="1"/>
  <c r="AB142" i="2"/>
  <c r="C143" i="2" s="1"/>
  <c r="AA144" i="2"/>
  <c r="AB144" i="2" l="1"/>
  <c r="C145" i="2" s="1"/>
</calcChain>
</file>

<file path=xl/sharedStrings.xml><?xml version="1.0" encoding="utf-8"?>
<sst xmlns="http://schemas.openxmlformats.org/spreadsheetml/2006/main" count="33" uniqueCount="30">
  <si>
    <t>EAN13_traite.csv</t>
  </si>
  <si>
    <t>Requêteur de prix</t>
  </si>
  <si>
    <t>Code type : ex. EVS18</t>
  </si>
  <si>
    <t>Fichier traité</t>
  </si>
  <si>
    <t>Catalogue</t>
  </si>
  <si>
    <t>Catalogue : ex. catalogo Spring 19</t>
  </si>
  <si>
    <t>base.EAN13.csv</t>
  </si>
  <si>
    <t>Code produit : ex. OBAGB, *PK06</t>
  </si>
  <si>
    <t>Offset initial</t>
  </si>
  <si>
    <t>Fichier Valmag EAN13</t>
  </si>
  <si>
    <t>Valmag EAN13</t>
  </si>
  <si>
    <t>Contrôle</t>
  </si>
  <si>
    <t>Fichier base catalogues</t>
  </si>
  <si>
    <t>Base catalogue</t>
  </si>
  <si>
    <t>CodeBarre</t>
  </si>
  <si>
    <t>RefProduit</t>
  </si>
  <si>
    <t>Filtre catalogue</t>
  </si>
  <si>
    <t>Synthèse de facture Proforma</t>
  </si>
  <si>
    <t>Total produits</t>
  </si>
  <si>
    <t>Requêteur de référence Valmag</t>
  </si>
  <si>
    <r>
      <rPr>
        <b/>
        <sz val="11"/>
        <color theme="1"/>
        <rFont val="Calibri"/>
        <family val="2"/>
        <scheme val="minor"/>
      </rPr>
      <t>Mode d'emploi</t>
    </r>
    <r>
      <rPr>
        <sz val="11"/>
        <color theme="1"/>
        <rFont val="Calibri"/>
        <family val="2"/>
        <scheme val="minor"/>
      </rPr>
      <t xml:space="preserve"> : ouvrir les fichiers :</t>
    </r>
  </si>
  <si>
    <t>base.ValmagEAN13.csv</t>
  </si>
  <si>
    <t>HLESGC00</t>
  </si>
  <si>
    <t>Si filtre catalogue, ouvrir le fichier PRODUIT correspondant</t>
  </si>
  <si>
    <t>Filtre pour le catalogue :</t>
  </si>
  <si>
    <t>base.ValmagEAN13.code.uniq.csv</t>
  </si>
  <si>
    <t>Doublon ?</t>
  </si>
  <si>
    <t>Code produit</t>
  </si>
  <si>
    <t>Valmag EAN13 uniq</t>
  </si>
  <si>
    <t>catalogo fall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</si>
</sst>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3"/>
      <color theme="1"/>
      <name val="Calibri"/>
      <family val="2"/>
      <scheme val="minor"/>
    </font>
    <font>
      <sz val="35"/>
      <color theme="1"/>
      <name val="Code EAN13"/>
      <charset val="2"/>
    </font>
    <font>
      <b/>
      <i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i/>
      <sz val="13"/>
      <color theme="4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0" fillId="3" borderId="1" xfId="0" applyFill="1" applyBorder="1"/>
    <xf numFmtId="44" fontId="0" fillId="4" borderId="0" xfId="1" applyFont="1" applyFill="1"/>
    <xf numFmtId="0" fontId="0" fillId="5" borderId="1" xfId="0" applyFill="1" applyBorder="1"/>
    <xf numFmtId="0" fontId="0" fillId="3" borderId="0" xfId="0" applyFill="1"/>
    <xf numFmtId="0" fontId="0" fillId="2" borderId="1" xfId="0" applyFill="1" applyBorder="1"/>
    <xf numFmtId="44" fontId="0" fillId="6" borderId="0" xfId="1" applyFont="1" applyFill="1"/>
    <xf numFmtId="0" fontId="0" fillId="3" borderId="1" xfId="0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164" fontId="4" fillId="3" borderId="0" xfId="0" applyNumberFormat="1" applyFon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" fontId="0" fillId="2" borderId="0" xfId="0" applyNumberFormat="1" applyFill="1"/>
    <xf numFmtId="0" fontId="0" fillId="2" borderId="2" xfId="0" applyFill="1" applyBorder="1"/>
    <xf numFmtId="0" fontId="2" fillId="2" borderId="0" xfId="0" applyFon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vertical="center"/>
    </xf>
    <xf numFmtId="0" fontId="7" fillId="3" borderId="0" xfId="0" applyFont="1" applyFill="1" applyAlignment="1">
      <alignment horizontal="right"/>
    </xf>
    <xf numFmtId="0" fontId="0" fillId="3" borderId="3" xfId="0" applyFill="1" applyBorder="1"/>
    <xf numFmtId="1" fontId="2" fillId="2" borderId="0" xfId="0" applyNumberFormat="1" applyFont="1" applyFill="1"/>
    <xf numFmtId="0" fontId="9" fillId="3" borderId="0" xfId="0" applyFont="1" applyFill="1" applyAlignment="1">
      <alignment horizontal="center" vertical="center"/>
    </xf>
    <xf numFmtId="0" fontId="4" fillId="3" borderId="0" xfId="0" applyFont="1" applyFill="1"/>
    <xf numFmtId="0" fontId="5" fillId="3" borderId="0" xfId="0" applyFont="1" applyFill="1"/>
    <xf numFmtId="164" fontId="10" fillId="3" borderId="0" xfId="0" applyNumberFormat="1" applyFont="1" applyFill="1"/>
    <xf numFmtId="164" fontId="3" fillId="3" borderId="0" xfId="0" applyNumberFormat="1" applyFont="1" applyFill="1"/>
    <xf numFmtId="0" fontId="8" fillId="3" borderId="0" xfId="0" applyFont="1" applyFill="1" applyAlignment="1">
      <alignment horizontal="center"/>
    </xf>
    <xf numFmtId="0" fontId="6" fillId="3" borderId="0" xfId="0" applyFont="1" applyFill="1" applyAlignment="1">
      <alignment horizontal="right"/>
    </xf>
    <xf numFmtId="0" fontId="11" fillId="3" borderId="0" xfId="0" applyFont="1" applyFill="1" applyAlignment="1">
      <alignment horizontal="right" vertical="center"/>
    </xf>
    <xf numFmtId="0" fontId="2" fillId="3" borderId="3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Border="1"/>
    <xf numFmtId="0" fontId="8" fillId="3" borderId="0" xfId="0" applyFont="1" applyFill="1"/>
    <xf numFmtId="164" fontId="13" fillId="3" borderId="0" xfId="0" applyNumberFormat="1" applyFont="1" applyFill="1" applyAlignment="1">
      <alignment horizontal="left"/>
    </xf>
    <xf numFmtId="0" fontId="14" fillId="3" borderId="0" xfId="0" applyFont="1" applyFill="1"/>
    <xf numFmtId="0" fontId="12" fillId="3" borderId="0" xfId="0" applyFont="1" applyFill="1"/>
    <xf numFmtId="0" fontId="0" fillId="4" borderId="0" xfId="0" applyFill="1"/>
    <xf numFmtId="0" fontId="2" fillId="4" borderId="0" xfId="0" applyFont="1" applyFill="1"/>
    <xf numFmtId="0" fontId="0" fillId="8" borderId="0" xfId="0" applyFill="1"/>
    <xf numFmtId="0" fontId="2" fillId="8" borderId="0" xfId="0" applyFont="1" applyFill="1"/>
    <xf numFmtId="0" fontId="0" fillId="4" borderId="0" xfId="0" applyFill="1" applyBorder="1"/>
    <xf numFmtId="0" fontId="15" fillId="3" borderId="0" xfId="0" applyFont="1" applyFill="1" applyAlignment="1">
      <alignment horizontal="right"/>
    </xf>
    <xf numFmtId="164" fontId="16" fillId="3" borderId="0" xfId="0" applyNumberFormat="1" applyFont="1" applyFill="1"/>
    <xf numFmtId="164" fontId="17" fillId="3" borderId="0" xfId="0" applyNumberFormat="1" applyFont="1" applyFill="1"/>
    <xf numFmtId="0" fontId="0" fillId="8" borderId="0" xfId="0" applyFont="1" applyFill="1"/>
    <xf numFmtId="1" fontId="0" fillId="10" borderId="0" xfId="0" applyNumberFormat="1" applyFill="1"/>
    <xf numFmtId="0" fontId="0" fillId="11" borderId="0" xfId="0" applyFill="1"/>
    <xf numFmtId="0" fontId="0" fillId="10" borderId="0" xfId="0" applyFill="1"/>
    <xf numFmtId="0" fontId="2" fillId="12" borderId="0" xfId="0" applyFont="1" applyFill="1"/>
    <xf numFmtId="1" fontId="0" fillId="12" borderId="0" xfId="0" applyNumberFormat="1" applyFill="1"/>
    <xf numFmtId="1" fontId="18" fillId="3" borderId="0" xfId="0" applyNumberFormat="1" applyFont="1" applyFill="1" applyAlignment="1">
      <alignment vertical="center"/>
    </xf>
    <xf numFmtId="0" fontId="0" fillId="9" borderId="0" xfId="0" applyFill="1"/>
    <xf numFmtId="0" fontId="0" fillId="13" borderId="0" xfId="0" applyFill="1"/>
    <xf numFmtId="0" fontId="0" fillId="14" borderId="0" xfId="0" applyFill="1"/>
    <xf numFmtId="0" fontId="19" fillId="3" borderId="0" xfId="0" applyFont="1" applyFill="1" applyAlignment="1">
      <alignment vertical="center"/>
    </xf>
    <xf numFmtId="0" fontId="20" fillId="3" borderId="0" xfId="0" applyFont="1" applyFill="1" applyBorder="1" applyAlignment="1">
      <alignment vertical="center"/>
    </xf>
  </cellXfs>
  <cellStyles count="2">
    <cellStyle name="Monétaire" xfId="1" builtinId="4"/>
    <cellStyle name="Normal" xfId="0" builtinId="0"/>
  </cellStyles>
  <dxfs count="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AE145"/>
  <sheetViews>
    <sheetView tabSelected="1" workbookViewId="0">
      <pane ySplit="7" topLeftCell="A10" activePane="bottomLeft" state="frozen"/>
      <selection activeCell="A58" sqref="A58"/>
      <selection pane="bottomLeft" activeCell="L4" sqref="L4"/>
    </sheetView>
  </sheetViews>
  <sheetFormatPr baseColWidth="10" defaultRowHeight="15" x14ac:dyDescent="0.25"/>
  <cols>
    <col min="1" max="1" width="7.5703125" style="5" customWidth="1"/>
    <col min="2" max="2" width="23.7109375" style="5" customWidth="1"/>
    <col min="3" max="3" width="99.42578125" style="5" customWidth="1"/>
    <col min="4" max="4" width="23.28515625" style="5" customWidth="1"/>
    <col min="5" max="5" width="12.42578125" style="5" customWidth="1"/>
    <col min="6" max="6" width="13.28515625" style="5" customWidth="1"/>
    <col min="7" max="7" width="11.28515625" style="5" customWidth="1"/>
    <col min="8" max="8" width="20.140625" style="5" bestFit="1" customWidth="1"/>
    <col min="9" max="9" width="11.42578125" style="1"/>
    <col min="10" max="10" width="15.85546875" style="1" bestFit="1" customWidth="1"/>
    <col min="11" max="13" width="11.42578125" style="1"/>
    <col min="14" max="14" width="14" style="1" bestFit="1" customWidth="1"/>
    <col min="15" max="15" width="14" style="1" customWidth="1"/>
    <col min="16" max="16" width="13.7109375" style="1" bestFit="1" customWidth="1"/>
    <col min="17" max="19" width="13.7109375" style="1" customWidth="1"/>
    <col min="20" max="20" width="6.5703125" style="1" customWidth="1"/>
    <col min="21" max="21" width="26.42578125" style="14" customWidth="1"/>
    <col min="22" max="23" width="6.5703125" style="14" customWidth="1"/>
    <col min="24" max="24" width="25.5703125" style="14" customWidth="1"/>
    <col min="25" max="26" width="6.5703125" style="14" customWidth="1"/>
    <col min="27" max="28" width="16.7109375" style="14" customWidth="1"/>
    <col min="29" max="29" width="19.42578125" style="14" customWidth="1"/>
    <col min="30" max="30" width="16.7109375" style="1" bestFit="1" customWidth="1"/>
    <col min="31" max="32" width="14" style="1" bestFit="1" customWidth="1"/>
    <col min="33" max="16384" width="11.42578125" style="1"/>
  </cols>
  <sheetData>
    <row r="1" spans="1:31" ht="32.25" x14ac:dyDescent="0.5">
      <c r="C1" s="36" t="s">
        <v>17</v>
      </c>
      <c r="H1" s="32" t="str">
        <f ca="1">INDEX(INDIRECT(zoneFichierTraite), 1,5)</f>
        <v>2019-03-Reassort/PROF724TOULOUSE.txt</v>
      </c>
      <c r="I1" s="42" t="s">
        <v>20</v>
      </c>
      <c r="J1" s="42"/>
      <c r="K1" s="42"/>
      <c r="L1" s="42"/>
    </row>
    <row r="2" spans="1:31" x14ac:dyDescent="0.25">
      <c r="I2" s="48" t="str">
        <f>"- Commande / " &amp; nomFichierTraite</f>
        <v>- Commande / EAN13_traite.csv</v>
      </c>
      <c r="J2" s="43"/>
      <c r="K2" s="42"/>
      <c r="L2" s="42"/>
    </row>
    <row r="3" spans="1:31" ht="26.25" x14ac:dyDescent="0.4">
      <c r="C3" s="38" t="str">
        <f ca="1">INDEX(INDIRECT(zoneFichierTraite), 3,5)</f>
        <v>2019 50 724 27/03/2019</v>
      </c>
      <c r="H3" s="45" t="str">
        <f ca="1">IF(OR(I:I),"Attention : il existe des lignes en double","")</f>
        <v/>
      </c>
      <c r="I3" s="48" t="str">
        <f>"- Catalogues / " &amp; nomFichierBaseCatalogue</f>
        <v>- Catalogues / base.EAN13.csv</v>
      </c>
      <c r="J3" s="42"/>
      <c r="K3" s="42"/>
      <c r="L3" s="42"/>
    </row>
    <row r="4" spans="1:31" ht="19.5" x14ac:dyDescent="0.3">
      <c r="C4" s="39" t="str">
        <f ca="1">INDEX(INDIRECT(zoneFichierTraite), 2,5)</f>
        <v>TOULOUSE</v>
      </c>
      <c r="H4" s="34" t="s">
        <v>24</v>
      </c>
      <c r="I4" s="48" t="str">
        <f>"- Catalogues / " &amp; nomFichierEAN13Valmag</f>
        <v>- Catalogues / base.ValmagEAN13.csv</v>
      </c>
      <c r="J4" s="42"/>
      <c r="K4" s="42"/>
      <c r="L4" s="42"/>
    </row>
    <row r="5" spans="1:31" x14ac:dyDescent="0.25">
      <c r="B5" s="32"/>
      <c r="F5" s="23"/>
      <c r="G5" s="23"/>
      <c r="H5" s="33" t="s">
        <v>29</v>
      </c>
      <c r="I5" s="48" t="str">
        <f>"- Catalogues / " &amp; nomFichierEAN13ValmagUniq</f>
        <v>- Catalogues / base.ValmagEAN13.code.uniq.csv</v>
      </c>
      <c r="J5" s="42"/>
      <c r="K5" s="42"/>
      <c r="L5" s="42"/>
      <c r="M5" s="41" t="s">
        <v>23</v>
      </c>
    </row>
    <row r="6" spans="1:31" ht="17.25" x14ac:dyDescent="0.3">
      <c r="B6" s="32" t="str">
        <f ca="1">INDEX(INDIRECT(zoneFichierTraite), 4,3)</f>
        <v>Total facture</v>
      </c>
      <c r="C6" s="37">
        <f ca="1">INDEX(INDIRECT(zoneFichierTraite), 4,5)</f>
        <v>811.95</v>
      </c>
      <c r="I6" s="44" t="str">
        <f>"'[" &amp; H5 &amp; ".PRODUIT" &amp; ".csv]" &amp; H5 &amp; ".PRODUIT'"</f>
        <v>'[catalogo fall 19.PRODUIT.csv]catalogo fall 19.PRODUIT'</v>
      </c>
      <c r="J6" s="40"/>
      <c r="K6" s="40"/>
      <c r="L6" s="40"/>
    </row>
    <row r="7" spans="1:31" ht="23.25" x14ac:dyDescent="0.35">
      <c r="B7" s="32" t="s">
        <v>18</v>
      </c>
      <c r="C7" s="46" t="str">
        <f ca="1">INDEX(INDIRECT(zoneFichierTraite), 6,5)</f>
        <v>768.95</v>
      </c>
      <c r="F7" s="22" t="s">
        <v>11</v>
      </c>
      <c r="G7" s="29">
        <f ca="1">SUM(M:M)</f>
        <v>768.94999999999993</v>
      </c>
      <c r="H7" s="47">
        <f ca="1">SUMPRODUCT(E:E,F:F)</f>
        <v>768.94999999999993</v>
      </c>
      <c r="K7" s="35" t="str">
        <f>nomFichierFiltreCatalogue &amp; "!A:Z"</f>
        <v>'[catalogo fall 19.PRODUIT.csv]catalogo fall 19.PRODUIT'!A:Z</v>
      </c>
    </row>
    <row r="8" spans="1:31" x14ac:dyDescent="0.25">
      <c r="L8" s="16" t="s">
        <v>3</v>
      </c>
      <c r="P8" s="16" t="s">
        <v>10</v>
      </c>
      <c r="Q8" s="16"/>
      <c r="R8" s="16"/>
      <c r="S8" s="16" t="s">
        <v>28</v>
      </c>
      <c r="T8" s="1" t="s">
        <v>13</v>
      </c>
      <c r="U8" s="24"/>
      <c r="V8" s="24"/>
      <c r="W8" s="24"/>
      <c r="X8" s="24"/>
      <c r="Y8" s="24"/>
      <c r="Z8" s="24"/>
      <c r="AA8" s="24"/>
      <c r="AB8" s="24"/>
      <c r="AC8" s="24"/>
      <c r="AD8" s="16" t="s">
        <v>16</v>
      </c>
    </row>
    <row r="9" spans="1:31" x14ac:dyDescent="0.25">
      <c r="I9" s="16" t="s">
        <v>26</v>
      </c>
      <c r="P9" s="1" t="s">
        <v>14</v>
      </c>
      <c r="Q9" s="1" t="s">
        <v>15</v>
      </c>
      <c r="S9" s="1" t="s">
        <v>27</v>
      </c>
    </row>
    <row r="10" spans="1:31" ht="39" customHeight="1" thickBot="1" x14ac:dyDescent="0.65">
      <c r="A10" s="9" t="str">
        <f ca="1">INDEX(INDIRECT(zoneFichierTraite),$J10+offsetInitialFichierTraite,6)</f>
        <v>UNICA</v>
      </c>
      <c r="B10" s="5" t="str">
        <f ca="1">INDEX(INDIRECT(zoneFichierTraite),$J10+offsetInitialFichierTraite,4)</f>
        <v>HLESD000-ECS35-371</v>
      </c>
      <c r="C10" s="26" t="str">
        <f ca="1">INDEX(INDIRECT(zoneFichierTraite),$J10+offsetInitialFichierTraite,5)</f>
        <v>ANSES LONGUES ADAPTABLES EN FAUX CUIR BASIC</v>
      </c>
      <c r="D10" s="27" t="str">
        <f ca="1">INDEX(INDIRECT(zoneFichierTraite),$J10+offsetInitialFichierTraite,13)</f>
        <v>CodeBarre</v>
      </c>
      <c r="E10" s="30">
        <f ca="1">INDEX(INDIRECT(zoneFichierTraite),$J10+offsetInitialFichierTraite,7)</f>
        <v>3</v>
      </c>
      <c r="F10" s="28">
        <f ca="1">INDEX(INDIRECT(zoneFichierTraite),$J10+offsetInitialFichierTraite,8)</f>
        <v>14.4</v>
      </c>
      <c r="G10" s="29">
        <f t="shared" ref="G10:G73" ca="1" si="0">ROUNDUP(F10*3,0)</f>
        <v>44</v>
      </c>
      <c r="H10" s="31" t="str">
        <f ca="1">IF(ISNUMBER(N10),codeEAN13(INT(N10/10)),"")</f>
        <v/>
      </c>
      <c r="I10" s="1" t="b">
        <f t="shared" ref="I10" ca="1" si="1">AND(A13&lt;&gt;0,A11=A13)</f>
        <v>0</v>
      </c>
      <c r="J10" s="15">
        <f t="shared" ref="J10:J72" si="2">J8+1</f>
        <v>1</v>
      </c>
      <c r="K10" s="1">
        <f t="shared" ref="K10:K73" ca="1" si="3">A11</f>
        <v>2</v>
      </c>
      <c r="L10" s="5" t="str">
        <f ca="1">INDEX(INDIRECT(zoneFichierTraite),$J10+offsetInitialFichierTraite,1)</f>
        <v>'001</v>
      </c>
      <c r="M10" s="11">
        <f ca="1">INDEX(INDIRECT(zoneFichierTraite),$J10+offsetInitialFichierTraite,9)</f>
        <v>43.2</v>
      </c>
      <c r="N10" s="14" t="str">
        <f ca="1">INDEX(INDIRECT(zoneFichierTraite),$J10+offsetInitialFichierTraite,3)</f>
        <v>CodeBarre</v>
      </c>
      <c r="O10" s="14"/>
      <c r="P10" s="56" t="e">
        <f ca="1">MATCH(N10,INDIRECT(nomFichierEAN13Valmag &amp; "!A:A"),0)</f>
        <v>#N/A</v>
      </c>
      <c r="Q10" s="57" t="e">
        <f ca="1">MATCH(U10,INDIRECT(nomFichierEAN13Valmag &amp; "!A:A"),0)</f>
        <v>#N/A</v>
      </c>
      <c r="S10" s="50" t="str">
        <f t="shared" ref="S10:S73" ca="1" si="4">LEFT(B10,14)</f>
        <v>HLESD000-ECS35</v>
      </c>
      <c r="T10" s="52">
        <f ca="1">MATCH($S10,INDIRECT(nomFichierEAN13ValmagUniq &amp; "!A:A"),0)</f>
        <v>26</v>
      </c>
      <c r="U10" s="49" t="str">
        <f ca="1">IFERROR(INDEX(INDIRECT(zoneFichierEAN13ValmagUniq),T10,2),"")</f>
        <v>ANSES/ALLONGEABL</v>
      </c>
      <c r="V10" s="52">
        <f ca="1">MATCH($S10,INDIRECT(nomFichierEAN13ValmagUniq &amp; "!A" &amp; (T10+1) &amp; ":A" &amp;  (T10+10)),0)</f>
        <v>1</v>
      </c>
      <c r="W10" s="51">
        <f t="shared" ref="W10" ca="1" si="5">V10+T10</f>
        <v>27</v>
      </c>
      <c r="X10" s="49" t="str">
        <f ca="1">IFERROR(INDEX(INDIRECT(zoneFichierEAN13ValmagUniq),W10,2),"")</f>
        <v>ANSES/F.CUIRCOMP</v>
      </c>
      <c r="Y10" s="52" t="e">
        <f ca="1">MATCH($S10,INDIRECT(nomFichierEAN13ValmagUniq &amp; "!A" &amp; (W10+1) &amp; ":A" &amp;  (W10+10)),0)</f>
        <v>#N/A</v>
      </c>
      <c r="Z10" s="51" t="e">
        <f t="shared" ref="Z10" ca="1" si="6">Y10+W10</f>
        <v>#N/A</v>
      </c>
      <c r="AA10" s="49" t="str">
        <f ca="1">IFERROR(INDEX(INDIRECT(zoneFichierEAN13ValmagUniq),Z10,2),"")</f>
        <v/>
      </c>
      <c r="AB10" s="53" t="str">
        <f t="shared" ref="AB10" ca="1" si="7">U10 &amp; IF(X10="","", " | " &amp; X10) &amp; IF(AA10="","", " | " &amp;AA10)</f>
        <v>ANSES/ALLONGEABL | ANSES/F.CUIRCOMP</v>
      </c>
      <c r="AD10" s="55">
        <f ca="1">MATCH(B10,INDIRECT(nomFichierFiltreCatalogue &amp; "!B:B"),0)</f>
        <v>123</v>
      </c>
      <c r="AE10" s="14"/>
    </row>
    <row r="11" spans="1:31" s="20" customFormat="1" ht="15.75" customHeight="1" x14ac:dyDescent="0.25">
      <c r="A11" s="25">
        <f ca="1">INDEX(INDIRECT(zoneFichierTraite),$J10+offsetInitialFichierTraite,2)</f>
        <v>2</v>
      </c>
      <c r="B11" s="58" t="str">
        <f ca="1">IFERROR(INDEX(INDIRECT(zoneFichierEAN13Valmag),$P10,3),"")</f>
        <v/>
      </c>
      <c r="C11" s="54" t="str">
        <f t="shared" ref="C11:C74" ca="1" si="8">AB10</f>
        <v>ANSES/ALLONGEABL | ANSES/F.CUIRCOMP</v>
      </c>
      <c r="D11" s="19" t="str">
        <f ca="1">IFERROR(INDEX(INDIRECT(zoneFichierEAN13Valmag),$P10,4),"")</f>
        <v/>
      </c>
      <c r="E11" s="59" t="str">
        <f ca="1">IFERROR(INDEX(INDIRECT(zoneFichierFiltreCatalogue),AD10,3),"")</f>
        <v>p026-1-02</v>
      </c>
      <c r="F11" s="19"/>
      <c r="G11" s="18"/>
      <c r="H11" s="32" t="str">
        <f ca="1">IFERROR(INDEX(INDIRECT(zoneFichierFiltreCatalogue),AD10,6),"")</f>
        <v>fall 2019 presentation_/catalogo fall 19.txt</v>
      </c>
      <c r="T11" s="1"/>
      <c r="U11" s="21"/>
      <c r="V11" s="21"/>
      <c r="W11" s="21"/>
      <c r="X11" s="21"/>
      <c r="Y11" s="21"/>
      <c r="Z11" s="21"/>
      <c r="AA11" s="21"/>
      <c r="AB11" s="21"/>
      <c r="AC11" s="21"/>
      <c r="AD11" s="21"/>
    </row>
    <row r="12" spans="1:31" ht="39" customHeight="1" thickBot="1" x14ac:dyDescent="0.65">
      <c r="A12" s="9" t="str">
        <f ca="1">INDEX(INDIRECT(zoneFichierTraite),$J12+offsetInitialFichierTraite,6)</f>
        <v>UNICA</v>
      </c>
      <c r="B12" s="5" t="str">
        <f ca="1">INDEX(INDIRECT(zoneFichierTraite),$J12+offsetInitialFichierTraite,4)</f>
        <v>HLESGC00-ECS04-038</v>
      </c>
      <c r="C12" s="26" t="str">
        <f ca="1">INDEX(INDIRECT(zoneFichierTraite),$J12+offsetInitialFichierTraite,5)</f>
        <v>ANSES COURTES EN FAUX CUIR POMPON</v>
      </c>
      <c r="D12" s="27" t="str">
        <f ca="1">INDEX(INDIRECT(zoneFichierTraite),$J12+offsetInitialFichierTraite,13)</f>
        <v>CodeBarre</v>
      </c>
      <c r="E12" s="30">
        <f ca="1">INDEX(INDIRECT(zoneFichierTraite),$J12+offsetInitialFichierTraite,7)</f>
        <v>2</v>
      </c>
      <c r="F12" s="28">
        <f ca="1">INDEX(INDIRECT(zoneFichierTraite),$J12+offsetInitialFichierTraite,8)</f>
        <v>6.05</v>
      </c>
      <c r="G12" s="29">
        <f t="shared" ref="G12:G75" ca="1" si="9">ROUNDUP(F12*3,0)</f>
        <v>19</v>
      </c>
      <c r="H12" s="31" t="str">
        <f ca="1">IF(ISNUMBER(N12),codeEAN13(INT(N12/10)),"")</f>
        <v/>
      </c>
      <c r="I12" s="1" t="b">
        <f t="shared" ref="I12" ca="1" si="10">AND(A15&lt;&gt;0,A13=A15)</f>
        <v>0</v>
      </c>
      <c r="J12" s="15">
        <f t="shared" si="2"/>
        <v>2</v>
      </c>
      <c r="K12" s="1">
        <f t="shared" ref="K12:K75" ca="1" si="11">A13</f>
        <v>34</v>
      </c>
      <c r="L12" s="5" t="str">
        <f ca="1">INDEX(INDIRECT(zoneFichierTraite),$J12+offsetInitialFichierTraite,1)</f>
        <v>'002</v>
      </c>
      <c r="M12" s="11">
        <f ca="1">INDEX(INDIRECT(zoneFichierTraite),$J12+offsetInitialFichierTraite,9)</f>
        <v>12.1</v>
      </c>
      <c r="N12" s="14" t="str">
        <f ca="1">INDEX(INDIRECT(zoneFichierTraite),$J12+offsetInitialFichierTraite,3)</f>
        <v>CodeBarre</v>
      </c>
      <c r="O12" s="14"/>
      <c r="P12" s="56" t="e">
        <f ca="1">MATCH(N12,INDIRECT(nomFichierEAN13Valmag &amp; "!A:A"),0)</f>
        <v>#N/A</v>
      </c>
      <c r="Q12" s="57" t="e">
        <f ca="1">MATCH(U12,INDIRECT(nomFichierEAN13Valmag &amp; "!A:A"),0)</f>
        <v>#N/A</v>
      </c>
      <c r="S12" s="50" t="str">
        <f t="shared" ref="S12:S75" ca="1" si="12">LEFT(B12,14)</f>
        <v>HLESGC00-ECS04</v>
      </c>
      <c r="T12" s="52" t="e">
        <f ca="1">MATCH($S12,INDIRECT(nomFichierEAN13ValmagUniq &amp; "!A:A"),0)</f>
        <v>#N/A</v>
      </c>
      <c r="U12" s="49" t="str">
        <f ca="1">IFERROR(INDEX(INDIRECT(zoneFichierEAN13ValmagUniq),T12,2),"")</f>
        <v/>
      </c>
      <c r="V12" s="52" t="e">
        <f ca="1">MATCH($S12,INDIRECT(nomFichierEAN13ValmagUniq &amp; "!A" &amp; (T12+1) &amp; ":A" &amp;  (T12+10)),0)</f>
        <v>#N/A</v>
      </c>
      <c r="W12" s="51" t="e">
        <f t="shared" ref="W12" ca="1" si="13">V12+T12</f>
        <v>#N/A</v>
      </c>
      <c r="X12" s="49" t="str">
        <f ca="1">IFERROR(INDEX(INDIRECT(zoneFichierEAN13ValmagUniq),W12,2),"")</f>
        <v/>
      </c>
      <c r="Y12" s="52" t="e">
        <f ca="1">MATCH($S12,INDIRECT(nomFichierEAN13ValmagUniq &amp; "!A" &amp; (W12+1) &amp; ":A" &amp;  (W12+10)),0)</f>
        <v>#N/A</v>
      </c>
      <c r="Z12" s="51" t="e">
        <f t="shared" ref="Z12" ca="1" si="14">Y12+W12</f>
        <v>#N/A</v>
      </c>
      <c r="AA12" s="49" t="str">
        <f ca="1">IFERROR(INDEX(INDIRECT(zoneFichierEAN13ValmagUniq),Z12,2),"")</f>
        <v/>
      </c>
      <c r="AB12" s="53" t="str">
        <f t="shared" ref="AB12" ca="1" si="15">U12 &amp; IF(X12="","", " | " &amp; X12) &amp; IF(AA12="","", " | " &amp;AA12)</f>
        <v/>
      </c>
      <c r="AD12" s="55">
        <f ca="1">MATCH(B12,INDIRECT(nomFichierFiltreCatalogue &amp; "!B:B"),0)</f>
        <v>163</v>
      </c>
      <c r="AE12" s="14"/>
    </row>
    <row r="13" spans="1:31" s="20" customFormat="1" ht="15.75" customHeight="1" x14ac:dyDescent="0.25">
      <c r="A13" s="25">
        <f ca="1">INDEX(INDIRECT(zoneFichierTraite),$J12+offsetInitialFichierTraite,2)</f>
        <v>34</v>
      </c>
      <c r="B13" s="58" t="str">
        <f ca="1">IFERROR(INDEX(INDIRECT(zoneFichierEAN13Valmag),$P12,3),"")</f>
        <v/>
      </c>
      <c r="C13" s="54" t="str">
        <f t="shared" ref="C13:C76" ca="1" si="16">AB12</f>
        <v/>
      </c>
      <c r="D13" s="19" t="str">
        <f ca="1">IFERROR(INDEX(INDIRECT(zoneFichierEAN13Valmag),$P12,4),"")</f>
        <v/>
      </c>
      <c r="E13" s="59" t="str">
        <f ca="1">IFERROR(INDEX(INDIRECT(zoneFichierFiltreCatalogue),AD12,3),"")</f>
        <v>p033-1-03</v>
      </c>
      <c r="F13" s="19"/>
      <c r="G13" s="18"/>
      <c r="H13" s="32" t="str">
        <f ca="1">IFERROR(INDEX(INDIRECT(zoneFichierFiltreCatalogue),AD12,6),"")</f>
        <v>fall 2019 presentation_/catalogo fall 19.txt</v>
      </c>
      <c r="T13" s="1"/>
      <c r="U13" s="21"/>
      <c r="V13" s="21"/>
      <c r="W13" s="21"/>
      <c r="X13" s="21"/>
      <c r="Y13" s="21"/>
      <c r="Z13" s="21"/>
      <c r="AA13" s="21"/>
      <c r="AB13" s="21"/>
      <c r="AC13" s="21"/>
      <c r="AD13" s="21"/>
    </row>
    <row r="14" spans="1:31" ht="39" customHeight="1" thickBot="1" x14ac:dyDescent="0.65">
      <c r="A14" s="9" t="str">
        <f ca="1">INDEX(INDIRECT(zoneFichierTraite),$J14+offsetInitialFichierTraite,6)</f>
        <v>UNICA</v>
      </c>
      <c r="B14" s="5" t="str">
        <f ca="1">INDEX(INDIRECT(zoneFichierTraite),$J14+offsetInitialFichierTraite,4)</f>
        <v>HLESGC00-PLS00-048</v>
      </c>
      <c r="C14" s="26" t="str">
        <f ca="1">INDEX(INDIRECT(zoneFichierTraite),$J14+offsetInitialFichierTraite,5)</f>
        <v>ANSES COURTES EN PLEXIGLAS + GOUTE</v>
      </c>
      <c r="D14" s="27" t="str">
        <f ca="1">INDEX(INDIRECT(zoneFichierTraite),$J14+offsetInitialFichierTraite,13)</f>
        <v>mattone</v>
      </c>
      <c r="E14" s="30">
        <f ca="1">INDEX(INDIRECT(zoneFichierTraite),$J14+offsetInitialFichierTraite,7)</f>
        <v>2</v>
      </c>
      <c r="F14" s="28">
        <f ca="1">INDEX(INDIRECT(zoneFichierTraite),$J14+offsetInitialFichierTraite,8)</f>
        <v>12.59</v>
      </c>
      <c r="G14" s="29">
        <f t="shared" ref="G14:G77" ca="1" si="17">ROUNDUP(F14*3,0)</f>
        <v>38</v>
      </c>
      <c r="H14" s="31" t="str">
        <f ca="1">IF(ISNUMBER(N14),codeEAN13(INT(N14/10)),"")</f>
        <v>8APASOG*aggjbf+</v>
      </c>
      <c r="I14" s="1" t="b">
        <f t="shared" ref="I14" ca="1" si="18">AND(A17&lt;&gt;0,A15=A17)</f>
        <v>0</v>
      </c>
      <c r="J14" s="15">
        <f t="shared" si="2"/>
        <v>3</v>
      </c>
      <c r="K14" s="1">
        <f t="shared" ref="K14:K77" ca="1" si="19">A15</f>
        <v>27</v>
      </c>
      <c r="L14" s="5" t="str">
        <f ca="1">INDEX(INDIRECT(zoneFichierTraite),$J14+offsetInitialFichierTraite,1)</f>
        <v>'003</v>
      </c>
      <c r="M14" s="11">
        <f ca="1">INDEX(INDIRECT(zoneFichierTraite),$J14+offsetInitialFichierTraite,9)</f>
        <v>25.18</v>
      </c>
      <c r="N14" s="14">
        <f ca="1">INDEX(INDIRECT(zoneFichierTraite),$J14+offsetInitialFichierTraite,3)</f>
        <v>8050846066915</v>
      </c>
      <c r="O14" s="14"/>
      <c r="P14" s="56">
        <f ca="1">MATCH(N14,INDIRECT(nomFichierEAN13Valmag &amp; "!A:A"),0)</f>
        <v>600</v>
      </c>
      <c r="Q14" s="57" t="e">
        <f ca="1">MATCH(U14,INDIRECT(nomFichierEAN13Valmag &amp; "!A:A"),0)</f>
        <v>#N/A</v>
      </c>
      <c r="S14" s="50" t="str">
        <f t="shared" ref="S14:S77" ca="1" si="20">LEFT(B14,14)</f>
        <v>HLESGC00-PLS00</v>
      </c>
      <c r="T14" s="52">
        <f ca="1">MATCH($S14,INDIRECT(nomFichierEAN13ValmagUniq &amp; "!A:A"),0)</f>
        <v>45</v>
      </c>
      <c r="U14" s="49" t="str">
        <f ca="1">IFERROR(INDEX(INDIRECT(zoneFichierEAN13ValmagUniq),T14,2),"")</f>
        <v xml:space="preserve"> </v>
      </c>
      <c r="V14" s="52">
        <f ca="1">MATCH($S14,INDIRECT(nomFichierEAN13ValmagUniq &amp; "!A" &amp; (T14+1) &amp; ":A" &amp;  (T14+10)),0)</f>
        <v>1</v>
      </c>
      <c r="W14" s="51">
        <f t="shared" ref="W14" ca="1" si="21">V14+T14</f>
        <v>46</v>
      </c>
      <c r="X14" s="49" t="str">
        <f ca="1">IFERROR(INDEX(INDIRECT(zoneFichierEAN13ValmagUniq),W14,2),"")</f>
        <v xml:space="preserve">ANSES/PLEXI     </v>
      </c>
      <c r="Y14" s="52" t="e">
        <f ca="1">MATCH($S14,INDIRECT(nomFichierEAN13ValmagUniq &amp; "!A" &amp; (W14+1) &amp; ":A" &amp;  (W14+10)),0)</f>
        <v>#N/A</v>
      </c>
      <c r="Z14" s="51" t="e">
        <f t="shared" ref="Z14" ca="1" si="22">Y14+W14</f>
        <v>#N/A</v>
      </c>
      <c r="AA14" s="49" t="str">
        <f ca="1">IFERROR(INDEX(INDIRECT(zoneFichierEAN13ValmagUniq),Z14,2),"")</f>
        <v/>
      </c>
      <c r="AB14" s="53" t="str">
        <f t="shared" ref="AB14" ca="1" si="23">U14 &amp; IF(X14="","", " | " &amp; X14) &amp; IF(AA14="","", " | " &amp;AA14)</f>
        <v xml:space="preserve">  | ANSES/PLEXI     </v>
      </c>
      <c r="AD14" s="55" t="e">
        <f ca="1">MATCH(B14,INDIRECT(nomFichierFiltreCatalogue &amp; "!B:B"),0)</f>
        <v>#N/A</v>
      </c>
      <c r="AE14" s="14"/>
    </row>
    <row r="15" spans="1:31" s="20" customFormat="1" ht="15.75" customHeight="1" x14ac:dyDescent="0.25">
      <c r="A15" s="25">
        <f ca="1">INDEX(INDIRECT(zoneFichierTraite),$J14+offsetInitialFichierTraite,2)</f>
        <v>27</v>
      </c>
      <c r="B15" s="58" t="str">
        <f ca="1">IFERROR(INDEX(INDIRECT(zoneFichierEAN13Valmag),$P14,3),"")</f>
        <v xml:space="preserve">ANSES/PLEXI     </v>
      </c>
      <c r="C15" s="54" t="str">
        <f t="shared" ref="C15:C78" ca="1" si="24">AB14</f>
        <v xml:space="preserve">  | ANSES/PLEXI     </v>
      </c>
      <c r="D15" s="19" t="str">
        <f ca="1">IFERROR(INDEX(INDIRECT(zoneFichierEAN13Valmag),$P14,4),"")</f>
        <v>BRIQU</v>
      </c>
      <c r="E15" s="59" t="str">
        <f ca="1">IFERROR(INDEX(INDIRECT(zoneFichierFiltreCatalogue),AD14,3),"")</f>
        <v/>
      </c>
      <c r="F15" s="19"/>
      <c r="G15" s="18"/>
      <c r="H15" s="32" t="str">
        <f ca="1">IFERROR(INDEX(INDIRECT(zoneFichierFiltreCatalogue),AD14,6),"")</f>
        <v/>
      </c>
      <c r="T15" s="1"/>
      <c r="U15" s="21"/>
      <c r="V15" s="21"/>
      <c r="W15" s="21"/>
      <c r="X15" s="21"/>
      <c r="Y15" s="21"/>
      <c r="Z15" s="21"/>
      <c r="AA15" s="21"/>
      <c r="AB15" s="21"/>
      <c r="AC15" s="21"/>
      <c r="AD15" s="21"/>
    </row>
    <row r="16" spans="1:31" ht="39" customHeight="1" thickBot="1" x14ac:dyDescent="0.65">
      <c r="A16" s="9" t="str">
        <f ca="1">INDEX(INDIRECT(zoneFichierTraite),$J16+offsetInitialFichierTraite,6)</f>
        <v>UNICA</v>
      </c>
      <c r="B16" s="5" t="str">
        <f ca="1">INDEX(INDIRECT(zoneFichierTraite),$J16+offsetInitialFichierTraite,4)</f>
        <v>HLESGC00-PLS00-347</v>
      </c>
      <c r="C16" s="26" t="str">
        <f ca="1">INDEX(INDIRECT(zoneFichierTraite),$J16+offsetInitialFichierTraite,5)</f>
        <v>ANSES COURTES EN PLEXIGLAS + GOUTE</v>
      </c>
      <c r="D16" s="27" t="str">
        <f ca="1">INDEX(INDIRECT(zoneFichierTraite),$J16+offsetInitialFichierTraite,13)</f>
        <v>cedro</v>
      </c>
      <c r="E16" s="30">
        <f ca="1">INDEX(INDIRECT(zoneFichierTraite),$J16+offsetInitialFichierTraite,7)</f>
        <v>1</v>
      </c>
      <c r="F16" s="28">
        <f ca="1">INDEX(INDIRECT(zoneFichierTraite),$J16+offsetInitialFichierTraite,8)</f>
        <v>12.59</v>
      </c>
      <c r="G16" s="29">
        <f t="shared" ref="G16:G79" ca="1" si="25">ROUNDUP(F16*3,0)</f>
        <v>38</v>
      </c>
      <c r="H16" s="31" t="str">
        <f ca="1">IF(ISNUMBER(N16),codeEAN13(INT(N16/10)),"")</f>
        <v>8APASOG*acjbfg+</v>
      </c>
      <c r="I16" s="1" t="b">
        <f t="shared" ref="I16" ca="1" si="26">AND(A19&lt;&gt;0,A17=A19)</f>
        <v>0</v>
      </c>
      <c r="J16" s="15">
        <f t="shared" si="2"/>
        <v>4</v>
      </c>
      <c r="K16" s="1">
        <f t="shared" ref="K16:K79" ca="1" si="27">A17</f>
        <v>6</v>
      </c>
      <c r="L16" s="5" t="str">
        <f ca="1">INDEX(INDIRECT(zoneFichierTraite),$J16+offsetInitialFichierTraite,1)</f>
        <v>'004</v>
      </c>
      <c r="M16" s="11">
        <f ca="1">INDEX(INDIRECT(zoneFichierTraite),$J16+offsetInitialFichierTraite,9)</f>
        <v>12.59</v>
      </c>
      <c r="N16" s="14">
        <f ca="1">INDEX(INDIRECT(zoneFichierTraite),$J16+offsetInitialFichierTraite,3)</f>
        <v>8050846029156</v>
      </c>
      <c r="O16" s="14"/>
      <c r="P16" s="56">
        <f ca="1">MATCH(N16,INDIRECT(nomFichierEAN13Valmag &amp; "!A:A"),0)</f>
        <v>159</v>
      </c>
      <c r="Q16" s="57" t="e">
        <f ca="1">MATCH(U16,INDIRECT(nomFichierEAN13Valmag &amp; "!A:A"),0)</f>
        <v>#N/A</v>
      </c>
      <c r="S16" s="50" t="str">
        <f t="shared" ref="S16:S79" ca="1" si="28">LEFT(B16,14)</f>
        <v>HLESGC00-PLS00</v>
      </c>
      <c r="T16" s="52">
        <f ca="1">MATCH($S16,INDIRECT(nomFichierEAN13ValmagUniq &amp; "!A:A"),0)</f>
        <v>45</v>
      </c>
      <c r="U16" s="49" t="str">
        <f ca="1">IFERROR(INDEX(INDIRECT(zoneFichierEAN13ValmagUniq),T16,2),"")</f>
        <v xml:space="preserve"> </v>
      </c>
      <c r="V16" s="52">
        <f ca="1">MATCH($S16,INDIRECT(nomFichierEAN13ValmagUniq &amp; "!A" &amp; (T16+1) &amp; ":A" &amp;  (T16+10)),0)</f>
        <v>1</v>
      </c>
      <c r="W16" s="51">
        <f t="shared" ref="W16" ca="1" si="29">V16+T16</f>
        <v>46</v>
      </c>
      <c r="X16" s="49" t="str">
        <f ca="1">IFERROR(INDEX(INDIRECT(zoneFichierEAN13ValmagUniq),W16,2),"")</f>
        <v xml:space="preserve">ANSES/PLEXI     </v>
      </c>
      <c r="Y16" s="52" t="e">
        <f ca="1">MATCH($S16,INDIRECT(nomFichierEAN13ValmagUniq &amp; "!A" &amp; (W16+1) &amp; ":A" &amp;  (W16+10)),0)</f>
        <v>#N/A</v>
      </c>
      <c r="Z16" s="51" t="e">
        <f t="shared" ref="Z16" ca="1" si="30">Y16+W16</f>
        <v>#N/A</v>
      </c>
      <c r="AA16" s="49" t="str">
        <f ca="1">IFERROR(INDEX(INDIRECT(zoneFichierEAN13ValmagUniq),Z16,2),"")</f>
        <v/>
      </c>
      <c r="AB16" s="53" t="str">
        <f t="shared" ref="AB16" ca="1" si="31">U16 &amp; IF(X16="","", " | " &amp; X16) &amp; IF(AA16="","", " | " &amp;AA16)</f>
        <v xml:space="preserve">  | ANSES/PLEXI     </v>
      </c>
      <c r="AD16" s="55" t="e">
        <f ca="1">MATCH(B16,INDIRECT(nomFichierFiltreCatalogue &amp; "!B:B"),0)</f>
        <v>#N/A</v>
      </c>
      <c r="AE16" s="14"/>
    </row>
    <row r="17" spans="1:31" s="20" customFormat="1" ht="15.75" customHeight="1" x14ac:dyDescent="0.25">
      <c r="A17" s="25">
        <f ca="1">INDEX(INDIRECT(zoneFichierTraite),$J16+offsetInitialFichierTraite,2)</f>
        <v>6</v>
      </c>
      <c r="B17" s="58" t="str">
        <f ca="1">IFERROR(INDEX(INDIRECT(zoneFichierEAN13Valmag),$P16,3),"")</f>
        <v xml:space="preserve">ANSES/PLEXI     </v>
      </c>
      <c r="C17" s="54" t="str">
        <f t="shared" ref="C17:C80" ca="1" si="32">AB16</f>
        <v xml:space="preserve">  | ANSES/PLEXI     </v>
      </c>
      <c r="D17" s="19" t="str">
        <f ca="1">IFERROR(INDEX(INDIRECT(zoneFichierEAN13Valmag),$P16,4),"")</f>
        <v>CEDRO</v>
      </c>
      <c r="E17" s="59" t="str">
        <f ca="1">IFERROR(INDEX(INDIRECT(zoneFichierFiltreCatalogue),AD16,3),"")</f>
        <v/>
      </c>
      <c r="F17" s="19"/>
      <c r="G17" s="18"/>
      <c r="H17" s="32" t="str">
        <f ca="1">IFERROR(INDEX(INDIRECT(zoneFichierFiltreCatalogue),AD16,6),"")</f>
        <v/>
      </c>
      <c r="T17" s="1"/>
      <c r="U17" s="21"/>
      <c r="V17" s="21"/>
      <c r="W17" s="21"/>
      <c r="X17" s="21"/>
      <c r="Y17" s="21"/>
      <c r="Z17" s="21"/>
      <c r="AA17" s="21"/>
      <c r="AB17" s="21"/>
      <c r="AC17" s="21"/>
      <c r="AD17" s="21"/>
    </row>
    <row r="18" spans="1:31" ht="39" customHeight="1" thickBot="1" x14ac:dyDescent="0.65">
      <c r="A18" s="9" t="str">
        <f ca="1">INDEX(INDIRECT(zoneFichierTraite),$J18+offsetInitialFichierTraite,6)</f>
        <v>UNICA</v>
      </c>
      <c r="B18" s="5" t="str">
        <f ca="1">INDEX(INDIRECT(zoneFichierTraite),$J18+offsetInitialFichierTraite,4)</f>
        <v>HLESGC00-PLS00-371</v>
      </c>
      <c r="C18" s="26" t="str">
        <f ca="1">INDEX(INDIRECT(zoneFichierTraite),$J18+offsetInitialFichierTraite,5)</f>
        <v>ANSES COURTES EN PLEXIGLAS + GOUTE</v>
      </c>
      <c r="D18" s="27" t="str">
        <f ca="1">INDEX(INDIRECT(zoneFichierTraite),$J18+offsetInitialFichierTraite,13)</f>
        <v>latte</v>
      </c>
      <c r="E18" s="30">
        <f ca="1">INDEX(INDIRECT(zoneFichierTraite),$J18+offsetInitialFichierTraite,7)</f>
        <v>1</v>
      </c>
      <c r="F18" s="28">
        <f ca="1">INDEX(INDIRECT(zoneFichierTraite),$J18+offsetInitialFichierTraite,8)</f>
        <v>12.59</v>
      </c>
      <c r="G18" s="29">
        <f t="shared" ref="G18:G81" ca="1" si="33">ROUNDUP(F18*3,0)</f>
        <v>38</v>
      </c>
      <c r="H18" s="31" t="str">
        <f ca="1">IF(ISNUMBER(N18),codeEAN13(INT(N18/10)),"")</f>
        <v>8APASOG*acjbbi+</v>
      </c>
      <c r="I18" s="1" t="b">
        <f t="shared" ref="I18" ca="1" si="34">AND(A21&lt;&gt;0,A19=A21)</f>
        <v>0</v>
      </c>
      <c r="J18" s="15">
        <f t="shared" si="2"/>
        <v>5</v>
      </c>
      <c r="K18" s="1">
        <f t="shared" ref="K18:K81" ca="1" si="35">A19</f>
        <v>20</v>
      </c>
      <c r="L18" s="5" t="str">
        <f ca="1">INDEX(INDIRECT(zoneFichierTraite),$J18+offsetInitialFichierTraite,1)</f>
        <v>'005</v>
      </c>
      <c r="M18" s="11">
        <f ca="1">INDEX(INDIRECT(zoneFichierTraite),$J18+offsetInitialFichierTraite,9)</f>
        <v>12.59</v>
      </c>
      <c r="N18" s="14">
        <f ca="1">INDEX(INDIRECT(zoneFichierTraite),$J18+offsetInitialFichierTraite,3)</f>
        <v>8050846029118</v>
      </c>
      <c r="O18" s="14"/>
      <c r="P18" s="56">
        <f ca="1">MATCH(N18,INDIRECT(nomFichierEAN13Valmag &amp; "!A:A"),0)</f>
        <v>157</v>
      </c>
      <c r="Q18" s="57" t="e">
        <f ca="1">MATCH(U18,INDIRECT(nomFichierEAN13Valmag &amp; "!A:A"),0)</f>
        <v>#N/A</v>
      </c>
      <c r="S18" s="50" t="str">
        <f t="shared" ref="S18:S81" ca="1" si="36">LEFT(B18,14)</f>
        <v>HLESGC00-PLS00</v>
      </c>
      <c r="T18" s="52">
        <f ca="1">MATCH($S18,INDIRECT(nomFichierEAN13ValmagUniq &amp; "!A:A"),0)</f>
        <v>45</v>
      </c>
      <c r="U18" s="49" t="str">
        <f ca="1">IFERROR(INDEX(INDIRECT(zoneFichierEAN13ValmagUniq),T18,2),"")</f>
        <v xml:space="preserve"> </v>
      </c>
      <c r="V18" s="52">
        <f ca="1">MATCH($S18,INDIRECT(nomFichierEAN13ValmagUniq &amp; "!A" &amp; (T18+1) &amp; ":A" &amp;  (T18+10)),0)</f>
        <v>1</v>
      </c>
      <c r="W18" s="51">
        <f t="shared" ref="W18" ca="1" si="37">V18+T18</f>
        <v>46</v>
      </c>
      <c r="X18" s="49" t="str">
        <f ca="1">IFERROR(INDEX(INDIRECT(zoneFichierEAN13ValmagUniq),W18,2),"")</f>
        <v xml:space="preserve">ANSES/PLEXI     </v>
      </c>
      <c r="Y18" s="52" t="e">
        <f ca="1">MATCH($S18,INDIRECT(nomFichierEAN13ValmagUniq &amp; "!A" &amp; (W18+1) &amp; ":A" &amp;  (W18+10)),0)</f>
        <v>#N/A</v>
      </c>
      <c r="Z18" s="51" t="e">
        <f t="shared" ref="Z18" ca="1" si="38">Y18+W18</f>
        <v>#N/A</v>
      </c>
      <c r="AA18" s="49" t="str">
        <f ca="1">IFERROR(INDEX(INDIRECT(zoneFichierEAN13ValmagUniq),Z18,2),"")</f>
        <v/>
      </c>
      <c r="AB18" s="53" t="str">
        <f t="shared" ref="AB18" ca="1" si="39">U18 &amp; IF(X18="","", " | " &amp; X18) &amp; IF(AA18="","", " | " &amp;AA18)</f>
        <v xml:space="preserve">  | ANSES/PLEXI     </v>
      </c>
      <c r="AD18" s="55" t="e">
        <f ca="1">MATCH(B18,INDIRECT(nomFichierFiltreCatalogue &amp; "!B:B"),0)</f>
        <v>#N/A</v>
      </c>
      <c r="AE18" s="14"/>
    </row>
    <row r="19" spans="1:31" s="20" customFormat="1" ht="15.75" customHeight="1" x14ac:dyDescent="0.25">
      <c r="A19" s="25">
        <f ca="1">INDEX(INDIRECT(zoneFichierTraite),$J18+offsetInitialFichierTraite,2)</f>
        <v>20</v>
      </c>
      <c r="B19" s="58" t="str">
        <f ca="1">IFERROR(INDEX(INDIRECT(zoneFichierEAN13Valmag),$P18,3),"")</f>
        <v xml:space="preserve">ANSES/PLEXI     </v>
      </c>
      <c r="C19" s="54" t="str">
        <f t="shared" ref="C19:C82" ca="1" si="40">AB18</f>
        <v xml:space="preserve">  | ANSES/PLEXI     </v>
      </c>
      <c r="D19" s="19" t="str">
        <f ca="1">IFERROR(INDEX(INDIRECT(zoneFichierEAN13Valmag),$P18,4),"")</f>
        <v>LATTE</v>
      </c>
      <c r="E19" s="59" t="str">
        <f ca="1">IFERROR(INDEX(INDIRECT(zoneFichierFiltreCatalogue),AD18,3),"")</f>
        <v/>
      </c>
      <c r="F19" s="19"/>
      <c r="G19" s="18"/>
      <c r="H19" s="32" t="str">
        <f ca="1">IFERROR(INDEX(INDIRECT(zoneFichierFiltreCatalogue),AD18,6),"")</f>
        <v/>
      </c>
      <c r="T19" s="1"/>
      <c r="U19" s="21"/>
      <c r="V19" s="21"/>
      <c r="W19" s="21"/>
      <c r="X19" s="21"/>
      <c r="Y19" s="21"/>
      <c r="Z19" s="21"/>
      <c r="AA19" s="21"/>
      <c r="AB19" s="21"/>
      <c r="AC19" s="21"/>
      <c r="AD19" s="21"/>
    </row>
    <row r="20" spans="1:31" ht="39" customHeight="1" thickBot="1" x14ac:dyDescent="0.65">
      <c r="A20" s="9" t="str">
        <f ca="1">INDEX(INDIRECT(zoneFichierTraite),$J20+offsetInitialFichierTraite,6)</f>
        <v>UNICA</v>
      </c>
      <c r="B20" s="5" t="str">
        <f ca="1">INDEX(INDIRECT(zoneFichierTraite),$J20+offsetInitialFichierTraite,4)</f>
        <v>HLESGC00-ROS10-371</v>
      </c>
      <c r="C20" s="26" t="str">
        <f ca="1">INDEX(INDIRECT(zoneFichierTraite),$J20+offsetInitialFichierTraite,5)</f>
        <v>ANSES COURTES EN CORDE EN COTON TRESSE</v>
      </c>
      <c r="D20" s="27" t="str">
        <f ca="1">INDEX(INDIRECT(zoneFichierTraite),$J20+offsetInitialFichierTraite,13)</f>
        <v>latte</v>
      </c>
      <c r="E20" s="30">
        <f ca="1">INDEX(INDIRECT(zoneFichierTraite),$J20+offsetInitialFichierTraite,7)</f>
        <v>5</v>
      </c>
      <c r="F20" s="28">
        <f ca="1">INDEX(INDIRECT(zoneFichierTraite),$J20+offsetInitialFichierTraite,8)</f>
        <v>7.8</v>
      </c>
      <c r="G20" s="29">
        <f t="shared" ref="G20:G83" ca="1" si="41">ROUNDUP(F20*3,0)</f>
        <v>24</v>
      </c>
      <c r="H20" s="31" t="str">
        <f ca="1">IF(ISNUMBER(N20),codeEAN13(INT(N20/10)),"")</f>
        <v>8APASOG*afiabj+</v>
      </c>
      <c r="I20" s="1" t="b">
        <f t="shared" ref="I20" ca="1" si="42">AND(A23&lt;&gt;0,A21=A23)</f>
        <v>0</v>
      </c>
      <c r="J20" s="15">
        <f t="shared" si="2"/>
        <v>6</v>
      </c>
      <c r="K20" s="1">
        <f t="shared" ref="K20:K83" ca="1" si="43">A21</f>
        <v>38</v>
      </c>
      <c r="L20" s="5" t="str">
        <f ca="1">INDEX(INDIRECT(zoneFichierTraite),$J20+offsetInitialFichierTraite,1)</f>
        <v>'006</v>
      </c>
      <c r="M20" s="11">
        <f ca="1">INDEX(INDIRECT(zoneFichierTraite),$J20+offsetInitialFichierTraite,9)</f>
        <v>39</v>
      </c>
      <c r="N20" s="14">
        <f ca="1">INDEX(INDIRECT(zoneFichierTraite),$J20+offsetInitialFichierTraite,3)</f>
        <v>8050846058019</v>
      </c>
      <c r="O20" s="14"/>
      <c r="P20" s="56">
        <f ca="1">MATCH(N20,INDIRECT(nomFichierEAN13Valmag &amp; "!A:A"),0)</f>
        <v>330</v>
      </c>
      <c r="Q20" s="57" t="e">
        <f ca="1">MATCH(U20,INDIRECT(nomFichierEAN13Valmag &amp; "!A:A"),0)</f>
        <v>#N/A</v>
      </c>
      <c r="S20" s="50" t="str">
        <f t="shared" ref="S20:S83" ca="1" si="44">LEFT(B20,14)</f>
        <v>HLESGC00-ROS10</v>
      </c>
      <c r="T20" s="52">
        <f ca="1">MATCH($S20,INDIRECT(nomFichierEAN13ValmagUniq &amp; "!A:A"),0)</f>
        <v>48</v>
      </c>
      <c r="U20" s="49" t="str">
        <f ca="1">IFERROR(INDEX(INDIRECT(zoneFichierEAN13ValmagUniq),T20,2),"")</f>
        <v xml:space="preserve"> </v>
      </c>
      <c r="V20" s="52">
        <f ca="1">MATCH($S20,INDIRECT(nomFichierEAN13ValmagUniq &amp; "!A" &amp; (T20+1) &amp; ":A" &amp;  (T20+10)),0)</f>
        <v>1</v>
      </c>
      <c r="W20" s="51">
        <f t="shared" ref="W20" ca="1" si="45">V20+T20</f>
        <v>49</v>
      </c>
      <c r="X20" s="49" t="str">
        <f ca="1">IFERROR(INDEX(INDIRECT(zoneFichierEAN13ValmagUniq),W20,2),"")</f>
        <v>ANSES/CORDECOTON</v>
      </c>
      <c r="Y20" s="52" t="e">
        <f ca="1">MATCH($S20,INDIRECT(nomFichierEAN13ValmagUniq &amp; "!A" &amp; (W20+1) &amp; ":A" &amp;  (W20+10)),0)</f>
        <v>#N/A</v>
      </c>
      <c r="Z20" s="51" t="e">
        <f t="shared" ref="Z20" ca="1" si="46">Y20+W20</f>
        <v>#N/A</v>
      </c>
      <c r="AA20" s="49" t="str">
        <f ca="1">IFERROR(INDEX(INDIRECT(zoneFichierEAN13ValmagUniq),Z20,2),"")</f>
        <v/>
      </c>
      <c r="AB20" s="53" t="str">
        <f t="shared" ref="AB20" ca="1" si="47">U20 &amp; IF(X20="","", " | " &amp; X20) &amp; IF(AA20="","", " | " &amp;AA20)</f>
        <v xml:space="preserve">  | ANSES/CORDECOTON</v>
      </c>
      <c r="AD20" s="55" t="e">
        <f ca="1">MATCH(B20,INDIRECT(nomFichierFiltreCatalogue &amp; "!B:B"),0)</f>
        <v>#N/A</v>
      </c>
      <c r="AE20" s="14"/>
    </row>
    <row r="21" spans="1:31" s="20" customFormat="1" ht="15.75" customHeight="1" x14ac:dyDescent="0.25">
      <c r="A21" s="25">
        <f ca="1">INDEX(INDIRECT(zoneFichierTraite),$J20+offsetInitialFichierTraite,2)</f>
        <v>38</v>
      </c>
      <c r="B21" s="58" t="str">
        <f ca="1">IFERROR(INDEX(INDIRECT(zoneFichierEAN13Valmag),$P20,3),"")</f>
        <v>ANSES/CORDECOTON</v>
      </c>
      <c r="C21" s="54" t="str">
        <f t="shared" ref="C21:C84" ca="1" si="48">AB20</f>
        <v xml:space="preserve">  | ANSES/CORDECOTON</v>
      </c>
      <c r="D21" s="19" t="str">
        <f ca="1">IFERROR(INDEX(INDIRECT(zoneFichierEAN13Valmag),$P20,4),"")</f>
        <v>LATTE</v>
      </c>
      <c r="E21" s="59" t="str">
        <f ca="1">IFERROR(INDEX(INDIRECT(zoneFichierFiltreCatalogue),AD20,3),"")</f>
        <v/>
      </c>
      <c r="F21" s="19"/>
      <c r="G21" s="18"/>
      <c r="H21" s="32" t="str">
        <f ca="1">IFERROR(INDEX(INDIRECT(zoneFichierFiltreCatalogue),AD20,6),"")</f>
        <v/>
      </c>
      <c r="T21" s="1"/>
      <c r="U21" s="21"/>
      <c r="V21" s="21"/>
      <c r="W21" s="21"/>
      <c r="X21" s="21"/>
      <c r="Y21" s="21"/>
      <c r="Z21" s="21"/>
      <c r="AA21" s="21"/>
      <c r="AB21" s="21"/>
      <c r="AC21" s="21"/>
      <c r="AD21" s="21"/>
    </row>
    <row r="22" spans="1:31" ht="39" customHeight="1" thickBot="1" x14ac:dyDescent="0.65">
      <c r="A22" s="9" t="str">
        <f ca="1">INDEX(INDIRECT(zoneFichierTraite),$J22+offsetInitialFichierTraite,6)</f>
        <v>UNICA</v>
      </c>
      <c r="B22" s="5" t="str">
        <f ca="1">INDEX(INDIRECT(zoneFichierTraite),$J22+offsetInitialFichierTraite,4)</f>
        <v>HLESLL01-ECS07-048</v>
      </c>
      <c r="C22" s="26" t="str">
        <f ca="1">INDEX(INDIRECT(zoneFichierTraite),$J22+offsetInitialFichierTraite,5)</f>
        <v>ANSES LONGUES LINEAR AVEC BOUCLE EN FAUX CUIR EFFET GRIFFE</v>
      </c>
      <c r="D22" s="27" t="str">
        <f ca="1">INDEX(INDIRECT(zoneFichierTraite),$J22+offsetInitialFichierTraite,13)</f>
        <v>mattone</v>
      </c>
      <c r="E22" s="30">
        <f ca="1">INDEX(INDIRECT(zoneFichierTraite),$J22+offsetInitialFichierTraite,7)</f>
        <v>2</v>
      </c>
      <c r="F22" s="28">
        <f ca="1">INDEX(INDIRECT(zoneFichierTraite),$J22+offsetInitialFichierTraite,8)</f>
        <v>13.33</v>
      </c>
      <c r="G22" s="29">
        <f t="shared" ref="G22:G85" ca="1" si="49">ROUNDUP(F22*3,0)</f>
        <v>40</v>
      </c>
      <c r="H22" s="31" t="str">
        <f ca="1">IF(ISNUMBER(N22),codeEAN13(INT(N22/10)),"")</f>
        <v>8APASOG*agbage+</v>
      </c>
      <c r="I22" s="1" t="b">
        <f t="shared" ref="I22" ca="1" si="50">AND(A25&lt;&gt;0,A23=A25)</f>
        <v>0</v>
      </c>
      <c r="J22" s="15">
        <f t="shared" si="2"/>
        <v>7</v>
      </c>
      <c r="K22" s="1">
        <f t="shared" ref="K22:K85" ca="1" si="51">A23</f>
        <v>12</v>
      </c>
      <c r="L22" s="5" t="str">
        <f ca="1">INDEX(INDIRECT(zoneFichierTraite),$J22+offsetInitialFichierTraite,1)</f>
        <v>'007</v>
      </c>
      <c r="M22" s="11">
        <f ca="1">INDEX(INDIRECT(zoneFichierTraite),$J22+offsetInitialFichierTraite,9)</f>
        <v>26.66</v>
      </c>
      <c r="N22" s="14">
        <f ca="1">INDEX(INDIRECT(zoneFichierTraite),$J22+offsetInitialFichierTraite,3)</f>
        <v>8050846061064</v>
      </c>
      <c r="O22" s="14"/>
      <c r="P22" s="56">
        <f ca="1">MATCH(N22,INDIRECT(nomFichierEAN13Valmag &amp; "!A:A"),0)</f>
        <v>369</v>
      </c>
      <c r="Q22" s="57" t="e">
        <f ca="1">MATCH(U22,INDIRECT(nomFichierEAN13Valmag &amp; "!A:A"),0)</f>
        <v>#N/A</v>
      </c>
      <c r="S22" s="50" t="str">
        <f t="shared" ref="S22:S85" ca="1" si="52">LEFT(B22,14)</f>
        <v>HLESLL01-ECS07</v>
      </c>
      <c r="T22" s="52">
        <f ca="1">MATCH($S22,INDIRECT(nomFichierEAN13ValmagUniq &amp; "!A:A"),0)</f>
        <v>57</v>
      </c>
      <c r="U22" s="49" t="str">
        <f ca="1">IFERROR(INDEX(INDIRECT(zoneFichierEAN13ValmagUniq),T22,2),"")</f>
        <v xml:space="preserve"> </v>
      </c>
      <c r="V22" s="52">
        <f ca="1">MATCH($S22,INDIRECT(nomFichierEAN13ValmagUniq &amp; "!A" &amp; (T22+1) &amp; ":A" &amp;  (T22+10)),0)</f>
        <v>1</v>
      </c>
      <c r="W22" s="51">
        <f t="shared" ref="W22" ca="1" si="53">V22+T22</f>
        <v>58</v>
      </c>
      <c r="X22" s="49" t="str">
        <f ca="1">IFERROR(INDEX(INDIRECT(zoneFichierEAN13ValmagUniq),W22,2),"")</f>
        <v>ANS/BOUCLE/SAFFI</v>
      </c>
      <c r="Y22" s="52" t="e">
        <f ca="1">MATCH($S22,INDIRECT(nomFichierEAN13ValmagUniq &amp; "!A" &amp; (W22+1) &amp; ":A" &amp;  (W22+10)),0)</f>
        <v>#N/A</v>
      </c>
      <c r="Z22" s="51" t="e">
        <f t="shared" ref="Z22" ca="1" si="54">Y22+W22</f>
        <v>#N/A</v>
      </c>
      <c r="AA22" s="49" t="str">
        <f ca="1">IFERROR(INDEX(INDIRECT(zoneFichierEAN13ValmagUniq),Z22,2),"")</f>
        <v/>
      </c>
      <c r="AB22" s="53" t="str">
        <f t="shared" ref="AB22" ca="1" si="55">U22 &amp; IF(X22="","", " | " &amp; X22) &amp; IF(AA22="","", " | " &amp;AA22)</f>
        <v xml:space="preserve">  | ANS/BOUCLE/SAFFI</v>
      </c>
      <c r="AD22" s="55" t="e">
        <f ca="1">MATCH(B22,INDIRECT(nomFichierFiltreCatalogue &amp; "!B:B"),0)</f>
        <v>#N/A</v>
      </c>
      <c r="AE22" s="14"/>
    </row>
    <row r="23" spans="1:31" s="20" customFormat="1" ht="15.75" customHeight="1" x14ac:dyDescent="0.25">
      <c r="A23" s="25">
        <f ca="1">INDEX(INDIRECT(zoneFichierTraite),$J22+offsetInitialFichierTraite,2)</f>
        <v>12</v>
      </c>
      <c r="B23" s="58" t="str">
        <f ca="1">IFERROR(INDEX(INDIRECT(zoneFichierEAN13Valmag),$P22,3),"")</f>
        <v>ANS/BOUCLE/SAFFI</v>
      </c>
      <c r="C23" s="54" t="str">
        <f t="shared" ref="C23:C86" ca="1" si="56">AB22</f>
        <v xml:space="preserve">  | ANS/BOUCLE/SAFFI</v>
      </c>
      <c r="D23" s="19" t="str">
        <f ca="1">IFERROR(INDEX(INDIRECT(zoneFichierEAN13Valmag),$P22,4),"")</f>
        <v>BRIQU</v>
      </c>
      <c r="E23" s="59" t="str">
        <f ca="1">IFERROR(INDEX(INDIRECT(zoneFichierFiltreCatalogue),AD22,3),"")</f>
        <v/>
      </c>
      <c r="F23" s="19"/>
      <c r="G23" s="18"/>
      <c r="H23" s="32" t="str">
        <f ca="1">IFERROR(INDEX(INDIRECT(zoneFichierFiltreCatalogue),AD22,6),"")</f>
        <v/>
      </c>
      <c r="T23" s="1"/>
      <c r="U23" s="21"/>
      <c r="V23" s="21"/>
      <c r="W23" s="21"/>
      <c r="X23" s="21"/>
      <c r="Y23" s="21"/>
      <c r="Z23" s="21"/>
      <c r="AA23" s="21"/>
      <c r="AB23" s="21"/>
      <c r="AC23" s="21"/>
      <c r="AD23" s="21"/>
    </row>
    <row r="24" spans="1:31" ht="39" customHeight="1" thickBot="1" x14ac:dyDescent="0.65">
      <c r="A24" s="9" t="str">
        <f ca="1">INDEX(INDIRECT(zoneFichierTraite),$J24+offsetInitialFichierTraite,6)</f>
        <v>UNICA</v>
      </c>
      <c r="B24" s="5" t="str">
        <f ca="1">INDEX(INDIRECT(zoneFichierTraite),$J24+offsetInitialFichierTraite,4)</f>
        <v>OBAGA000-ECS07-078</v>
      </c>
      <c r="C24" s="26" t="str">
        <f ca="1">INDEX(INDIRECT(zoneFichierTraite),$J24+offsetInitialFichierTraite,5)</f>
        <v>ACCESSOIRE CLIP EN FAUX CUIR EFFET GRIFFE</v>
      </c>
      <c r="D24" s="27" t="str">
        <f ca="1">INDEX(INDIRECT(zoneFichierTraite),$J24+offsetInitialFichierTraite,13)</f>
        <v>sabbia</v>
      </c>
      <c r="E24" s="30">
        <f ca="1">INDEX(INDIRECT(zoneFichierTraite),$J24+offsetInitialFichierTraite,7)</f>
        <v>4</v>
      </c>
      <c r="F24" s="28">
        <f ca="1">INDEX(INDIRECT(zoneFichierTraite),$J24+offsetInitialFichierTraite,8)</f>
        <v>3.33</v>
      </c>
      <c r="G24" s="29">
        <f t="shared" ref="G24:G87" ca="1" si="57">ROUNDUP(F24*3,0)</f>
        <v>10</v>
      </c>
      <c r="H24" s="31" t="str">
        <f ca="1">IF(ISNUMBER(N24),codeEAN13(INT(N24/10)),"")</f>
        <v>8APASOG*agafhj+</v>
      </c>
      <c r="I24" s="1" t="b">
        <f t="shared" ref="I24" ca="1" si="58">AND(A27&lt;&gt;0,A25=A27)</f>
        <v>0</v>
      </c>
      <c r="J24" s="15">
        <f t="shared" si="2"/>
        <v>8</v>
      </c>
      <c r="K24" s="1">
        <f t="shared" ref="K24:K87" ca="1" si="59">A25</f>
        <v>9</v>
      </c>
      <c r="L24" s="5" t="str">
        <f ca="1">INDEX(INDIRECT(zoneFichierTraite),$J24+offsetInitialFichierTraite,1)</f>
        <v>'008</v>
      </c>
      <c r="M24" s="11">
        <f ca="1">INDEX(INDIRECT(zoneFichierTraite),$J24+offsetInitialFichierTraite,9)</f>
        <v>13.32</v>
      </c>
      <c r="N24" s="14">
        <f ca="1">INDEX(INDIRECT(zoneFichierTraite),$J24+offsetInitialFichierTraite,3)</f>
        <v>8050846060579</v>
      </c>
      <c r="O24" s="14"/>
      <c r="P24" s="56">
        <f ca="1">MATCH(N24,INDIRECT(nomFichierEAN13Valmag &amp; "!A:A"),0)</f>
        <v>336</v>
      </c>
      <c r="Q24" s="57" t="e">
        <f ca="1">MATCH(U24,INDIRECT(nomFichierEAN13Valmag &amp; "!A:A"),0)</f>
        <v>#N/A</v>
      </c>
      <c r="S24" s="50" t="str">
        <f t="shared" ref="S24:S87" ca="1" si="60">LEFT(B24,14)</f>
        <v>OBAGA000-ECS07</v>
      </c>
      <c r="T24" s="52">
        <f ca="1">MATCH($S24,INDIRECT(nomFichierEAN13ValmagUniq &amp; "!A:A"),0)</f>
        <v>72</v>
      </c>
      <c r="U24" s="49" t="str">
        <f ca="1">IFERROR(INDEX(INDIRECT(zoneFichierEAN13ValmagUniq),T24,2),"")</f>
        <v xml:space="preserve"> </v>
      </c>
      <c r="V24" s="52">
        <f ca="1">MATCH($S24,INDIRECT(nomFichierEAN13ValmagUniq &amp; "!A" &amp; (T24+1) &amp; ":A" &amp;  (T24+10)),0)</f>
        <v>1</v>
      </c>
      <c r="W24" s="51">
        <f t="shared" ref="W24" ca="1" si="61">V24+T24</f>
        <v>73</v>
      </c>
      <c r="X24" s="49" t="str">
        <f ca="1">IFERROR(INDEX(INDIRECT(zoneFichierEAN13ValmagUniq),W24,2),"")</f>
        <v xml:space="preserve">CLIP            </v>
      </c>
      <c r="Y24" s="52" t="e">
        <f ca="1">MATCH($S24,INDIRECT(nomFichierEAN13ValmagUniq &amp; "!A" &amp; (W24+1) &amp; ":A" &amp;  (W24+10)),0)</f>
        <v>#N/A</v>
      </c>
      <c r="Z24" s="51" t="e">
        <f t="shared" ref="Z24" ca="1" si="62">Y24+W24</f>
        <v>#N/A</v>
      </c>
      <c r="AA24" s="49" t="str">
        <f ca="1">IFERROR(INDEX(INDIRECT(zoneFichierEAN13ValmagUniq),Z24,2),"")</f>
        <v/>
      </c>
      <c r="AB24" s="53" t="str">
        <f t="shared" ref="AB24" ca="1" si="63">U24 &amp; IF(X24="","", " | " &amp; X24) &amp; IF(AA24="","", " | " &amp;AA24)</f>
        <v xml:space="preserve">  | CLIP            </v>
      </c>
      <c r="AD24" s="55">
        <f ca="1">MATCH(B24,INDIRECT(nomFichierFiltreCatalogue &amp; "!B:B"),0)</f>
        <v>241</v>
      </c>
      <c r="AE24" s="14"/>
    </row>
    <row r="25" spans="1:31" s="20" customFormat="1" ht="15.75" customHeight="1" x14ac:dyDescent="0.25">
      <c r="A25" s="25">
        <f ca="1">INDEX(INDIRECT(zoneFichierTraite),$J24+offsetInitialFichierTraite,2)</f>
        <v>9</v>
      </c>
      <c r="B25" s="58" t="str">
        <f ca="1">IFERROR(INDEX(INDIRECT(zoneFichierEAN13Valmag),$P24,3),"")</f>
        <v xml:space="preserve">CLIP            </v>
      </c>
      <c r="C25" s="54" t="str">
        <f t="shared" ref="C25:C88" ca="1" si="64">AB24</f>
        <v xml:space="preserve">  | CLIP            </v>
      </c>
      <c r="D25" s="19" t="str">
        <f ca="1">IFERROR(INDEX(INDIRECT(zoneFichierEAN13Valmag),$P24,4),"")</f>
        <v>SAFSA</v>
      </c>
      <c r="E25" s="59" t="str">
        <f ca="1">IFERROR(INDEX(INDIRECT(zoneFichierFiltreCatalogue),AD24,3),"")</f>
        <v>p047-1-01</v>
      </c>
      <c r="F25" s="19"/>
      <c r="G25" s="18"/>
      <c r="H25" s="32" t="str">
        <f ca="1">IFERROR(INDEX(INDIRECT(zoneFichierFiltreCatalogue),AD24,6),"")</f>
        <v>fall 2019 presentation_/catalogo fall 19.txt</v>
      </c>
      <c r="T25" s="1"/>
      <c r="U25" s="21"/>
      <c r="V25" s="21"/>
      <c r="W25" s="21"/>
      <c r="X25" s="21"/>
      <c r="Y25" s="21"/>
      <c r="Z25" s="21"/>
      <c r="AA25" s="21"/>
      <c r="AB25" s="21"/>
      <c r="AC25" s="21"/>
      <c r="AD25" s="21"/>
    </row>
    <row r="26" spans="1:31" ht="39" customHeight="1" thickBot="1" x14ac:dyDescent="0.65">
      <c r="A26" s="9" t="str">
        <f ca="1">INDEX(INDIRECT(zoneFichierTraite),$J26+offsetInitialFichierTraite,6)</f>
        <v>UNICA</v>
      </c>
      <c r="B26" s="5" t="str">
        <f ca="1">INDEX(INDIRECT(zoneFichierTraite),$J26+offsetInitialFichierTraite,4)</f>
        <v>OBAGB001-EVS00-075</v>
      </c>
      <c r="C26" s="26" t="str">
        <f ca="1">INDEX(INDIRECT(zoneFichierTraite),$J26+offsetInitialFichierTraite,5)</f>
        <v>CORPS O BAG EVA COMPOUND</v>
      </c>
      <c r="D26" s="27" t="str">
        <f ca="1">INDEX(INDIRECT(zoneFichierTraite),$J26+offsetInitialFichierTraite,13)</f>
        <v>rosa smoke</v>
      </c>
      <c r="E26" s="30">
        <f ca="1">INDEX(INDIRECT(zoneFichierTraite),$J26+offsetInitialFichierTraite,7)</f>
        <v>1</v>
      </c>
      <c r="F26" s="28">
        <f ca="1">INDEX(INDIRECT(zoneFichierTraite),$J26+offsetInitialFichierTraite,8)</f>
        <v>14.4</v>
      </c>
      <c r="G26" s="29">
        <f t="shared" ref="G26:G89" ca="1" si="65">ROUNDUP(F26*3,0)</f>
        <v>44</v>
      </c>
      <c r="H26" s="31" t="str">
        <f ca="1">IF(ISNUMBER(N26),codeEAN13(INT(N26/10)),"")</f>
        <v>8APAOPA*cbhfib+</v>
      </c>
      <c r="I26" s="1" t="b">
        <f t="shared" ref="I26" ca="1" si="66">AND(A29&lt;&gt;0,A27=A29)</f>
        <v>0</v>
      </c>
      <c r="J26" s="15">
        <f t="shared" si="2"/>
        <v>9</v>
      </c>
      <c r="K26" s="1">
        <f t="shared" ref="K26:K89" ca="1" si="67">A27</f>
        <v>3</v>
      </c>
      <c r="L26" s="5" t="str">
        <f ca="1">INDEX(INDIRECT(zoneFichierTraite),$J26+offsetInitialFichierTraite,1)</f>
        <v>'009</v>
      </c>
      <c r="M26" s="11">
        <f ca="1">INDEX(INDIRECT(zoneFichierTraite),$J26+offsetInitialFichierTraite,9)</f>
        <v>14.4</v>
      </c>
      <c r="N26" s="14">
        <f ca="1">INDEX(INDIRECT(zoneFichierTraite),$J26+offsetInitialFichierTraite,3)</f>
        <v>8050450217581</v>
      </c>
      <c r="O26" s="14"/>
      <c r="P26" s="56">
        <f ca="1">MATCH(N26,INDIRECT(nomFichierEAN13Valmag &amp; "!A:A"),0)</f>
        <v>37</v>
      </c>
      <c r="Q26" s="57" t="e">
        <f ca="1">MATCH(U26,INDIRECT(nomFichierEAN13Valmag &amp; "!A:A"),0)</f>
        <v>#N/A</v>
      </c>
      <c r="S26" s="50" t="str">
        <f t="shared" ref="S26:S89" ca="1" si="68">LEFT(B26,14)</f>
        <v>OBAGB001-EVS00</v>
      </c>
      <c r="T26" s="52">
        <f ca="1">MATCH($S26,INDIRECT(nomFichierEAN13ValmagUniq &amp; "!A:A"),0)</f>
        <v>76</v>
      </c>
      <c r="U26" s="49" t="str">
        <f ca="1">IFERROR(INDEX(INDIRECT(zoneFichierEAN13ValmagUniq),T26,2),"")</f>
        <v xml:space="preserve"> </v>
      </c>
      <c r="V26" s="52">
        <f ca="1">MATCH($S26,INDIRECT(nomFichierEAN13ValmagUniq &amp; "!A" &amp; (T26+1) &amp; ":A" &amp;  (T26+10)),0)</f>
        <v>1</v>
      </c>
      <c r="W26" s="51">
        <f t="shared" ref="W26" ca="1" si="69">V26+T26</f>
        <v>77</v>
      </c>
      <c r="X26" s="49" t="str">
        <f ca="1">IFERROR(INDEX(INDIRECT(zoneFichierEAN13ValmagUniq),W26,2),"")</f>
        <v xml:space="preserve">OBODY           </v>
      </c>
      <c r="Y26" s="52" t="e">
        <f ca="1">MATCH($S26,INDIRECT(nomFichierEAN13ValmagUniq &amp; "!A" &amp; (W26+1) &amp; ":A" &amp;  (W26+10)),0)</f>
        <v>#N/A</v>
      </c>
      <c r="Z26" s="51" t="e">
        <f t="shared" ref="Z26" ca="1" si="70">Y26+W26</f>
        <v>#N/A</v>
      </c>
      <c r="AA26" s="49" t="str">
        <f ca="1">IFERROR(INDEX(INDIRECT(zoneFichierEAN13ValmagUniq),Z26,2),"")</f>
        <v/>
      </c>
      <c r="AB26" s="53" t="str">
        <f t="shared" ref="AB26" ca="1" si="71">U26 &amp; IF(X26="","", " | " &amp; X26) &amp; IF(AA26="","", " | " &amp;AA26)</f>
        <v xml:space="preserve">  | OBODY           </v>
      </c>
      <c r="AD26" s="55" t="e">
        <f ca="1">MATCH(B26,INDIRECT(nomFichierFiltreCatalogue &amp; "!B:B"),0)</f>
        <v>#N/A</v>
      </c>
      <c r="AE26" s="14"/>
    </row>
    <row r="27" spans="1:31" s="20" customFormat="1" ht="15.75" customHeight="1" x14ac:dyDescent="0.25">
      <c r="A27" s="25">
        <f ca="1">INDEX(INDIRECT(zoneFichierTraite),$J26+offsetInitialFichierTraite,2)</f>
        <v>3</v>
      </c>
      <c r="B27" s="58" t="str">
        <f ca="1">IFERROR(INDEX(INDIRECT(zoneFichierEAN13Valmag),$P26,3),"")</f>
        <v xml:space="preserve">OBODY           </v>
      </c>
      <c r="C27" s="54" t="str">
        <f t="shared" ref="C27:C90" ca="1" si="72">AB26</f>
        <v xml:space="preserve">  | OBODY           </v>
      </c>
      <c r="D27" s="19" t="str">
        <f ca="1">IFERROR(INDEX(INDIRECT(zoneFichierEAN13Valmag),$P26,4),"")</f>
        <v>ROSMO</v>
      </c>
      <c r="E27" s="59" t="str">
        <f ca="1">IFERROR(INDEX(INDIRECT(zoneFichierFiltreCatalogue),AD26,3),"")</f>
        <v/>
      </c>
      <c r="F27" s="19"/>
      <c r="G27" s="18"/>
      <c r="H27" s="32" t="str">
        <f ca="1">IFERROR(INDEX(INDIRECT(zoneFichierFiltreCatalogue),AD26,6),"")</f>
        <v/>
      </c>
      <c r="T27" s="1"/>
      <c r="U27" s="21"/>
      <c r="V27" s="21"/>
      <c r="W27" s="21"/>
      <c r="X27" s="21"/>
      <c r="Y27" s="21"/>
      <c r="Z27" s="21"/>
      <c r="AA27" s="21"/>
      <c r="AB27" s="21"/>
      <c r="AC27" s="21"/>
      <c r="AD27" s="21"/>
    </row>
    <row r="28" spans="1:31" ht="39" customHeight="1" thickBot="1" x14ac:dyDescent="0.65">
      <c r="A28" s="9" t="str">
        <f ca="1">INDEX(INDIRECT(zoneFichierTraite),$J28+offsetInitialFichierTraite,6)</f>
        <v>UNICA</v>
      </c>
      <c r="B28" s="5" t="str">
        <f ca="1">INDEX(INDIRECT(zoneFichierTraite),$J28+offsetInitialFichierTraite,4)</f>
        <v>OBAGB002-EVS51-371</v>
      </c>
      <c r="C28" s="26" t="str">
        <f ca="1">INDEX(INDIRECT(zoneFichierTraite),$J28+offsetInitialFichierTraite,5)</f>
        <v>CORPS O BAG MINI EVA COMPOUND IMPRIME Ã€ FLEURS PEINT Ã€ LA MAIN</v>
      </c>
      <c r="D28" s="27" t="str">
        <f ca="1">INDEX(INDIRECT(zoneFichierTraite),$J28+offsetInitialFichierTraite,13)</f>
        <v>CodeBarre</v>
      </c>
      <c r="E28" s="30">
        <f ca="1">INDEX(INDIRECT(zoneFichierTraite),$J28+offsetInitialFichierTraite,7)</f>
        <v>2</v>
      </c>
      <c r="F28" s="28">
        <f ca="1">INDEX(INDIRECT(zoneFichierTraite),$J28+offsetInitialFichierTraite,8)</f>
        <v>31.48</v>
      </c>
      <c r="G28" s="29">
        <f t="shared" ref="G28:G91" ca="1" si="73">ROUNDUP(F28*3,0)</f>
        <v>95</v>
      </c>
      <c r="H28" s="31" t="str">
        <f ca="1">IF(ISNUMBER(N28),codeEAN13(INT(N28/10)),"")</f>
        <v/>
      </c>
      <c r="I28" s="1" t="b">
        <f t="shared" ref="I28" ca="1" si="74">AND(A31&lt;&gt;0,A29=A31)</f>
        <v>0</v>
      </c>
      <c r="J28" s="15">
        <f t="shared" si="2"/>
        <v>10</v>
      </c>
      <c r="K28" s="1">
        <f t="shared" ref="K28:K91" ca="1" si="75">A29</f>
        <v>23</v>
      </c>
      <c r="L28" s="5" t="str">
        <f ca="1">INDEX(INDIRECT(zoneFichierTraite),$J28+offsetInitialFichierTraite,1)</f>
        <v>'010</v>
      </c>
      <c r="M28" s="11">
        <f ca="1">INDEX(INDIRECT(zoneFichierTraite),$J28+offsetInitialFichierTraite,9)</f>
        <v>62.96</v>
      </c>
      <c r="N28" s="14" t="str">
        <f ca="1">INDEX(INDIRECT(zoneFichierTraite),$J28+offsetInitialFichierTraite,3)</f>
        <v>CodeBarre</v>
      </c>
      <c r="O28" s="14"/>
      <c r="P28" s="56" t="e">
        <f ca="1">MATCH(N28,INDIRECT(nomFichierEAN13Valmag &amp; "!A:A"),0)</f>
        <v>#N/A</v>
      </c>
      <c r="Q28" s="57" t="e">
        <f ca="1">MATCH(U28,INDIRECT(nomFichierEAN13Valmag &amp; "!A:A"),0)</f>
        <v>#N/A</v>
      </c>
      <c r="S28" s="50" t="str">
        <f t="shared" ref="S28:S91" ca="1" si="76">LEFT(B28,14)</f>
        <v>OBAGB002-EVS51</v>
      </c>
      <c r="T28" s="52" t="e">
        <f ca="1">MATCH($S28,INDIRECT(nomFichierEAN13ValmagUniq &amp; "!A:A"),0)</f>
        <v>#N/A</v>
      </c>
      <c r="U28" s="49" t="str">
        <f ca="1">IFERROR(INDEX(INDIRECT(zoneFichierEAN13ValmagUniq),T28,2),"")</f>
        <v/>
      </c>
      <c r="V28" s="52" t="e">
        <f ca="1">MATCH($S28,INDIRECT(nomFichierEAN13ValmagUniq &amp; "!A" &amp; (T28+1) &amp; ":A" &amp;  (T28+10)),0)</f>
        <v>#N/A</v>
      </c>
      <c r="W28" s="51" t="e">
        <f t="shared" ref="W28" ca="1" si="77">V28+T28</f>
        <v>#N/A</v>
      </c>
      <c r="X28" s="49" t="str">
        <f ca="1">IFERROR(INDEX(INDIRECT(zoneFichierEAN13ValmagUniq),W28,2),"")</f>
        <v/>
      </c>
      <c r="Y28" s="52" t="e">
        <f ca="1">MATCH($S28,INDIRECT(nomFichierEAN13ValmagUniq &amp; "!A" &amp; (W28+1) &amp; ":A" &amp;  (W28+10)),0)</f>
        <v>#N/A</v>
      </c>
      <c r="Z28" s="51" t="e">
        <f t="shared" ref="Z28" ca="1" si="78">Y28+W28</f>
        <v>#N/A</v>
      </c>
      <c r="AA28" s="49" t="str">
        <f ca="1">IFERROR(INDEX(INDIRECT(zoneFichierEAN13ValmagUniq),Z28,2),"")</f>
        <v/>
      </c>
      <c r="AB28" s="53" t="str">
        <f t="shared" ref="AB28" ca="1" si="79">U28 &amp; IF(X28="","", " | " &amp; X28) &amp; IF(AA28="","", " | " &amp;AA28)</f>
        <v/>
      </c>
      <c r="AD28" s="55" t="e">
        <f ca="1">MATCH(B28,INDIRECT(nomFichierFiltreCatalogue &amp; "!B:B"),0)</f>
        <v>#N/A</v>
      </c>
      <c r="AE28" s="14"/>
    </row>
    <row r="29" spans="1:31" s="20" customFormat="1" ht="15.75" customHeight="1" x14ac:dyDescent="0.25">
      <c r="A29" s="25">
        <f ca="1">INDEX(INDIRECT(zoneFichierTraite),$J28+offsetInitialFichierTraite,2)</f>
        <v>23</v>
      </c>
      <c r="B29" s="58" t="str">
        <f ca="1">IFERROR(INDEX(INDIRECT(zoneFichierEAN13Valmag),$P28,3),"")</f>
        <v/>
      </c>
      <c r="C29" s="54" t="str">
        <f t="shared" ref="C29:C92" ca="1" si="80">AB28</f>
        <v/>
      </c>
      <c r="D29" s="19" t="str">
        <f ca="1">IFERROR(INDEX(INDIRECT(zoneFichierEAN13Valmag),$P28,4),"")</f>
        <v/>
      </c>
      <c r="E29" s="59" t="str">
        <f ca="1">IFERROR(INDEX(INDIRECT(zoneFichierFiltreCatalogue),AD28,3),"")</f>
        <v/>
      </c>
      <c r="F29" s="19"/>
      <c r="G29" s="18"/>
      <c r="H29" s="32" t="str">
        <f ca="1">IFERROR(INDEX(INDIRECT(zoneFichierFiltreCatalogue),AD28,6),"")</f>
        <v/>
      </c>
      <c r="T29" s="1"/>
      <c r="U29" s="21"/>
      <c r="V29" s="21"/>
      <c r="W29" s="21"/>
      <c r="X29" s="21"/>
      <c r="Y29" s="21"/>
      <c r="Z29" s="21"/>
      <c r="AA29" s="21"/>
      <c r="AB29" s="21"/>
      <c r="AC29" s="21"/>
      <c r="AD29" s="21"/>
    </row>
    <row r="30" spans="1:31" ht="39" customHeight="1" thickBot="1" x14ac:dyDescent="0.65">
      <c r="A30" s="9" t="str">
        <f ca="1">INDEX(INDIRECT(zoneFichierTraite),$J30+offsetInitialFichierTraite,6)</f>
        <v>UNICA</v>
      </c>
      <c r="B30" s="5" t="str">
        <f ca="1">INDEX(INDIRECT(zoneFichierTraite),$J30+offsetInitialFichierTraite,4)</f>
        <v>OBAGB046-EVS00-048</v>
      </c>
      <c r="C30" s="26" t="str">
        <f ca="1">INDEX(INDIRECT(zoneFichierTraite),$J30+offsetInitialFichierTraite,5)</f>
        <v>CORPS O BAG REVERSE EVA COMPOUND</v>
      </c>
      <c r="D30" s="27" t="str">
        <f ca="1">INDEX(INDIRECT(zoneFichierTraite),$J30+offsetInitialFichierTraite,13)</f>
        <v>mattone</v>
      </c>
      <c r="E30" s="30">
        <f ca="1">INDEX(INDIRECT(zoneFichierTraite),$J30+offsetInitialFichierTraite,7)</f>
        <v>1</v>
      </c>
      <c r="F30" s="28">
        <f ca="1">INDEX(INDIRECT(zoneFichierTraite),$J30+offsetInitialFichierTraite,8)</f>
        <v>15.56</v>
      </c>
      <c r="G30" s="29">
        <f t="shared" ref="G30:G93" ca="1" si="81">ROUNDUP(F30*3,0)</f>
        <v>47</v>
      </c>
      <c r="H30" s="31" t="str">
        <f ca="1">IF(ISNUMBER(N30),codeEAN13(INT(N30/10)),"")</f>
        <v>8APASOG*agdcec+</v>
      </c>
      <c r="I30" s="1" t="b">
        <f t="shared" ref="I30" ca="1" si="82">AND(A33&lt;&gt;0,A31=A33)</f>
        <v>0</v>
      </c>
      <c r="J30" s="15">
        <f t="shared" si="2"/>
        <v>11</v>
      </c>
      <c r="K30" s="1">
        <f t="shared" ref="K30:K93" ca="1" si="83">A31</f>
        <v>14</v>
      </c>
      <c r="L30" s="5" t="str">
        <f ca="1">INDEX(INDIRECT(zoneFichierTraite),$J30+offsetInitialFichierTraite,1)</f>
        <v>'011</v>
      </c>
      <c r="M30" s="11">
        <f ca="1">INDEX(INDIRECT(zoneFichierTraite),$J30+offsetInitialFichierTraite,9)</f>
        <v>15.56</v>
      </c>
      <c r="N30" s="14">
        <f ca="1">INDEX(INDIRECT(zoneFichierTraite),$J30+offsetInitialFichierTraite,3)</f>
        <v>8050846063242</v>
      </c>
      <c r="O30" s="14"/>
      <c r="P30" s="56">
        <f ca="1">MATCH(N30,INDIRECT(nomFichierEAN13Valmag &amp; "!A:A"),0)</f>
        <v>571</v>
      </c>
      <c r="Q30" s="57" t="e">
        <f ca="1">MATCH(U30,INDIRECT(nomFichierEAN13Valmag &amp; "!A:A"),0)</f>
        <v>#N/A</v>
      </c>
      <c r="S30" s="50" t="str">
        <f t="shared" ref="S30:S93" ca="1" si="84">LEFT(B30,14)</f>
        <v>OBAGB046-EVS00</v>
      </c>
      <c r="T30" s="52">
        <f ca="1">MATCH($S30,INDIRECT(nomFichierEAN13ValmagUniq &amp; "!A:A"),0)</f>
        <v>101</v>
      </c>
      <c r="U30" s="49" t="str">
        <f ca="1">IFERROR(INDEX(INDIRECT(zoneFichierEAN13ValmagUniq),T30,2),"")</f>
        <v xml:space="preserve"> </v>
      </c>
      <c r="V30" s="52">
        <f ca="1">MATCH($S30,INDIRECT(nomFichierEAN13ValmagUniq &amp; "!A" &amp; (T30+1) &amp; ":A" &amp;  (T30+10)),0)</f>
        <v>1</v>
      </c>
      <c r="W30" s="51">
        <f t="shared" ref="W30" ca="1" si="85">V30+T30</f>
        <v>102</v>
      </c>
      <c r="X30" s="49" t="str">
        <f ca="1">IFERROR(INDEX(INDIRECT(zoneFichierEAN13ValmagUniq),W30,2),"")</f>
        <v xml:space="preserve">OBAGREVERSE     </v>
      </c>
      <c r="Y30" s="52" t="e">
        <f ca="1">MATCH($S30,INDIRECT(nomFichierEAN13ValmagUniq &amp; "!A" &amp; (W30+1) &amp; ":A" &amp;  (W30+10)),0)</f>
        <v>#N/A</v>
      </c>
      <c r="Z30" s="51" t="e">
        <f t="shared" ref="Z30" ca="1" si="86">Y30+W30</f>
        <v>#N/A</v>
      </c>
      <c r="AA30" s="49" t="str">
        <f ca="1">IFERROR(INDEX(INDIRECT(zoneFichierEAN13ValmagUniq),Z30,2),"")</f>
        <v/>
      </c>
      <c r="AB30" s="53" t="str">
        <f t="shared" ref="AB30" ca="1" si="87">U30 &amp; IF(X30="","", " | " &amp; X30) &amp; IF(AA30="","", " | " &amp;AA30)</f>
        <v xml:space="preserve">  | OBAGREVERSE     </v>
      </c>
      <c r="AD30" s="55" t="e">
        <f ca="1">MATCH(B30,INDIRECT(nomFichierFiltreCatalogue &amp; "!B:B"),0)</f>
        <v>#N/A</v>
      </c>
      <c r="AE30" s="14"/>
    </row>
    <row r="31" spans="1:31" s="20" customFormat="1" ht="15.75" customHeight="1" x14ac:dyDescent="0.25">
      <c r="A31" s="25">
        <f ca="1">INDEX(INDIRECT(zoneFichierTraite),$J30+offsetInitialFichierTraite,2)</f>
        <v>14</v>
      </c>
      <c r="B31" s="58" t="str">
        <f ca="1">IFERROR(INDEX(INDIRECT(zoneFichierEAN13Valmag),$P30,3),"")</f>
        <v xml:space="preserve">OBAGREVERSE     </v>
      </c>
      <c r="C31" s="54" t="str">
        <f t="shared" ref="C31:C94" ca="1" si="88">AB30</f>
        <v xml:space="preserve">  | OBAGREVERSE     </v>
      </c>
      <c r="D31" s="19" t="str">
        <f ca="1">IFERROR(INDEX(INDIRECT(zoneFichierEAN13Valmag),$P30,4),"")</f>
        <v>BRIQU</v>
      </c>
      <c r="E31" s="59" t="str">
        <f ca="1">IFERROR(INDEX(INDIRECT(zoneFichierFiltreCatalogue),AD30,3),"")</f>
        <v/>
      </c>
      <c r="F31" s="19"/>
      <c r="G31" s="18"/>
      <c r="H31" s="32" t="str">
        <f ca="1">IFERROR(INDEX(INDIRECT(zoneFichierFiltreCatalogue),AD30,6),"")</f>
        <v/>
      </c>
      <c r="T31" s="1"/>
      <c r="U31" s="21"/>
      <c r="V31" s="21"/>
      <c r="W31" s="21"/>
      <c r="X31" s="21"/>
      <c r="Y31" s="21"/>
      <c r="Z31" s="21"/>
      <c r="AA31" s="21"/>
      <c r="AB31" s="21"/>
      <c r="AC31" s="21"/>
      <c r="AD31" s="21"/>
    </row>
    <row r="32" spans="1:31" ht="39" customHeight="1" thickBot="1" x14ac:dyDescent="0.65">
      <c r="A32" s="9" t="str">
        <f ca="1">INDEX(INDIRECT(zoneFichierTraite),$J32+offsetInitialFichierTraite,6)</f>
        <v>UNICA</v>
      </c>
      <c r="B32" s="5" t="str">
        <f ca="1">INDEX(INDIRECT(zoneFichierTraite),$J32+offsetInitialFichierTraite,4)</f>
        <v>OBAGB046-EVS00-055</v>
      </c>
      <c r="C32" s="26" t="str">
        <f ca="1">INDEX(INDIRECT(zoneFichierTraite),$J32+offsetInitialFichierTraite,5)</f>
        <v>CORPS O BAG REVERSE EVA COMPOUND</v>
      </c>
      <c r="D32" s="27" t="str">
        <f ca="1">INDEX(INDIRECT(zoneFichierTraite),$J32+offsetInitialFichierTraite,13)</f>
        <v>nero</v>
      </c>
      <c r="E32" s="30">
        <f ca="1">INDEX(INDIRECT(zoneFichierTraite),$J32+offsetInitialFichierTraite,7)</f>
        <v>1</v>
      </c>
      <c r="F32" s="28">
        <f ca="1">INDEX(INDIRECT(zoneFichierTraite),$J32+offsetInitialFichierTraite,8)</f>
        <v>15.56</v>
      </c>
      <c r="G32" s="29">
        <f t="shared" ref="G32:G95" ca="1" si="89">ROUNDUP(F32*3,0)</f>
        <v>47</v>
      </c>
      <c r="H32" s="31" t="str">
        <f ca="1">IF(ISNUMBER(N32),codeEAN13(INT(N32/10)),"")</f>
        <v>8APASOG*agdbib+</v>
      </c>
      <c r="I32" s="1" t="b">
        <f t="shared" ref="I32" ca="1" si="90">AND(A35&lt;&gt;0,A33=A35)</f>
        <v>0</v>
      </c>
      <c r="J32" s="15">
        <f t="shared" si="2"/>
        <v>12</v>
      </c>
      <c r="K32" s="1">
        <f t="shared" ref="K32:K95" ca="1" si="91">A33</f>
        <v>7</v>
      </c>
      <c r="L32" s="5" t="str">
        <f ca="1">INDEX(INDIRECT(zoneFichierTraite),$J32+offsetInitialFichierTraite,1)</f>
        <v>'012</v>
      </c>
      <c r="M32" s="11">
        <f ca="1">INDEX(INDIRECT(zoneFichierTraite),$J32+offsetInitialFichierTraite,9)</f>
        <v>15.56</v>
      </c>
      <c r="N32" s="14">
        <f ca="1">INDEX(INDIRECT(zoneFichierTraite),$J32+offsetInitialFichierTraite,3)</f>
        <v>8050846063181</v>
      </c>
      <c r="O32" s="14"/>
      <c r="P32" s="56">
        <f ca="1">MATCH(N32,INDIRECT(nomFichierEAN13Valmag &amp; "!A:A"),0)</f>
        <v>565</v>
      </c>
      <c r="Q32" s="57" t="e">
        <f ca="1">MATCH(U32,INDIRECT(nomFichierEAN13Valmag &amp; "!A:A"),0)</f>
        <v>#N/A</v>
      </c>
      <c r="S32" s="50" t="str">
        <f t="shared" ref="S32:S95" ca="1" si="92">LEFT(B32,14)</f>
        <v>OBAGB046-EVS00</v>
      </c>
      <c r="T32" s="52">
        <f ca="1">MATCH($S32,INDIRECT(nomFichierEAN13ValmagUniq &amp; "!A:A"),0)</f>
        <v>101</v>
      </c>
      <c r="U32" s="49" t="str">
        <f ca="1">IFERROR(INDEX(INDIRECT(zoneFichierEAN13ValmagUniq),T32,2),"")</f>
        <v xml:space="preserve"> </v>
      </c>
      <c r="V32" s="52">
        <f ca="1">MATCH($S32,INDIRECT(nomFichierEAN13ValmagUniq &amp; "!A" &amp; (T32+1) &amp; ":A" &amp;  (T32+10)),0)</f>
        <v>1</v>
      </c>
      <c r="W32" s="51">
        <f t="shared" ref="W32" ca="1" si="93">V32+T32</f>
        <v>102</v>
      </c>
      <c r="X32" s="49" t="str">
        <f ca="1">IFERROR(INDEX(INDIRECT(zoneFichierEAN13ValmagUniq),W32,2),"")</f>
        <v xml:space="preserve">OBAGREVERSE     </v>
      </c>
      <c r="Y32" s="52" t="e">
        <f ca="1">MATCH($S32,INDIRECT(nomFichierEAN13ValmagUniq &amp; "!A" &amp; (W32+1) &amp; ":A" &amp;  (W32+10)),0)</f>
        <v>#N/A</v>
      </c>
      <c r="Z32" s="51" t="e">
        <f t="shared" ref="Z32" ca="1" si="94">Y32+W32</f>
        <v>#N/A</v>
      </c>
      <c r="AA32" s="49" t="str">
        <f ca="1">IFERROR(INDEX(INDIRECT(zoneFichierEAN13ValmagUniq),Z32,2),"")</f>
        <v/>
      </c>
      <c r="AB32" s="53" t="str">
        <f t="shared" ref="AB32" ca="1" si="95">U32 &amp; IF(X32="","", " | " &amp; X32) &amp; IF(AA32="","", " | " &amp;AA32)</f>
        <v xml:space="preserve">  | OBAGREVERSE     </v>
      </c>
      <c r="AD32" s="55">
        <f ca="1">MATCH(B32,INDIRECT(nomFichierFiltreCatalogue &amp; "!B:B"),0)</f>
        <v>67</v>
      </c>
      <c r="AE32" s="14"/>
    </row>
    <row r="33" spans="1:31" s="20" customFormat="1" ht="15.75" customHeight="1" x14ac:dyDescent="0.25">
      <c r="A33" s="25">
        <f ca="1">INDEX(INDIRECT(zoneFichierTraite),$J32+offsetInitialFichierTraite,2)</f>
        <v>7</v>
      </c>
      <c r="B33" s="58" t="str">
        <f ca="1">IFERROR(INDEX(INDIRECT(zoneFichierEAN13Valmag),$P32,3),"")</f>
        <v xml:space="preserve">OBAGREVERSE     </v>
      </c>
      <c r="C33" s="54" t="str">
        <f t="shared" ref="C33:C96" ca="1" si="96">AB32</f>
        <v xml:space="preserve">  | OBAGREVERSE     </v>
      </c>
      <c r="D33" s="19" t="str">
        <f ca="1">IFERROR(INDEX(INDIRECT(zoneFichierEAN13Valmag),$P32,4),"")</f>
        <v>BLACK</v>
      </c>
      <c r="E33" s="59" t="str">
        <f ca="1">IFERROR(INDEX(INDIRECT(zoneFichierFiltreCatalogue),AD32,3),"")</f>
        <v>p014-1-05</v>
      </c>
      <c r="F33" s="19"/>
      <c r="G33" s="18"/>
      <c r="H33" s="32" t="str">
        <f ca="1">IFERROR(INDEX(INDIRECT(zoneFichierFiltreCatalogue),AD32,6),"")</f>
        <v>fall 2019 presentation_/catalogo fall 19.txt</v>
      </c>
      <c r="T33" s="1"/>
      <c r="U33" s="21"/>
      <c r="V33" s="21"/>
      <c r="W33" s="21"/>
      <c r="X33" s="21"/>
      <c r="Y33" s="21"/>
      <c r="Z33" s="21"/>
      <c r="AA33" s="21"/>
      <c r="AB33" s="21"/>
      <c r="AC33" s="21"/>
      <c r="AD33" s="21"/>
    </row>
    <row r="34" spans="1:31" ht="39" customHeight="1" thickBot="1" x14ac:dyDescent="0.65">
      <c r="A34" s="9" t="str">
        <f ca="1">INDEX(INDIRECT(zoneFichierTraite),$J34+offsetInitialFichierTraite,6)</f>
        <v>UNICA</v>
      </c>
      <c r="B34" s="5" t="str">
        <f ca="1">INDEX(INDIRECT(zoneFichierTraite),$J34+offsetInitialFichierTraite,4)</f>
        <v>OBAGB046-EVS00-078</v>
      </c>
      <c r="C34" s="26" t="str">
        <f ca="1">INDEX(INDIRECT(zoneFichierTraite),$J34+offsetInitialFichierTraite,5)</f>
        <v>CORPS O BAG REVERSE EVA COMPOUND</v>
      </c>
      <c r="D34" s="27" t="str">
        <f ca="1">INDEX(INDIRECT(zoneFichierTraite),$J34+offsetInitialFichierTraite,13)</f>
        <v>sabbia</v>
      </c>
      <c r="E34" s="30">
        <f ca="1">INDEX(INDIRECT(zoneFichierTraite),$J34+offsetInitialFichierTraite,7)</f>
        <v>1</v>
      </c>
      <c r="F34" s="28">
        <f ca="1">INDEX(INDIRECT(zoneFichierTraite),$J34+offsetInitialFichierTraite,8)</f>
        <v>15.56</v>
      </c>
      <c r="G34" s="29">
        <f t="shared" ref="G34:G97" ca="1" si="97">ROUNDUP(F34*3,0)</f>
        <v>47</v>
      </c>
      <c r="H34" s="31" t="str">
        <f ca="1">IF(ISNUMBER(N34),codeEAN13(INT(N34/10)),"")</f>
        <v>8APASOG*aifbah+</v>
      </c>
      <c r="I34" s="1" t="b">
        <f t="shared" ref="I34" ca="1" si="98">AND(A37&lt;&gt;0,A35=A37)</f>
        <v>0</v>
      </c>
      <c r="J34" s="15">
        <f t="shared" si="2"/>
        <v>13</v>
      </c>
      <c r="K34" s="1">
        <f t="shared" ref="K34:K97" ca="1" si="99">A35</f>
        <v>15</v>
      </c>
      <c r="L34" s="5" t="str">
        <f ca="1">INDEX(INDIRECT(zoneFichierTraite),$J34+offsetInitialFichierTraite,1)</f>
        <v>'013</v>
      </c>
      <c r="M34" s="11">
        <f ca="1">INDEX(INDIRECT(zoneFichierTraite),$J34+offsetInitialFichierTraite,9)</f>
        <v>15.56</v>
      </c>
      <c r="N34" s="14">
        <f ca="1">INDEX(INDIRECT(zoneFichierTraite),$J34+offsetInitialFichierTraite,3)</f>
        <v>8050846085107</v>
      </c>
      <c r="O34" s="14"/>
      <c r="P34" s="56">
        <f ca="1">MATCH(N34,INDIRECT(nomFichierEAN13Valmag &amp; "!A:A"),0)</f>
        <v>640</v>
      </c>
      <c r="Q34" s="57" t="e">
        <f ca="1">MATCH(U34,INDIRECT(nomFichierEAN13Valmag &amp; "!A:A"),0)</f>
        <v>#N/A</v>
      </c>
      <c r="S34" s="50" t="str">
        <f t="shared" ref="S34:S97" ca="1" si="100">LEFT(B34,14)</f>
        <v>OBAGB046-EVS00</v>
      </c>
      <c r="T34" s="52">
        <f ca="1">MATCH($S34,INDIRECT(nomFichierEAN13ValmagUniq &amp; "!A:A"),0)</f>
        <v>101</v>
      </c>
      <c r="U34" s="49" t="str">
        <f ca="1">IFERROR(INDEX(INDIRECT(zoneFichierEAN13ValmagUniq),T34,2),"")</f>
        <v xml:space="preserve"> </v>
      </c>
      <c r="V34" s="52">
        <f ca="1">MATCH($S34,INDIRECT(nomFichierEAN13ValmagUniq &amp; "!A" &amp; (T34+1) &amp; ":A" &amp;  (T34+10)),0)</f>
        <v>1</v>
      </c>
      <c r="W34" s="51">
        <f t="shared" ref="W34" ca="1" si="101">V34+T34</f>
        <v>102</v>
      </c>
      <c r="X34" s="49" t="str">
        <f ca="1">IFERROR(INDEX(INDIRECT(zoneFichierEAN13ValmagUniq),W34,2),"")</f>
        <v xml:space="preserve">OBAGREVERSE     </v>
      </c>
      <c r="Y34" s="52" t="e">
        <f ca="1">MATCH($S34,INDIRECT(nomFichierEAN13ValmagUniq &amp; "!A" &amp; (W34+1) &amp; ":A" &amp;  (W34+10)),0)</f>
        <v>#N/A</v>
      </c>
      <c r="Z34" s="51" t="e">
        <f t="shared" ref="Z34" ca="1" si="102">Y34+W34</f>
        <v>#N/A</v>
      </c>
      <c r="AA34" s="49" t="str">
        <f ca="1">IFERROR(INDEX(INDIRECT(zoneFichierEAN13ValmagUniq),Z34,2),"")</f>
        <v/>
      </c>
      <c r="AB34" s="53" t="str">
        <f t="shared" ref="AB34" ca="1" si="103">U34 &amp; IF(X34="","", " | " &amp; X34) &amp; IF(AA34="","", " | " &amp;AA34)</f>
        <v xml:space="preserve">  | OBAGREVERSE     </v>
      </c>
      <c r="AD34" s="55">
        <f ca="1">MATCH(B34,INDIRECT(nomFichierFiltreCatalogue &amp; "!B:B"),0)</f>
        <v>66</v>
      </c>
      <c r="AE34" s="14"/>
    </row>
    <row r="35" spans="1:31" s="20" customFormat="1" ht="15.75" customHeight="1" x14ac:dyDescent="0.25">
      <c r="A35" s="25">
        <f ca="1">INDEX(INDIRECT(zoneFichierTraite),$J34+offsetInitialFichierTraite,2)</f>
        <v>15</v>
      </c>
      <c r="B35" s="58" t="str">
        <f ca="1">IFERROR(INDEX(INDIRECT(zoneFichierEAN13Valmag),$P34,3),"")</f>
        <v xml:space="preserve">OBAGREVERSE     </v>
      </c>
      <c r="C35" s="54" t="str">
        <f t="shared" ref="C35:C98" ca="1" si="104">AB34</f>
        <v xml:space="preserve">  | OBAGREVERSE     </v>
      </c>
      <c r="D35" s="19" t="str">
        <f ca="1">IFERROR(INDEX(INDIRECT(zoneFichierEAN13Valmag),$P34,4),"")</f>
        <v xml:space="preserve">SAND </v>
      </c>
      <c r="E35" s="59" t="str">
        <f ca="1">IFERROR(INDEX(INDIRECT(zoneFichierFiltreCatalogue),AD34,3),"")</f>
        <v>p014-1-04</v>
      </c>
      <c r="F35" s="19"/>
      <c r="G35" s="18"/>
      <c r="H35" s="32" t="str">
        <f ca="1">IFERROR(INDEX(INDIRECT(zoneFichierFiltreCatalogue),AD34,6),"")</f>
        <v>fall 2019 presentation_/catalogo fall 19.txt</v>
      </c>
      <c r="T35" s="1"/>
      <c r="U35" s="21"/>
      <c r="V35" s="21"/>
      <c r="W35" s="21"/>
      <c r="X35" s="21"/>
      <c r="Y35" s="21"/>
      <c r="Z35" s="21"/>
      <c r="AA35" s="21"/>
      <c r="AB35" s="21"/>
      <c r="AC35" s="21"/>
      <c r="AD35" s="21"/>
    </row>
    <row r="36" spans="1:31" ht="39" customHeight="1" thickBot="1" x14ac:dyDescent="0.65">
      <c r="A36" s="9" t="str">
        <f ca="1">INDEX(INDIRECT(zoneFichierTraite),$J36+offsetInitialFichierTraite,6)</f>
        <v>UNICA</v>
      </c>
      <c r="B36" s="5" t="str">
        <f ca="1">INDEX(INDIRECT(zoneFichierTraite),$J36+offsetInitialFichierTraite,4)</f>
        <v>OBAGB047-EVS00-048</v>
      </c>
      <c r="C36" s="26" t="str">
        <f ca="1">INDEX(INDIRECT(zoneFichierTraite),$J36+offsetInitialFichierTraite,5)</f>
        <v>CORPS O BAG QUEEN EVA COMPOUND</v>
      </c>
      <c r="D36" s="27" t="str">
        <f ca="1">INDEX(INDIRECT(zoneFichierTraite),$J36+offsetInitialFichierTraite,13)</f>
        <v>mattone</v>
      </c>
      <c r="E36" s="30">
        <f ca="1">INDEX(INDIRECT(zoneFichierTraite),$J36+offsetInitialFichierTraite,7)</f>
        <v>1</v>
      </c>
      <c r="F36" s="28">
        <f ca="1">INDEX(INDIRECT(zoneFichierTraite),$J36+offsetInitialFichierTraite,8)</f>
        <v>15.56</v>
      </c>
      <c r="G36" s="29">
        <f t="shared" ref="G36:G99" ca="1" si="105">ROUNDUP(F36*3,0)</f>
        <v>47</v>
      </c>
      <c r="H36" s="31" t="str">
        <f ca="1">IF(ISNUMBER(N36),codeEAN13(INT(N36/10)),"")</f>
        <v>8APASOG*agdbfa+</v>
      </c>
      <c r="I36" s="1" t="b">
        <f t="shared" ref="I36" ca="1" si="106">AND(A39&lt;&gt;0,A37=A39)</f>
        <v>0</v>
      </c>
      <c r="J36" s="15">
        <f t="shared" si="2"/>
        <v>14</v>
      </c>
      <c r="K36" s="1">
        <f t="shared" ref="K36:K99" ca="1" si="107">A37</f>
        <v>26</v>
      </c>
      <c r="L36" s="5" t="str">
        <f ca="1">INDEX(INDIRECT(zoneFichierTraite),$J36+offsetInitialFichierTraite,1)</f>
        <v>'014</v>
      </c>
      <c r="M36" s="11">
        <f ca="1">INDEX(INDIRECT(zoneFichierTraite),$J36+offsetInitialFichierTraite,9)</f>
        <v>15.56</v>
      </c>
      <c r="N36" s="14">
        <f ca="1">INDEX(INDIRECT(zoneFichierTraite),$J36+offsetInitialFichierTraite,3)</f>
        <v>8050846063150</v>
      </c>
      <c r="O36" s="14"/>
      <c r="P36" s="56">
        <f ca="1">MATCH(N36,INDIRECT(nomFichierEAN13Valmag &amp; "!A:A"),0)</f>
        <v>562</v>
      </c>
      <c r="Q36" s="57" t="e">
        <f ca="1">MATCH(U36,INDIRECT(nomFichierEAN13Valmag &amp; "!A:A"),0)</f>
        <v>#N/A</v>
      </c>
      <c r="S36" s="50" t="str">
        <f t="shared" ref="S36:S99" ca="1" si="108">LEFT(B36,14)</f>
        <v>OBAGB047-EVS00</v>
      </c>
      <c r="T36" s="52">
        <f ca="1">MATCH($S36,INDIRECT(nomFichierEAN13ValmagUniq &amp; "!A:A"),0)</f>
        <v>103</v>
      </c>
      <c r="U36" s="49" t="str">
        <f ca="1">IFERROR(INDEX(INDIRECT(zoneFichierEAN13ValmagUniq),T36,2),"")</f>
        <v xml:space="preserve"> </v>
      </c>
      <c r="V36" s="52">
        <f ca="1">MATCH($S36,INDIRECT(nomFichierEAN13ValmagUniq &amp; "!A" &amp; (T36+1) &amp; ":A" &amp;  (T36+10)),0)</f>
        <v>1</v>
      </c>
      <c r="W36" s="51">
        <f t="shared" ref="W36" ca="1" si="109">V36+T36</f>
        <v>104</v>
      </c>
      <c r="X36" s="49" t="str">
        <f ca="1">IFERROR(INDEX(INDIRECT(zoneFichierEAN13ValmagUniq),W36,2),"")</f>
        <v xml:space="preserve">OBAGQUEEN       </v>
      </c>
      <c r="Y36" s="52" t="e">
        <f ca="1">MATCH($S36,INDIRECT(nomFichierEAN13ValmagUniq &amp; "!A" &amp; (W36+1) &amp; ":A" &amp;  (W36+10)),0)</f>
        <v>#N/A</v>
      </c>
      <c r="Z36" s="51" t="e">
        <f t="shared" ref="Z36" ca="1" si="110">Y36+W36</f>
        <v>#N/A</v>
      </c>
      <c r="AA36" s="49" t="str">
        <f ca="1">IFERROR(INDEX(INDIRECT(zoneFichierEAN13ValmagUniq),Z36,2),"")</f>
        <v/>
      </c>
      <c r="AB36" s="53" t="str">
        <f t="shared" ref="AB36" ca="1" si="111">U36 &amp; IF(X36="","", " | " &amp; X36) &amp; IF(AA36="","", " | " &amp;AA36)</f>
        <v xml:space="preserve">  | OBAGQUEEN       </v>
      </c>
      <c r="AD36" s="55" t="e">
        <f ca="1">MATCH(B36,INDIRECT(nomFichierFiltreCatalogue &amp; "!B:B"),0)</f>
        <v>#N/A</v>
      </c>
      <c r="AE36" s="14"/>
    </row>
    <row r="37" spans="1:31" s="20" customFormat="1" ht="15.75" customHeight="1" x14ac:dyDescent="0.25">
      <c r="A37" s="25">
        <f ca="1">INDEX(INDIRECT(zoneFichierTraite),$J36+offsetInitialFichierTraite,2)</f>
        <v>26</v>
      </c>
      <c r="B37" s="58" t="str">
        <f ca="1">IFERROR(INDEX(INDIRECT(zoneFichierEAN13Valmag),$P36,3),"")</f>
        <v xml:space="preserve">OBAGQUEEN       </v>
      </c>
      <c r="C37" s="54" t="str">
        <f t="shared" ref="C37:C100" ca="1" si="112">AB36</f>
        <v xml:space="preserve">  | OBAGQUEEN       </v>
      </c>
      <c r="D37" s="19" t="str">
        <f ca="1">IFERROR(INDEX(INDIRECT(zoneFichierEAN13Valmag),$P36,4),"")</f>
        <v>BRIQU</v>
      </c>
      <c r="E37" s="59" t="str">
        <f ca="1">IFERROR(INDEX(INDIRECT(zoneFichierFiltreCatalogue),AD36,3),"")</f>
        <v/>
      </c>
      <c r="F37" s="19"/>
      <c r="G37" s="18"/>
      <c r="H37" s="32" t="str">
        <f ca="1">IFERROR(INDEX(INDIRECT(zoneFichierFiltreCatalogue),AD36,6),"")</f>
        <v/>
      </c>
      <c r="T37" s="1"/>
      <c r="U37" s="21"/>
      <c r="V37" s="21"/>
      <c r="W37" s="21"/>
      <c r="X37" s="21"/>
      <c r="Y37" s="21"/>
      <c r="Z37" s="21"/>
      <c r="AA37" s="21"/>
      <c r="AB37" s="21"/>
      <c r="AC37" s="21"/>
      <c r="AD37" s="21"/>
    </row>
    <row r="38" spans="1:31" ht="39" customHeight="1" thickBot="1" x14ac:dyDescent="0.65">
      <c r="A38" s="9" t="str">
        <f ca="1">INDEX(INDIRECT(zoneFichierTraite),$J38+offsetInitialFichierTraite,6)</f>
        <v>UNICA</v>
      </c>
      <c r="B38" s="5" t="str">
        <f ca="1">INDEX(INDIRECT(zoneFichierTraite),$J38+offsetInitialFichierTraite,4)</f>
        <v>OBAGB206-EVS00-048</v>
      </c>
      <c r="C38" s="26" t="str">
        <f ca="1">INDEX(INDIRECT(zoneFichierTraite),$J38+offsetInitialFichierTraite,5)</f>
        <v>CORPS INFERIEUR O POCKET EVA COMPOUND</v>
      </c>
      <c r="D38" s="27" t="str">
        <f ca="1">INDEX(INDIRECT(zoneFichierTraite),$J38+offsetInitialFichierTraite,13)</f>
        <v>mattone</v>
      </c>
      <c r="E38" s="30">
        <f ca="1">INDEX(INDIRECT(zoneFichierTraite),$J38+offsetInitialFichierTraite,7)</f>
        <v>1</v>
      </c>
      <c r="F38" s="28">
        <f ca="1">INDEX(INDIRECT(zoneFichierTraite),$J38+offsetInitialFichierTraite,8)</f>
        <v>4.8</v>
      </c>
      <c r="G38" s="29">
        <f t="shared" ref="G38:G101" ca="1" si="113">ROUNDUP(F38*3,0)</f>
        <v>15</v>
      </c>
      <c r="H38" s="31" t="str">
        <f ca="1">IF(ISNUMBER(N38),codeEAN13(INT(N38/10)),"")</f>
        <v>8APASOG*aggihi+</v>
      </c>
      <c r="I38" s="1" t="b">
        <f t="shared" ref="I38" ca="1" si="114">AND(A41&lt;&gt;0,A39=A41)</f>
        <v>0</v>
      </c>
      <c r="J38" s="15">
        <f t="shared" si="2"/>
        <v>15</v>
      </c>
      <c r="K38" s="1">
        <f t="shared" ref="K38:K101" ca="1" si="115">A39</f>
        <v>36</v>
      </c>
      <c r="L38" s="5" t="str">
        <f ca="1">INDEX(INDIRECT(zoneFichierTraite),$J38+offsetInitialFichierTraite,1)</f>
        <v>'015</v>
      </c>
      <c r="M38" s="11">
        <f ca="1">INDEX(INDIRECT(zoneFichierTraite),$J38+offsetInitialFichierTraite,9)</f>
        <v>4.8</v>
      </c>
      <c r="N38" s="14">
        <f ca="1">INDEX(INDIRECT(zoneFichierTraite),$J38+offsetInitialFichierTraite,3)</f>
        <v>8050846066878</v>
      </c>
      <c r="O38" s="14"/>
      <c r="P38" s="56">
        <f ca="1">MATCH(N38,INDIRECT(nomFichierEAN13Valmag &amp; "!A:A"),0)</f>
        <v>597</v>
      </c>
      <c r="Q38" s="57" t="e">
        <f ca="1">MATCH(U38,INDIRECT(nomFichierEAN13Valmag &amp; "!A:A"),0)</f>
        <v>#N/A</v>
      </c>
      <c r="S38" s="50" t="str">
        <f t="shared" ref="S38:S101" ca="1" si="116">LEFT(B38,14)</f>
        <v>OBAGB206-EVS00</v>
      </c>
      <c r="T38" s="52">
        <f ca="1">MATCH($S38,INDIRECT(nomFichierEAN13ValmagUniq &amp; "!A:A"),0)</f>
        <v>111</v>
      </c>
      <c r="U38" s="49" t="str">
        <f ca="1">IFERROR(INDEX(INDIRECT(zoneFichierEAN13ValmagUniq),T38,2),"")</f>
        <v xml:space="preserve"> </v>
      </c>
      <c r="V38" s="52">
        <f ca="1">MATCH($S38,INDIRECT(nomFichierEAN13ValmagUniq &amp; "!A" &amp; (T38+1) &amp; ":A" &amp;  (T38+10)),0)</f>
        <v>1</v>
      </c>
      <c r="W38" s="51">
        <f t="shared" ref="W38" ca="1" si="117">V38+T38</f>
        <v>112</v>
      </c>
      <c r="X38" s="49" t="str">
        <f ca="1">IFERROR(INDEX(INDIRECT(zoneFichierEAN13ValmagUniq),W38,2),"")</f>
        <v xml:space="preserve">COQUOPOCKET     </v>
      </c>
      <c r="Y38" s="52">
        <f ca="1">MATCH($S38,INDIRECT(nomFichierEAN13ValmagUniq &amp; "!A" &amp; (W38+1) &amp; ":A" &amp;  (W38+10)),0)</f>
        <v>1</v>
      </c>
      <c r="Z38" s="51">
        <f t="shared" ref="Z38" ca="1" si="118">Y38+W38</f>
        <v>113</v>
      </c>
      <c r="AA38" s="49" t="str">
        <f ca="1">IFERROR(INDEX(INDIRECT(zoneFichierEAN13ValmagUniq),Z38,2),"")</f>
        <v xml:space="preserve">OPOCKET         </v>
      </c>
      <c r="AB38" s="53" t="str">
        <f t="shared" ref="AB38" ca="1" si="119">U38 &amp; IF(X38="","", " | " &amp; X38) &amp; IF(AA38="","", " | " &amp;AA38)</f>
        <v xml:space="preserve">  | COQUOPOCKET      | OPOCKET         </v>
      </c>
      <c r="AD38" s="55" t="e">
        <f ca="1">MATCH(B38,INDIRECT(nomFichierFiltreCatalogue &amp; "!B:B"),0)</f>
        <v>#N/A</v>
      </c>
      <c r="AE38" s="14"/>
    </row>
    <row r="39" spans="1:31" s="20" customFormat="1" ht="15.75" customHeight="1" x14ac:dyDescent="0.25">
      <c r="A39" s="25">
        <f ca="1">INDEX(INDIRECT(zoneFichierTraite),$J38+offsetInitialFichierTraite,2)</f>
        <v>36</v>
      </c>
      <c r="B39" s="58" t="str">
        <f ca="1">IFERROR(INDEX(INDIRECT(zoneFichierEAN13Valmag),$P38,3),"")</f>
        <v xml:space="preserve">COQUOPOCKET     </v>
      </c>
      <c r="C39" s="54" t="str">
        <f t="shared" ref="C39:C102" ca="1" si="120">AB38</f>
        <v xml:space="preserve">  | COQUOPOCKET      | OPOCKET         </v>
      </c>
      <c r="D39" s="19" t="str">
        <f ca="1">IFERROR(INDEX(INDIRECT(zoneFichierEAN13Valmag),$P38,4),"")</f>
        <v>BRIQU</v>
      </c>
      <c r="E39" s="59" t="str">
        <f ca="1">IFERROR(INDEX(INDIRECT(zoneFichierFiltreCatalogue),AD38,3),"")</f>
        <v/>
      </c>
      <c r="F39" s="19"/>
      <c r="G39" s="18"/>
      <c r="H39" s="32" t="str">
        <f ca="1">IFERROR(INDEX(INDIRECT(zoneFichierFiltreCatalogue),AD38,6),"")</f>
        <v/>
      </c>
      <c r="T39" s="1"/>
      <c r="U39" s="21"/>
      <c r="V39" s="21"/>
      <c r="W39" s="21"/>
      <c r="X39" s="21"/>
      <c r="Y39" s="21"/>
      <c r="Z39" s="21"/>
      <c r="AA39" s="21"/>
      <c r="AB39" s="21"/>
      <c r="AC39" s="21"/>
      <c r="AD39" s="21"/>
    </row>
    <row r="40" spans="1:31" ht="39" customHeight="1" thickBot="1" x14ac:dyDescent="0.65">
      <c r="A40" s="9" t="str">
        <f ca="1">INDEX(INDIRECT(zoneFichierTraite),$J40+offsetInitialFichierTraite,6)</f>
        <v>UNICA</v>
      </c>
      <c r="B40" s="5" t="str">
        <f ca="1">INDEX(INDIRECT(zoneFichierTraite),$J40+offsetInitialFichierTraite,4)</f>
        <v>OBAGB206-EVS00-075</v>
      </c>
      <c r="C40" s="26" t="str">
        <f ca="1">INDEX(INDIRECT(zoneFichierTraite),$J40+offsetInitialFichierTraite,5)</f>
        <v>CORPS INFERIEUR O POCKET EVA COMPOUND</v>
      </c>
      <c r="D40" s="27" t="str">
        <f ca="1">INDEX(INDIRECT(zoneFichierTraite),$J40+offsetInitialFichierTraite,13)</f>
        <v>rosa smoke</v>
      </c>
      <c r="E40" s="30">
        <f ca="1">INDEX(INDIRECT(zoneFichierTraite),$J40+offsetInitialFichierTraite,7)</f>
        <v>1</v>
      </c>
      <c r="F40" s="28">
        <f ca="1">INDEX(INDIRECT(zoneFichierTraite),$J40+offsetInitialFichierTraite,8)</f>
        <v>4.8</v>
      </c>
      <c r="G40" s="29">
        <f t="shared" ref="G40:G103" ca="1" si="121">ROUNDUP(F40*3,0)</f>
        <v>15</v>
      </c>
      <c r="H40" s="31" t="str">
        <f ca="1">IF(ISNUMBER(N40),codeEAN13(INT(N40/10)),"")</f>
        <v>8APGNKA*effhef+</v>
      </c>
      <c r="I40" s="1" t="b">
        <f t="shared" ref="I40" ca="1" si="122">AND(A43&lt;&gt;0,A41=A43)</f>
        <v>0</v>
      </c>
      <c r="J40" s="15">
        <f t="shared" si="2"/>
        <v>16</v>
      </c>
      <c r="K40" s="1">
        <f t="shared" ref="K40:K103" ca="1" si="123">A41</f>
        <v>32</v>
      </c>
      <c r="L40" s="5" t="str">
        <f ca="1">INDEX(INDIRECT(zoneFichierTraite),$J40+offsetInitialFichierTraite,1)</f>
        <v>'016</v>
      </c>
      <c r="M40" s="11">
        <f ca="1">INDEX(INDIRECT(zoneFichierTraite),$J40+offsetInitialFichierTraite,9)</f>
        <v>4.8</v>
      </c>
      <c r="N40" s="14">
        <f ca="1">INDEX(INDIRECT(zoneFichierTraite),$J40+offsetInitialFichierTraite,3)</f>
        <v>8056300455745</v>
      </c>
      <c r="O40" s="14"/>
      <c r="P40" s="56">
        <f ca="1">MATCH(N40,INDIRECT(nomFichierEAN13Valmag &amp; "!A:A"),0)</f>
        <v>1070</v>
      </c>
      <c r="Q40" s="57" t="e">
        <f ca="1">MATCH(U40,INDIRECT(nomFichierEAN13Valmag &amp; "!A:A"),0)</f>
        <v>#N/A</v>
      </c>
      <c r="S40" s="50" t="str">
        <f t="shared" ref="S40:S103" ca="1" si="124">LEFT(B40,14)</f>
        <v>OBAGB206-EVS00</v>
      </c>
      <c r="T40" s="52">
        <f ca="1">MATCH($S40,INDIRECT(nomFichierEAN13ValmagUniq &amp; "!A:A"),0)</f>
        <v>111</v>
      </c>
      <c r="U40" s="49" t="str">
        <f ca="1">IFERROR(INDEX(INDIRECT(zoneFichierEAN13ValmagUniq),T40,2),"")</f>
        <v xml:space="preserve"> </v>
      </c>
      <c r="V40" s="52">
        <f ca="1">MATCH($S40,INDIRECT(nomFichierEAN13ValmagUniq &amp; "!A" &amp; (T40+1) &amp; ":A" &amp;  (T40+10)),0)</f>
        <v>1</v>
      </c>
      <c r="W40" s="51">
        <f t="shared" ref="W40" ca="1" si="125">V40+T40</f>
        <v>112</v>
      </c>
      <c r="X40" s="49" t="str">
        <f ca="1">IFERROR(INDEX(INDIRECT(zoneFichierEAN13ValmagUniq),W40,2),"")</f>
        <v xml:space="preserve">COQUOPOCKET     </v>
      </c>
      <c r="Y40" s="52">
        <f ca="1">MATCH($S40,INDIRECT(nomFichierEAN13ValmagUniq &amp; "!A" &amp; (W40+1) &amp; ":A" &amp;  (W40+10)),0)</f>
        <v>1</v>
      </c>
      <c r="Z40" s="51">
        <f t="shared" ref="Z40" ca="1" si="126">Y40+W40</f>
        <v>113</v>
      </c>
      <c r="AA40" s="49" t="str">
        <f ca="1">IFERROR(INDEX(INDIRECT(zoneFichierEAN13ValmagUniq),Z40,2),"")</f>
        <v xml:space="preserve">OPOCKET         </v>
      </c>
      <c r="AB40" s="53" t="str">
        <f t="shared" ref="AB40" ca="1" si="127">U40 &amp; IF(X40="","", " | " &amp; X40) &amp; IF(AA40="","", " | " &amp;AA40)</f>
        <v xml:space="preserve">  | COQUOPOCKET      | OPOCKET         </v>
      </c>
      <c r="AD40" s="55" t="e">
        <f ca="1">MATCH(B40,INDIRECT(nomFichierFiltreCatalogue &amp; "!B:B"),0)</f>
        <v>#N/A</v>
      </c>
      <c r="AE40" s="14"/>
    </row>
    <row r="41" spans="1:31" s="20" customFormat="1" ht="15.75" customHeight="1" x14ac:dyDescent="0.25">
      <c r="A41" s="25">
        <f ca="1">INDEX(INDIRECT(zoneFichierTraite),$J40+offsetInitialFichierTraite,2)</f>
        <v>32</v>
      </c>
      <c r="B41" s="58" t="str">
        <f ca="1">IFERROR(INDEX(INDIRECT(zoneFichierEAN13Valmag),$P40,3),"")</f>
        <v xml:space="preserve">COQUOPOCKET     </v>
      </c>
      <c r="C41" s="54" t="str">
        <f t="shared" ref="C41:C104" ca="1" si="128">AB40</f>
        <v xml:space="preserve">  | COQUOPOCKET      | OPOCKET         </v>
      </c>
      <c r="D41" s="19" t="str">
        <f ca="1">IFERROR(INDEX(INDIRECT(zoneFichierEAN13Valmag),$P40,4),"")</f>
        <v>ROSMO</v>
      </c>
      <c r="E41" s="59" t="str">
        <f ca="1">IFERROR(INDEX(INDIRECT(zoneFichierFiltreCatalogue),AD40,3),"")</f>
        <v/>
      </c>
      <c r="F41" s="19"/>
      <c r="G41" s="18"/>
      <c r="H41" s="32" t="str">
        <f ca="1">IFERROR(INDEX(INDIRECT(zoneFichierFiltreCatalogue),AD40,6),"")</f>
        <v/>
      </c>
      <c r="T41" s="1"/>
      <c r="U41" s="21"/>
      <c r="V41" s="21"/>
      <c r="W41" s="21"/>
      <c r="X41" s="21"/>
      <c r="Y41" s="21"/>
      <c r="Z41" s="21"/>
      <c r="AA41" s="21"/>
      <c r="AB41" s="21"/>
      <c r="AC41" s="21"/>
      <c r="AD41" s="21"/>
    </row>
    <row r="42" spans="1:31" ht="39" customHeight="1" thickBot="1" x14ac:dyDescent="0.65">
      <c r="A42" s="9" t="str">
        <f ca="1">INDEX(INDIRECT(zoneFichierTraite),$J42+offsetInitialFichierTraite,6)</f>
        <v>UNICA</v>
      </c>
      <c r="B42" s="5" t="str">
        <f ca="1">INDEX(INDIRECT(zoneFichierTraite),$J42+offsetInitialFichierTraite,4)</f>
        <v>OBAGB451-ECS07-078</v>
      </c>
      <c r="C42" s="26" t="str">
        <f ca="1">INDEX(INDIRECT(zoneFichierTraite),$J42+offsetInitialFichierTraite,5)</f>
        <v>CORPS COMPLET O BAG DOUBLE EN FAUX CUIR EFFET GRIFFE</v>
      </c>
      <c r="D42" s="27" t="str">
        <f ca="1">INDEX(INDIRECT(zoneFichierTraite),$J42+offsetInitialFichierTraite,13)</f>
        <v>sabbia</v>
      </c>
      <c r="E42" s="30">
        <f ca="1">INDEX(INDIRECT(zoneFichierTraite),$J42+offsetInitialFichierTraite,7)</f>
        <v>2</v>
      </c>
      <c r="F42" s="28">
        <f ca="1">INDEX(INDIRECT(zoneFichierTraite),$J42+offsetInitialFichierTraite,8)</f>
        <v>27.78</v>
      </c>
      <c r="G42" s="29">
        <f t="shared" ref="G42:G105" ca="1" si="129">ROUNDUP(F42*3,0)</f>
        <v>84</v>
      </c>
      <c r="H42" s="31" t="str">
        <f ca="1">IF(ISNUMBER(N42),codeEAN13(INT(N42/10)),"")</f>
        <v>8APASOG*agdfha+</v>
      </c>
      <c r="I42" s="1" t="b">
        <f t="shared" ref="I42" ca="1" si="130">AND(A45&lt;&gt;0,A43=A45)</f>
        <v>0</v>
      </c>
      <c r="J42" s="15">
        <f t="shared" si="2"/>
        <v>17</v>
      </c>
      <c r="K42" s="1">
        <f t="shared" ref="K42:K105" ca="1" si="131">A43</f>
        <v>21</v>
      </c>
      <c r="L42" s="5" t="str">
        <f ca="1">INDEX(INDIRECT(zoneFichierTraite),$J42+offsetInitialFichierTraite,1)</f>
        <v>'017</v>
      </c>
      <c r="M42" s="11">
        <f ca="1">INDEX(INDIRECT(zoneFichierTraite),$J42+offsetInitialFichierTraite,9)</f>
        <v>55.56</v>
      </c>
      <c r="N42" s="14">
        <f ca="1">INDEX(INDIRECT(zoneFichierTraite),$J42+offsetInitialFichierTraite,3)</f>
        <v>8050846063570</v>
      </c>
      <c r="O42" s="14"/>
      <c r="P42" s="56">
        <f ca="1">MATCH(N42,INDIRECT(nomFichierEAN13Valmag &amp; "!A:A"),0)</f>
        <v>593</v>
      </c>
      <c r="Q42" s="57" t="e">
        <f ca="1">MATCH(U42,INDIRECT(nomFichierEAN13Valmag &amp; "!A:A"),0)</f>
        <v>#N/A</v>
      </c>
      <c r="S42" s="50" t="str">
        <f t="shared" ref="S42:S105" ca="1" si="132">LEFT(B42,14)</f>
        <v>OBAGB451-ECS07</v>
      </c>
      <c r="T42" s="52">
        <f ca="1">MATCH($S42,INDIRECT(nomFichierEAN13ValmagUniq &amp; "!A:A"),0)</f>
        <v>115</v>
      </c>
      <c r="U42" s="49" t="str">
        <f ca="1">IFERROR(INDEX(INDIRECT(zoneFichierEAN13ValmagUniq),T42,2),"")</f>
        <v xml:space="preserve"> </v>
      </c>
      <c r="V42" s="52">
        <f ca="1">MATCH($S42,INDIRECT(nomFichierEAN13ValmagUniq &amp; "!A" &amp; (T42+1) &amp; ":A" &amp;  (T42+10)),0)</f>
        <v>1</v>
      </c>
      <c r="W42" s="51">
        <f t="shared" ref="W42" ca="1" si="133">V42+T42</f>
        <v>116</v>
      </c>
      <c r="X42" s="49" t="str">
        <f ca="1">IFERROR(INDEX(INDIRECT(zoneFichierEAN13ValmagUniq),W42,2),"")</f>
        <v xml:space="preserve">OBAGDOUBLE      </v>
      </c>
      <c r="Y42" s="52" t="e">
        <f ca="1">MATCH($S42,INDIRECT(nomFichierEAN13ValmagUniq &amp; "!A" &amp; (W42+1) &amp; ":A" &amp;  (W42+10)),0)</f>
        <v>#N/A</v>
      </c>
      <c r="Z42" s="51" t="e">
        <f t="shared" ref="Z42" ca="1" si="134">Y42+W42</f>
        <v>#N/A</v>
      </c>
      <c r="AA42" s="49" t="str">
        <f ca="1">IFERROR(INDEX(INDIRECT(zoneFichierEAN13ValmagUniq),Z42,2),"")</f>
        <v/>
      </c>
      <c r="AB42" s="53" t="str">
        <f t="shared" ref="AB42" ca="1" si="135">U42 &amp; IF(X42="","", " | " &amp; X42) &amp; IF(AA42="","", " | " &amp;AA42)</f>
        <v xml:space="preserve">  | OBAGDOUBLE      </v>
      </c>
      <c r="AD42" s="55">
        <f ca="1">MATCH(B42,INDIRECT(nomFichierFiltreCatalogue &amp; "!B:B"),0)</f>
        <v>104</v>
      </c>
      <c r="AE42" s="14"/>
    </row>
    <row r="43" spans="1:31" s="20" customFormat="1" ht="15.75" customHeight="1" x14ac:dyDescent="0.25">
      <c r="A43" s="25">
        <f ca="1">INDEX(INDIRECT(zoneFichierTraite),$J42+offsetInitialFichierTraite,2)</f>
        <v>21</v>
      </c>
      <c r="B43" s="58" t="str">
        <f ca="1">IFERROR(INDEX(INDIRECT(zoneFichierEAN13Valmag),$P42,3),"")</f>
        <v xml:space="preserve">OBAGDOUBLE      </v>
      </c>
      <c r="C43" s="54" t="str">
        <f t="shared" ref="C43:C106" ca="1" si="136">AB42</f>
        <v xml:space="preserve">  | OBAGDOUBLE      </v>
      </c>
      <c r="D43" s="19" t="str">
        <f ca="1">IFERROR(INDEX(INDIRECT(zoneFichierEAN13Valmag),$P42,4),"")</f>
        <v xml:space="preserve">SAND </v>
      </c>
      <c r="E43" s="59" t="str">
        <f ca="1">IFERROR(INDEX(INDIRECT(zoneFichierFiltreCatalogue),AD42,3),"")</f>
        <v>p019-1-02</v>
      </c>
      <c r="F43" s="19"/>
      <c r="G43" s="18"/>
      <c r="H43" s="32" t="str">
        <f ca="1">IFERROR(INDEX(INDIRECT(zoneFichierFiltreCatalogue),AD42,6),"")</f>
        <v>fall 2019 presentation_/catalogo fall 19.txt</v>
      </c>
      <c r="T43" s="1"/>
      <c r="U43" s="21"/>
      <c r="V43" s="21"/>
      <c r="W43" s="21"/>
      <c r="X43" s="21"/>
      <c r="Y43" s="21"/>
      <c r="Z43" s="21"/>
      <c r="AA43" s="21"/>
      <c r="AB43" s="21"/>
      <c r="AC43" s="21"/>
      <c r="AD43" s="21"/>
    </row>
    <row r="44" spans="1:31" ht="39" customHeight="1" thickBot="1" x14ac:dyDescent="0.65">
      <c r="A44" s="9" t="str">
        <f ca="1">INDEX(INDIRECT(zoneFichierTraite),$J44+offsetInitialFichierTraite,6)</f>
        <v>UNICA</v>
      </c>
      <c r="B44" s="5" t="str">
        <f ca="1">INDEX(INDIRECT(zoneFichierTraite),$J44+offsetInitialFichierTraite,4)</f>
        <v>OBAGPA06-EVS00-078</v>
      </c>
      <c r="C44" s="26" t="str">
        <f ca="1">INDEX(INDIRECT(zoneFichierTraite),$J44+offsetInitialFichierTraite,5)</f>
        <v>RABAT TOURNIQUET O POCKET EVA COMPOUND</v>
      </c>
      <c r="D44" s="27" t="str">
        <f ca="1">INDEX(INDIRECT(zoneFichierTraite),$J44+offsetInitialFichierTraite,13)</f>
        <v>sabbia</v>
      </c>
      <c r="E44" s="30">
        <f ca="1">INDEX(INDIRECT(zoneFichierTraite),$J44+offsetInitialFichierTraite,7)</f>
        <v>2</v>
      </c>
      <c r="F44" s="28">
        <f ca="1">INDEX(INDIRECT(zoneFichierTraite),$J44+offsetInitialFichierTraite,8)</f>
        <v>10</v>
      </c>
      <c r="G44" s="29">
        <f t="shared" ref="G44:G107" ca="1" si="137">ROUNDUP(F44*3,0)</f>
        <v>30</v>
      </c>
      <c r="H44" s="31" t="str">
        <f ca="1">IF(ISNUMBER(N44),codeEAN13(INT(N44/10)),"")</f>
        <v>8APASOG*ahbbgc+</v>
      </c>
      <c r="I44" s="1" t="b">
        <f t="shared" ref="I44" ca="1" si="138">AND(A47&lt;&gt;0,A45=A47)</f>
        <v>0</v>
      </c>
      <c r="J44" s="15">
        <f t="shared" si="2"/>
        <v>18</v>
      </c>
      <c r="K44" s="1">
        <f t="shared" ref="K44:K107" ca="1" si="139">A45</f>
        <v>35</v>
      </c>
      <c r="L44" s="5" t="str">
        <f ca="1">INDEX(INDIRECT(zoneFichierTraite),$J44+offsetInitialFichierTraite,1)</f>
        <v>'018</v>
      </c>
      <c r="M44" s="11">
        <f ca="1">INDEX(INDIRECT(zoneFichierTraite),$J44+offsetInitialFichierTraite,9)</f>
        <v>20</v>
      </c>
      <c r="N44" s="14">
        <f ca="1">INDEX(INDIRECT(zoneFichierTraite),$J44+offsetInitialFichierTraite,3)</f>
        <v>8050846071162</v>
      </c>
      <c r="O44" s="14"/>
      <c r="P44" s="56">
        <f ca="1">MATCH(N44,INDIRECT(nomFichierEAN13Valmag &amp; "!A:A"),0)</f>
        <v>623</v>
      </c>
      <c r="Q44" s="57" t="e">
        <f ca="1">MATCH(U44,INDIRECT(nomFichierEAN13Valmag &amp; "!A:A"),0)</f>
        <v>#N/A</v>
      </c>
      <c r="S44" s="50" t="str">
        <f t="shared" ref="S44:S107" ca="1" si="140">LEFT(B44,14)</f>
        <v>OBAGPA06-EVS00</v>
      </c>
      <c r="T44" s="52">
        <f ca="1">MATCH($S44,INDIRECT(nomFichierEAN13ValmagUniq &amp; "!A:A"),0)</f>
        <v>151</v>
      </c>
      <c r="U44" s="49" t="str">
        <f ca="1">IFERROR(INDEX(INDIRECT(zoneFichierEAN13ValmagUniq),T44,2),"")</f>
        <v xml:space="preserve"> </v>
      </c>
      <c r="V44" s="52">
        <f ca="1">MATCH($S44,INDIRECT(nomFichierEAN13ValmagUniq &amp; "!A" &amp; (T44+1) &amp; ":A" &amp;  (T44+10)),0)</f>
        <v>1</v>
      </c>
      <c r="W44" s="51">
        <f t="shared" ref="W44" ca="1" si="141">V44+T44</f>
        <v>152</v>
      </c>
      <c r="X44" s="49" t="str">
        <f ca="1">IFERROR(INDEX(INDIRECT(zoneFichierEAN13ValmagUniq),W44,2),"")</f>
        <v xml:space="preserve">FLAP            </v>
      </c>
      <c r="Y44" s="52" t="e">
        <f ca="1">MATCH($S44,INDIRECT(nomFichierEAN13ValmagUniq &amp; "!A" &amp; (W44+1) &amp; ":A" &amp;  (W44+10)),0)</f>
        <v>#N/A</v>
      </c>
      <c r="Z44" s="51" t="e">
        <f t="shared" ref="Z44" ca="1" si="142">Y44+W44</f>
        <v>#N/A</v>
      </c>
      <c r="AA44" s="49" t="str">
        <f ca="1">IFERROR(INDEX(INDIRECT(zoneFichierEAN13ValmagUniq),Z44,2),"")</f>
        <v/>
      </c>
      <c r="AB44" s="53" t="str">
        <f t="shared" ref="AB44" ca="1" si="143">U44 &amp; IF(X44="","", " | " &amp; X44) &amp; IF(AA44="","", " | " &amp;AA44)</f>
        <v xml:space="preserve">  | FLAP            </v>
      </c>
      <c r="AD44" s="55">
        <f ca="1">MATCH(B44,INDIRECT(nomFichierFiltreCatalogue &amp; "!B:B"),0)</f>
        <v>477</v>
      </c>
      <c r="AE44" s="14"/>
    </row>
    <row r="45" spans="1:31" s="20" customFormat="1" ht="15.75" customHeight="1" x14ac:dyDescent="0.25">
      <c r="A45" s="25">
        <f ca="1">INDEX(INDIRECT(zoneFichierTraite),$J44+offsetInitialFichierTraite,2)</f>
        <v>35</v>
      </c>
      <c r="B45" s="58" t="str">
        <f ca="1">IFERROR(INDEX(INDIRECT(zoneFichierEAN13Valmag),$P44,3),"")</f>
        <v xml:space="preserve">FLAP            </v>
      </c>
      <c r="C45" s="54" t="str">
        <f t="shared" ref="C45:C108" ca="1" si="144">AB44</f>
        <v xml:space="preserve">  | FLAP            </v>
      </c>
      <c r="D45" s="19" t="str">
        <f ca="1">IFERROR(INDEX(INDIRECT(zoneFichierEAN13Valmag),$P44,4),"")</f>
        <v>XLSAN</v>
      </c>
      <c r="E45" s="59" t="str">
        <f ca="1">IFERROR(INDEX(INDIRECT(zoneFichierFiltreCatalogue),AD44,3),"")</f>
        <v>p115-1-04</v>
      </c>
      <c r="F45" s="19"/>
      <c r="G45" s="18"/>
      <c r="H45" s="32" t="str">
        <f ca="1">IFERROR(INDEX(INDIRECT(zoneFichierFiltreCatalogue),AD44,6),"")</f>
        <v>fall 2019 presentation_/catalogo fall 19.txt</v>
      </c>
      <c r="T45" s="1"/>
      <c r="U45" s="21"/>
      <c r="V45" s="21"/>
      <c r="W45" s="21"/>
      <c r="X45" s="21"/>
      <c r="Y45" s="21"/>
      <c r="Z45" s="21"/>
      <c r="AA45" s="21"/>
      <c r="AB45" s="21"/>
      <c r="AC45" s="21"/>
      <c r="AD45" s="21"/>
    </row>
    <row r="46" spans="1:31" ht="39" customHeight="1" thickBot="1" x14ac:dyDescent="0.65">
      <c r="A46" s="9" t="str">
        <f ca="1">INDEX(INDIRECT(zoneFichierTraite),$J46+offsetInitialFichierTraite,6)</f>
        <v>UNICA</v>
      </c>
      <c r="B46" s="5" t="str">
        <f ca="1">INDEX(INDIRECT(zoneFichierTraite),$J46+offsetInitialFichierTraite,4)</f>
        <v>OBAGPC48-ECS07-055</v>
      </c>
      <c r="C46" s="26" t="str">
        <f ca="1">INDEX(INDIRECT(zoneFichierTraite),$J46+offsetInitialFichierTraite,5)</f>
        <v>RABAT AVEC CHAINE O BAG SHEEN EN FAUX CUIR EFFET GRIFFE</v>
      </c>
      <c r="D46" s="27" t="str">
        <f ca="1">INDEX(INDIRECT(zoneFichierTraite),$J46+offsetInitialFichierTraite,13)</f>
        <v>nero</v>
      </c>
      <c r="E46" s="30">
        <f ca="1">INDEX(INDIRECT(zoneFichierTraite),$J46+offsetInitialFichierTraite,7)</f>
        <v>1</v>
      </c>
      <c r="F46" s="28">
        <f ca="1">INDEX(INDIRECT(zoneFichierTraite),$J46+offsetInitialFichierTraite,8)</f>
        <v>16.670000000000002</v>
      </c>
      <c r="G46" s="29">
        <f t="shared" ref="G46:G109" ca="1" si="145">ROUNDUP(F46*3,0)</f>
        <v>51</v>
      </c>
      <c r="H46" s="31" t="str">
        <f ca="1">IF(ISNUMBER(N46),codeEAN13(INT(N46/10)),"")</f>
        <v>8APASOG*agbici+</v>
      </c>
      <c r="I46" s="1" t="b">
        <f t="shared" ref="I46" ca="1" si="146">AND(A49&lt;&gt;0,A47=A49)</f>
        <v>0</v>
      </c>
      <c r="J46" s="15">
        <f t="shared" si="2"/>
        <v>19</v>
      </c>
      <c r="K46" s="1">
        <f t="shared" ref="K46:K109" ca="1" si="147">A47</f>
        <v>24</v>
      </c>
      <c r="L46" s="5" t="str">
        <f ca="1">INDEX(INDIRECT(zoneFichierTraite),$J46+offsetInitialFichierTraite,1)</f>
        <v>'019</v>
      </c>
      <c r="M46" s="11">
        <f ca="1">INDEX(INDIRECT(zoneFichierTraite),$J46+offsetInitialFichierTraite,9)</f>
        <v>16.670000000000002</v>
      </c>
      <c r="N46" s="14">
        <f ca="1">INDEX(INDIRECT(zoneFichierTraite),$J46+offsetInitialFichierTraite,3)</f>
        <v>8050846061828</v>
      </c>
      <c r="O46" s="14"/>
      <c r="P46" s="56">
        <f ca="1">MATCH(N46,INDIRECT(nomFichierEAN13Valmag &amp; "!A:A"),0)</f>
        <v>435</v>
      </c>
      <c r="Q46" s="57" t="e">
        <f ca="1">MATCH(U46,INDIRECT(nomFichierEAN13Valmag &amp; "!A:A"),0)</f>
        <v>#N/A</v>
      </c>
      <c r="S46" s="50" t="str">
        <f t="shared" ref="S46:S109" ca="1" si="148">LEFT(B46,14)</f>
        <v>OBAGPC48-ECS07</v>
      </c>
      <c r="T46" s="52">
        <f ca="1">MATCH($S46,INDIRECT(nomFichierEAN13ValmagUniq &amp; "!A:A"),0)</f>
        <v>155</v>
      </c>
      <c r="U46" s="49" t="str">
        <f ca="1">IFERROR(INDEX(INDIRECT(zoneFichierEAN13ValmagUniq),T46,2),"")</f>
        <v xml:space="preserve"> </v>
      </c>
      <c r="V46" s="52">
        <f ca="1">MATCH($S46,INDIRECT(nomFichierEAN13ValmagUniq &amp; "!A" &amp; (T46+1) &amp; ":A" &amp;  (T46+10)),0)</f>
        <v>1</v>
      </c>
      <c r="W46" s="51">
        <f t="shared" ref="W46" ca="1" si="149">V46+T46</f>
        <v>156</v>
      </c>
      <c r="X46" s="49" t="str">
        <f ca="1">IFERROR(INDEX(INDIRECT(zoneFichierEAN13ValmagUniq),W46,2),"")</f>
        <v xml:space="preserve">FLAPOSHEEN      </v>
      </c>
      <c r="Y46" s="52" t="e">
        <f ca="1">MATCH($S46,INDIRECT(nomFichierEAN13ValmagUniq &amp; "!A" &amp; (W46+1) &amp; ":A" &amp;  (W46+10)),0)</f>
        <v>#N/A</v>
      </c>
      <c r="Z46" s="51" t="e">
        <f t="shared" ref="Z46" ca="1" si="150">Y46+W46</f>
        <v>#N/A</v>
      </c>
      <c r="AA46" s="49" t="str">
        <f ca="1">IFERROR(INDEX(INDIRECT(zoneFichierEAN13ValmagUniq),Z46,2),"")</f>
        <v/>
      </c>
      <c r="AB46" s="53" t="str">
        <f t="shared" ref="AB46" ca="1" si="151">U46 &amp; IF(X46="","", " | " &amp; X46) &amp; IF(AA46="","", " | " &amp;AA46)</f>
        <v xml:space="preserve">  | FLAPOSHEEN      </v>
      </c>
      <c r="AD46" s="55" t="e">
        <f ca="1">MATCH(B46,INDIRECT(nomFichierFiltreCatalogue &amp; "!B:B"),0)</f>
        <v>#N/A</v>
      </c>
      <c r="AE46" s="14"/>
    </row>
    <row r="47" spans="1:31" s="20" customFormat="1" ht="15.75" customHeight="1" x14ac:dyDescent="0.25">
      <c r="A47" s="25">
        <f ca="1">INDEX(INDIRECT(zoneFichierTraite),$J46+offsetInitialFichierTraite,2)</f>
        <v>24</v>
      </c>
      <c r="B47" s="58" t="str">
        <f ca="1">IFERROR(INDEX(INDIRECT(zoneFichierEAN13Valmag),$P46,3),"")</f>
        <v xml:space="preserve">FLAPOSHEEN      </v>
      </c>
      <c r="C47" s="54" t="str">
        <f t="shared" ref="C47:C110" ca="1" si="152">AB46</f>
        <v xml:space="preserve">  | FLAPOSHEEN      </v>
      </c>
      <c r="D47" s="19" t="str">
        <f ca="1">IFERROR(INDEX(INDIRECT(zoneFichierEAN13Valmag),$P46,4),"")</f>
        <v>BLACK</v>
      </c>
      <c r="E47" s="59" t="str">
        <f ca="1">IFERROR(INDEX(INDIRECT(zoneFichierFiltreCatalogue),AD46,3),"")</f>
        <v/>
      </c>
      <c r="F47" s="19"/>
      <c r="G47" s="18"/>
      <c r="H47" s="32" t="str">
        <f ca="1">IFERROR(INDEX(INDIRECT(zoneFichierFiltreCatalogue),AD46,6),"")</f>
        <v/>
      </c>
      <c r="T47" s="1"/>
      <c r="U47" s="21"/>
      <c r="V47" s="21"/>
      <c r="W47" s="21"/>
      <c r="X47" s="21"/>
      <c r="Y47" s="21"/>
      <c r="Z47" s="21"/>
      <c r="AA47" s="21"/>
      <c r="AB47" s="21"/>
      <c r="AC47" s="21"/>
      <c r="AD47" s="21"/>
    </row>
    <row r="48" spans="1:31" ht="39" customHeight="1" thickBot="1" x14ac:dyDescent="0.65">
      <c r="A48" s="9" t="str">
        <f ca="1">INDEX(INDIRECT(zoneFichierTraite),$J48+offsetInitialFichierTraite,6)</f>
        <v>UNICA</v>
      </c>
      <c r="B48" s="5" t="str">
        <f ca="1">INDEX(INDIRECT(zoneFichierTraite),$J48+offsetInitialFichierTraite,4)</f>
        <v>OBAGPC48-ECS07-371</v>
      </c>
      <c r="C48" s="26" t="str">
        <f ca="1">INDEX(INDIRECT(zoneFichierTraite),$J48+offsetInitialFichierTraite,5)</f>
        <v>RABAT AVEC CHAINE O BAG SHEEN EN FAUX CUIR EFFET GRIFFE</v>
      </c>
      <c r="D48" s="27" t="str">
        <f ca="1">INDEX(INDIRECT(zoneFichierTraite),$J48+offsetInitialFichierTraite,13)</f>
        <v>latte</v>
      </c>
      <c r="E48" s="30">
        <f ca="1">INDEX(INDIRECT(zoneFichierTraite),$J48+offsetInitialFichierTraite,7)</f>
        <v>1</v>
      </c>
      <c r="F48" s="28">
        <f ca="1">INDEX(INDIRECT(zoneFichierTraite),$J48+offsetInitialFichierTraite,8)</f>
        <v>16.670000000000002</v>
      </c>
      <c r="G48" s="29">
        <f t="shared" ref="G48:G111" ca="1" si="153">ROUNDUP(F48*3,0)</f>
        <v>51</v>
      </c>
      <c r="H48" s="31" t="str">
        <f ca="1">IF(ISNUMBER(N48),codeEAN13(INT(N48/10)),"")</f>
        <v>8APASOG*agbhji+</v>
      </c>
      <c r="I48" s="1" t="b">
        <f t="shared" ref="I48" ca="1" si="154">AND(A51&lt;&gt;0,A49=A51)</f>
        <v>0</v>
      </c>
      <c r="J48" s="15">
        <f t="shared" si="2"/>
        <v>20</v>
      </c>
      <c r="K48" s="1">
        <f t="shared" ref="K48:K111" ca="1" si="155">A49</f>
        <v>13</v>
      </c>
      <c r="L48" s="5" t="str">
        <f ca="1">INDEX(INDIRECT(zoneFichierTraite),$J48+offsetInitialFichierTraite,1)</f>
        <v>'020</v>
      </c>
      <c r="M48" s="11">
        <f ca="1">INDEX(INDIRECT(zoneFichierTraite),$J48+offsetInitialFichierTraite,9)</f>
        <v>16.670000000000002</v>
      </c>
      <c r="N48" s="14">
        <f ca="1">INDEX(INDIRECT(zoneFichierTraite),$J48+offsetInitialFichierTraite,3)</f>
        <v>8050846061798</v>
      </c>
      <c r="O48" s="14"/>
      <c r="P48" s="56">
        <f ca="1">MATCH(N48,INDIRECT(nomFichierEAN13Valmag &amp; "!A:A"),0)</f>
        <v>432</v>
      </c>
      <c r="Q48" s="57" t="e">
        <f ca="1">MATCH(U48,INDIRECT(nomFichierEAN13Valmag &amp; "!A:A"),0)</f>
        <v>#N/A</v>
      </c>
      <c r="S48" s="50" t="str">
        <f t="shared" ref="S48:S111" ca="1" si="156">LEFT(B48,14)</f>
        <v>OBAGPC48-ECS07</v>
      </c>
      <c r="T48" s="52">
        <f ca="1">MATCH($S48,INDIRECT(nomFichierEAN13ValmagUniq &amp; "!A:A"),0)</f>
        <v>155</v>
      </c>
      <c r="U48" s="49" t="str">
        <f ca="1">IFERROR(INDEX(INDIRECT(zoneFichierEAN13ValmagUniq),T48,2),"")</f>
        <v xml:space="preserve"> </v>
      </c>
      <c r="V48" s="52">
        <f ca="1">MATCH($S48,INDIRECT(nomFichierEAN13ValmagUniq &amp; "!A" &amp; (T48+1) &amp; ":A" &amp;  (T48+10)),0)</f>
        <v>1</v>
      </c>
      <c r="W48" s="51">
        <f t="shared" ref="W48" ca="1" si="157">V48+T48</f>
        <v>156</v>
      </c>
      <c r="X48" s="49" t="str">
        <f ca="1">IFERROR(INDEX(INDIRECT(zoneFichierEAN13ValmagUniq),W48,2),"")</f>
        <v xml:space="preserve">FLAPOSHEEN      </v>
      </c>
      <c r="Y48" s="52" t="e">
        <f ca="1">MATCH($S48,INDIRECT(nomFichierEAN13ValmagUniq &amp; "!A" &amp; (W48+1) &amp; ":A" &amp;  (W48+10)),0)</f>
        <v>#N/A</v>
      </c>
      <c r="Z48" s="51" t="e">
        <f t="shared" ref="Z48" ca="1" si="158">Y48+W48</f>
        <v>#N/A</v>
      </c>
      <c r="AA48" s="49" t="str">
        <f ca="1">IFERROR(INDEX(INDIRECT(zoneFichierEAN13ValmagUniq),Z48,2),"")</f>
        <v/>
      </c>
      <c r="AB48" s="53" t="str">
        <f t="shared" ref="AB48" ca="1" si="159">U48 &amp; IF(X48="","", " | " &amp; X48) &amp; IF(AA48="","", " | " &amp;AA48)</f>
        <v xml:space="preserve">  | FLAPOSHEEN      </v>
      </c>
      <c r="AD48" s="55" t="e">
        <f ca="1">MATCH(B48,INDIRECT(nomFichierFiltreCatalogue &amp; "!B:B"),0)</f>
        <v>#N/A</v>
      </c>
      <c r="AE48" s="14"/>
    </row>
    <row r="49" spans="1:31" s="20" customFormat="1" ht="15.75" customHeight="1" x14ac:dyDescent="0.25">
      <c r="A49" s="25">
        <f ca="1">INDEX(INDIRECT(zoneFichierTraite),$J48+offsetInitialFichierTraite,2)</f>
        <v>13</v>
      </c>
      <c r="B49" s="58" t="str">
        <f ca="1">IFERROR(INDEX(INDIRECT(zoneFichierEAN13Valmag),$P48,3),"")</f>
        <v xml:space="preserve">FLAPOSHEEN      </v>
      </c>
      <c r="C49" s="54" t="str">
        <f t="shared" ref="C49:C112" ca="1" si="160">AB48</f>
        <v xml:space="preserve">  | FLAPOSHEEN      </v>
      </c>
      <c r="D49" s="19" t="str">
        <f ca="1">IFERROR(INDEX(INDIRECT(zoneFichierEAN13Valmag),$P48,4),"")</f>
        <v>LATTE</v>
      </c>
      <c r="E49" s="59" t="str">
        <f ca="1">IFERROR(INDEX(INDIRECT(zoneFichierFiltreCatalogue),AD48,3),"")</f>
        <v/>
      </c>
      <c r="F49" s="19"/>
      <c r="G49" s="18"/>
      <c r="H49" s="32" t="str">
        <f ca="1">IFERROR(INDEX(INDIRECT(zoneFichierFiltreCatalogue),AD48,6),"")</f>
        <v/>
      </c>
      <c r="T49" s="1"/>
      <c r="U49" s="21"/>
      <c r="V49" s="21"/>
      <c r="W49" s="21"/>
      <c r="X49" s="21"/>
      <c r="Y49" s="21"/>
      <c r="Z49" s="21"/>
      <c r="AA49" s="21"/>
      <c r="AB49" s="21"/>
      <c r="AC49" s="21"/>
      <c r="AD49" s="21"/>
    </row>
    <row r="50" spans="1:31" ht="39" customHeight="1" thickBot="1" x14ac:dyDescent="0.65">
      <c r="A50" s="9" t="str">
        <f ca="1">INDEX(INDIRECT(zoneFichierTraite),$J50+offsetInitialFichierTraite,6)</f>
        <v>UNICA</v>
      </c>
      <c r="B50" s="5" t="str">
        <f ca="1">INDEX(INDIRECT(zoneFichierTraite),$J50+offsetInitialFichierTraite,4)</f>
        <v>OBAGPF06-ECS07-048</v>
      </c>
      <c r="C50" s="26" t="str">
        <f ca="1">INDEX(INDIRECT(zoneFichierTraite),$J50+offsetInitialFichierTraite,5)</f>
        <v>RABAT TROUE Ã€ BANDEAU O POCKET EN FAUX CUIR EFFET GRIFFE</v>
      </c>
      <c r="D50" s="27" t="str">
        <f ca="1">INDEX(INDIRECT(zoneFichierTraite),$J50+offsetInitialFichierTraite,13)</f>
        <v>mattone</v>
      </c>
      <c r="E50" s="30">
        <f ca="1">INDEX(INDIRECT(zoneFichierTraite),$J50+offsetInitialFichierTraite,7)</f>
        <v>1</v>
      </c>
      <c r="F50" s="28">
        <f ca="1">INDEX(INDIRECT(zoneFichierTraite),$J50+offsetInitialFichierTraite,8)</f>
        <v>15.56</v>
      </c>
      <c r="G50" s="29">
        <f t="shared" ref="G50:G113" ca="1" si="161">ROUNDUP(F50*3,0)</f>
        <v>47</v>
      </c>
      <c r="H50" s="31" t="str">
        <f ca="1">IF(ISNUMBER(N50),codeEAN13(INT(N50/10)),"")</f>
        <v>8APASOG*agcahi+</v>
      </c>
      <c r="I50" s="1" t="b">
        <f t="shared" ref="I50" ca="1" si="162">AND(A53&lt;&gt;0,A51=A53)</f>
        <v>0</v>
      </c>
      <c r="J50" s="15">
        <f t="shared" si="2"/>
        <v>21</v>
      </c>
      <c r="K50" s="1">
        <f t="shared" ref="K50:K113" ca="1" si="163">A51</f>
        <v>25</v>
      </c>
      <c r="L50" s="5" t="str">
        <f ca="1">INDEX(INDIRECT(zoneFichierTraite),$J50+offsetInitialFichierTraite,1)</f>
        <v>'021</v>
      </c>
      <c r="M50" s="11">
        <f ca="1">INDEX(INDIRECT(zoneFichierTraite),$J50+offsetInitialFichierTraite,9)</f>
        <v>15.56</v>
      </c>
      <c r="N50" s="14">
        <f ca="1">INDEX(INDIRECT(zoneFichierTraite),$J50+offsetInitialFichierTraite,3)</f>
        <v>8050846062078</v>
      </c>
      <c r="O50" s="14"/>
      <c r="P50" s="56">
        <f ca="1">MATCH(N50,INDIRECT(nomFichierEAN13Valmag &amp; "!A:A"),0)</f>
        <v>459</v>
      </c>
      <c r="Q50" s="57" t="e">
        <f ca="1">MATCH(U50,INDIRECT(nomFichierEAN13Valmag &amp; "!A:A"),0)</f>
        <v>#N/A</v>
      </c>
      <c r="S50" s="50" t="str">
        <f t="shared" ref="S50:S113" ca="1" si="164">LEFT(B50,14)</f>
        <v>OBAGPF06-ECS07</v>
      </c>
      <c r="T50" s="52">
        <f ca="1">MATCH($S50,INDIRECT(nomFichierEAN13ValmagUniq &amp; "!A:A"),0)</f>
        <v>161</v>
      </c>
      <c r="U50" s="49" t="str">
        <f ca="1">IFERROR(INDEX(INDIRECT(zoneFichierEAN13ValmagUniq),T50,2),"")</f>
        <v xml:space="preserve"> </v>
      </c>
      <c r="V50" s="52">
        <f ca="1">MATCH($S50,INDIRECT(nomFichierEAN13ValmagUniq &amp; "!A" &amp; (T50+1) &amp; ":A" &amp;  (T50+10)),0)</f>
        <v>1</v>
      </c>
      <c r="W50" s="51">
        <f t="shared" ref="W50" ca="1" si="165">V50+T50</f>
        <v>162</v>
      </c>
      <c r="X50" s="49" t="str">
        <f ca="1">IFERROR(INDEX(INDIRECT(zoneFichierEAN13ValmagUniq),W50,2),"")</f>
        <v xml:space="preserve">FLAP            </v>
      </c>
      <c r="Y50" s="52" t="e">
        <f ca="1">MATCH($S50,INDIRECT(nomFichierEAN13ValmagUniq &amp; "!A" &amp; (W50+1) &amp; ":A" &amp;  (W50+10)),0)</f>
        <v>#N/A</v>
      </c>
      <c r="Z50" s="51" t="e">
        <f t="shared" ref="Z50" ca="1" si="166">Y50+W50</f>
        <v>#N/A</v>
      </c>
      <c r="AA50" s="49" t="str">
        <f ca="1">IFERROR(INDEX(INDIRECT(zoneFichierEAN13ValmagUniq),Z50,2),"")</f>
        <v/>
      </c>
      <c r="AB50" s="53" t="str">
        <f t="shared" ref="AB50" ca="1" si="167">U50 &amp; IF(X50="","", " | " &amp; X50) &amp; IF(AA50="","", " | " &amp;AA50)</f>
        <v xml:space="preserve">  | FLAP            </v>
      </c>
      <c r="AD50" s="55" t="e">
        <f ca="1">MATCH(B50,INDIRECT(nomFichierFiltreCatalogue &amp; "!B:B"),0)</f>
        <v>#N/A</v>
      </c>
      <c r="AE50" s="14"/>
    </row>
    <row r="51" spans="1:31" s="20" customFormat="1" ht="15.75" customHeight="1" x14ac:dyDescent="0.25">
      <c r="A51" s="25">
        <f ca="1">INDEX(INDIRECT(zoneFichierTraite),$J50+offsetInitialFichierTraite,2)</f>
        <v>25</v>
      </c>
      <c r="B51" s="58" t="str">
        <f ca="1">IFERROR(INDEX(INDIRECT(zoneFichierEAN13Valmag),$P50,3),"")</f>
        <v xml:space="preserve">FLAP            </v>
      </c>
      <c r="C51" s="54" t="str">
        <f t="shared" ref="C51:C114" ca="1" si="168">AB50</f>
        <v xml:space="preserve">  | FLAP            </v>
      </c>
      <c r="D51" s="19" t="str">
        <f ca="1">IFERROR(INDEX(INDIRECT(zoneFichierEAN13Valmag),$P50,4),"")</f>
        <v>SAFMA</v>
      </c>
      <c r="E51" s="59" t="str">
        <f ca="1">IFERROR(INDEX(INDIRECT(zoneFichierFiltreCatalogue),AD50,3),"")</f>
        <v/>
      </c>
      <c r="F51" s="19"/>
      <c r="G51" s="18"/>
      <c r="H51" s="32" t="str">
        <f ca="1">IFERROR(INDEX(INDIRECT(zoneFichierFiltreCatalogue),AD50,6),"")</f>
        <v/>
      </c>
      <c r="T51" s="1"/>
      <c r="U51" s="21"/>
      <c r="V51" s="21"/>
      <c r="W51" s="21"/>
      <c r="X51" s="21"/>
      <c r="Y51" s="21"/>
      <c r="Z51" s="21"/>
      <c r="AA51" s="21"/>
      <c r="AB51" s="21"/>
      <c r="AC51" s="21"/>
      <c r="AD51" s="21"/>
    </row>
    <row r="52" spans="1:31" ht="39" customHeight="1" thickBot="1" x14ac:dyDescent="0.65">
      <c r="A52" s="9" t="str">
        <f ca="1">INDEX(INDIRECT(zoneFichierTraite),$J52+offsetInitialFichierTraite,6)</f>
        <v>UNICA</v>
      </c>
      <c r="B52" s="5" t="str">
        <f ca="1">INDEX(INDIRECT(zoneFichierTraite),$J52+offsetInitialFichierTraite,4)</f>
        <v>OBAGPF06-ECS07-078</v>
      </c>
      <c r="C52" s="26" t="str">
        <f ca="1">INDEX(INDIRECT(zoneFichierTraite),$J52+offsetInitialFichierTraite,5)</f>
        <v>RABAT TROUE Ã€ BANDEAU O POCKET EN FAUX CUIR EFFET GRIFFE</v>
      </c>
      <c r="D52" s="27" t="str">
        <f ca="1">INDEX(INDIRECT(zoneFichierTraite),$J52+offsetInitialFichierTraite,13)</f>
        <v>sabbia</v>
      </c>
      <c r="E52" s="30">
        <f ca="1">INDEX(INDIRECT(zoneFichierTraite),$J52+offsetInitialFichierTraite,7)</f>
        <v>2</v>
      </c>
      <c r="F52" s="28">
        <f ca="1">INDEX(INDIRECT(zoneFichierTraite),$J52+offsetInitialFichierTraite,8)</f>
        <v>15.56</v>
      </c>
      <c r="G52" s="29">
        <f t="shared" ref="G52:G115" ca="1" si="169">ROUNDUP(F52*3,0)</f>
        <v>47</v>
      </c>
      <c r="H52" s="31" t="str">
        <f ca="1">IF(ISNUMBER(N52),codeEAN13(INT(N52/10)),"")</f>
        <v>8APASOG*agcaeh+</v>
      </c>
      <c r="I52" s="1" t="b">
        <f t="shared" ref="I52" ca="1" si="170">AND(A55&lt;&gt;0,A53=A55)</f>
        <v>0</v>
      </c>
      <c r="J52" s="15">
        <f t="shared" si="2"/>
        <v>22</v>
      </c>
      <c r="K52" s="1">
        <f t="shared" ref="K52:K115" ca="1" si="171">A53</f>
        <v>37</v>
      </c>
      <c r="L52" s="5" t="str">
        <f ca="1">INDEX(INDIRECT(zoneFichierTraite),$J52+offsetInitialFichierTraite,1)</f>
        <v>'022</v>
      </c>
      <c r="M52" s="11">
        <f ca="1">INDEX(INDIRECT(zoneFichierTraite),$J52+offsetInitialFichierTraite,9)</f>
        <v>31.12</v>
      </c>
      <c r="N52" s="14">
        <f ca="1">INDEX(INDIRECT(zoneFichierTraite),$J52+offsetInitialFichierTraite,3)</f>
        <v>8050846062047</v>
      </c>
      <c r="O52" s="14"/>
      <c r="P52" s="56">
        <f ca="1">MATCH(N52,INDIRECT(nomFichierEAN13Valmag &amp; "!A:A"),0)</f>
        <v>456</v>
      </c>
      <c r="Q52" s="57" t="e">
        <f ca="1">MATCH(U52,INDIRECT(nomFichierEAN13Valmag &amp; "!A:A"),0)</f>
        <v>#N/A</v>
      </c>
      <c r="S52" s="50" t="str">
        <f t="shared" ref="S52:S115" ca="1" si="172">LEFT(B52,14)</f>
        <v>OBAGPF06-ECS07</v>
      </c>
      <c r="T52" s="52">
        <f ca="1">MATCH($S52,INDIRECT(nomFichierEAN13ValmagUniq &amp; "!A:A"),0)</f>
        <v>161</v>
      </c>
      <c r="U52" s="49" t="str">
        <f ca="1">IFERROR(INDEX(INDIRECT(zoneFichierEAN13ValmagUniq),T52,2),"")</f>
        <v xml:space="preserve"> </v>
      </c>
      <c r="V52" s="52">
        <f ca="1">MATCH($S52,INDIRECT(nomFichierEAN13ValmagUniq &amp; "!A" &amp; (T52+1) &amp; ":A" &amp;  (T52+10)),0)</f>
        <v>1</v>
      </c>
      <c r="W52" s="51">
        <f t="shared" ref="W52" ca="1" si="173">V52+T52</f>
        <v>162</v>
      </c>
      <c r="X52" s="49" t="str">
        <f ca="1">IFERROR(INDEX(INDIRECT(zoneFichierEAN13ValmagUniq),W52,2),"")</f>
        <v xml:space="preserve">FLAP            </v>
      </c>
      <c r="Y52" s="52" t="e">
        <f ca="1">MATCH($S52,INDIRECT(nomFichierEAN13ValmagUniq &amp; "!A" &amp; (W52+1) &amp; ":A" &amp;  (W52+10)),0)</f>
        <v>#N/A</v>
      </c>
      <c r="Z52" s="51" t="e">
        <f t="shared" ref="Z52" ca="1" si="174">Y52+W52</f>
        <v>#N/A</v>
      </c>
      <c r="AA52" s="49" t="str">
        <f ca="1">IFERROR(INDEX(INDIRECT(zoneFichierEAN13ValmagUniq),Z52,2),"")</f>
        <v/>
      </c>
      <c r="AB52" s="53" t="str">
        <f t="shared" ref="AB52" ca="1" si="175">U52 &amp; IF(X52="","", " | " &amp; X52) &amp; IF(AA52="","", " | " &amp;AA52)</f>
        <v xml:space="preserve">  | FLAP            </v>
      </c>
      <c r="AD52" s="55" t="e">
        <f ca="1">MATCH(B52,INDIRECT(nomFichierFiltreCatalogue &amp; "!B:B"),0)</f>
        <v>#N/A</v>
      </c>
      <c r="AE52" s="14"/>
    </row>
    <row r="53" spans="1:31" s="20" customFormat="1" ht="15.75" customHeight="1" x14ac:dyDescent="0.25">
      <c r="A53" s="25">
        <f ca="1">INDEX(INDIRECT(zoneFichierTraite),$J52+offsetInitialFichierTraite,2)</f>
        <v>37</v>
      </c>
      <c r="B53" s="58" t="str">
        <f ca="1">IFERROR(INDEX(INDIRECT(zoneFichierEAN13Valmag),$P52,3),"")</f>
        <v xml:space="preserve">FLAP            </v>
      </c>
      <c r="C53" s="54" t="str">
        <f t="shared" ref="C53:C116" ca="1" si="176">AB52</f>
        <v xml:space="preserve">  | FLAP            </v>
      </c>
      <c r="D53" s="19" t="str">
        <f ca="1">IFERROR(INDEX(INDIRECT(zoneFichierEAN13Valmag),$P52,4),"")</f>
        <v>SAFSA</v>
      </c>
      <c r="E53" s="59" t="str">
        <f ca="1">IFERROR(INDEX(INDIRECT(zoneFichierFiltreCatalogue),AD52,3),"")</f>
        <v/>
      </c>
      <c r="F53" s="19"/>
      <c r="G53" s="18"/>
      <c r="H53" s="32" t="str">
        <f ca="1">IFERROR(INDEX(INDIRECT(zoneFichierFiltreCatalogue),AD52,6),"")</f>
        <v/>
      </c>
      <c r="T53" s="1"/>
      <c r="U53" s="21"/>
      <c r="V53" s="21"/>
      <c r="W53" s="21"/>
      <c r="X53" s="21"/>
      <c r="Y53" s="21"/>
      <c r="Z53" s="21"/>
      <c r="AA53" s="21"/>
      <c r="AB53" s="21"/>
      <c r="AC53" s="21"/>
      <c r="AD53" s="21"/>
    </row>
    <row r="54" spans="1:31" ht="39" customHeight="1" thickBot="1" x14ac:dyDescent="0.65">
      <c r="A54" s="9" t="str">
        <f ca="1">INDEX(INDIRECT(zoneFichierTraite),$J54+offsetInitialFichierTraite,6)</f>
        <v>UNICA</v>
      </c>
      <c r="B54" s="5" t="str">
        <f ca="1">INDEX(INDIRECT(zoneFichierTraite),$J54+offsetInitialFichierTraite,4)</f>
        <v>OBAGS001-TES01-075</v>
      </c>
      <c r="C54" s="26" t="str">
        <f ca="1">INDEX(INDIRECT(zoneFichierTraite),$J54+offsetInitialFichierTraite,5)</f>
        <v>POCHETTE INTERIEURE FERMETURE ECLAIR O BAG EN TISSU CANVAS</v>
      </c>
      <c r="D54" s="27" t="str">
        <f ca="1">INDEX(INDIRECT(zoneFichierTraite),$J54+offsetInitialFichierTraite,13)</f>
        <v>rosa smoke</v>
      </c>
      <c r="E54" s="30">
        <f ca="1">INDEX(INDIRECT(zoneFichierTraite),$J54+offsetInitialFichierTraite,7)</f>
        <v>2</v>
      </c>
      <c r="F54" s="28">
        <f ca="1">INDEX(INDIRECT(zoneFichierTraite),$J54+offsetInitialFichierTraite,8)</f>
        <v>7.8</v>
      </c>
      <c r="G54" s="29">
        <f t="shared" ref="G54:G117" ca="1" si="177">ROUNDUP(F54*3,0)</f>
        <v>24</v>
      </c>
      <c r="H54" s="31" t="str">
        <f ca="1">IF(ISNUMBER(N54),codeEAN13(INT(N54/10)),"")</f>
        <v>8APASOG*aaeije+</v>
      </c>
      <c r="I54" s="1" t="b">
        <f t="shared" ref="I54" ca="1" si="178">AND(A57&lt;&gt;0,A55=A57)</f>
        <v>0</v>
      </c>
      <c r="J54" s="15">
        <f t="shared" si="2"/>
        <v>23</v>
      </c>
      <c r="K54" s="1">
        <f t="shared" ref="K54:K117" ca="1" si="179">A55</f>
        <v>4</v>
      </c>
      <c r="L54" s="5" t="str">
        <f ca="1">INDEX(INDIRECT(zoneFichierTraite),$J54+offsetInitialFichierTraite,1)</f>
        <v>'023</v>
      </c>
      <c r="M54" s="11">
        <f ca="1">INDEX(INDIRECT(zoneFichierTraite),$J54+offsetInitialFichierTraite,9)</f>
        <v>15.6</v>
      </c>
      <c r="N54" s="14">
        <f ca="1">INDEX(INDIRECT(zoneFichierTraite),$J54+offsetInitialFichierTraite,3)</f>
        <v>8050846004894</v>
      </c>
      <c r="O54" s="14"/>
      <c r="P54" s="56">
        <f ca="1">MATCH(N54,INDIRECT(nomFichierEAN13Valmag &amp; "!A:A"),0)</f>
        <v>87</v>
      </c>
      <c r="Q54" s="57" t="e">
        <f ca="1">MATCH(U54,INDIRECT(nomFichierEAN13Valmag &amp; "!A:A"),0)</f>
        <v>#N/A</v>
      </c>
      <c r="S54" s="50" t="str">
        <f t="shared" ref="S54:S117" ca="1" si="180">LEFT(B54,14)</f>
        <v>OBAGS001-TES01</v>
      </c>
      <c r="T54" s="52">
        <f ca="1">MATCH($S54,INDIRECT(nomFichierEAN13ValmagUniq &amp; "!A:A"),0)</f>
        <v>172</v>
      </c>
      <c r="U54" s="49" t="str">
        <f ca="1">IFERROR(INDEX(INDIRECT(zoneFichierEAN13ValmagUniq),T54,2),"")</f>
        <v xml:space="preserve"> </v>
      </c>
      <c r="V54" s="52">
        <f ca="1">MATCH($S54,INDIRECT(nomFichierEAN13ValmagUniq &amp; "!A" &amp; (T54+1) &amp; ":A" &amp;  (T54+10)),0)</f>
        <v>1</v>
      </c>
      <c r="W54" s="51">
        <f t="shared" ref="W54" ca="1" si="181">V54+T54</f>
        <v>173</v>
      </c>
      <c r="X54" s="49" t="str">
        <f ca="1">IFERROR(INDEX(INDIRECT(zoneFichierEAN13ValmagUniq),W54,2),"")</f>
        <v xml:space="preserve">CANVAS          </v>
      </c>
      <c r="Y54" s="52" t="e">
        <f ca="1">MATCH($S54,INDIRECT(nomFichierEAN13ValmagUniq &amp; "!A" &amp; (W54+1) &amp; ":A" &amp;  (W54+10)),0)</f>
        <v>#N/A</v>
      </c>
      <c r="Z54" s="51" t="e">
        <f t="shared" ref="Z54" ca="1" si="182">Y54+W54</f>
        <v>#N/A</v>
      </c>
      <c r="AA54" s="49" t="str">
        <f ca="1">IFERROR(INDEX(INDIRECT(zoneFichierEAN13ValmagUniq),Z54,2),"")</f>
        <v/>
      </c>
      <c r="AB54" s="53" t="str">
        <f t="shared" ref="AB54" ca="1" si="183">U54 &amp; IF(X54="","", " | " &amp; X54) &amp; IF(AA54="","", " | " &amp;AA54)</f>
        <v xml:space="preserve">  | CANVAS          </v>
      </c>
      <c r="AD54" s="55" t="e">
        <f ca="1">MATCH(B54,INDIRECT(nomFichierFiltreCatalogue &amp; "!B:B"),0)</f>
        <v>#N/A</v>
      </c>
      <c r="AE54" s="14"/>
    </row>
    <row r="55" spans="1:31" s="20" customFormat="1" ht="15.75" customHeight="1" x14ac:dyDescent="0.25">
      <c r="A55" s="25">
        <f ca="1">INDEX(INDIRECT(zoneFichierTraite),$J54+offsetInitialFichierTraite,2)</f>
        <v>4</v>
      </c>
      <c r="B55" s="58" t="str">
        <f ca="1">IFERROR(INDEX(INDIRECT(zoneFichierEAN13Valmag),$P54,3),"")</f>
        <v xml:space="preserve">CANVAS          </v>
      </c>
      <c r="C55" s="54" t="str">
        <f t="shared" ref="C55:C118" ca="1" si="184">AB54</f>
        <v xml:space="preserve">  | CANVAS          </v>
      </c>
      <c r="D55" s="19" t="str">
        <f ca="1">IFERROR(INDEX(INDIRECT(zoneFichierEAN13Valmag),$P54,4),"")</f>
        <v>ROSMO</v>
      </c>
      <c r="E55" s="59" t="str">
        <f ca="1">IFERROR(INDEX(INDIRECT(zoneFichierFiltreCatalogue),AD54,3),"")</f>
        <v/>
      </c>
      <c r="F55" s="19"/>
      <c r="G55" s="18"/>
      <c r="H55" s="32" t="str">
        <f ca="1">IFERROR(INDEX(INDIRECT(zoneFichierFiltreCatalogue),AD54,6),"")</f>
        <v/>
      </c>
      <c r="T55" s="1"/>
      <c r="U55" s="21"/>
      <c r="V55" s="21"/>
      <c r="W55" s="21"/>
      <c r="X55" s="21"/>
      <c r="Y55" s="21"/>
      <c r="Z55" s="21"/>
      <c r="AA55" s="21"/>
      <c r="AB55" s="21"/>
      <c r="AC55" s="21"/>
      <c r="AD55" s="21"/>
    </row>
    <row r="56" spans="1:31" ht="39" customHeight="1" thickBot="1" x14ac:dyDescent="0.65">
      <c r="A56" s="9" t="str">
        <f ca="1">INDEX(INDIRECT(zoneFichierTraite),$J56+offsetInitialFichierTraite,6)</f>
        <v>UNICA</v>
      </c>
      <c r="B56" s="5" t="str">
        <f ca="1">INDEX(INDIRECT(zoneFichierTraite),$J56+offsetInitialFichierTraite,4)</f>
        <v>OBAGS001-TES01-347</v>
      </c>
      <c r="C56" s="26" t="str">
        <f ca="1">INDEX(INDIRECT(zoneFichierTraite),$J56+offsetInitialFichierTraite,5)</f>
        <v>POCHETTE INTERIEURE FERMETURE ECLAIR O BAG EN TISSU CANVAS</v>
      </c>
      <c r="D56" s="27" t="str">
        <f ca="1">INDEX(INDIRECT(zoneFichierTraite),$J56+offsetInitialFichierTraite,13)</f>
        <v>cedro</v>
      </c>
      <c r="E56" s="30">
        <f ca="1">INDEX(INDIRECT(zoneFichierTraite),$J56+offsetInitialFichierTraite,7)</f>
        <v>1</v>
      </c>
      <c r="F56" s="28">
        <f ca="1">INDEX(INDIRECT(zoneFichierTraite),$J56+offsetInitialFichierTraite,8)</f>
        <v>7.8</v>
      </c>
      <c r="G56" s="29">
        <f t="shared" ref="G56:G119" ca="1" si="185">ROUNDUP(F56*3,0)</f>
        <v>24</v>
      </c>
      <c r="H56" s="31" t="str">
        <f ca="1">IF(ISNUMBER(N56),codeEAN13(INT(N56/10)),"")</f>
        <v>8APASOG*aabhje+</v>
      </c>
      <c r="I56" s="1" t="b">
        <f t="shared" ref="I56" ca="1" si="186">AND(A59&lt;&gt;0,A57=A59)</f>
        <v>0</v>
      </c>
      <c r="J56" s="15">
        <f t="shared" si="2"/>
        <v>24</v>
      </c>
      <c r="K56" s="1">
        <f t="shared" ref="K56:K119" ca="1" si="187">A57</f>
        <v>19</v>
      </c>
      <c r="L56" s="5" t="str">
        <f ca="1">INDEX(INDIRECT(zoneFichierTraite),$J56+offsetInitialFichierTraite,1)</f>
        <v>'024</v>
      </c>
      <c r="M56" s="11">
        <f ca="1">INDEX(INDIRECT(zoneFichierTraite),$J56+offsetInitialFichierTraite,9)</f>
        <v>7.8</v>
      </c>
      <c r="N56" s="14">
        <f ca="1">INDEX(INDIRECT(zoneFichierTraite),$J56+offsetInitialFichierTraite,3)</f>
        <v>8050846001794</v>
      </c>
      <c r="O56" s="14"/>
      <c r="P56" s="56">
        <f ca="1">MATCH(N56,INDIRECT(nomFichierEAN13Valmag &amp; "!A:A"),0)</f>
        <v>70</v>
      </c>
      <c r="Q56" s="57" t="e">
        <f ca="1">MATCH(U56,INDIRECT(nomFichierEAN13Valmag &amp; "!A:A"),0)</f>
        <v>#N/A</v>
      </c>
      <c r="S56" s="50" t="str">
        <f t="shared" ref="S56:S119" ca="1" si="188">LEFT(B56,14)</f>
        <v>OBAGS001-TES01</v>
      </c>
      <c r="T56" s="52">
        <f ca="1">MATCH($S56,INDIRECT(nomFichierEAN13ValmagUniq &amp; "!A:A"),0)</f>
        <v>172</v>
      </c>
      <c r="U56" s="49" t="str">
        <f ca="1">IFERROR(INDEX(INDIRECT(zoneFichierEAN13ValmagUniq),T56,2),"")</f>
        <v xml:space="preserve"> </v>
      </c>
      <c r="V56" s="52">
        <f ca="1">MATCH($S56,INDIRECT(nomFichierEAN13ValmagUniq &amp; "!A" &amp; (T56+1) &amp; ":A" &amp;  (T56+10)),0)</f>
        <v>1</v>
      </c>
      <c r="W56" s="51">
        <f t="shared" ref="W56" ca="1" si="189">V56+T56</f>
        <v>173</v>
      </c>
      <c r="X56" s="49" t="str">
        <f ca="1">IFERROR(INDEX(INDIRECT(zoneFichierEAN13ValmagUniq),W56,2),"")</f>
        <v xml:space="preserve">CANVAS          </v>
      </c>
      <c r="Y56" s="52" t="e">
        <f ca="1">MATCH($S56,INDIRECT(nomFichierEAN13ValmagUniq &amp; "!A" &amp; (W56+1) &amp; ":A" &amp;  (W56+10)),0)</f>
        <v>#N/A</v>
      </c>
      <c r="Z56" s="51" t="e">
        <f t="shared" ref="Z56" ca="1" si="190">Y56+W56</f>
        <v>#N/A</v>
      </c>
      <c r="AA56" s="49" t="str">
        <f ca="1">IFERROR(INDEX(INDIRECT(zoneFichierEAN13ValmagUniq),Z56,2),"")</f>
        <v/>
      </c>
      <c r="AB56" s="53" t="str">
        <f t="shared" ref="AB56" ca="1" si="191">U56 &amp; IF(X56="","", " | " &amp; X56) &amp; IF(AA56="","", " | " &amp;AA56)</f>
        <v xml:space="preserve">  | CANVAS          </v>
      </c>
      <c r="AD56" s="55" t="e">
        <f ca="1">MATCH(B56,INDIRECT(nomFichierFiltreCatalogue &amp; "!B:B"),0)</f>
        <v>#N/A</v>
      </c>
      <c r="AE56" s="14"/>
    </row>
    <row r="57" spans="1:31" s="20" customFormat="1" ht="15.75" customHeight="1" x14ac:dyDescent="0.25">
      <c r="A57" s="25">
        <f ca="1">INDEX(INDIRECT(zoneFichierTraite),$J56+offsetInitialFichierTraite,2)</f>
        <v>19</v>
      </c>
      <c r="B57" s="58" t="str">
        <f ca="1">IFERROR(INDEX(INDIRECT(zoneFichierEAN13Valmag),$P56,3),"")</f>
        <v xml:space="preserve">CANVAS          </v>
      </c>
      <c r="C57" s="54" t="str">
        <f t="shared" ref="C57:C120" ca="1" si="192">AB56</f>
        <v xml:space="preserve">  | CANVAS          </v>
      </c>
      <c r="D57" s="19" t="str">
        <f ca="1">IFERROR(INDEX(INDIRECT(zoneFichierEAN13Valmag),$P56,4),"")</f>
        <v>CEDRO</v>
      </c>
      <c r="E57" s="59" t="str">
        <f ca="1">IFERROR(INDEX(INDIRECT(zoneFichierFiltreCatalogue),AD56,3),"")</f>
        <v/>
      </c>
      <c r="F57" s="19"/>
      <c r="G57" s="18"/>
      <c r="H57" s="32" t="str">
        <f ca="1">IFERROR(INDEX(INDIRECT(zoneFichierFiltreCatalogue),AD56,6),"")</f>
        <v/>
      </c>
      <c r="T57" s="1"/>
      <c r="U57" s="21"/>
      <c r="V57" s="21"/>
      <c r="W57" s="21"/>
      <c r="X57" s="21"/>
      <c r="Y57" s="21"/>
      <c r="Z57" s="21"/>
      <c r="AA57" s="21"/>
      <c r="AB57" s="21"/>
      <c r="AC57" s="21"/>
      <c r="AD57" s="21"/>
    </row>
    <row r="58" spans="1:31" ht="39" customHeight="1" thickBot="1" x14ac:dyDescent="0.65">
      <c r="A58" s="9" t="str">
        <f ca="1">INDEX(INDIRECT(zoneFichierTraite),$J58+offsetInitialFichierTraite,6)</f>
        <v>UNICA</v>
      </c>
      <c r="B58" s="5" t="str">
        <f ca="1">INDEX(INDIRECT(zoneFichierTraite),$J58+offsetInitialFichierTraite,4)</f>
        <v>OBAGS002-TES01-075</v>
      </c>
      <c r="C58" s="26" t="str">
        <f ca="1">INDEX(INDIRECT(zoneFichierTraite),$J58+offsetInitialFichierTraite,5)</f>
        <v>POCHETTE INTERIEURE FERMETURE ECLAIR O BAG MINI EN TISSU CANVAS</v>
      </c>
      <c r="D58" s="27" t="str">
        <f ca="1">INDEX(INDIRECT(zoneFichierTraite),$J58+offsetInitialFichierTraite,13)</f>
        <v>rosa smoke</v>
      </c>
      <c r="E58" s="30">
        <f ca="1">INDEX(INDIRECT(zoneFichierTraite),$J58+offsetInitialFichierTraite,7)</f>
        <v>3</v>
      </c>
      <c r="F58" s="28">
        <f ca="1">INDEX(INDIRECT(zoneFichierTraite),$J58+offsetInitialFichierTraite,8)</f>
        <v>7.08</v>
      </c>
      <c r="G58" s="29">
        <f t="shared" ref="G58:G121" ca="1" si="193">ROUNDUP(F58*3,0)</f>
        <v>22</v>
      </c>
      <c r="H58" s="31" t="str">
        <f ca="1">IF(ISNUMBER(N58),codeEAN13(INT(N58/10)),"")</f>
        <v>8APASOG*aaejei+</v>
      </c>
      <c r="I58" s="1" t="b">
        <f t="shared" ref="I58" ca="1" si="194">AND(A61&lt;&gt;0,A59=A61)</f>
        <v>0</v>
      </c>
      <c r="J58" s="15">
        <f t="shared" si="2"/>
        <v>25</v>
      </c>
      <c r="K58" s="1">
        <f t="shared" ref="K58:K121" ca="1" si="195">A59</f>
        <v>10</v>
      </c>
      <c r="L58" s="5" t="str">
        <f ca="1">INDEX(INDIRECT(zoneFichierTraite),$J58+offsetInitialFichierTraite,1)</f>
        <v>'025</v>
      </c>
      <c r="M58" s="11">
        <f ca="1">INDEX(INDIRECT(zoneFichierTraite),$J58+offsetInitialFichierTraite,9)</f>
        <v>21.24</v>
      </c>
      <c r="N58" s="14">
        <f ca="1">INDEX(INDIRECT(zoneFichierTraite),$J58+offsetInitialFichierTraite,3)</f>
        <v>8050846004948</v>
      </c>
      <c r="O58" s="14"/>
      <c r="P58" s="56">
        <f ca="1">MATCH(N58,INDIRECT(nomFichierEAN13Valmag &amp; "!A:A"),0)</f>
        <v>89</v>
      </c>
      <c r="Q58" s="57" t="e">
        <f ca="1">MATCH(U58,INDIRECT(nomFichierEAN13Valmag &amp; "!A:A"),0)</f>
        <v>#N/A</v>
      </c>
      <c r="S58" s="50" t="str">
        <f t="shared" ref="S58:S121" ca="1" si="196">LEFT(B58,14)</f>
        <v>OBAGS002-TES01</v>
      </c>
      <c r="T58" s="52">
        <f ca="1">MATCH($S58,INDIRECT(nomFichierEAN13ValmagUniq &amp; "!A:A"),0)</f>
        <v>182</v>
      </c>
      <c r="U58" s="49" t="str">
        <f ca="1">IFERROR(INDEX(INDIRECT(zoneFichierEAN13ValmagUniq),T58,2),"")</f>
        <v xml:space="preserve"> </v>
      </c>
      <c r="V58" s="52">
        <f ca="1">MATCH($S58,INDIRECT(nomFichierEAN13ValmagUniq &amp; "!A" &amp; (T58+1) &amp; ":A" &amp;  (T58+10)),0)</f>
        <v>1</v>
      </c>
      <c r="W58" s="51">
        <f t="shared" ref="W58" ca="1" si="197">V58+T58</f>
        <v>183</v>
      </c>
      <c r="X58" s="49" t="str">
        <f ca="1">IFERROR(INDEX(INDIRECT(zoneFichierEAN13ValmagUniq),W58,2),"")</f>
        <v xml:space="preserve">MINICANVAS      </v>
      </c>
      <c r="Y58" s="52" t="e">
        <f ca="1">MATCH($S58,INDIRECT(nomFichierEAN13ValmagUniq &amp; "!A" &amp; (W58+1) &amp; ":A" &amp;  (W58+10)),0)</f>
        <v>#N/A</v>
      </c>
      <c r="Z58" s="51" t="e">
        <f t="shared" ref="Z58" ca="1" si="198">Y58+W58</f>
        <v>#N/A</v>
      </c>
      <c r="AA58" s="49" t="str">
        <f ca="1">IFERROR(INDEX(INDIRECT(zoneFichierEAN13ValmagUniq),Z58,2),"")</f>
        <v/>
      </c>
      <c r="AB58" s="53" t="str">
        <f t="shared" ref="AB58" ca="1" si="199">U58 &amp; IF(X58="","", " | " &amp; X58) &amp; IF(AA58="","", " | " &amp;AA58)</f>
        <v xml:space="preserve">  | MINICANVAS      </v>
      </c>
      <c r="AD58" s="55" t="e">
        <f ca="1">MATCH(B58,INDIRECT(nomFichierFiltreCatalogue &amp; "!B:B"),0)</f>
        <v>#N/A</v>
      </c>
      <c r="AE58" s="14"/>
    </row>
    <row r="59" spans="1:31" s="20" customFormat="1" ht="15.75" customHeight="1" x14ac:dyDescent="0.25">
      <c r="A59" s="25">
        <f ca="1">INDEX(INDIRECT(zoneFichierTraite),$J58+offsetInitialFichierTraite,2)</f>
        <v>10</v>
      </c>
      <c r="B59" s="58" t="str">
        <f ca="1">IFERROR(INDEX(INDIRECT(zoneFichierEAN13Valmag),$P58,3),"")</f>
        <v xml:space="preserve">MINICANVAS      </v>
      </c>
      <c r="C59" s="54" t="str">
        <f t="shared" ref="C59:C122" ca="1" si="200">AB58</f>
        <v xml:space="preserve">  | MINICANVAS      </v>
      </c>
      <c r="D59" s="19" t="str">
        <f ca="1">IFERROR(INDEX(INDIRECT(zoneFichierEAN13Valmag),$P58,4),"")</f>
        <v>ROSMO</v>
      </c>
      <c r="E59" s="59" t="str">
        <f ca="1">IFERROR(INDEX(INDIRECT(zoneFichierFiltreCatalogue),AD58,3),"")</f>
        <v/>
      </c>
      <c r="F59" s="19"/>
      <c r="G59" s="18"/>
      <c r="H59" s="32" t="str">
        <f ca="1">IFERROR(INDEX(INDIRECT(zoneFichierFiltreCatalogue),AD58,6),"")</f>
        <v/>
      </c>
      <c r="T59" s="1"/>
      <c r="U59" s="21"/>
      <c r="V59" s="21"/>
      <c r="W59" s="21"/>
      <c r="X59" s="21"/>
      <c r="Y59" s="21"/>
      <c r="Z59" s="21"/>
      <c r="AA59" s="21"/>
      <c r="AB59" s="21"/>
      <c r="AC59" s="21"/>
      <c r="AD59" s="21"/>
    </row>
    <row r="60" spans="1:31" ht="39" customHeight="1" thickBot="1" x14ac:dyDescent="0.65">
      <c r="A60" s="9" t="str">
        <f ca="1">INDEX(INDIRECT(zoneFichierTraite),$J60+offsetInitialFichierTraite,6)</f>
        <v>UNICA</v>
      </c>
      <c r="B60" s="5" t="str">
        <f ca="1">INDEX(INDIRECT(zoneFichierTraite),$J60+offsetInitialFichierTraite,4)</f>
        <v>OBAGS002-TES01-347</v>
      </c>
      <c r="C60" s="26" t="str">
        <f ca="1">INDEX(INDIRECT(zoneFichierTraite),$J60+offsetInitialFichierTraite,5)</f>
        <v>POCHETTE INTERIEURE FERMETURE ECLAIR O BAG MINI EN TISSU CANVAS</v>
      </c>
      <c r="D60" s="27" t="str">
        <f ca="1">INDEX(INDIRECT(zoneFichierTraite),$J60+offsetInitialFichierTraite,13)</f>
        <v>cedro</v>
      </c>
      <c r="E60" s="30">
        <f ca="1">INDEX(INDIRECT(zoneFichierTraite),$J60+offsetInitialFichierTraite,7)</f>
        <v>2</v>
      </c>
      <c r="F60" s="28">
        <f ca="1">INDEX(INDIRECT(zoneFichierTraite),$J60+offsetInitialFichierTraite,8)</f>
        <v>7.08</v>
      </c>
      <c r="G60" s="29">
        <f t="shared" ref="G60:G123" ca="1" si="201">ROUNDUP(F60*3,0)</f>
        <v>22</v>
      </c>
      <c r="H60" s="31" t="str">
        <f ca="1">IF(ISNUMBER(N60),codeEAN13(INT(N60/10)),"")</f>
        <v>8APASOG*aacabc+</v>
      </c>
      <c r="I60" s="1" t="b">
        <f t="shared" ref="I60" ca="1" si="202">AND(A63&lt;&gt;0,A61=A63)</f>
        <v>0</v>
      </c>
      <c r="J60" s="15">
        <f t="shared" si="2"/>
        <v>26</v>
      </c>
      <c r="K60" s="1">
        <f t="shared" ref="K60:K123" ca="1" si="203">A61</f>
        <v>22</v>
      </c>
      <c r="L60" s="5" t="str">
        <f ca="1">INDEX(INDIRECT(zoneFichierTraite),$J60+offsetInitialFichierTraite,1)</f>
        <v>'026</v>
      </c>
      <c r="M60" s="11">
        <f ca="1">INDEX(INDIRECT(zoneFichierTraite),$J60+offsetInitialFichierTraite,9)</f>
        <v>14.16</v>
      </c>
      <c r="N60" s="14">
        <f ca="1">INDEX(INDIRECT(zoneFichierTraite),$J60+offsetInitialFichierTraite,3)</f>
        <v>8050846002012</v>
      </c>
      <c r="O60" s="14"/>
      <c r="P60" s="56">
        <f ca="1">MATCH(N60,INDIRECT(nomFichierEAN13Valmag &amp; "!A:A"),0)</f>
        <v>73</v>
      </c>
      <c r="Q60" s="57" t="e">
        <f ca="1">MATCH(U60,INDIRECT(nomFichierEAN13Valmag &amp; "!A:A"),0)</f>
        <v>#N/A</v>
      </c>
      <c r="S60" s="50" t="str">
        <f t="shared" ref="S60:S123" ca="1" si="204">LEFT(B60,14)</f>
        <v>OBAGS002-TES01</v>
      </c>
      <c r="T60" s="52">
        <f ca="1">MATCH($S60,INDIRECT(nomFichierEAN13ValmagUniq &amp; "!A:A"),0)</f>
        <v>182</v>
      </c>
      <c r="U60" s="49" t="str">
        <f ca="1">IFERROR(INDEX(INDIRECT(zoneFichierEAN13ValmagUniq),T60,2),"")</f>
        <v xml:space="preserve"> </v>
      </c>
      <c r="V60" s="52">
        <f ca="1">MATCH($S60,INDIRECT(nomFichierEAN13ValmagUniq &amp; "!A" &amp; (T60+1) &amp; ":A" &amp;  (T60+10)),0)</f>
        <v>1</v>
      </c>
      <c r="W60" s="51">
        <f t="shared" ref="W60" ca="1" si="205">V60+T60</f>
        <v>183</v>
      </c>
      <c r="X60" s="49" t="str">
        <f ca="1">IFERROR(INDEX(INDIRECT(zoneFichierEAN13ValmagUniq),W60,2),"")</f>
        <v xml:space="preserve">MINICANVAS      </v>
      </c>
      <c r="Y60" s="52" t="e">
        <f ca="1">MATCH($S60,INDIRECT(nomFichierEAN13ValmagUniq &amp; "!A" &amp; (W60+1) &amp; ":A" &amp;  (W60+10)),0)</f>
        <v>#N/A</v>
      </c>
      <c r="Z60" s="51" t="e">
        <f t="shared" ref="Z60" ca="1" si="206">Y60+W60</f>
        <v>#N/A</v>
      </c>
      <c r="AA60" s="49" t="str">
        <f ca="1">IFERROR(INDEX(INDIRECT(zoneFichierEAN13ValmagUniq),Z60,2),"")</f>
        <v/>
      </c>
      <c r="AB60" s="53" t="str">
        <f t="shared" ref="AB60" ca="1" si="207">U60 &amp; IF(X60="","", " | " &amp; X60) &amp; IF(AA60="","", " | " &amp;AA60)</f>
        <v xml:space="preserve">  | MINICANVAS      </v>
      </c>
      <c r="AD60" s="55" t="e">
        <f ca="1">MATCH(B60,INDIRECT(nomFichierFiltreCatalogue &amp; "!B:B"),0)</f>
        <v>#N/A</v>
      </c>
      <c r="AE60" s="14"/>
    </row>
    <row r="61" spans="1:31" s="20" customFormat="1" ht="15.75" customHeight="1" x14ac:dyDescent="0.25">
      <c r="A61" s="25">
        <f ca="1">INDEX(INDIRECT(zoneFichierTraite),$J60+offsetInitialFichierTraite,2)</f>
        <v>22</v>
      </c>
      <c r="B61" s="58" t="str">
        <f ca="1">IFERROR(INDEX(INDIRECT(zoneFichierEAN13Valmag),$P60,3),"")</f>
        <v xml:space="preserve">MINICANVAS      </v>
      </c>
      <c r="C61" s="54" t="str">
        <f t="shared" ref="C61:C124" ca="1" si="208">AB60</f>
        <v xml:space="preserve">  | MINICANVAS      </v>
      </c>
      <c r="D61" s="19" t="str">
        <f ca="1">IFERROR(INDEX(INDIRECT(zoneFichierEAN13Valmag),$P60,4),"")</f>
        <v>CEDRO</v>
      </c>
      <c r="E61" s="59" t="str">
        <f ca="1">IFERROR(INDEX(INDIRECT(zoneFichierFiltreCatalogue),AD60,3),"")</f>
        <v/>
      </c>
      <c r="F61" s="19"/>
      <c r="G61" s="18"/>
      <c r="H61" s="32" t="str">
        <f ca="1">IFERROR(INDEX(INDIRECT(zoneFichierFiltreCatalogue),AD60,6),"")</f>
        <v/>
      </c>
      <c r="T61" s="1"/>
      <c r="U61" s="21"/>
      <c r="V61" s="21"/>
      <c r="W61" s="21"/>
      <c r="X61" s="21"/>
      <c r="Y61" s="21"/>
      <c r="Z61" s="21"/>
      <c r="AA61" s="21"/>
      <c r="AB61" s="21"/>
      <c r="AC61" s="21"/>
      <c r="AD61" s="21"/>
    </row>
    <row r="62" spans="1:31" ht="39" customHeight="1" thickBot="1" x14ac:dyDescent="0.65">
      <c r="A62" s="9" t="str">
        <f ca="1">INDEX(INDIRECT(zoneFichierTraite),$J62+offsetInitialFichierTraite,6)</f>
        <v>UNICA</v>
      </c>
      <c r="B62" s="5" t="str">
        <f ca="1">INDEX(INDIRECT(zoneFichierTraite),$J62+offsetInitialFichierTraite,4)</f>
        <v>OBAGS501-TESX2-371</v>
      </c>
      <c r="C62" s="26" t="str">
        <f ca="1">INDEX(INDIRECT(zoneFichierTraite),$J62+offsetInitialFichierTraite,5)</f>
        <v>POCHETTE INTERIEURE OVER O BAG EN TISSU IMPRIME Ã€ FLEURS PEINT Ã€ LA MAIN</v>
      </c>
      <c r="D62" s="27" t="str">
        <f ca="1">INDEX(INDIRECT(zoneFichierTraite),$J62+offsetInitialFichierTraite,13)</f>
        <v>latte</v>
      </c>
      <c r="E62" s="30">
        <f ca="1">INDEX(INDIRECT(zoneFichierTraite),$J62+offsetInitialFichierTraite,7)</f>
        <v>1</v>
      </c>
      <c r="F62" s="28">
        <f ca="1">INDEX(INDIRECT(zoneFichierTraite),$J62+offsetInitialFichierTraite,8)</f>
        <v>14.44</v>
      </c>
      <c r="G62" s="29">
        <f t="shared" ref="G62:G125" ca="1" si="209">ROUNDUP(F62*3,0)</f>
        <v>44</v>
      </c>
      <c r="H62" s="31" t="str">
        <f ca="1">IF(ISNUMBER(N62),codeEAN13(INT(N62/10)),"")</f>
        <v>8APASOG*agcajc+</v>
      </c>
      <c r="I62" s="1" t="b">
        <f t="shared" ref="I62" ca="1" si="210">AND(A65&lt;&gt;0,A63=A65)</f>
        <v>0</v>
      </c>
      <c r="J62" s="15">
        <f t="shared" si="2"/>
        <v>27</v>
      </c>
      <c r="K62" s="1">
        <f t="shared" ref="K62:K125" ca="1" si="211">A63</f>
        <v>28</v>
      </c>
      <c r="L62" s="5" t="str">
        <f ca="1">INDEX(INDIRECT(zoneFichierTraite),$J62+offsetInitialFichierTraite,1)</f>
        <v>'027</v>
      </c>
      <c r="M62" s="11">
        <f ca="1">INDEX(INDIRECT(zoneFichierTraite),$J62+offsetInitialFichierTraite,9)</f>
        <v>14.44</v>
      </c>
      <c r="N62" s="14">
        <f ca="1">INDEX(INDIRECT(zoneFichierTraite),$J62+offsetInitialFichierTraite,3)</f>
        <v>8050846062092</v>
      </c>
      <c r="O62" s="14"/>
      <c r="P62" s="56">
        <f ca="1">MATCH(N62,INDIRECT(nomFichierEAN13Valmag &amp; "!A:A"),0)</f>
        <v>461</v>
      </c>
      <c r="Q62" s="57" t="e">
        <f ca="1">MATCH(U62,INDIRECT(nomFichierEAN13Valmag &amp; "!A:A"),0)</f>
        <v>#N/A</v>
      </c>
      <c r="S62" s="50" t="str">
        <f t="shared" ref="S62:S125" ca="1" si="212">LEFT(B62,14)</f>
        <v>OBAGS501-TESX2</v>
      </c>
      <c r="T62" s="52">
        <f ca="1">MATCH($S62,INDIRECT(nomFichierEAN13ValmagUniq &amp; "!A:A"),0)</f>
        <v>206</v>
      </c>
      <c r="U62" s="49" t="str">
        <f ca="1">IFERROR(INDEX(INDIRECT(zoneFichierEAN13ValmagUniq),T62,2),"")</f>
        <v xml:space="preserve">CANVAS          </v>
      </c>
      <c r="V62" s="52" t="e">
        <f ca="1">MATCH($S62,INDIRECT(nomFichierEAN13ValmagUniq &amp; "!A" &amp; (T62+1) &amp; ":A" &amp;  (T62+10)),0)</f>
        <v>#N/A</v>
      </c>
      <c r="W62" s="51" t="e">
        <f t="shared" ref="W62" ca="1" si="213">V62+T62</f>
        <v>#N/A</v>
      </c>
      <c r="X62" s="49" t="str">
        <f ca="1">IFERROR(INDEX(INDIRECT(zoneFichierEAN13ValmagUniq),W62,2),"")</f>
        <v/>
      </c>
      <c r="Y62" s="52" t="e">
        <f ca="1">MATCH($S62,INDIRECT(nomFichierEAN13ValmagUniq &amp; "!A" &amp; (W62+1) &amp; ":A" &amp;  (W62+10)),0)</f>
        <v>#N/A</v>
      </c>
      <c r="Z62" s="51" t="e">
        <f t="shared" ref="Z62" ca="1" si="214">Y62+W62</f>
        <v>#N/A</v>
      </c>
      <c r="AA62" s="49" t="str">
        <f ca="1">IFERROR(INDEX(INDIRECT(zoneFichierEAN13ValmagUniq),Z62,2),"")</f>
        <v/>
      </c>
      <c r="AB62" s="53" t="str">
        <f t="shared" ref="AB62" ca="1" si="215">U62 &amp; IF(X62="","", " | " &amp; X62) &amp; IF(AA62="","", " | " &amp;AA62)</f>
        <v xml:space="preserve">CANVAS          </v>
      </c>
      <c r="AD62" s="55" t="e">
        <f ca="1">MATCH(B62,INDIRECT(nomFichierFiltreCatalogue &amp; "!B:B"),0)</f>
        <v>#N/A</v>
      </c>
      <c r="AE62" s="14"/>
    </row>
    <row r="63" spans="1:31" s="20" customFormat="1" ht="15.75" customHeight="1" x14ac:dyDescent="0.25">
      <c r="A63" s="25">
        <f ca="1">INDEX(INDIRECT(zoneFichierTraite),$J62+offsetInitialFichierTraite,2)</f>
        <v>28</v>
      </c>
      <c r="B63" s="58" t="str">
        <f ca="1">IFERROR(INDEX(INDIRECT(zoneFichierEAN13Valmag),$P62,3),"")</f>
        <v xml:space="preserve">CANVAS          </v>
      </c>
      <c r="C63" s="54" t="str">
        <f t="shared" ref="C63:C126" ca="1" si="216">AB62</f>
        <v xml:space="preserve">CANVAS          </v>
      </c>
      <c r="D63" s="19" t="str">
        <f ca="1">IFERROR(INDEX(INDIRECT(zoneFichierEAN13Valmag),$P62,4),"")</f>
        <v>FIORE</v>
      </c>
      <c r="E63" s="59" t="str">
        <f ca="1">IFERROR(INDEX(INDIRECT(zoneFichierFiltreCatalogue),AD62,3),"")</f>
        <v/>
      </c>
      <c r="F63" s="19"/>
      <c r="G63" s="18"/>
      <c r="H63" s="32" t="str">
        <f ca="1">IFERROR(INDEX(INDIRECT(zoneFichierFiltreCatalogue),AD62,6),"")</f>
        <v/>
      </c>
      <c r="T63" s="1"/>
      <c r="U63" s="21"/>
      <c r="V63" s="21"/>
      <c r="W63" s="21"/>
      <c r="X63" s="21"/>
      <c r="Y63" s="21"/>
      <c r="Z63" s="21"/>
      <c r="AA63" s="21"/>
      <c r="AB63" s="21"/>
      <c r="AC63" s="21"/>
      <c r="AD63" s="21"/>
    </row>
    <row r="64" spans="1:31" ht="39" customHeight="1" thickBot="1" x14ac:dyDescent="0.65">
      <c r="A64" s="9" t="str">
        <f ca="1">INDEX(INDIRECT(zoneFichierTraite),$J64+offsetInitialFichierTraite,6)</f>
        <v>UNICA</v>
      </c>
      <c r="B64" s="5" t="str">
        <f ca="1">INDEX(INDIRECT(zoneFichierTraite),$J64+offsetInitialFichierTraite,4)</f>
        <v>OBAGS501-TESX6-125</v>
      </c>
      <c r="C64" s="26" t="str">
        <f ca="1">INDEX(INDIRECT(zoneFichierTraite),$J64+offsetInitialFichierTraite,5)</f>
        <v>POCHETTE INTERIEURE OVER O BAG EN TISSU IMPRIME TANGERINE</v>
      </c>
      <c r="D64" s="27" t="str">
        <f ca="1">INDEX(INDIRECT(zoneFichierTraite),$J64+offsetInitialFichierTraite,13)</f>
        <v>multicolor</v>
      </c>
      <c r="E64" s="30">
        <f ca="1">INDEX(INDIRECT(zoneFichierTraite),$J64+offsetInitialFichierTraite,7)</f>
        <v>1</v>
      </c>
      <c r="F64" s="28">
        <f ca="1">INDEX(INDIRECT(zoneFichierTraite),$J64+offsetInitialFichierTraite,8)</f>
        <v>15.56</v>
      </c>
      <c r="G64" s="29">
        <f t="shared" ref="G64:G127" ca="1" si="217">ROUNDUP(F64*3,0)</f>
        <v>47</v>
      </c>
      <c r="H64" s="31" t="str">
        <f ca="1">IF(ISNUMBER(N64),codeEAN13(INT(N64/10)),"")</f>
        <v>8APASOG*agcaif+</v>
      </c>
      <c r="I64" s="1" t="b">
        <f t="shared" ref="I64" ca="1" si="218">AND(A67&lt;&gt;0,A65=A67)</f>
        <v>0</v>
      </c>
      <c r="J64" s="15">
        <f t="shared" si="2"/>
        <v>28</v>
      </c>
      <c r="K64" s="1">
        <f t="shared" ref="K64:K127" ca="1" si="219">A65</f>
        <v>39</v>
      </c>
      <c r="L64" s="5" t="str">
        <f ca="1">INDEX(INDIRECT(zoneFichierTraite),$J64+offsetInitialFichierTraite,1)</f>
        <v>'028</v>
      </c>
      <c r="M64" s="11">
        <f ca="1">INDEX(INDIRECT(zoneFichierTraite),$J64+offsetInitialFichierTraite,9)</f>
        <v>15.56</v>
      </c>
      <c r="N64" s="14">
        <f ca="1">INDEX(INDIRECT(zoneFichierTraite),$J64+offsetInitialFichierTraite,3)</f>
        <v>8050846062085</v>
      </c>
      <c r="O64" s="14"/>
      <c r="P64" s="56">
        <f ca="1">MATCH(N64,INDIRECT(nomFichierEAN13Valmag &amp; "!A:A"),0)</f>
        <v>460</v>
      </c>
      <c r="Q64" s="57" t="e">
        <f ca="1">MATCH(U64,INDIRECT(nomFichierEAN13Valmag &amp; "!A:A"),0)</f>
        <v>#N/A</v>
      </c>
      <c r="S64" s="50" t="str">
        <f t="shared" ref="S64:S127" ca="1" si="220">LEFT(B64,14)</f>
        <v>OBAGS501-TESX6</v>
      </c>
      <c r="T64" s="52">
        <f ca="1">MATCH($S64,INDIRECT(nomFichierEAN13ValmagUniq &amp; "!A:A"),0)</f>
        <v>207</v>
      </c>
      <c r="U64" s="49" t="str">
        <f ca="1">IFERROR(INDEX(INDIRECT(zoneFichierEAN13ValmagUniq),T64,2),"")</f>
        <v xml:space="preserve">CANVAS          </v>
      </c>
      <c r="V64" s="52" t="e">
        <f ca="1">MATCH($S64,INDIRECT(nomFichierEAN13ValmagUniq &amp; "!A" &amp; (T64+1) &amp; ":A" &amp;  (T64+10)),0)</f>
        <v>#N/A</v>
      </c>
      <c r="W64" s="51" t="e">
        <f t="shared" ref="W64" ca="1" si="221">V64+T64</f>
        <v>#N/A</v>
      </c>
      <c r="X64" s="49" t="str">
        <f ca="1">IFERROR(INDEX(INDIRECT(zoneFichierEAN13ValmagUniq),W64,2),"")</f>
        <v/>
      </c>
      <c r="Y64" s="52" t="e">
        <f ca="1">MATCH($S64,INDIRECT(nomFichierEAN13ValmagUniq &amp; "!A" &amp; (W64+1) &amp; ":A" &amp;  (W64+10)),0)</f>
        <v>#N/A</v>
      </c>
      <c r="Z64" s="51" t="e">
        <f t="shared" ref="Z64" ca="1" si="222">Y64+W64</f>
        <v>#N/A</v>
      </c>
      <c r="AA64" s="49" t="str">
        <f ca="1">IFERROR(INDEX(INDIRECT(zoneFichierEAN13ValmagUniq),Z64,2),"")</f>
        <v/>
      </c>
      <c r="AB64" s="53" t="str">
        <f t="shared" ref="AB64" ca="1" si="223">U64 &amp; IF(X64="","", " | " &amp; X64) &amp; IF(AA64="","", " | " &amp;AA64)</f>
        <v xml:space="preserve">CANVAS          </v>
      </c>
      <c r="AD64" s="55" t="e">
        <f ca="1">MATCH(B64,INDIRECT(nomFichierFiltreCatalogue &amp; "!B:B"),0)</f>
        <v>#N/A</v>
      </c>
      <c r="AE64" s="14"/>
    </row>
    <row r="65" spans="1:31" s="20" customFormat="1" ht="15.75" customHeight="1" x14ac:dyDescent="0.25">
      <c r="A65" s="25">
        <f ca="1">INDEX(INDIRECT(zoneFichierTraite),$J64+offsetInitialFichierTraite,2)</f>
        <v>39</v>
      </c>
      <c r="B65" s="58" t="str">
        <f ca="1">IFERROR(INDEX(INDIRECT(zoneFichierEAN13Valmag),$P64,3),"")</f>
        <v xml:space="preserve">CANVAS          </v>
      </c>
      <c r="C65" s="54" t="str">
        <f t="shared" ref="C65:C128" ca="1" si="224">AB64</f>
        <v xml:space="preserve">CANVAS          </v>
      </c>
      <c r="D65" s="19" t="str">
        <f ca="1">IFERROR(INDEX(INDIRECT(zoneFichierEAN13Valmag),$P64,4),"")</f>
        <v>TANGE</v>
      </c>
      <c r="E65" s="59" t="str">
        <f ca="1">IFERROR(INDEX(INDIRECT(zoneFichierFiltreCatalogue),AD64,3),"")</f>
        <v/>
      </c>
      <c r="F65" s="19"/>
      <c r="G65" s="18"/>
      <c r="H65" s="32" t="str">
        <f ca="1">IFERROR(INDEX(INDIRECT(zoneFichierFiltreCatalogue),AD64,6),"")</f>
        <v/>
      </c>
      <c r="T65" s="1"/>
      <c r="U65" s="21"/>
      <c r="V65" s="21"/>
      <c r="W65" s="21"/>
      <c r="X65" s="21"/>
      <c r="Y65" s="21"/>
      <c r="Z65" s="21"/>
      <c r="AA65" s="21"/>
      <c r="AB65" s="21"/>
      <c r="AC65" s="21"/>
      <c r="AD65" s="21"/>
    </row>
    <row r="66" spans="1:31" ht="39" customHeight="1" thickBot="1" x14ac:dyDescent="0.65">
      <c r="A66" s="9" t="str">
        <f ca="1">INDEX(INDIRECT(zoneFichierTraite),$J66+offsetInitialFichierTraite,6)</f>
        <v>UNICA</v>
      </c>
      <c r="B66" s="5" t="str">
        <f ca="1">INDEX(INDIRECT(zoneFichierTraite),$J66+offsetInitialFichierTraite,4)</f>
        <v>OBAGS502-TESX2-371</v>
      </c>
      <c r="C66" s="26" t="str">
        <f ca="1">INDEX(INDIRECT(zoneFichierTraite),$J66+offsetInitialFichierTraite,5)</f>
        <v>POCHETTE INTERIEURE OVER O BAG MINI EN TISSU IMPRIME Ã€ FLEURS PEINT Ã€ LA MAIN</v>
      </c>
      <c r="D66" s="27" t="str">
        <f ca="1">INDEX(INDIRECT(zoneFichierTraite),$J66+offsetInitialFichierTraite,13)</f>
        <v>latte</v>
      </c>
      <c r="E66" s="30">
        <f ca="1">INDEX(INDIRECT(zoneFichierTraite),$J66+offsetInitialFichierTraite,7)</f>
        <v>1</v>
      </c>
      <c r="F66" s="28">
        <f ca="1">INDEX(INDIRECT(zoneFichierTraite),$J66+offsetInitialFichierTraite,8)</f>
        <v>14.44</v>
      </c>
      <c r="G66" s="29">
        <f t="shared" ref="G66:G129" ca="1" si="225">ROUNDUP(F66*3,0)</f>
        <v>44</v>
      </c>
      <c r="H66" s="31" t="str">
        <f ca="1">IF(ISNUMBER(N66),codeEAN13(INT(N66/10)),"")</f>
        <v>8APASOG*agcbbf+</v>
      </c>
      <c r="I66" s="1" t="b">
        <f t="shared" ref="I66" ca="1" si="226">AND(A69&lt;&gt;0,A67=A69)</f>
        <v>0</v>
      </c>
      <c r="J66" s="15">
        <f t="shared" si="2"/>
        <v>29</v>
      </c>
      <c r="K66" s="1">
        <f t="shared" ref="K66:K129" ca="1" si="227">A67</f>
        <v>16</v>
      </c>
      <c r="L66" s="5" t="str">
        <f ca="1">INDEX(INDIRECT(zoneFichierTraite),$J66+offsetInitialFichierTraite,1)</f>
        <v>'029</v>
      </c>
      <c r="M66" s="11">
        <f ca="1">INDEX(INDIRECT(zoneFichierTraite),$J66+offsetInitialFichierTraite,9)</f>
        <v>14.44</v>
      </c>
      <c r="N66" s="14">
        <f ca="1">INDEX(INDIRECT(zoneFichierTraite),$J66+offsetInitialFichierTraite,3)</f>
        <v>8050846062115</v>
      </c>
      <c r="O66" s="14"/>
      <c r="P66" s="56">
        <f ca="1">MATCH(N66,INDIRECT(nomFichierEAN13Valmag &amp; "!A:A"),0)</f>
        <v>463</v>
      </c>
      <c r="Q66" s="57" t="e">
        <f ca="1">MATCH(U66,INDIRECT(nomFichierEAN13Valmag &amp; "!A:A"),0)</f>
        <v>#N/A</v>
      </c>
      <c r="S66" s="50" t="str">
        <f t="shared" ref="S66:S129" ca="1" si="228">LEFT(B66,14)</f>
        <v>OBAGS502-TESX2</v>
      </c>
      <c r="T66" s="52">
        <f ca="1">MATCH($S66,INDIRECT(nomFichierEAN13ValmagUniq &amp; "!A:A"),0)</f>
        <v>208</v>
      </c>
      <c r="U66" s="49" t="str">
        <f ca="1">IFERROR(INDEX(INDIRECT(zoneFichierEAN13ValmagUniq),T66,2),"")</f>
        <v xml:space="preserve">MINICANVAS      </v>
      </c>
      <c r="V66" s="52" t="e">
        <f ca="1">MATCH($S66,INDIRECT(nomFichierEAN13ValmagUniq &amp; "!A" &amp; (T66+1) &amp; ":A" &amp;  (T66+10)),0)</f>
        <v>#N/A</v>
      </c>
      <c r="W66" s="51" t="e">
        <f t="shared" ref="W66" ca="1" si="229">V66+T66</f>
        <v>#N/A</v>
      </c>
      <c r="X66" s="49" t="str">
        <f ca="1">IFERROR(INDEX(INDIRECT(zoneFichierEAN13ValmagUniq),W66,2),"")</f>
        <v/>
      </c>
      <c r="Y66" s="52" t="e">
        <f ca="1">MATCH($S66,INDIRECT(nomFichierEAN13ValmagUniq &amp; "!A" &amp; (W66+1) &amp; ":A" &amp;  (W66+10)),0)</f>
        <v>#N/A</v>
      </c>
      <c r="Z66" s="51" t="e">
        <f t="shared" ref="Z66" ca="1" si="230">Y66+W66</f>
        <v>#N/A</v>
      </c>
      <c r="AA66" s="49" t="str">
        <f ca="1">IFERROR(INDEX(INDIRECT(zoneFichierEAN13ValmagUniq),Z66,2),"")</f>
        <v/>
      </c>
      <c r="AB66" s="53" t="str">
        <f t="shared" ref="AB66" ca="1" si="231">U66 &amp; IF(X66="","", " | " &amp; X66) &amp; IF(AA66="","", " | " &amp;AA66)</f>
        <v xml:space="preserve">MINICANVAS      </v>
      </c>
      <c r="AD66" s="55" t="e">
        <f ca="1">MATCH(B66,INDIRECT(nomFichierFiltreCatalogue &amp; "!B:B"),0)</f>
        <v>#N/A</v>
      </c>
      <c r="AE66" s="14"/>
    </row>
    <row r="67" spans="1:31" s="20" customFormat="1" ht="15.75" customHeight="1" x14ac:dyDescent="0.25">
      <c r="A67" s="25">
        <f ca="1">INDEX(INDIRECT(zoneFichierTraite),$J66+offsetInitialFichierTraite,2)</f>
        <v>16</v>
      </c>
      <c r="B67" s="58" t="str">
        <f ca="1">IFERROR(INDEX(INDIRECT(zoneFichierEAN13Valmag),$P66,3),"")</f>
        <v xml:space="preserve">MINICANVAS      </v>
      </c>
      <c r="C67" s="54" t="str">
        <f t="shared" ref="C67:C130" ca="1" si="232">AB66</f>
        <v xml:space="preserve">MINICANVAS      </v>
      </c>
      <c r="D67" s="19" t="str">
        <f ca="1">IFERROR(INDEX(INDIRECT(zoneFichierEAN13Valmag),$P66,4),"")</f>
        <v>FIORI</v>
      </c>
      <c r="E67" s="59" t="str">
        <f ca="1">IFERROR(INDEX(INDIRECT(zoneFichierFiltreCatalogue),AD66,3),"")</f>
        <v/>
      </c>
      <c r="F67" s="19"/>
      <c r="G67" s="18"/>
      <c r="H67" s="32" t="str">
        <f ca="1">IFERROR(INDEX(INDIRECT(zoneFichierFiltreCatalogue),AD66,6),"")</f>
        <v/>
      </c>
      <c r="T67" s="1"/>
      <c r="U67" s="21"/>
      <c r="V67" s="21"/>
      <c r="W67" s="21"/>
      <c r="X67" s="21"/>
      <c r="Y67" s="21"/>
      <c r="Z67" s="21"/>
      <c r="AA67" s="21"/>
      <c r="AB67" s="21"/>
      <c r="AC67" s="21"/>
      <c r="AD67" s="21"/>
    </row>
    <row r="68" spans="1:31" ht="39" customHeight="1" thickBot="1" x14ac:dyDescent="0.65">
      <c r="A68" s="9" t="str">
        <f ca="1">INDEX(INDIRECT(zoneFichierTraite),$J68+offsetInitialFichierTraite,6)</f>
        <v>UNICA</v>
      </c>
      <c r="B68" s="5" t="str">
        <f ca="1">INDEX(INDIRECT(zoneFichierTraite),$J68+offsetInitialFichierTraite,4)</f>
        <v>OBAGS502-TESX6-125</v>
      </c>
      <c r="C68" s="26" t="str">
        <f ca="1">INDEX(INDIRECT(zoneFichierTraite),$J68+offsetInitialFichierTraite,5)</f>
        <v>POCHETTE INTERIEURE OVER O BAG MINI EN TISSU IMPRIME TANGERINE</v>
      </c>
      <c r="D68" s="27" t="str">
        <f ca="1">INDEX(INDIRECT(zoneFichierTraite),$J68+offsetInitialFichierTraite,13)</f>
        <v>multicolor</v>
      </c>
      <c r="E68" s="30">
        <f ca="1">INDEX(INDIRECT(zoneFichierTraite),$J68+offsetInitialFichierTraite,7)</f>
        <v>1</v>
      </c>
      <c r="F68" s="28">
        <f ca="1">INDEX(INDIRECT(zoneFichierTraite),$J68+offsetInitialFichierTraite,8)</f>
        <v>15.56</v>
      </c>
      <c r="G68" s="29">
        <f t="shared" ref="G68:G131" ca="1" si="233">ROUNDUP(F68*3,0)</f>
        <v>47</v>
      </c>
      <c r="H68" s="31" t="str">
        <f ca="1">IF(ISNUMBER(N68),codeEAN13(INT(N68/10)),"")</f>
        <v>8APASOG*agcbai+</v>
      </c>
      <c r="I68" s="1" t="b">
        <f t="shared" ref="I68" ca="1" si="234">AND(A71&lt;&gt;0,A69=A71)</f>
        <v>0</v>
      </c>
      <c r="J68" s="15">
        <f t="shared" si="2"/>
        <v>30</v>
      </c>
      <c r="K68" s="1">
        <f t="shared" ref="K68:K131" ca="1" si="235">A69</f>
        <v>29</v>
      </c>
      <c r="L68" s="5" t="str">
        <f ca="1">INDEX(INDIRECT(zoneFichierTraite),$J68+offsetInitialFichierTraite,1)</f>
        <v>'030</v>
      </c>
      <c r="M68" s="11">
        <f ca="1">INDEX(INDIRECT(zoneFichierTraite),$J68+offsetInitialFichierTraite,9)</f>
        <v>15.56</v>
      </c>
      <c r="N68" s="14">
        <f ca="1">INDEX(INDIRECT(zoneFichierTraite),$J68+offsetInitialFichierTraite,3)</f>
        <v>8050846062108</v>
      </c>
      <c r="O68" s="14"/>
      <c r="P68" s="56">
        <f ca="1">MATCH(N68,INDIRECT(nomFichierEAN13Valmag &amp; "!A:A"),0)</f>
        <v>462</v>
      </c>
      <c r="Q68" s="57" t="e">
        <f ca="1">MATCH(U68,INDIRECT(nomFichierEAN13Valmag &amp; "!A:A"),0)</f>
        <v>#N/A</v>
      </c>
      <c r="S68" s="50" t="str">
        <f t="shared" ref="S68:S131" ca="1" si="236">LEFT(B68,14)</f>
        <v>OBAGS502-TESX6</v>
      </c>
      <c r="T68" s="52">
        <f ca="1">MATCH($S68,INDIRECT(nomFichierEAN13ValmagUniq &amp; "!A:A"),0)</f>
        <v>209</v>
      </c>
      <c r="U68" s="49" t="str">
        <f ca="1">IFERROR(INDEX(INDIRECT(zoneFichierEAN13ValmagUniq),T68,2),"")</f>
        <v xml:space="preserve">MINICANVAS      </v>
      </c>
      <c r="V68" s="52" t="e">
        <f ca="1">MATCH($S68,INDIRECT(nomFichierEAN13ValmagUniq &amp; "!A" &amp; (T68+1) &amp; ":A" &amp;  (T68+10)),0)</f>
        <v>#N/A</v>
      </c>
      <c r="W68" s="51" t="e">
        <f t="shared" ref="W68" ca="1" si="237">V68+T68</f>
        <v>#N/A</v>
      </c>
      <c r="X68" s="49" t="str">
        <f ca="1">IFERROR(INDEX(INDIRECT(zoneFichierEAN13ValmagUniq),W68,2),"")</f>
        <v/>
      </c>
      <c r="Y68" s="52" t="e">
        <f ca="1">MATCH($S68,INDIRECT(nomFichierEAN13ValmagUniq &amp; "!A" &amp; (W68+1) &amp; ":A" &amp;  (W68+10)),0)</f>
        <v>#N/A</v>
      </c>
      <c r="Z68" s="51" t="e">
        <f t="shared" ref="Z68" ca="1" si="238">Y68+W68</f>
        <v>#N/A</v>
      </c>
      <c r="AA68" s="49" t="str">
        <f ca="1">IFERROR(INDEX(INDIRECT(zoneFichierEAN13ValmagUniq),Z68,2),"")</f>
        <v/>
      </c>
      <c r="AB68" s="53" t="str">
        <f t="shared" ref="AB68" ca="1" si="239">U68 &amp; IF(X68="","", " | " &amp; X68) &amp; IF(AA68="","", " | " &amp;AA68)</f>
        <v xml:space="preserve">MINICANVAS      </v>
      </c>
      <c r="AD68" s="55" t="e">
        <f ca="1">MATCH(B68,INDIRECT(nomFichierFiltreCatalogue &amp; "!B:B"),0)</f>
        <v>#N/A</v>
      </c>
      <c r="AE68" s="14"/>
    </row>
    <row r="69" spans="1:31" s="20" customFormat="1" ht="15.75" customHeight="1" x14ac:dyDescent="0.25">
      <c r="A69" s="25">
        <f ca="1">INDEX(INDIRECT(zoneFichierTraite),$J68+offsetInitialFichierTraite,2)</f>
        <v>29</v>
      </c>
      <c r="B69" s="58" t="str">
        <f ca="1">IFERROR(INDEX(INDIRECT(zoneFichierEAN13Valmag),$P68,3),"")</f>
        <v xml:space="preserve">MINICANVAS      </v>
      </c>
      <c r="C69" s="54" t="str">
        <f t="shared" ref="C69:C132" ca="1" si="240">AB68</f>
        <v xml:space="preserve">MINICANVAS      </v>
      </c>
      <c r="D69" s="19" t="str">
        <f ca="1">IFERROR(INDEX(INDIRECT(zoneFichierEAN13Valmag),$P68,4),"")</f>
        <v>TANGE</v>
      </c>
      <c r="E69" s="59" t="str">
        <f ca="1">IFERROR(INDEX(INDIRECT(zoneFichierFiltreCatalogue),AD68,3),"")</f>
        <v/>
      </c>
      <c r="F69" s="19"/>
      <c r="G69" s="18"/>
      <c r="H69" s="32" t="str">
        <f ca="1">IFERROR(INDEX(INDIRECT(zoneFichierFiltreCatalogue),AD68,6),"")</f>
        <v/>
      </c>
      <c r="T69" s="1"/>
      <c r="U69" s="21"/>
      <c r="V69" s="21"/>
      <c r="W69" s="21"/>
      <c r="X69" s="21"/>
      <c r="Y69" s="21"/>
      <c r="Z69" s="21"/>
      <c r="AA69" s="21"/>
      <c r="AB69" s="21"/>
      <c r="AC69" s="21"/>
      <c r="AD69" s="21"/>
    </row>
    <row r="70" spans="1:31" ht="39" customHeight="1" thickBot="1" x14ac:dyDescent="0.65">
      <c r="A70" s="9" t="str">
        <f ca="1">INDEX(INDIRECT(zoneFichierTraite),$J70+offsetInitialFichierTraite,6)</f>
        <v>UNICA</v>
      </c>
      <c r="B70" s="5" t="str">
        <f ca="1">INDEX(INDIRECT(zoneFichierTraite),$J70+offsetInitialFichierTraite,4)</f>
        <v>OBAGS602-TESX5-590</v>
      </c>
      <c r="C70" s="26" t="str">
        <f ca="1">INDEX(INDIRECT(zoneFichierTraite),$J70+offsetInitialFichierTraite,5)</f>
        <v>POCHETTE INTERIEURE SWITCH O BAG MINI EN TISSU IMPRIME STONES</v>
      </c>
      <c r="D70" s="27" t="str">
        <f ca="1">INDEX(INDIRECT(zoneFichierTraite),$J70+offsetInitialFichierTraite,13)</f>
        <v>mattone/nero</v>
      </c>
      <c r="E70" s="30">
        <f ca="1">INDEX(INDIRECT(zoneFichierTraite),$J70+offsetInitialFichierTraite,7)</f>
        <v>1</v>
      </c>
      <c r="F70" s="28">
        <f ca="1">INDEX(INDIRECT(zoneFichierTraite),$J70+offsetInitialFichierTraite,8)</f>
        <v>11.85</v>
      </c>
      <c r="G70" s="29">
        <f t="shared" ref="G70:G133" ca="1" si="241">ROUNDUP(F70*3,0)</f>
        <v>36</v>
      </c>
      <c r="H70" s="31" t="str">
        <f ca="1">IF(ISNUMBER(N70),codeEAN13(INT(N70/10)),"")</f>
        <v>8APASOG*agccef+</v>
      </c>
      <c r="I70" s="1" t="b">
        <f t="shared" ref="I70" ca="1" si="242">AND(A73&lt;&gt;0,A71=A73)</f>
        <v>0</v>
      </c>
      <c r="J70" s="15">
        <f t="shared" si="2"/>
        <v>31</v>
      </c>
      <c r="K70" s="1">
        <f t="shared" ref="K70:K133" ca="1" si="243">A71</f>
        <v>11</v>
      </c>
      <c r="L70" s="5" t="str">
        <f ca="1">INDEX(INDIRECT(zoneFichierTraite),$J70+offsetInitialFichierTraite,1)</f>
        <v>'031</v>
      </c>
      <c r="M70" s="11">
        <f ca="1">INDEX(INDIRECT(zoneFichierTraite),$J70+offsetInitialFichierTraite,9)</f>
        <v>11.85</v>
      </c>
      <c r="N70" s="14">
        <f ca="1">INDEX(INDIRECT(zoneFichierTraite),$J70+offsetInitialFichierTraite,3)</f>
        <v>8050846062245</v>
      </c>
      <c r="O70" s="14"/>
      <c r="P70" s="56">
        <f ca="1">MATCH(N70,INDIRECT(nomFichierEAN13Valmag &amp; "!A:A"),0)</f>
        <v>475</v>
      </c>
      <c r="Q70" s="57" t="e">
        <f ca="1">MATCH(U70,INDIRECT(nomFichierEAN13Valmag &amp; "!A:A"),0)</f>
        <v>#N/A</v>
      </c>
      <c r="S70" s="50" t="str">
        <f t="shared" ref="S70:S133" ca="1" si="244">LEFT(B70,14)</f>
        <v>OBAGS602-TESX5</v>
      </c>
      <c r="T70" s="52">
        <f ca="1">MATCH($S70,INDIRECT(nomFichierEAN13ValmagUniq &amp; "!A:A"),0)</f>
        <v>230</v>
      </c>
      <c r="U70" s="49" t="str">
        <f ca="1">IFERROR(INDEX(INDIRECT(zoneFichierEAN13ValmagUniq),T70,2),"")</f>
        <v xml:space="preserve">MINICANVAS      </v>
      </c>
      <c r="V70" s="52" t="e">
        <f ca="1">MATCH($S70,INDIRECT(nomFichierEAN13ValmagUniq &amp; "!A" &amp; (T70+1) &amp; ":A" &amp;  (T70+10)),0)</f>
        <v>#N/A</v>
      </c>
      <c r="W70" s="51" t="e">
        <f t="shared" ref="W70" ca="1" si="245">V70+T70</f>
        <v>#N/A</v>
      </c>
      <c r="X70" s="49" t="str">
        <f ca="1">IFERROR(INDEX(INDIRECT(zoneFichierEAN13ValmagUniq),W70,2),"")</f>
        <v/>
      </c>
      <c r="Y70" s="52" t="e">
        <f ca="1">MATCH($S70,INDIRECT(nomFichierEAN13ValmagUniq &amp; "!A" &amp; (W70+1) &amp; ":A" &amp;  (W70+10)),0)</f>
        <v>#N/A</v>
      </c>
      <c r="Z70" s="51" t="e">
        <f t="shared" ref="Z70" ca="1" si="246">Y70+W70</f>
        <v>#N/A</v>
      </c>
      <c r="AA70" s="49" t="str">
        <f ca="1">IFERROR(INDEX(INDIRECT(zoneFichierEAN13ValmagUniq),Z70,2),"")</f>
        <v/>
      </c>
      <c r="AB70" s="53" t="str">
        <f t="shared" ref="AB70" ca="1" si="247">U70 &amp; IF(X70="","", " | " &amp; X70) &amp; IF(AA70="","", " | " &amp;AA70)</f>
        <v xml:space="preserve">MINICANVAS      </v>
      </c>
      <c r="AD70" s="55" t="e">
        <f ca="1">MATCH(B70,INDIRECT(nomFichierFiltreCatalogue &amp; "!B:B"),0)</f>
        <v>#N/A</v>
      </c>
      <c r="AE70" s="14"/>
    </row>
    <row r="71" spans="1:31" s="20" customFormat="1" ht="15.75" customHeight="1" x14ac:dyDescent="0.25">
      <c r="A71" s="25">
        <f ca="1">INDEX(INDIRECT(zoneFichierTraite),$J70+offsetInitialFichierTraite,2)</f>
        <v>11</v>
      </c>
      <c r="B71" s="58" t="str">
        <f ca="1">IFERROR(INDEX(INDIRECT(zoneFichierEAN13Valmag),$P70,3),"")</f>
        <v xml:space="preserve">MINICANVAS      </v>
      </c>
      <c r="C71" s="54" t="str">
        <f t="shared" ref="C71:C134" ca="1" si="248">AB70</f>
        <v xml:space="preserve">MINICANVAS      </v>
      </c>
      <c r="D71" s="19" t="str">
        <f ca="1">IFERROR(INDEX(INDIRECT(zoneFichierEAN13Valmag),$P70,4),"")</f>
        <v>STONE</v>
      </c>
      <c r="E71" s="59" t="str">
        <f ca="1">IFERROR(INDEX(INDIRECT(zoneFichierFiltreCatalogue),AD70,3),"")</f>
        <v/>
      </c>
      <c r="F71" s="19"/>
      <c r="G71" s="18"/>
      <c r="H71" s="32" t="str">
        <f ca="1">IFERROR(INDEX(INDIRECT(zoneFichierFiltreCatalogue),AD70,6),"")</f>
        <v/>
      </c>
      <c r="T71" s="1"/>
      <c r="U71" s="21"/>
      <c r="V71" s="21"/>
      <c r="W71" s="21"/>
      <c r="X71" s="21"/>
      <c r="Y71" s="21"/>
      <c r="Z71" s="21"/>
      <c r="AA71" s="21"/>
      <c r="AB71" s="21"/>
      <c r="AC71" s="21"/>
      <c r="AD71" s="21"/>
    </row>
    <row r="72" spans="1:31" ht="39" customHeight="1" thickBot="1" x14ac:dyDescent="0.65">
      <c r="A72" s="9" t="str">
        <f ca="1">INDEX(INDIRECT(zoneFichierTraite),$J72+offsetInitialFichierTraite,6)</f>
        <v>UNICA</v>
      </c>
      <c r="B72" s="5" t="str">
        <f ca="1">INDEX(INDIRECT(zoneFichierTraite),$J72+offsetInitialFichierTraite,4)</f>
        <v>OBAGS602-TESY2-075</v>
      </c>
      <c r="C72" s="26" t="str">
        <f ca="1">INDEX(INDIRECT(zoneFichierTraite),$J72+offsetInitialFichierTraite,5)</f>
        <v>POCHETTE INTERIEURE SWITCH O BAG MINI EN TISSU IMPRIME LEAVES</v>
      </c>
      <c r="D72" s="27" t="str">
        <f ca="1">INDEX(INDIRECT(zoneFichierTraite),$J72+offsetInitialFichierTraite,13)</f>
        <v>rosa smoke</v>
      </c>
      <c r="E72" s="30">
        <f ca="1">INDEX(INDIRECT(zoneFichierTraite),$J72+offsetInitialFichierTraite,7)</f>
        <v>1</v>
      </c>
      <c r="F72" s="28">
        <f ca="1">INDEX(INDIRECT(zoneFichierTraite),$J72+offsetInitialFichierTraite,8)</f>
        <v>11.85</v>
      </c>
      <c r="G72" s="29">
        <f t="shared" ref="G72:G135" ca="1" si="249">ROUNDUP(F72*3,0)</f>
        <v>36</v>
      </c>
      <c r="H72" s="31" t="str">
        <f ca="1">IF(ISNUMBER(N72),codeEAN13(INT(N72/10)),"")</f>
        <v>8APASOG*aghbba+</v>
      </c>
      <c r="I72" s="1" t="b">
        <f t="shared" ref="I72" ca="1" si="250">AND(A75&lt;&gt;0,A73=A75)</f>
        <v>0</v>
      </c>
      <c r="J72" s="15">
        <f t="shared" si="2"/>
        <v>32</v>
      </c>
      <c r="K72" s="1">
        <f t="shared" ref="K72:K135" ca="1" si="251">A73</f>
        <v>8</v>
      </c>
      <c r="L72" s="5" t="str">
        <f ca="1">INDEX(INDIRECT(zoneFichierTraite),$J72+offsetInitialFichierTraite,1)</f>
        <v>'032</v>
      </c>
      <c r="M72" s="11">
        <f ca="1">INDEX(INDIRECT(zoneFichierTraite),$J72+offsetInitialFichierTraite,9)</f>
        <v>11.85</v>
      </c>
      <c r="N72" s="14">
        <f ca="1">INDEX(INDIRECT(zoneFichierTraite),$J72+offsetInitialFichierTraite,3)</f>
        <v>8050846067110</v>
      </c>
      <c r="O72" s="14"/>
      <c r="P72" s="56">
        <f ca="1">MATCH(N72,INDIRECT(nomFichierEAN13Valmag &amp; "!A:A"),0)</f>
        <v>612</v>
      </c>
      <c r="Q72" s="57" t="e">
        <f ca="1">MATCH(U72,INDIRECT(nomFichierEAN13Valmag &amp; "!A:A"),0)</f>
        <v>#N/A</v>
      </c>
      <c r="S72" s="50" t="str">
        <f t="shared" ref="S72:S135" ca="1" si="252">LEFT(B72,14)</f>
        <v>OBAGS602-TESY2</v>
      </c>
      <c r="T72" s="52">
        <f ca="1">MATCH($S72,INDIRECT(nomFichierEAN13ValmagUniq &amp; "!A:A"),0)</f>
        <v>231</v>
      </c>
      <c r="U72" s="49" t="str">
        <f ca="1">IFERROR(INDEX(INDIRECT(zoneFichierEAN13ValmagUniq),T72,2),"")</f>
        <v xml:space="preserve">MINICANVAS      </v>
      </c>
      <c r="V72" s="52" t="e">
        <f ca="1">MATCH($S72,INDIRECT(nomFichierEAN13ValmagUniq &amp; "!A" &amp; (T72+1) &amp; ":A" &amp;  (T72+10)),0)</f>
        <v>#N/A</v>
      </c>
      <c r="W72" s="51" t="e">
        <f t="shared" ref="W72" ca="1" si="253">V72+T72</f>
        <v>#N/A</v>
      </c>
      <c r="X72" s="49" t="str">
        <f ca="1">IFERROR(INDEX(INDIRECT(zoneFichierEAN13ValmagUniq),W72,2),"")</f>
        <v/>
      </c>
      <c r="Y72" s="52" t="e">
        <f ca="1">MATCH($S72,INDIRECT(nomFichierEAN13ValmagUniq &amp; "!A" &amp; (W72+1) &amp; ":A" &amp;  (W72+10)),0)</f>
        <v>#N/A</v>
      </c>
      <c r="Z72" s="51" t="e">
        <f t="shared" ref="Z72" ca="1" si="254">Y72+W72</f>
        <v>#N/A</v>
      </c>
      <c r="AA72" s="49" t="str">
        <f ca="1">IFERROR(INDEX(INDIRECT(zoneFichierEAN13ValmagUniq),Z72,2),"")</f>
        <v/>
      </c>
      <c r="AB72" s="53" t="str">
        <f t="shared" ref="AB72" ca="1" si="255">U72 &amp; IF(X72="","", " | " &amp; X72) &amp; IF(AA72="","", " | " &amp;AA72)</f>
        <v xml:space="preserve">MINICANVAS      </v>
      </c>
      <c r="AD72" s="55" t="e">
        <f ca="1">MATCH(B72,INDIRECT(nomFichierFiltreCatalogue &amp; "!B:B"),0)</f>
        <v>#N/A</v>
      </c>
      <c r="AE72" s="14"/>
    </row>
    <row r="73" spans="1:31" s="20" customFormat="1" ht="15.75" customHeight="1" x14ac:dyDescent="0.25">
      <c r="A73" s="25">
        <f ca="1">INDEX(INDIRECT(zoneFichierTraite),$J72+offsetInitialFichierTraite,2)</f>
        <v>8</v>
      </c>
      <c r="B73" s="58" t="str">
        <f ca="1">IFERROR(INDEX(INDIRECT(zoneFichierEAN13Valmag),$P72,3),"")</f>
        <v xml:space="preserve">MINICANVAS      </v>
      </c>
      <c r="C73" s="54" t="str">
        <f t="shared" ref="C73:C136" ca="1" si="256">AB72</f>
        <v xml:space="preserve">MINICANVAS      </v>
      </c>
      <c r="D73" s="19" t="str">
        <f ca="1">IFERROR(INDEX(INDIRECT(zoneFichierEAN13Valmag),$P72,4),"")</f>
        <v>LEAVE</v>
      </c>
      <c r="E73" s="59" t="str">
        <f ca="1">IFERROR(INDEX(INDIRECT(zoneFichierFiltreCatalogue),AD72,3),"")</f>
        <v/>
      </c>
      <c r="F73" s="19"/>
      <c r="G73" s="18"/>
      <c r="H73" s="32" t="str">
        <f ca="1">IFERROR(INDEX(INDIRECT(zoneFichierFiltreCatalogue),AD72,6),"")</f>
        <v/>
      </c>
      <c r="T73" s="1"/>
      <c r="U73" s="21"/>
      <c r="V73" s="21"/>
      <c r="W73" s="21"/>
      <c r="X73" s="21"/>
      <c r="Y73" s="21"/>
      <c r="Z73" s="21"/>
      <c r="AA73" s="21"/>
      <c r="AB73" s="21"/>
      <c r="AC73" s="21"/>
      <c r="AD73" s="21"/>
    </row>
    <row r="74" spans="1:31" ht="39" customHeight="1" thickBot="1" x14ac:dyDescent="0.65">
      <c r="A74" s="9" t="str">
        <f ca="1">INDEX(INDIRECT(zoneFichierTraite),$J74+offsetInitialFichierTraite,6)</f>
        <v>UNICA</v>
      </c>
      <c r="B74" s="5" t="str">
        <f ca="1">INDEX(INDIRECT(zoneFichierTraite),$J74+offsetInitialFichierTraite,4)</f>
        <v>OBAGS646-TESX5-590</v>
      </c>
      <c r="C74" s="26" t="str">
        <f ca="1">INDEX(INDIRECT(zoneFichierTraite),$J74+offsetInitialFichierTraite,5)</f>
        <v>POCHETTE INTERIEURE SWITCH O BAG REVERSE EN TISSU IMPRIME STONES</v>
      </c>
      <c r="D74" s="27" t="str">
        <f ca="1">INDEX(INDIRECT(zoneFichierTraite),$J74+offsetInitialFichierTraite,13)</f>
        <v>mattone/nero</v>
      </c>
      <c r="E74" s="30">
        <f ca="1">INDEX(INDIRECT(zoneFichierTraite),$J74+offsetInitialFichierTraite,7)</f>
        <v>1</v>
      </c>
      <c r="F74" s="28">
        <f ca="1">INDEX(INDIRECT(zoneFichierTraite),$J74+offsetInitialFichierTraite,8)</f>
        <v>11.85</v>
      </c>
      <c r="G74" s="29">
        <f t="shared" ref="G74:G137" ca="1" si="257">ROUNDUP(F74*3,0)</f>
        <v>36</v>
      </c>
      <c r="H74" s="31" t="str">
        <f ca="1">IF(ISNUMBER(N74),codeEAN13(INT(N74/10)),"")</f>
        <v>8APASOG*agcdbd+</v>
      </c>
      <c r="I74" s="1" t="b">
        <f t="shared" ref="I74" ca="1" si="258">AND(A77&lt;&gt;0,A75=A77)</f>
        <v>0</v>
      </c>
      <c r="J74" s="15">
        <f t="shared" ref="J74:J136" si="259">J72+1</f>
        <v>33</v>
      </c>
      <c r="K74" s="1">
        <f t="shared" ref="K74:K137" ca="1" si="260">A75</f>
        <v>5</v>
      </c>
      <c r="L74" s="5" t="str">
        <f ca="1">INDEX(INDIRECT(zoneFichierTraite),$J74+offsetInitialFichierTraite,1)</f>
        <v>'033</v>
      </c>
      <c r="M74" s="11">
        <f ca="1">INDEX(INDIRECT(zoneFichierTraite),$J74+offsetInitialFichierTraite,9)</f>
        <v>11.85</v>
      </c>
      <c r="N74" s="14">
        <f ca="1">INDEX(INDIRECT(zoneFichierTraite),$J74+offsetInitialFichierTraite,3)</f>
        <v>8050846062313</v>
      </c>
      <c r="O74" s="14"/>
      <c r="P74" s="56">
        <f ca="1">MATCH(N74,INDIRECT(nomFichierEAN13Valmag &amp; "!A:A"),0)</f>
        <v>482</v>
      </c>
      <c r="Q74" s="57" t="e">
        <f ca="1">MATCH(U74,INDIRECT(nomFichierEAN13Valmag &amp; "!A:A"),0)</f>
        <v>#N/A</v>
      </c>
      <c r="S74" s="50" t="str">
        <f t="shared" ref="S74:S137" ca="1" si="261">LEFT(B74,14)</f>
        <v>OBAGS646-TESX5</v>
      </c>
      <c r="T74" s="52">
        <f ca="1">MATCH($S74,INDIRECT(nomFichierEAN13ValmagUniq &amp; "!A:A"),0)</f>
        <v>259</v>
      </c>
      <c r="U74" s="49" t="str">
        <f ca="1">IFERROR(INDEX(INDIRECT(zoneFichierEAN13ValmagUniq),T74,2),"")</f>
        <v xml:space="preserve">CANOREVERSE     </v>
      </c>
      <c r="V74" s="52" t="e">
        <f ca="1">MATCH($S74,INDIRECT(nomFichierEAN13ValmagUniq &amp; "!A" &amp; (T74+1) &amp; ":A" &amp;  (T74+10)),0)</f>
        <v>#N/A</v>
      </c>
      <c r="W74" s="51" t="e">
        <f t="shared" ref="W74" ca="1" si="262">V74+T74</f>
        <v>#N/A</v>
      </c>
      <c r="X74" s="49" t="str">
        <f ca="1">IFERROR(INDEX(INDIRECT(zoneFichierEAN13ValmagUniq),W74,2),"")</f>
        <v/>
      </c>
      <c r="Y74" s="52" t="e">
        <f ca="1">MATCH($S74,INDIRECT(nomFichierEAN13ValmagUniq &amp; "!A" &amp; (W74+1) &amp; ":A" &amp;  (W74+10)),0)</f>
        <v>#N/A</v>
      </c>
      <c r="Z74" s="51" t="e">
        <f t="shared" ref="Z74" ca="1" si="263">Y74+W74</f>
        <v>#N/A</v>
      </c>
      <c r="AA74" s="49" t="str">
        <f ca="1">IFERROR(INDEX(INDIRECT(zoneFichierEAN13ValmagUniq),Z74,2),"")</f>
        <v/>
      </c>
      <c r="AB74" s="53" t="str">
        <f t="shared" ref="AB74" ca="1" si="264">U74 &amp; IF(X74="","", " | " &amp; X74) &amp; IF(AA74="","", " | " &amp;AA74)</f>
        <v xml:space="preserve">CANOREVERSE     </v>
      </c>
      <c r="AD74" s="55" t="e">
        <f ca="1">MATCH(B74,INDIRECT(nomFichierFiltreCatalogue &amp; "!B:B"),0)</f>
        <v>#N/A</v>
      </c>
      <c r="AE74" s="14"/>
    </row>
    <row r="75" spans="1:31" s="20" customFormat="1" ht="15.75" customHeight="1" x14ac:dyDescent="0.25">
      <c r="A75" s="25">
        <f ca="1">INDEX(INDIRECT(zoneFichierTraite),$J74+offsetInitialFichierTraite,2)</f>
        <v>5</v>
      </c>
      <c r="B75" s="58" t="str">
        <f ca="1">IFERROR(INDEX(INDIRECT(zoneFichierEAN13Valmag),$P74,3),"")</f>
        <v xml:space="preserve">CANOREVERSE     </v>
      </c>
      <c r="C75" s="54" t="str">
        <f t="shared" ref="C75:C138" ca="1" si="265">AB74</f>
        <v xml:space="preserve">CANOREVERSE     </v>
      </c>
      <c r="D75" s="19" t="str">
        <f ca="1">IFERROR(INDEX(INDIRECT(zoneFichierEAN13Valmag),$P74,4),"")</f>
        <v>STONE</v>
      </c>
      <c r="E75" s="59" t="str">
        <f ca="1">IFERROR(INDEX(INDIRECT(zoneFichierFiltreCatalogue),AD74,3),"")</f>
        <v/>
      </c>
      <c r="F75" s="19"/>
      <c r="G75" s="18"/>
      <c r="H75" s="32" t="str">
        <f ca="1">IFERROR(INDEX(INDIRECT(zoneFichierFiltreCatalogue),AD74,6),"")</f>
        <v/>
      </c>
      <c r="T75" s="1"/>
      <c r="U75" s="21"/>
      <c r="V75" s="21"/>
      <c r="W75" s="21"/>
      <c r="X75" s="21"/>
      <c r="Y75" s="21"/>
      <c r="Z75" s="21"/>
      <c r="AA75" s="21"/>
      <c r="AB75" s="21"/>
      <c r="AC75" s="21"/>
      <c r="AD75" s="21"/>
    </row>
    <row r="76" spans="1:31" ht="39" customHeight="1" thickBot="1" x14ac:dyDescent="0.65">
      <c r="A76" s="9" t="str">
        <f ca="1">INDEX(INDIRECT(zoneFichierTraite),$J76+offsetInitialFichierTraite,6)</f>
        <v>UNICA</v>
      </c>
      <c r="B76" s="5" t="str">
        <f ca="1">INDEX(INDIRECT(zoneFichierTraite),$J76+offsetInitialFichierTraite,4)</f>
        <v>OBAGT001-TESX6-125</v>
      </c>
      <c r="C76" s="26" t="str">
        <f ca="1">INDEX(INDIRECT(zoneFichierTraite),$J76+offsetInitialFichierTraite,5)</f>
        <v>REVERS O BAG EN TISSU IMPRIME TANGERINE</v>
      </c>
      <c r="D76" s="27" t="str">
        <f ca="1">INDEX(INDIRECT(zoneFichierTraite),$J76+offsetInitialFichierTraite,13)</f>
        <v>multicolor</v>
      </c>
      <c r="E76" s="30">
        <f ca="1">INDEX(INDIRECT(zoneFichierTraite),$J76+offsetInitialFichierTraite,7)</f>
        <v>1</v>
      </c>
      <c r="F76" s="28">
        <f ca="1">INDEX(INDIRECT(zoneFichierTraite),$J76+offsetInitialFichierTraite,8)</f>
        <v>15.56</v>
      </c>
      <c r="G76" s="29">
        <f t="shared" ref="G76:G139" ca="1" si="266">ROUNDUP(F76*3,0)</f>
        <v>47</v>
      </c>
      <c r="H76" s="31" t="str">
        <f ca="1">IF(ISNUMBER(N76),codeEAN13(INT(N76/10)),"")</f>
        <v>8APASOG*aghaec+</v>
      </c>
      <c r="I76" s="1" t="b">
        <f t="shared" ref="I76" ca="1" si="267">AND(A79&lt;&gt;0,A77=A79)</f>
        <v>0</v>
      </c>
      <c r="J76" s="15">
        <f t="shared" si="259"/>
        <v>34</v>
      </c>
      <c r="K76" s="1">
        <f t="shared" ref="K76:K139" ca="1" si="268">A77</f>
        <v>33</v>
      </c>
      <c r="L76" s="5" t="str">
        <f ca="1">INDEX(INDIRECT(zoneFichierTraite),$J76+offsetInitialFichierTraite,1)</f>
        <v>'034</v>
      </c>
      <c r="M76" s="11">
        <f ca="1">INDEX(INDIRECT(zoneFichierTraite),$J76+offsetInitialFichierTraite,9)</f>
        <v>15.56</v>
      </c>
      <c r="N76" s="14">
        <f ca="1">INDEX(INDIRECT(zoneFichierTraite),$J76+offsetInitialFichierTraite,3)</f>
        <v>8050846067042</v>
      </c>
      <c r="O76" s="14"/>
      <c r="P76" s="56">
        <f ca="1">MATCH(N76,INDIRECT(nomFichierEAN13Valmag &amp; "!A:A"),0)</f>
        <v>605</v>
      </c>
      <c r="Q76" s="57" t="e">
        <f ca="1">MATCH(U76,INDIRECT(nomFichierEAN13Valmag &amp; "!A:A"),0)</f>
        <v>#N/A</v>
      </c>
      <c r="S76" s="50" t="str">
        <f t="shared" ref="S76:S139" ca="1" si="269">LEFT(B76,14)</f>
        <v>OBAGT001-TESX6</v>
      </c>
      <c r="T76" s="52">
        <f ca="1">MATCH($S76,INDIRECT(nomFichierEAN13ValmagUniq &amp; "!A:A"),0)</f>
        <v>295</v>
      </c>
      <c r="U76" s="49" t="str">
        <f ca="1">IFERROR(INDEX(INDIRECT(zoneFichierEAN13ValmagUniq),T76,2),"")</f>
        <v xml:space="preserve">BORDURES        </v>
      </c>
      <c r="V76" s="52" t="e">
        <f ca="1">MATCH($S76,INDIRECT(nomFichierEAN13ValmagUniq &amp; "!A" &amp; (T76+1) &amp; ":A" &amp;  (T76+10)),0)</f>
        <v>#N/A</v>
      </c>
      <c r="W76" s="51" t="e">
        <f t="shared" ref="W76" ca="1" si="270">V76+T76</f>
        <v>#N/A</v>
      </c>
      <c r="X76" s="49" t="str">
        <f ca="1">IFERROR(INDEX(INDIRECT(zoneFichierEAN13ValmagUniq),W76,2),"")</f>
        <v/>
      </c>
      <c r="Y76" s="52" t="e">
        <f ca="1">MATCH($S76,INDIRECT(nomFichierEAN13ValmagUniq &amp; "!A" &amp; (W76+1) &amp; ":A" &amp;  (W76+10)),0)</f>
        <v>#N/A</v>
      </c>
      <c r="Z76" s="51" t="e">
        <f t="shared" ref="Z76" ca="1" si="271">Y76+W76</f>
        <v>#N/A</v>
      </c>
      <c r="AA76" s="49" t="str">
        <f ca="1">IFERROR(INDEX(INDIRECT(zoneFichierEAN13ValmagUniq),Z76,2),"")</f>
        <v/>
      </c>
      <c r="AB76" s="53" t="str">
        <f t="shared" ref="AB76" ca="1" si="272">U76 &amp; IF(X76="","", " | " &amp; X76) &amp; IF(AA76="","", " | " &amp;AA76)</f>
        <v xml:space="preserve">BORDURES        </v>
      </c>
      <c r="AD76" s="55" t="e">
        <f ca="1">MATCH(B76,INDIRECT(nomFichierFiltreCatalogue &amp; "!B:B"),0)</f>
        <v>#N/A</v>
      </c>
      <c r="AE76" s="14"/>
    </row>
    <row r="77" spans="1:31" s="20" customFormat="1" ht="15.75" customHeight="1" x14ac:dyDescent="0.25">
      <c r="A77" s="25">
        <f ca="1">INDEX(INDIRECT(zoneFichierTraite),$J76+offsetInitialFichierTraite,2)</f>
        <v>33</v>
      </c>
      <c r="B77" s="58" t="str">
        <f ca="1">IFERROR(INDEX(INDIRECT(zoneFichierEAN13Valmag),$P76,3),"")</f>
        <v xml:space="preserve">BORDURES        </v>
      </c>
      <c r="C77" s="54" t="str">
        <f t="shared" ref="C77:C140" ca="1" si="273">AB76</f>
        <v xml:space="preserve">BORDURES        </v>
      </c>
      <c r="D77" s="19" t="str">
        <f ca="1">IFERROR(INDEX(INDIRECT(zoneFichierEAN13Valmag),$P76,4),"")</f>
        <v>TANGE</v>
      </c>
      <c r="E77" s="59" t="str">
        <f ca="1">IFERROR(INDEX(INDIRECT(zoneFichierFiltreCatalogue),AD76,3),"")</f>
        <v/>
      </c>
      <c r="F77" s="19"/>
      <c r="G77" s="18"/>
      <c r="H77" s="32" t="str">
        <f ca="1">IFERROR(INDEX(INDIRECT(zoneFichierFiltreCatalogue),AD76,6),"")</f>
        <v/>
      </c>
      <c r="T77" s="1"/>
      <c r="U77" s="21"/>
      <c r="V77" s="21"/>
      <c r="W77" s="21"/>
      <c r="X77" s="21"/>
      <c r="Y77" s="21"/>
      <c r="Z77" s="21"/>
      <c r="AA77" s="21"/>
      <c r="AB77" s="21"/>
      <c r="AC77" s="21"/>
      <c r="AD77" s="21"/>
    </row>
    <row r="78" spans="1:31" ht="39" customHeight="1" thickBot="1" x14ac:dyDescent="0.65">
      <c r="A78" s="9" t="str">
        <f ca="1">INDEX(INDIRECT(zoneFichierTraite),$J78+offsetInitialFichierTraite,6)</f>
        <v>UNICA</v>
      </c>
      <c r="B78" s="5" t="str">
        <f ca="1">INDEX(INDIRECT(zoneFichierTraite),$J78+offsetInitialFichierTraite,4)</f>
        <v>OBAGT001-TESY2-075</v>
      </c>
      <c r="C78" s="26" t="str">
        <f ca="1">INDEX(INDIRECT(zoneFichierTraite),$J78+offsetInitialFichierTraite,5)</f>
        <v>REVERS O BAG EN TISSU IMPRIME LEAVES</v>
      </c>
      <c r="D78" s="27" t="str">
        <f ca="1">INDEX(INDIRECT(zoneFichierTraite),$J78+offsetInitialFichierTraite,13)</f>
        <v>rosa smoke</v>
      </c>
      <c r="E78" s="30">
        <f ca="1">INDEX(INDIRECT(zoneFichierTraite),$J78+offsetInitialFichierTraite,7)</f>
        <v>1</v>
      </c>
      <c r="F78" s="28">
        <f ca="1">INDEX(INDIRECT(zoneFichierTraite),$J78+offsetInitialFichierTraite,8)</f>
        <v>11.85</v>
      </c>
      <c r="G78" s="29">
        <f t="shared" ref="G78:G141" ca="1" si="274">ROUNDUP(F78*3,0)</f>
        <v>36</v>
      </c>
      <c r="H78" s="31" t="str">
        <f ca="1">IF(ISNUMBER(N78),codeEAN13(INT(N78/10)),"")</f>
        <v>8APASOG*aghaia+</v>
      </c>
      <c r="I78" s="1" t="b">
        <f t="shared" ref="I78" ca="1" si="275">AND(A81&lt;&gt;0,A79=A81)</f>
        <v>0</v>
      </c>
      <c r="J78" s="15">
        <f t="shared" si="259"/>
        <v>35</v>
      </c>
      <c r="K78" s="1">
        <f t="shared" ref="K78:K141" ca="1" si="276">A79</f>
        <v>17</v>
      </c>
      <c r="L78" s="5" t="str">
        <f ca="1">INDEX(INDIRECT(zoneFichierTraite),$J78+offsetInitialFichierTraite,1)</f>
        <v>'035</v>
      </c>
      <c r="M78" s="11">
        <f ca="1">INDEX(INDIRECT(zoneFichierTraite),$J78+offsetInitialFichierTraite,9)</f>
        <v>11.85</v>
      </c>
      <c r="N78" s="14">
        <f ca="1">INDEX(INDIRECT(zoneFichierTraite),$J78+offsetInitialFichierTraite,3)</f>
        <v>8050846067080</v>
      </c>
      <c r="O78" s="14"/>
      <c r="P78" s="56">
        <f ca="1">MATCH(N78,INDIRECT(nomFichierEAN13Valmag &amp; "!A:A"),0)</f>
        <v>609</v>
      </c>
      <c r="Q78" s="57" t="e">
        <f ca="1">MATCH(U78,INDIRECT(nomFichierEAN13Valmag &amp; "!A:A"),0)</f>
        <v>#N/A</v>
      </c>
      <c r="S78" s="50" t="str">
        <f t="shared" ref="S78:S141" ca="1" si="277">LEFT(B78,14)</f>
        <v>OBAGT001-TESY2</v>
      </c>
      <c r="T78" s="52">
        <f ca="1">MATCH($S78,INDIRECT(nomFichierEAN13ValmagUniq &amp; "!A:A"),0)</f>
        <v>296</v>
      </c>
      <c r="U78" s="49" t="str">
        <f ca="1">IFERROR(INDEX(INDIRECT(zoneFichierEAN13ValmagUniq),T78,2),"")</f>
        <v xml:space="preserve">BORDURES        </v>
      </c>
      <c r="V78" s="52" t="e">
        <f ca="1">MATCH($S78,INDIRECT(nomFichierEAN13ValmagUniq &amp; "!A" &amp; (T78+1) &amp; ":A" &amp;  (T78+10)),0)</f>
        <v>#N/A</v>
      </c>
      <c r="W78" s="51" t="e">
        <f t="shared" ref="W78" ca="1" si="278">V78+T78</f>
        <v>#N/A</v>
      </c>
      <c r="X78" s="49" t="str">
        <f ca="1">IFERROR(INDEX(INDIRECT(zoneFichierEAN13ValmagUniq),W78,2),"")</f>
        <v/>
      </c>
      <c r="Y78" s="52" t="e">
        <f ca="1">MATCH($S78,INDIRECT(nomFichierEAN13ValmagUniq &amp; "!A" &amp; (W78+1) &amp; ":A" &amp;  (W78+10)),0)</f>
        <v>#N/A</v>
      </c>
      <c r="Z78" s="51" t="e">
        <f t="shared" ref="Z78" ca="1" si="279">Y78+W78</f>
        <v>#N/A</v>
      </c>
      <c r="AA78" s="49" t="str">
        <f ca="1">IFERROR(INDEX(INDIRECT(zoneFichierEAN13ValmagUniq),Z78,2),"")</f>
        <v/>
      </c>
      <c r="AB78" s="53" t="str">
        <f t="shared" ref="AB78" ca="1" si="280">U78 &amp; IF(X78="","", " | " &amp; X78) &amp; IF(AA78="","", " | " &amp;AA78)</f>
        <v xml:space="preserve">BORDURES        </v>
      </c>
      <c r="AD78" s="55" t="e">
        <f ca="1">MATCH(B78,INDIRECT(nomFichierFiltreCatalogue &amp; "!B:B"),0)</f>
        <v>#N/A</v>
      </c>
      <c r="AE78" s="14"/>
    </row>
    <row r="79" spans="1:31" s="20" customFormat="1" ht="15.75" customHeight="1" x14ac:dyDescent="0.25">
      <c r="A79" s="25">
        <f ca="1">INDEX(INDIRECT(zoneFichierTraite),$J78+offsetInitialFichierTraite,2)</f>
        <v>17</v>
      </c>
      <c r="B79" s="58" t="str">
        <f ca="1">IFERROR(INDEX(INDIRECT(zoneFichierEAN13Valmag),$P78,3),"")</f>
        <v xml:space="preserve">BORDURES        </v>
      </c>
      <c r="C79" s="54" t="str">
        <f t="shared" ref="C79:C142" ca="1" si="281">AB78</f>
        <v xml:space="preserve">BORDURES        </v>
      </c>
      <c r="D79" s="19" t="str">
        <f ca="1">IFERROR(INDEX(INDIRECT(zoneFichierEAN13Valmag),$P78,4),"")</f>
        <v>LEAVE</v>
      </c>
      <c r="E79" s="59" t="str">
        <f ca="1">IFERROR(INDEX(INDIRECT(zoneFichierFiltreCatalogue),AD78,3),"")</f>
        <v/>
      </c>
      <c r="F79" s="19"/>
      <c r="G79" s="18"/>
      <c r="H79" s="32" t="str">
        <f ca="1">IFERROR(INDEX(INDIRECT(zoneFichierFiltreCatalogue),AD78,6),"")</f>
        <v/>
      </c>
      <c r="T79" s="1"/>
      <c r="U79" s="21"/>
      <c r="V79" s="21"/>
      <c r="W79" s="21"/>
      <c r="X79" s="21"/>
      <c r="Y79" s="21"/>
      <c r="Z79" s="21"/>
      <c r="AA79" s="21"/>
      <c r="AB79" s="21"/>
      <c r="AC79" s="21"/>
      <c r="AD79" s="21"/>
    </row>
    <row r="80" spans="1:31" ht="39" customHeight="1" thickBot="1" x14ac:dyDescent="0.65">
      <c r="A80" s="9" t="str">
        <f ca="1">INDEX(INDIRECT(zoneFichierTraite),$J80+offsetInitialFichierTraite,6)</f>
        <v>UNICA</v>
      </c>
      <c r="B80" s="5" t="str">
        <f ca="1">INDEX(INDIRECT(zoneFichierTraite),$J80+offsetInitialFichierTraite,4)</f>
        <v>OBAGT002-TESY2-075</v>
      </c>
      <c r="C80" s="26" t="str">
        <f ca="1">INDEX(INDIRECT(zoneFichierTraite),$J80+offsetInitialFichierTraite,5)</f>
        <v>REVERS O BAG MINI EN TISSU IMPRIME LEAVES</v>
      </c>
      <c r="D80" s="27" t="str">
        <f ca="1">INDEX(INDIRECT(zoneFichierTraite),$J80+offsetInitialFichierTraite,13)</f>
        <v>rosa smoke</v>
      </c>
      <c r="E80" s="30">
        <f ca="1">INDEX(INDIRECT(zoneFichierTraite),$J80+offsetInitialFichierTraite,7)</f>
        <v>3</v>
      </c>
      <c r="F80" s="28">
        <f ca="1">INDEX(INDIRECT(zoneFichierTraite),$J80+offsetInitialFichierTraite,8)</f>
        <v>11.85</v>
      </c>
      <c r="G80" s="29">
        <f t="shared" ref="G80:G143" ca="1" si="282">ROUNDUP(F80*3,0)</f>
        <v>36</v>
      </c>
      <c r="H80" s="31" t="str">
        <f ca="1">IF(ISNUMBER(N80),codeEAN13(INT(N80/10)),"")</f>
        <v>8APASOG*aghajh+</v>
      </c>
      <c r="I80" s="1" t="b">
        <f t="shared" ref="I80" ca="1" si="283">AND(A83&lt;&gt;0,A81=A83)</f>
        <v>0</v>
      </c>
      <c r="J80" s="15">
        <f t="shared" si="259"/>
        <v>36</v>
      </c>
      <c r="K80" s="1">
        <f t="shared" ref="K80:K143" ca="1" si="284">A81</f>
        <v>30</v>
      </c>
      <c r="L80" s="5" t="str">
        <f ca="1">INDEX(INDIRECT(zoneFichierTraite),$J80+offsetInitialFichierTraite,1)</f>
        <v>'036</v>
      </c>
      <c r="M80" s="11">
        <f ca="1">INDEX(INDIRECT(zoneFichierTraite),$J80+offsetInitialFichierTraite,9)</f>
        <v>35.549999999999997</v>
      </c>
      <c r="N80" s="14">
        <f ca="1">INDEX(INDIRECT(zoneFichierTraite),$J80+offsetInitialFichierTraite,3)</f>
        <v>8050846067097</v>
      </c>
      <c r="O80" s="14"/>
      <c r="P80" s="56">
        <f ca="1">MATCH(N80,INDIRECT(nomFichierEAN13Valmag &amp; "!A:A"),0)</f>
        <v>610</v>
      </c>
      <c r="Q80" s="57" t="e">
        <f ca="1">MATCH(U80,INDIRECT(nomFichierEAN13Valmag &amp; "!A:A"),0)</f>
        <v>#N/A</v>
      </c>
      <c r="S80" s="50" t="str">
        <f t="shared" ref="S80:S143" ca="1" si="285">LEFT(B80,14)</f>
        <v>OBAGT002-TESY2</v>
      </c>
      <c r="T80" s="52">
        <f ca="1">MATCH($S80,INDIRECT(nomFichierEAN13ValmagUniq &amp; "!A:A"),0)</f>
        <v>324</v>
      </c>
      <c r="U80" s="49" t="str">
        <f ca="1">IFERROR(INDEX(INDIRECT(zoneFichierEAN13ValmagUniq),T80,2),"")</f>
        <v xml:space="preserve">MINIBOR         </v>
      </c>
      <c r="V80" s="52" t="e">
        <f ca="1">MATCH($S80,INDIRECT(nomFichierEAN13ValmagUniq &amp; "!A" &amp; (T80+1) &amp; ":A" &amp;  (T80+10)),0)</f>
        <v>#N/A</v>
      </c>
      <c r="W80" s="51" t="e">
        <f t="shared" ref="W80" ca="1" si="286">V80+T80</f>
        <v>#N/A</v>
      </c>
      <c r="X80" s="49" t="str">
        <f ca="1">IFERROR(INDEX(INDIRECT(zoneFichierEAN13ValmagUniq),W80,2),"")</f>
        <v/>
      </c>
      <c r="Y80" s="52" t="e">
        <f ca="1">MATCH($S80,INDIRECT(nomFichierEAN13ValmagUniq &amp; "!A" &amp; (W80+1) &amp; ":A" &amp;  (W80+10)),0)</f>
        <v>#N/A</v>
      </c>
      <c r="Z80" s="51" t="e">
        <f t="shared" ref="Z80" ca="1" si="287">Y80+W80</f>
        <v>#N/A</v>
      </c>
      <c r="AA80" s="49" t="str">
        <f ca="1">IFERROR(INDEX(INDIRECT(zoneFichierEAN13ValmagUniq),Z80,2),"")</f>
        <v/>
      </c>
      <c r="AB80" s="53" t="str">
        <f t="shared" ref="AB80" ca="1" si="288">U80 &amp; IF(X80="","", " | " &amp; X80) &amp; IF(AA80="","", " | " &amp;AA80)</f>
        <v xml:space="preserve">MINIBOR         </v>
      </c>
      <c r="AD80" s="55" t="e">
        <f ca="1">MATCH(B80,INDIRECT(nomFichierFiltreCatalogue &amp; "!B:B"),0)</f>
        <v>#N/A</v>
      </c>
      <c r="AE80" s="14"/>
    </row>
    <row r="81" spans="1:31" s="20" customFormat="1" ht="15.75" customHeight="1" x14ac:dyDescent="0.25">
      <c r="A81" s="25">
        <f ca="1">INDEX(INDIRECT(zoneFichierTraite),$J80+offsetInitialFichierTraite,2)</f>
        <v>30</v>
      </c>
      <c r="B81" s="58" t="str">
        <f ca="1">IFERROR(INDEX(INDIRECT(zoneFichierEAN13Valmag),$P80,3),"")</f>
        <v xml:space="preserve">MINIBOR         </v>
      </c>
      <c r="C81" s="54" t="str">
        <f t="shared" ref="C81:C144" ca="1" si="289">AB80</f>
        <v xml:space="preserve">MINIBOR         </v>
      </c>
      <c r="D81" s="19" t="str">
        <f ca="1">IFERROR(INDEX(INDIRECT(zoneFichierEAN13Valmag),$P80,4),"")</f>
        <v>LEAVE</v>
      </c>
      <c r="E81" s="59" t="str">
        <f ca="1">IFERROR(INDEX(INDIRECT(zoneFichierFiltreCatalogue),AD80,3),"")</f>
        <v/>
      </c>
      <c r="F81" s="19"/>
      <c r="G81" s="18"/>
      <c r="H81" s="32" t="str">
        <f ca="1">IFERROR(INDEX(INDIRECT(zoneFichierFiltreCatalogue),AD80,6),"")</f>
        <v/>
      </c>
      <c r="T81" s="1"/>
      <c r="U81" s="21"/>
      <c r="V81" s="21"/>
      <c r="W81" s="21"/>
      <c r="X81" s="21"/>
      <c r="Y81" s="21"/>
      <c r="Z81" s="21"/>
      <c r="AA81" s="21"/>
      <c r="AB81" s="21"/>
      <c r="AC81" s="21"/>
      <c r="AD81" s="21"/>
    </row>
    <row r="82" spans="1:31" ht="39" customHeight="1" thickBot="1" x14ac:dyDescent="0.65">
      <c r="A82" s="9" t="str">
        <f ca="1">INDEX(INDIRECT(zoneFichierTraite),$J82+offsetInitialFichierTraite,6)</f>
        <v>UNICA</v>
      </c>
      <c r="B82" s="5" t="str">
        <f ca="1">INDEX(INDIRECT(zoneFichierTraite),$J82+offsetInitialFichierTraite,4)</f>
        <v>OCLKD001-MESC5-599</v>
      </c>
      <c r="C82" s="26" t="str">
        <f ca="1">INDEX(INDIRECT(zoneFichierTraite),$J82+offsetInitialFichierTraite,5)</f>
        <v>O CLOCK MECANISME CRYSTAL FLOWER</v>
      </c>
      <c r="D82" s="27" t="str">
        <f ca="1">INDEX(INDIRECT(zoneFichierTraite),$J82+offsetInitialFichierTraite,13)</f>
        <v>pesca</v>
      </c>
      <c r="E82" s="30">
        <f ca="1">INDEX(INDIRECT(zoneFichierTraite),$J82+offsetInitialFichierTraite,7)</f>
        <v>2</v>
      </c>
      <c r="F82" s="28">
        <f ca="1">INDEX(INDIRECT(zoneFichierTraite),$J82+offsetInitialFichierTraite,8)</f>
        <v>10</v>
      </c>
      <c r="G82" s="29">
        <f t="shared" ref="G82:G145" ca="1" si="290">ROUNDUP(F82*3,0)</f>
        <v>30</v>
      </c>
      <c r="H82" s="31" t="str">
        <f ca="1">IF(ISNUMBER(N82),codeEAN13(INT(N82/10)),"")</f>
        <v>8APASOG*agbfah+</v>
      </c>
      <c r="I82" s="1" t="b">
        <f t="shared" ref="I82" ca="1" si="291">AND(A85&lt;&gt;0,A83=A85)</f>
        <v>0</v>
      </c>
      <c r="J82" s="15">
        <f t="shared" si="259"/>
        <v>37</v>
      </c>
      <c r="K82" s="1">
        <f t="shared" ref="K82:K145" ca="1" si="292">A83</f>
        <v>31</v>
      </c>
      <c r="L82" s="5" t="str">
        <f ca="1">INDEX(INDIRECT(zoneFichierTraite),$J82+offsetInitialFichierTraite,1)</f>
        <v>'037</v>
      </c>
      <c r="M82" s="11">
        <f ca="1">INDEX(INDIRECT(zoneFichierTraite),$J82+offsetInitialFichierTraite,9)</f>
        <v>20</v>
      </c>
      <c r="N82" s="14">
        <f ca="1">INDEX(INDIRECT(zoneFichierTraite),$J82+offsetInitialFichierTraite,3)</f>
        <v>8050846061507</v>
      </c>
      <c r="O82" s="14"/>
      <c r="P82" s="56">
        <f ca="1">MATCH(N82,INDIRECT(nomFichierEAN13Valmag &amp; "!A:A"),0)</f>
        <v>414</v>
      </c>
      <c r="Q82" s="57" t="e">
        <f ca="1">MATCH(U82,INDIRECT(nomFichierEAN13Valmag &amp; "!A:A"),0)</f>
        <v>#N/A</v>
      </c>
      <c r="S82" s="50" t="str">
        <f t="shared" ref="S82:S145" ca="1" si="293">LEFT(B82,14)</f>
        <v>OCLKD001-MESC5</v>
      </c>
      <c r="T82" s="52">
        <f ca="1">MATCH($S82,INDIRECT(nomFichierEAN13ValmagUniq &amp; "!A:A"),0)</f>
        <v>340</v>
      </c>
      <c r="U82" s="49" t="str">
        <f ca="1">IFERROR(INDEX(INDIRECT(zoneFichierEAN13ValmagUniq),T82,2),"")</f>
        <v xml:space="preserve">OCLOCK/ETE2019  </v>
      </c>
      <c r="V82" s="52" t="e">
        <f ca="1">MATCH($S82,INDIRECT(nomFichierEAN13ValmagUniq &amp; "!A" &amp; (T82+1) &amp; ":A" &amp;  (T82+10)),0)</f>
        <v>#N/A</v>
      </c>
      <c r="W82" s="51" t="e">
        <f t="shared" ref="W82" ca="1" si="294">V82+T82</f>
        <v>#N/A</v>
      </c>
      <c r="X82" s="49" t="str">
        <f ca="1">IFERROR(INDEX(INDIRECT(zoneFichierEAN13ValmagUniq),W82,2),"")</f>
        <v/>
      </c>
      <c r="Y82" s="52" t="e">
        <f ca="1">MATCH($S82,INDIRECT(nomFichierEAN13ValmagUniq &amp; "!A" &amp; (W82+1) &amp; ":A" &amp;  (W82+10)),0)</f>
        <v>#N/A</v>
      </c>
      <c r="Z82" s="51" t="e">
        <f t="shared" ref="Z82" ca="1" si="295">Y82+W82</f>
        <v>#N/A</v>
      </c>
      <c r="AA82" s="49" t="str">
        <f ca="1">IFERROR(INDEX(INDIRECT(zoneFichierEAN13ValmagUniq),Z82,2),"")</f>
        <v/>
      </c>
      <c r="AB82" s="53" t="str">
        <f t="shared" ref="AB82" ca="1" si="296">U82 &amp; IF(X82="","", " | " &amp; X82) &amp; IF(AA82="","", " | " &amp;AA82)</f>
        <v xml:space="preserve">OCLOCK/ETE2019  </v>
      </c>
      <c r="AD82" s="55" t="e">
        <f ca="1">MATCH(B82,INDIRECT(nomFichierFiltreCatalogue &amp; "!B:B"),0)</f>
        <v>#N/A</v>
      </c>
      <c r="AE82" s="14"/>
    </row>
    <row r="83" spans="1:31" s="20" customFormat="1" ht="15.75" customHeight="1" x14ac:dyDescent="0.25">
      <c r="A83" s="25">
        <f ca="1">INDEX(INDIRECT(zoneFichierTraite),$J82+offsetInitialFichierTraite,2)</f>
        <v>31</v>
      </c>
      <c r="B83" s="58" t="str">
        <f ca="1">IFERROR(INDEX(INDIRECT(zoneFichierEAN13Valmag),$P82,3),"")</f>
        <v xml:space="preserve">OCLOCK/ETE2019  </v>
      </c>
      <c r="C83" s="54" t="str">
        <f t="shared" ref="C83:C145" ca="1" si="297">AB82</f>
        <v xml:space="preserve">OCLOCK/ETE2019  </v>
      </c>
      <c r="D83" s="19" t="str">
        <f ca="1">IFERROR(INDEX(INDIRECT(zoneFichierEAN13Valmag),$P82,4),"")</f>
        <v>TANGE</v>
      </c>
      <c r="E83" s="59" t="str">
        <f ca="1">IFERROR(INDEX(INDIRECT(zoneFichierFiltreCatalogue),AD82,3),"")</f>
        <v/>
      </c>
      <c r="F83" s="19"/>
      <c r="G83" s="18"/>
      <c r="H83" s="32" t="str">
        <f ca="1">IFERROR(INDEX(INDIRECT(zoneFichierFiltreCatalogue),AD82,6),"")</f>
        <v/>
      </c>
      <c r="T83" s="1"/>
      <c r="U83" s="21"/>
      <c r="V83" s="21"/>
      <c r="W83" s="21"/>
      <c r="X83" s="21"/>
      <c r="Y83" s="21"/>
      <c r="Z83" s="21"/>
      <c r="AA83" s="21"/>
      <c r="AB83" s="21"/>
      <c r="AC83" s="21"/>
      <c r="AD83" s="21"/>
    </row>
    <row r="84" spans="1:31" ht="39" customHeight="1" thickBot="1" x14ac:dyDescent="0.65">
      <c r="A84" s="9" t="str">
        <f ca="1">INDEX(INDIRECT(zoneFichierTraite),$J84+offsetInitialFichierTraite,6)</f>
        <v>UNICA</v>
      </c>
      <c r="B84" s="5" t="str">
        <f ca="1">INDEX(INDIRECT(zoneFichierTraite),$J84+offsetInitialFichierTraite,4)</f>
        <v>SHOUGB19-TESX8-227</v>
      </c>
      <c r="C84" s="26" t="str">
        <f ca="1">INDEX(INDIRECT(zoneFichierTraite),$J84+offsetInitialFichierTraite,5)</f>
        <v>BANDOULIÃˆRE 80/120 + EMBOUT DECORE EN TISSU RUBAN Ã€ GROSSES RAYURES</v>
      </c>
      <c r="D84" s="27" t="str">
        <f ca="1">INDEX(INDIRECT(zoneFichierTraite),$J84+offsetInitialFichierTraite,13)</f>
        <v>bianco/nero</v>
      </c>
      <c r="E84" s="30">
        <f ca="1">INDEX(INDIRECT(zoneFichierTraite),$J84+offsetInitialFichierTraite,7)</f>
        <v>2</v>
      </c>
      <c r="F84" s="28">
        <f ca="1">INDEX(INDIRECT(zoneFichierTraite),$J84+offsetInitialFichierTraite,8)</f>
        <v>12.59</v>
      </c>
      <c r="G84" s="29">
        <f t="shared" ref="G84:G145" ca="1" si="298">ROUNDUP(F84*3,0)</f>
        <v>38</v>
      </c>
      <c r="H84" s="31" t="str">
        <f ca="1">IF(ISNUMBER(N84),codeEAN13(INT(N84/10)),"")</f>
        <v>8APASOG*agbcdb+</v>
      </c>
      <c r="I84" s="1" t="b">
        <f t="shared" ref="I84" ca="1" si="299">AND(A87&lt;&gt;0,A85=A87)</f>
        <v>0</v>
      </c>
      <c r="J84" s="15">
        <f t="shared" si="259"/>
        <v>38</v>
      </c>
      <c r="K84" s="1">
        <f t="shared" ref="K84:K145" ca="1" si="300">A85</f>
        <v>18</v>
      </c>
      <c r="L84" s="5" t="str">
        <f ca="1">INDEX(INDIRECT(zoneFichierTraite),$J84+offsetInitialFichierTraite,1)</f>
        <v>'038</v>
      </c>
      <c r="M84" s="11">
        <f ca="1">INDEX(INDIRECT(zoneFichierTraite),$J84+offsetInitialFichierTraite,9)</f>
        <v>25.18</v>
      </c>
      <c r="N84" s="14">
        <f ca="1">INDEX(INDIRECT(zoneFichierTraite),$J84+offsetInitialFichierTraite,3)</f>
        <v>8050846061231</v>
      </c>
      <c r="O84" s="14"/>
      <c r="P84" s="56">
        <f ca="1">MATCH(N84,INDIRECT(nomFichierEAN13Valmag &amp; "!A:A"),0)</f>
        <v>388</v>
      </c>
      <c r="Q84" s="57" t="e">
        <f ca="1">MATCH(U84,INDIRECT(nomFichierEAN13Valmag &amp; "!A:A"),0)</f>
        <v>#N/A</v>
      </c>
      <c r="S84" s="50" t="str">
        <f t="shared" ref="S84:S145" ca="1" si="301">LEFT(B84,14)</f>
        <v>SHOUGB19-TESX8</v>
      </c>
      <c r="T84" s="52">
        <f ca="1">MATCH($S84,INDIRECT(nomFichierEAN13ValmagUniq &amp; "!A:A"),0)</f>
        <v>363</v>
      </c>
      <c r="U84" s="49" t="str">
        <f ca="1">IFERROR(INDEX(INDIRECT(zoneFichierEAN13ValmagUniq),T84,2),"")</f>
        <v>BANDOU/LARGE/COT</v>
      </c>
      <c r="V84" s="52" t="e">
        <f ca="1">MATCH($S84,INDIRECT(nomFichierEAN13ValmagUniq &amp; "!A" &amp; (T84+1) &amp; ":A" &amp;  (T84+10)),0)</f>
        <v>#N/A</v>
      </c>
      <c r="W84" s="51" t="e">
        <f t="shared" ref="W84" ca="1" si="302">V84+T84</f>
        <v>#N/A</v>
      </c>
      <c r="X84" s="49" t="str">
        <f ca="1">IFERROR(INDEX(INDIRECT(zoneFichierEAN13ValmagUniq),W84,2),"")</f>
        <v/>
      </c>
      <c r="Y84" s="52" t="e">
        <f ca="1">MATCH($S84,INDIRECT(nomFichierEAN13ValmagUniq &amp; "!A" &amp; (W84+1) &amp; ":A" &amp;  (W84+10)),0)</f>
        <v>#N/A</v>
      </c>
      <c r="Z84" s="51" t="e">
        <f t="shared" ref="Z84" ca="1" si="303">Y84+W84</f>
        <v>#N/A</v>
      </c>
      <c r="AA84" s="49" t="str">
        <f ca="1">IFERROR(INDEX(INDIRECT(zoneFichierEAN13ValmagUniq),Z84,2),"")</f>
        <v/>
      </c>
      <c r="AB84" s="53" t="str">
        <f t="shared" ref="AB84" ca="1" si="304">U84 &amp; IF(X84="","", " | " &amp; X84) &amp; IF(AA84="","", " | " &amp;AA84)</f>
        <v>BANDOU/LARGE/COT</v>
      </c>
      <c r="AD84" s="55" t="e">
        <f ca="1">MATCH(B84,INDIRECT(nomFichierFiltreCatalogue &amp; "!B:B"),0)</f>
        <v>#N/A</v>
      </c>
      <c r="AE84" s="14"/>
    </row>
    <row r="85" spans="1:31" s="20" customFormat="1" ht="15.75" customHeight="1" x14ac:dyDescent="0.25">
      <c r="A85" s="25">
        <f ca="1">INDEX(INDIRECT(zoneFichierTraite),$J84+offsetInitialFichierTraite,2)</f>
        <v>18</v>
      </c>
      <c r="B85" s="58" t="str">
        <f ca="1">IFERROR(INDEX(INDIRECT(zoneFichierEAN13Valmag),$P84,3),"")</f>
        <v>BANDOU/LARGE/COT</v>
      </c>
      <c r="C85" s="54" t="str">
        <f t="shared" ref="C85:C145" ca="1" si="305">AB84</f>
        <v>BANDOU/LARGE/COT</v>
      </c>
      <c r="D85" s="19" t="str">
        <f ca="1">IFERROR(INDEX(INDIRECT(zoneFichierEAN13Valmag),$P84,4),"")</f>
        <v>WH/BL</v>
      </c>
      <c r="E85" s="59" t="str">
        <f ca="1">IFERROR(INDEX(INDIRECT(zoneFichierFiltreCatalogue),AD84,3),"")</f>
        <v/>
      </c>
      <c r="F85" s="19"/>
      <c r="G85" s="18"/>
      <c r="H85" s="32" t="str">
        <f ca="1">IFERROR(INDEX(INDIRECT(zoneFichierFiltreCatalogue),AD84,6),"")</f>
        <v/>
      </c>
      <c r="T85" s="1"/>
      <c r="U85" s="21"/>
      <c r="V85" s="21"/>
      <c r="W85" s="21"/>
      <c r="X85" s="21"/>
      <c r="Y85" s="21"/>
      <c r="Z85" s="21"/>
      <c r="AA85" s="21"/>
      <c r="AB85" s="21"/>
      <c r="AC85" s="21"/>
      <c r="AD85" s="21"/>
    </row>
    <row r="86" spans="1:31" ht="39" customHeight="1" thickBot="1" x14ac:dyDescent="0.65">
      <c r="A86" s="9" t="str">
        <f ca="1">INDEX(INDIRECT(zoneFichierTraite),$J86+offsetInitialFichierTraite,6)</f>
        <v>UNICA</v>
      </c>
      <c r="B86" s="5" t="str">
        <f ca="1">INDEX(INDIRECT(zoneFichierTraite),$J86+offsetInitialFichierTraite,4)</f>
        <v>SHOUX000-ECS07-078</v>
      </c>
      <c r="C86" s="26" t="str">
        <f ca="1">INDEX(INDIRECT(zoneFichierTraite),$J86+offsetInitialFichierTraite,5)</f>
        <v>BANDOULIÃˆRE EXTRASLIM 110 EN FAUX CUIR EFFET GRIFFE</v>
      </c>
      <c r="D86" s="27" t="str">
        <f ca="1">INDEX(INDIRECT(zoneFichierTraite),$J86+offsetInitialFichierTraite,13)</f>
        <v>sabbia</v>
      </c>
      <c r="E86" s="30">
        <f ca="1">INDEX(INDIRECT(zoneFichierTraite),$J86+offsetInitialFichierTraite,7)</f>
        <v>2</v>
      </c>
      <c r="F86" s="28">
        <f ca="1">INDEX(INDIRECT(zoneFichierTraite),$J86+offsetInitialFichierTraite,8)</f>
        <v>8.52</v>
      </c>
      <c r="G86" s="29">
        <f t="shared" ref="G86:G145" ca="1" si="306">ROUNDUP(F86*3,0)</f>
        <v>26</v>
      </c>
      <c r="H86" s="31" t="str">
        <f ca="1">IF(ISNUMBER(N86),codeEAN13(INT(N86/10)),"")</f>
        <v>8APASOG*agbdhi+</v>
      </c>
      <c r="I86" s="1" t="b">
        <f t="shared" ref="I86" ca="1" si="307">AND(A89&lt;&gt;0,A87=A89)</f>
        <v>0</v>
      </c>
      <c r="J86" s="15">
        <f t="shared" si="259"/>
        <v>39</v>
      </c>
      <c r="K86" s="1">
        <f t="shared" ref="K86:K145" ca="1" si="308">A87</f>
        <v>1</v>
      </c>
      <c r="L86" s="5" t="str">
        <f ca="1">INDEX(INDIRECT(zoneFichierTraite),$J86+offsetInitialFichierTraite,1)</f>
        <v>'039</v>
      </c>
      <c r="M86" s="11">
        <f ca="1">INDEX(INDIRECT(zoneFichierTraite),$J86+offsetInitialFichierTraite,9)</f>
        <v>17.04</v>
      </c>
      <c r="N86" s="14">
        <f ca="1">INDEX(INDIRECT(zoneFichierTraite),$J86+offsetInitialFichierTraite,3)</f>
        <v>8050846061378</v>
      </c>
      <c r="O86" s="14"/>
      <c r="P86" s="56">
        <f ca="1">MATCH(N86,INDIRECT(nomFichierEAN13Valmag &amp; "!A:A"),0)</f>
        <v>402</v>
      </c>
      <c r="Q86" s="57" t="e">
        <f ca="1">MATCH(U86,INDIRECT(nomFichierEAN13Valmag &amp; "!A:A"),0)</f>
        <v>#N/A</v>
      </c>
      <c r="S86" s="50" t="str">
        <f t="shared" ref="S86:S145" ca="1" si="309">LEFT(B86,14)</f>
        <v>SHOUX000-ECS07</v>
      </c>
      <c r="T86" s="52">
        <f ca="1">MATCH($S86,INDIRECT(nomFichierEAN13ValmagUniq &amp; "!A:A"),0)</f>
        <v>373</v>
      </c>
      <c r="U86" s="49" t="str">
        <f ca="1">IFERROR(INDEX(INDIRECT(zoneFichierEAN13ValmagUniq),T86,2),"")</f>
        <v xml:space="preserve"> </v>
      </c>
      <c r="V86" s="52">
        <f ca="1">MATCH($S86,INDIRECT(nomFichierEAN13ValmagUniq &amp; "!A" &amp; (T86+1) &amp; ":A" &amp;  (T86+10)),0)</f>
        <v>1</v>
      </c>
      <c r="W86" s="51">
        <f t="shared" ref="W86" ca="1" si="310">V86+T86</f>
        <v>374</v>
      </c>
      <c r="X86" s="49" t="str">
        <f ca="1">IFERROR(INDEX(INDIRECT(zoneFichierEAN13ValmagUniq),W86,2),"")</f>
        <v xml:space="preserve">BANDOULIERE     </v>
      </c>
      <c r="Y86" s="52" t="e">
        <f ca="1">MATCH($S86,INDIRECT(nomFichierEAN13ValmagUniq &amp; "!A" &amp; (W86+1) &amp; ":A" &amp;  (W86+10)),0)</f>
        <v>#N/A</v>
      </c>
      <c r="Z86" s="51" t="e">
        <f t="shared" ref="Z86" ca="1" si="311">Y86+W86</f>
        <v>#N/A</v>
      </c>
      <c r="AA86" s="49" t="str">
        <f ca="1">IFERROR(INDEX(INDIRECT(zoneFichierEAN13ValmagUniq),Z86,2),"")</f>
        <v/>
      </c>
      <c r="AB86" s="53" t="str">
        <f t="shared" ref="AB86" ca="1" si="312">U86 &amp; IF(X86="","", " | " &amp; X86) &amp; IF(AA86="","", " | " &amp;AA86)</f>
        <v xml:space="preserve">  | BANDOULIERE     </v>
      </c>
      <c r="AD86" s="55">
        <f ca="1">MATCH(B86,INDIRECT(nomFichierFiltreCatalogue &amp; "!B:B"),0)</f>
        <v>220</v>
      </c>
      <c r="AE86" s="14"/>
    </row>
    <row r="87" spans="1:31" s="20" customFormat="1" ht="15.75" customHeight="1" x14ac:dyDescent="0.25">
      <c r="A87" s="25">
        <f ca="1">INDEX(INDIRECT(zoneFichierTraite),$J86+offsetInitialFichierTraite,2)</f>
        <v>1</v>
      </c>
      <c r="B87" s="58" t="str">
        <f ca="1">IFERROR(INDEX(INDIRECT(zoneFichierEAN13Valmag),$P86,3),"")</f>
        <v xml:space="preserve">BANDOULIERE     </v>
      </c>
      <c r="C87" s="54" t="str">
        <f t="shared" ref="C87:C145" ca="1" si="313">AB86</f>
        <v xml:space="preserve">  | BANDOULIERE     </v>
      </c>
      <c r="D87" s="19" t="str">
        <f ca="1">IFERROR(INDEX(INDIRECT(zoneFichierEAN13Valmag),$P86,4),"")</f>
        <v>SAFSA</v>
      </c>
      <c r="E87" s="59" t="str">
        <f ca="1">IFERROR(INDEX(INDIRECT(zoneFichierFiltreCatalogue),AD86,3),"")</f>
        <v>p043-2-02</v>
      </c>
      <c r="F87" s="19"/>
      <c r="G87" s="18"/>
      <c r="H87" s="32" t="str">
        <f ca="1">IFERROR(INDEX(INDIRECT(zoneFichierFiltreCatalogue),AD86,6),"")</f>
        <v>fall 2019 presentation_/catalogo fall 19.txt</v>
      </c>
      <c r="T87" s="1"/>
      <c r="U87" s="21"/>
      <c r="V87" s="21"/>
      <c r="W87" s="21"/>
      <c r="X87" s="21"/>
      <c r="Y87" s="21"/>
      <c r="Z87" s="21"/>
      <c r="AA87" s="21"/>
      <c r="AB87" s="21"/>
      <c r="AC87" s="21"/>
      <c r="AD87" s="21"/>
    </row>
    <row r="88" spans="1:31" ht="39" customHeight="1" thickBot="1" x14ac:dyDescent="0.65">
      <c r="A88" s="9">
        <f ca="1">INDEX(INDIRECT(zoneFichierTraite),$J88+offsetInitialFichierTraite,6)</f>
        <v>0</v>
      </c>
      <c r="B88" s="5">
        <f ca="1">INDEX(INDIRECT(zoneFichierTraite),$J88+offsetInitialFichierTraite,4)</f>
        <v>0</v>
      </c>
      <c r="C88" s="26">
        <f ca="1">INDEX(INDIRECT(zoneFichierTraite),$J88+offsetInitialFichierTraite,5)</f>
        <v>0</v>
      </c>
      <c r="D88" s="27">
        <f ca="1">INDEX(INDIRECT(zoneFichierTraite),$J88+offsetInitialFichierTraite,13)</f>
        <v>0</v>
      </c>
      <c r="E88" s="30">
        <f ca="1">INDEX(INDIRECT(zoneFichierTraite),$J88+offsetInitialFichierTraite,7)</f>
        <v>0</v>
      </c>
      <c r="F88" s="28">
        <f ca="1">INDEX(INDIRECT(zoneFichierTraite),$J88+offsetInitialFichierTraite,8)</f>
        <v>0</v>
      </c>
      <c r="G88" s="29">
        <f t="shared" ref="G88:G145" ca="1" si="314">ROUNDUP(F88*3,0)</f>
        <v>0</v>
      </c>
      <c r="H88" s="31" t="str">
        <f ca="1">IF(ISNUMBER(N88),codeEAN13(INT(N88/10)),"")</f>
        <v/>
      </c>
      <c r="I88" s="1" t="b">
        <f t="shared" ref="I88" ca="1" si="315">AND(A91&lt;&gt;0,A89=A91)</f>
        <v>0</v>
      </c>
      <c r="J88" s="15">
        <f t="shared" si="259"/>
        <v>40</v>
      </c>
      <c r="K88" s="1">
        <f t="shared" ref="K88:K145" ca="1" si="316">A89</f>
        <v>0</v>
      </c>
      <c r="L88" s="5">
        <f ca="1">INDEX(INDIRECT(zoneFichierTraite),$J88+offsetInitialFichierTraite,1)</f>
        <v>0</v>
      </c>
      <c r="M88" s="11">
        <f ca="1">INDEX(INDIRECT(zoneFichierTraite),$J88+offsetInitialFichierTraite,9)</f>
        <v>0</v>
      </c>
      <c r="N88" s="14">
        <f ca="1">INDEX(INDIRECT(zoneFichierTraite),$J88+offsetInitialFichierTraite,3)</f>
        <v>0</v>
      </c>
      <c r="O88" s="14"/>
      <c r="P88" s="56" t="e">
        <f ca="1">MATCH(N88,INDIRECT(nomFichierEAN13Valmag &amp; "!A:A"),0)</f>
        <v>#N/A</v>
      </c>
      <c r="Q88" s="57" t="e">
        <f ca="1">MATCH(U88,INDIRECT(nomFichierEAN13Valmag &amp; "!A:A"),0)</f>
        <v>#N/A</v>
      </c>
      <c r="S88" s="50" t="str">
        <f t="shared" ref="S88:S145" ca="1" si="317">LEFT(B88,14)</f>
        <v>0</v>
      </c>
      <c r="T88" s="52" t="e">
        <f ca="1">MATCH($S88,INDIRECT(nomFichierEAN13ValmagUniq &amp; "!A:A"),0)</f>
        <v>#N/A</v>
      </c>
      <c r="U88" s="49" t="str">
        <f ca="1">IFERROR(INDEX(INDIRECT(zoneFichierEAN13ValmagUniq),T88,2),"")</f>
        <v/>
      </c>
      <c r="V88" s="52" t="e">
        <f ca="1">MATCH($S88,INDIRECT(nomFichierEAN13ValmagUniq &amp; "!A" &amp; (T88+1) &amp; ":A" &amp;  (T88+10)),0)</f>
        <v>#N/A</v>
      </c>
      <c r="W88" s="51" t="e">
        <f t="shared" ref="W88" ca="1" si="318">V88+T88</f>
        <v>#N/A</v>
      </c>
      <c r="X88" s="49" t="str">
        <f ca="1">IFERROR(INDEX(INDIRECT(zoneFichierEAN13ValmagUniq),W88,2),"")</f>
        <v/>
      </c>
      <c r="Y88" s="52" t="e">
        <f ca="1">MATCH($S88,INDIRECT(nomFichierEAN13ValmagUniq &amp; "!A" &amp; (W88+1) &amp; ":A" &amp;  (W88+10)),0)</f>
        <v>#N/A</v>
      </c>
      <c r="Z88" s="51" t="e">
        <f t="shared" ref="Z88" ca="1" si="319">Y88+W88</f>
        <v>#N/A</v>
      </c>
      <c r="AA88" s="49" t="str">
        <f ca="1">IFERROR(INDEX(INDIRECT(zoneFichierEAN13ValmagUniq),Z88,2),"")</f>
        <v/>
      </c>
      <c r="AB88" s="53" t="str">
        <f t="shared" ref="AB88" ca="1" si="320">U88 &amp; IF(X88="","", " | " &amp; X88) &amp; IF(AA88="","", " | " &amp;AA88)</f>
        <v/>
      </c>
      <c r="AD88" s="55" t="e">
        <f ca="1">MATCH(B88,INDIRECT(nomFichierFiltreCatalogue &amp; "!B:B"),0)</f>
        <v>#N/A</v>
      </c>
      <c r="AE88" s="14"/>
    </row>
    <row r="89" spans="1:31" s="20" customFormat="1" ht="15.75" customHeight="1" x14ac:dyDescent="0.25">
      <c r="A89" s="25">
        <f ca="1">INDEX(INDIRECT(zoneFichierTraite),$J88+offsetInitialFichierTraite,2)</f>
        <v>0</v>
      </c>
      <c r="B89" s="58" t="str">
        <f ca="1">IFERROR(INDEX(INDIRECT(zoneFichierEAN13Valmag),$P88,3),"")</f>
        <v/>
      </c>
      <c r="C89" s="54" t="str">
        <f t="shared" ref="C89:C145" ca="1" si="321">AB88</f>
        <v/>
      </c>
      <c r="D89" s="19" t="str">
        <f ca="1">IFERROR(INDEX(INDIRECT(zoneFichierEAN13Valmag),$P88,4),"")</f>
        <v/>
      </c>
      <c r="E89" s="59" t="str">
        <f ca="1">IFERROR(INDEX(INDIRECT(zoneFichierFiltreCatalogue),AD88,3),"")</f>
        <v/>
      </c>
      <c r="F89" s="19"/>
      <c r="G89" s="18"/>
      <c r="H89" s="32" t="str">
        <f ca="1">IFERROR(INDEX(INDIRECT(zoneFichierFiltreCatalogue),AD88,6),"")</f>
        <v/>
      </c>
      <c r="T89" s="1"/>
      <c r="U89" s="21"/>
      <c r="V89" s="21"/>
      <c r="W89" s="21"/>
      <c r="X89" s="21"/>
      <c r="Y89" s="21"/>
      <c r="Z89" s="21"/>
      <c r="AA89" s="21"/>
      <c r="AB89" s="21"/>
      <c r="AC89" s="21"/>
      <c r="AD89" s="21"/>
    </row>
    <row r="90" spans="1:31" ht="39" customHeight="1" thickBot="1" x14ac:dyDescent="0.65">
      <c r="A90" s="9">
        <f ca="1">INDEX(INDIRECT(zoneFichierTraite),$J90+offsetInitialFichierTraite,6)</f>
        <v>0</v>
      </c>
      <c r="B90" s="5">
        <f ca="1">INDEX(INDIRECT(zoneFichierTraite),$J90+offsetInitialFichierTraite,4)</f>
        <v>0</v>
      </c>
      <c r="C90" s="26">
        <f ca="1">INDEX(INDIRECT(zoneFichierTraite),$J90+offsetInitialFichierTraite,5)</f>
        <v>0</v>
      </c>
      <c r="D90" s="27">
        <f ca="1">INDEX(INDIRECT(zoneFichierTraite),$J90+offsetInitialFichierTraite,13)</f>
        <v>0</v>
      </c>
      <c r="E90" s="30">
        <f ca="1">INDEX(INDIRECT(zoneFichierTraite),$J90+offsetInitialFichierTraite,7)</f>
        <v>0</v>
      </c>
      <c r="F90" s="28">
        <f ca="1">INDEX(INDIRECT(zoneFichierTraite),$J90+offsetInitialFichierTraite,8)</f>
        <v>0</v>
      </c>
      <c r="G90" s="29">
        <f t="shared" ref="G90:G145" ca="1" si="322">ROUNDUP(F90*3,0)</f>
        <v>0</v>
      </c>
      <c r="H90" s="31" t="str">
        <f ca="1">IF(ISNUMBER(N90),codeEAN13(INT(N90/10)),"")</f>
        <v/>
      </c>
      <c r="I90" s="1" t="b">
        <f t="shared" ref="I90" ca="1" si="323">AND(A93&lt;&gt;0,A91=A93)</f>
        <v>0</v>
      </c>
      <c r="J90" s="15">
        <f t="shared" si="259"/>
        <v>41</v>
      </c>
      <c r="K90" s="1">
        <f t="shared" ref="K90:K145" ca="1" si="324">A91</f>
        <v>0</v>
      </c>
      <c r="L90" s="5">
        <f ca="1">INDEX(INDIRECT(zoneFichierTraite),$J90+offsetInitialFichierTraite,1)</f>
        <v>0</v>
      </c>
      <c r="M90" s="11">
        <f ca="1">INDEX(INDIRECT(zoneFichierTraite),$J90+offsetInitialFichierTraite,9)</f>
        <v>0</v>
      </c>
      <c r="N90" s="14">
        <f ca="1">INDEX(INDIRECT(zoneFichierTraite),$J90+offsetInitialFichierTraite,3)</f>
        <v>0</v>
      </c>
      <c r="O90" s="14"/>
      <c r="P90" s="56" t="e">
        <f ca="1">MATCH(N90,INDIRECT(nomFichierEAN13Valmag &amp; "!A:A"),0)</f>
        <v>#N/A</v>
      </c>
      <c r="Q90" s="57" t="e">
        <f ca="1">MATCH(U90,INDIRECT(nomFichierEAN13Valmag &amp; "!A:A"),0)</f>
        <v>#N/A</v>
      </c>
      <c r="S90" s="50" t="str">
        <f t="shared" ref="S90:S145" ca="1" si="325">LEFT(B90,14)</f>
        <v>0</v>
      </c>
      <c r="T90" s="52" t="e">
        <f ca="1">MATCH($S90,INDIRECT(nomFichierEAN13ValmagUniq &amp; "!A:A"),0)</f>
        <v>#N/A</v>
      </c>
      <c r="U90" s="49" t="str">
        <f ca="1">IFERROR(INDEX(INDIRECT(zoneFichierEAN13ValmagUniq),T90,2),"")</f>
        <v/>
      </c>
      <c r="V90" s="52" t="e">
        <f ca="1">MATCH($S90,INDIRECT(nomFichierEAN13ValmagUniq &amp; "!A" &amp; (T90+1) &amp; ":A" &amp;  (T90+10)),0)</f>
        <v>#N/A</v>
      </c>
      <c r="W90" s="51" t="e">
        <f t="shared" ref="W90" ca="1" si="326">V90+T90</f>
        <v>#N/A</v>
      </c>
      <c r="X90" s="49" t="str">
        <f ca="1">IFERROR(INDEX(INDIRECT(zoneFichierEAN13ValmagUniq),W90,2),"")</f>
        <v/>
      </c>
      <c r="Y90" s="52" t="e">
        <f ca="1">MATCH($S90,INDIRECT(nomFichierEAN13ValmagUniq &amp; "!A" &amp; (W90+1) &amp; ":A" &amp;  (W90+10)),0)</f>
        <v>#N/A</v>
      </c>
      <c r="Z90" s="51" t="e">
        <f t="shared" ref="Z90" ca="1" si="327">Y90+W90</f>
        <v>#N/A</v>
      </c>
      <c r="AA90" s="49" t="str">
        <f ca="1">IFERROR(INDEX(INDIRECT(zoneFichierEAN13ValmagUniq),Z90,2),"")</f>
        <v/>
      </c>
      <c r="AB90" s="53" t="str">
        <f t="shared" ref="AB90" ca="1" si="328">U90 &amp; IF(X90="","", " | " &amp; X90) &amp; IF(AA90="","", " | " &amp;AA90)</f>
        <v/>
      </c>
      <c r="AD90" s="55" t="e">
        <f ca="1">MATCH(B90,INDIRECT(nomFichierFiltreCatalogue &amp; "!B:B"),0)</f>
        <v>#N/A</v>
      </c>
      <c r="AE90" s="14"/>
    </row>
    <row r="91" spans="1:31" s="20" customFormat="1" ht="15.75" customHeight="1" x14ac:dyDescent="0.25">
      <c r="A91" s="25">
        <f ca="1">INDEX(INDIRECT(zoneFichierTraite),$J90+offsetInitialFichierTraite,2)</f>
        <v>0</v>
      </c>
      <c r="B91" s="58" t="str">
        <f ca="1">IFERROR(INDEX(INDIRECT(zoneFichierEAN13Valmag),$P90,3),"")</f>
        <v/>
      </c>
      <c r="C91" s="54" t="str">
        <f t="shared" ref="C91:C145" ca="1" si="329">AB90</f>
        <v/>
      </c>
      <c r="D91" s="19" t="str">
        <f ca="1">IFERROR(INDEX(INDIRECT(zoneFichierEAN13Valmag),$P90,4),"")</f>
        <v/>
      </c>
      <c r="E91" s="59" t="str">
        <f ca="1">IFERROR(INDEX(INDIRECT(zoneFichierFiltreCatalogue),AD90,3),"")</f>
        <v/>
      </c>
      <c r="F91" s="19"/>
      <c r="G91" s="18"/>
      <c r="H91" s="32" t="str">
        <f ca="1">IFERROR(INDEX(INDIRECT(zoneFichierFiltreCatalogue),AD90,6),"")</f>
        <v/>
      </c>
      <c r="T91" s="1"/>
      <c r="U91" s="21"/>
      <c r="V91" s="21"/>
      <c r="W91" s="21"/>
      <c r="X91" s="21"/>
      <c r="Y91" s="21"/>
      <c r="Z91" s="21"/>
      <c r="AA91" s="21"/>
      <c r="AB91" s="21"/>
      <c r="AC91" s="21"/>
      <c r="AD91" s="21"/>
    </row>
    <row r="92" spans="1:31" ht="39" customHeight="1" thickBot="1" x14ac:dyDescent="0.65">
      <c r="A92" s="9">
        <f ca="1">INDEX(INDIRECT(zoneFichierTraite),$J92+offsetInitialFichierTraite,6)</f>
        <v>0</v>
      </c>
      <c r="B92" s="5">
        <f ca="1">INDEX(INDIRECT(zoneFichierTraite),$J92+offsetInitialFichierTraite,4)</f>
        <v>0</v>
      </c>
      <c r="C92" s="26">
        <f ca="1">INDEX(INDIRECT(zoneFichierTraite),$J92+offsetInitialFichierTraite,5)</f>
        <v>0</v>
      </c>
      <c r="D92" s="27">
        <f ca="1">INDEX(INDIRECT(zoneFichierTraite),$J92+offsetInitialFichierTraite,13)</f>
        <v>0</v>
      </c>
      <c r="E92" s="30">
        <f ca="1">INDEX(INDIRECT(zoneFichierTraite),$J92+offsetInitialFichierTraite,7)</f>
        <v>0</v>
      </c>
      <c r="F92" s="28">
        <f ca="1">INDEX(INDIRECT(zoneFichierTraite),$J92+offsetInitialFichierTraite,8)</f>
        <v>0</v>
      </c>
      <c r="G92" s="29">
        <f t="shared" ref="G92:G145" ca="1" si="330">ROUNDUP(F92*3,0)</f>
        <v>0</v>
      </c>
      <c r="H92" s="31" t="str">
        <f ca="1">IF(ISNUMBER(N92),codeEAN13(INT(N92/10)),"")</f>
        <v/>
      </c>
      <c r="I92" s="1" t="b">
        <f t="shared" ref="I92" ca="1" si="331">AND(A95&lt;&gt;0,A93=A95)</f>
        <v>0</v>
      </c>
      <c r="J92" s="15">
        <f t="shared" si="259"/>
        <v>42</v>
      </c>
      <c r="K92" s="1">
        <f t="shared" ref="K92:K145" ca="1" si="332">A93</f>
        <v>0</v>
      </c>
      <c r="L92" s="5">
        <f ca="1">INDEX(INDIRECT(zoneFichierTraite),$J92+offsetInitialFichierTraite,1)</f>
        <v>0</v>
      </c>
      <c r="M92" s="11">
        <f ca="1">INDEX(INDIRECT(zoneFichierTraite),$J92+offsetInitialFichierTraite,9)</f>
        <v>0</v>
      </c>
      <c r="N92" s="14">
        <f ca="1">INDEX(INDIRECT(zoneFichierTraite),$J92+offsetInitialFichierTraite,3)</f>
        <v>0</v>
      </c>
      <c r="O92" s="14"/>
      <c r="P92" s="56" t="e">
        <f ca="1">MATCH(N92,INDIRECT(nomFichierEAN13Valmag &amp; "!A:A"),0)</f>
        <v>#N/A</v>
      </c>
      <c r="Q92" s="57" t="e">
        <f ca="1">MATCH(U92,INDIRECT(nomFichierEAN13Valmag &amp; "!A:A"),0)</f>
        <v>#N/A</v>
      </c>
      <c r="S92" s="50" t="str">
        <f t="shared" ref="S92:S145" ca="1" si="333">LEFT(B92,14)</f>
        <v>0</v>
      </c>
      <c r="T92" s="52" t="e">
        <f ca="1">MATCH($S92,INDIRECT(nomFichierEAN13ValmagUniq &amp; "!A:A"),0)</f>
        <v>#N/A</v>
      </c>
      <c r="U92" s="49" t="str">
        <f ca="1">IFERROR(INDEX(INDIRECT(zoneFichierEAN13ValmagUniq),T92,2),"")</f>
        <v/>
      </c>
      <c r="V92" s="52" t="e">
        <f ca="1">MATCH($S92,INDIRECT(nomFichierEAN13ValmagUniq &amp; "!A" &amp; (T92+1) &amp; ":A" &amp;  (T92+10)),0)</f>
        <v>#N/A</v>
      </c>
      <c r="W92" s="51" t="e">
        <f t="shared" ref="W92" ca="1" si="334">V92+T92</f>
        <v>#N/A</v>
      </c>
      <c r="X92" s="49" t="str">
        <f ca="1">IFERROR(INDEX(INDIRECT(zoneFichierEAN13ValmagUniq),W92,2),"")</f>
        <v/>
      </c>
      <c r="Y92" s="52" t="e">
        <f ca="1">MATCH($S92,INDIRECT(nomFichierEAN13ValmagUniq &amp; "!A" &amp; (W92+1) &amp; ":A" &amp;  (W92+10)),0)</f>
        <v>#N/A</v>
      </c>
      <c r="Z92" s="51" t="e">
        <f t="shared" ref="Z92" ca="1" si="335">Y92+W92</f>
        <v>#N/A</v>
      </c>
      <c r="AA92" s="49" t="str">
        <f ca="1">IFERROR(INDEX(INDIRECT(zoneFichierEAN13ValmagUniq),Z92,2),"")</f>
        <v/>
      </c>
      <c r="AB92" s="53" t="str">
        <f t="shared" ref="AB92" ca="1" si="336">U92 &amp; IF(X92="","", " | " &amp; X92) &amp; IF(AA92="","", " | " &amp;AA92)</f>
        <v/>
      </c>
      <c r="AD92" s="55" t="e">
        <f ca="1">MATCH(B92,INDIRECT(nomFichierFiltreCatalogue &amp; "!B:B"),0)</f>
        <v>#N/A</v>
      </c>
      <c r="AE92" s="14"/>
    </row>
    <row r="93" spans="1:31" s="20" customFormat="1" ht="15.75" customHeight="1" x14ac:dyDescent="0.25">
      <c r="A93" s="25">
        <f ca="1">INDEX(INDIRECT(zoneFichierTraite),$J92+offsetInitialFichierTraite,2)</f>
        <v>0</v>
      </c>
      <c r="B93" s="58" t="str">
        <f ca="1">IFERROR(INDEX(INDIRECT(zoneFichierEAN13Valmag),$P92,3),"")</f>
        <v/>
      </c>
      <c r="C93" s="54" t="str">
        <f t="shared" ref="C93:C145" ca="1" si="337">AB92</f>
        <v/>
      </c>
      <c r="D93" s="19" t="str">
        <f ca="1">IFERROR(INDEX(INDIRECT(zoneFichierEAN13Valmag),$P92,4),"")</f>
        <v/>
      </c>
      <c r="E93" s="59" t="str">
        <f ca="1">IFERROR(INDEX(INDIRECT(zoneFichierFiltreCatalogue),AD92,3),"")</f>
        <v/>
      </c>
      <c r="F93" s="19"/>
      <c r="G93" s="18"/>
      <c r="H93" s="32" t="str">
        <f ca="1">IFERROR(INDEX(INDIRECT(zoneFichierFiltreCatalogue),AD92,6),"")</f>
        <v/>
      </c>
      <c r="T93" s="1"/>
      <c r="U93" s="21"/>
      <c r="V93" s="21"/>
      <c r="W93" s="21"/>
      <c r="X93" s="21"/>
      <c r="Y93" s="21"/>
      <c r="Z93" s="21"/>
      <c r="AA93" s="21"/>
      <c r="AB93" s="21"/>
      <c r="AC93" s="21"/>
      <c r="AD93" s="21"/>
    </row>
    <row r="94" spans="1:31" ht="39" customHeight="1" thickBot="1" x14ac:dyDescent="0.65">
      <c r="A94" s="9">
        <f ca="1">INDEX(INDIRECT(zoneFichierTraite),$J94+offsetInitialFichierTraite,6)</f>
        <v>0</v>
      </c>
      <c r="B94" s="5">
        <f ca="1">INDEX(INDIRECT(zoneFichierTraite),$J94+offsetInitialFichierTraite,4)</f>
        <v>0</v>
      </c>
      <c r="C94" s="26">
        <f ca="1">INDEX(INDIRECT(zoneFichierTraite),$J94+offsetInitialFichierTraite,5)</f>
        <v>0</v>
      </c>
      <c r="D94" s="27">
        <f ca="1">INDEX(INDIRECT(zoneFichierTraite),$J94+offsetInitialFichierTraite,13)</f>
        <v>0</v>
      </c>
      <c r="E94" s="30">
        <f ca="1">INDEX(INDIRECT(zoneFichierTraite),$J94+offsetInitialFichierTraite,7)</f>
        <v>0</v>
      </c>
      <c r="F94" s="28">
        <f ca="1">INDEX(INDIRECT(zoneFichierTraite),$J94+offsetInitialFichierTraite,8)</f>
        <v>0</v>
      </c>
      <c r="G94" s="29">
        <f t="shared" ref="G94:G145" ca="1" si="338">ROUNDUP(F94*3,0)</f>
        <v>0</v>
      </c>
      <c r="H94" s="31" t="str">
        <f ca="1">IF(ISNUMBER(N94),codeEAN13(INT(N94/10)),"")</f>
        <v/>
      </c>
      <c r="I94" s="1" t="b">
        <f t="shared" ref="I94" ca="1" si="339">AND(A97&lt;&gt;0,A95=A97)</f>
        <v>0</v>
      </c>
      <c r="J94" s="15">
        <f t="shared" si="259"/>
        <v>43</v>
      </c>
      <c r="K94" s="1">
        <f t="shared" ref="K94:K145" ca="1" si="340">A95</f>
        <v>0</v>
      </c>
      <c r="L94" s="5">
        <f ca="1">INDEX(INDIRECT(zoneFichierTraite),$J94+offsetInitialFichierTraite,1)</f>
        <v>0</v>
      </c>
      <c r="M94" s="11">
        <f ca="1">INDEX(INDIRECT(zoneFichierTraite),$J94+offsetInitialFichierTraite,9)</f>
        <v>0</v>
      </c>
      <c r="N94" s="14">
        <f ca="1">INDEX(INDIRECT(zoneFichierTraite),$J94+offsetInitialFichierTraite,3)</f>
        <v>0</v>
      </c>
      <c r="O94" s="14"/>
      <c r="P94" s="56" t="e">
        <f ca="1">MATCH(N94,INDIRECT(nomFichierEAN13Valmag &amp; "!A:A"),0)</f>
        <v>#N/A</v>
      </c>
      <c r="Q94" s="57" t="e">
        <f ca="1">MATCH(U94,INDIRECT(nomFichierEAN13Valmag &amp; "!A:A"),0)</f>
        <v>#N/A</v>
      </c>
      <c r="S94" s="50" t="str">
        <f t="shared" ref="S94:S145" ca="1" si="341">LEFT(B94,14)</f>
        <v>0</v>
      </c>
      <c r="T94" s="52" t="e">
        <f ca="1">MATCH($S94,INDIRECT(nomFichierEAN13ValmagUniq &amp; "!A:A"),0)</f>
        <v>#N/A</v>
      </c>
      <c r="U94" s="49" t="str">
        <f ca="1">IFERROR(INDEX(INDIRECT(zoneFichierEAN13ValmagUniq),T94,2),"")</f>
        <v/>
      </c>
      <c r="V94" s="52" t="e">
        <f ca="1">MATCH($S94,INDIRECT(nomFichierEAN13ValmagUniq &amp; "!A" &amp; (T94+1) &amp; ":A" &amp;  (T94+10)),0)</f>
        <v>#N/A</v>
      </c>
      <c r="W94" s="51" t="e">
        <f t="shared" ref="W94" ca="1" si="342">V94+T94</f>
        <v>#N/A</v>
      </c>
      <c r="X94" s="49" t="str">
        <f ca="1">IFERROR(INDEX(INDIRECT(zoneFichierEAN13ValmagUniq),W94,2),"")</f>
        <v/>
      </c>
      <c r="Y94" s="52" t="e">
        <f ca="1">MATCH($S94,INDIRECT(nomFichierEAN13ValmagUniq &amp; "!A" &amp; (W94+1) &amp; ":A" &amp;  (W94+10)),0)</f>
        <v>#N/A</v>
      </c>
      <c r="Z94" s="51" t="e">
        <f t="shared" ref="Z94" ca="1" si="343">Y94+W94</f>
        <v>#N/A</v>
      </c>
      <c r="AA94" s="49" t="str">
        <f ca="1">IFERROR(INDEX(INDIRECT(zoneFichierEAN13ValmagUniq),Z94,2),"")</f>
        <v/>
      </c>
      <c r="AB94" s="53" t="str">
        <f t="shared" ref="AB94" ca="1" si="344">U94 &amp; IF(X94="","", " | " &amp; X94) &amp; IF(AA94="","", " | " &amp;AA94)</f>
        <v/>
      </c>
      <c r="AD94" s="55" t="e">
        <f ca="1">MATCH(B94,INDIRECT(nomFichierFiltreCatalogue &amp; "!B:B"),0)</f>
        <v>#N/A</v>
      </c>
      <c r="AE94" s="14"/>
    </row>
    <row r="95" spans="1:31" s="20" customFormat="1" ht="15.75" customHeight="1" x14ac:dyDescent="0.25">
      <c r="A95" s="25">
        <f ca="1">INDEX(INDIRECT(zoneFichierTraite),$J94+offsetInitialFichierTraite,2)</f>
        <v>0</v>
      </c>
      <c r="B95" s="58" t="str">
        <f ca="1">IFERROR(INDEX(INDIRECT(zoneFichierEAN13Valmag),$P94,3),"")</f>
        <v/>
      </c>
      <c r="C95" s="54" t="str">
        <f t="shared" ref="C95:C145" ca="1" si="345">AB94</f>
        <v/>
      </c>
      <c r="D95" s="19" t="str">
        <f ca="1">IFERROR(INDEX(INDIRECT(zoneFichierEAN13Valmag),$P94,4),"")</f>
        <v/>
      </c>
      <c r="E95" s="59" t="str">
        <f ca="1">IFERROR(INDEX(INDIRECT(zoneFichierFiltreCatalogue),AD94,3),"")</f>
        <v/>
      </c>
      <c r="F95" s="19"/>
      <c r="G95" s="18"/>
      <c r="H95" s="32" t="str">
        <f ca="1">IFERROR(INDEX(INDIRECT(zoneFichierFiltreCatalogue),AD94,6),"")</f>
        <v/>
      </c>
      <c r="T95" s="1"/>
      <c r="U95" s="21"/>
      <c r="V95" s="21"/>
      <c r="W95" s="21"/>
      <c r="X95" s="21"/>
      <c r="Y95" s="21"/>
      <c r="Z95" s="21"/>
      <c r="AA95" s="21"/>
      <c r="AB95" s="21"/>
      <c r="AC95" s="21"/>
      <c r="AD95" s="21"/>
    </row>
    <row r="96" spans="1:31" ht="39" customHeight="1" thickBot="1" x14ac:dyDescent="0.65">
      <c r="A96" s="9">
        <f ca="1">INDEX(INDIRECT(zoneFichierTraite),$J96+offsetInitialFichierTraite,6)</f>
        <v>0</v>
      </c>
      <c r="B96" s="5">
        <f ca="1">INDEX(INDIRECT(zoneFichierTraite),$J96+offsetInitialFichierTraite,4)</f>
        <v>0</v>
      </c>
      <c r="C96" s="26">
        <f ca="1">INDEX(INDIRECT(zoneFichierTraite),$J96+offsetInitialFichierTraite,5)</f>
        <v>0</v>
      </c>
      <c r="D96" s="27">
        <f ca="1">INDEX(INDIRECT(zoneFichierTraite),$J96+offsetInitialFichierTraite,13)</f>
        <v>0</v>
      </c>
      <c r="E96" s="30">
        <f ca="1">INDEX(INDIRECT(zoneFichierTraite),$J96+offsetInitialFichierTraite,7)</f>
        <v>0</v>
      </c>
      <c r="F96" s="28">
        <f ca="1">INDEX(INDIRECT(zoneFichierTraite),$J96+offsetInitialFichierTraite,8)</f>
        <v>0</v>
      </c>
      <c r="G96" s="29">
        <f t="shared" ref="G96:G145" ca="1" si="346">ROUNDUP(F96*3,0)</f>
        <v>0</v>
      </c>
      <c r="H96" s="31" t="str">
        <f ca="1">IF(ISNUMBER(N96),codeEAN13(INT(N96/10)),"")</f>
        <v/>
      </c>
      <c r="I96" s="1" t="b">
        <f t="shared" ref="I96" ca="1" si="347">AND(A99&lt;&gt;0,A97=A99)</f>
        <v>0</v>
      </c>
      <c r="J96" s="15">
        <f t="shared" si="259"/>
        <v>44</v>
      </c>
      <c r="K96" s="1">
        <f t="shared" ref="K96:K145" ca="1" si="348">A97</f>
        <v>0</v>
      </c>
      <c r="L96" s="5">
        <f ca="1">INDEX(INDIRECT(zoneFichierTraite),$J96+offsetInitialFichierTraite,1)</f>
        <v>0</v>
      </c>
      <c r="M96" s="11">
        <f ca="1">INDEX(INDIRECT(zoneFichierTraite),$J96+offsetInitialFichierTraite,9)</f>
        <v>0</v>
      </c>
      <c r="N96" s="14">
        <f ca="1">INDEX(INDIRECT(zoneFichierTraite),$J96+offsetInitialFichierTraite,3)</f>
        <v>0</v>
      </c>
      <c r="O96" s="14"/>
      <c r="P96" s="56" t="e">
        <f ca="1">MATCH(N96,INDIRECT(nomFichierEAN13Valmag &amp; "!A:A"),0)</f>
        <v>#N/A</v>
      </c>
      <c r="Q96" s="57" t="e">
        <f ca="1">MATCH(U96,INDIRECT(nomFichierEAN13Valmag &amp; "!A:A"),0)</f>
        <v>#N/A</v>
      </c>
      <c r="S96" s="50" t="str">
        <f t="shared" ref="S96:S145" ca="1" si="349">LEFT(B96,14)</f>
        <v>0</v>
      </c>
      <c r="T96" s="52" t="e">
        <f ca="1">MATCH($S96,INDIRECT(nomFichierEAN13ValmagUniq &amp; "!A:A"),0)</f>
        <v>#N/A</v>
      </c>
      <c r="U96" s="49" t="str">
        <f ca="1">IFERROR(INDEX(INDIRECT(zoneFichierEAN13ValmagUniq),T96,2),"")</f>
        <v/>
      </c>
      <c r="V96" s="52" t="e">
        <f ca="1">MATCH($S96,INDIRECT(nomFichierEAN13ValmagUniq &amp; "!A" &amp; (T96+1) &amp; ":A" &amp;  (T96+10)),0)</f>
        <v>#N/A</v>
      </c>
      <c r="W96" s="51" t="e">
        <f t="shared" ref="W96" ca="1" si="350">V96+T96</f>
        <v>#N/A</v>
      </c>
      <c r="X96" s="49" t="str">
        <f ca="1">IFERROR(INDEX(INDIRECT(zoneFichierEAN13ValmagUniq),W96,2),"")</f>
        <v/>
      </c>
      <c r="Y96" s="52" t="e">
        <f ca="1">MATCH($S96,INDIRECT(nomFichierEAN13ValmagUniq &amp; "!A" &amp; (W96+1) &amp; ":A" &amp;  (W96+10)),0)</f>
        <v>#N/A</v>
      </c>
      <c r="Z96" s="51" t="e">
        <f t="shared" ref="Z96" ca="1" si="351">Y96+W96</f>
        <v>#N/A</v>
      </c>
      <c r="AA96" s="49" t="str">
        <f ca="1">IFERROR(INDEX(INDIRECT(zoneFichierEAN13ValmagUniq),Z96,2),"")</f>
        <v/>
      </c>
      <c r="AB96" s="53" t="str">
        <f t="shared" ref="AB96" ca="1" si="352">U96 &amp; IF(X96="","", " | " &amp; X96) &amp; IF(AA96="","", " | " &amp;AA96)</f>
        <v/>
      </c>
      <c r="AD96" s="55" t="e">
        <f ca="1">MATCH(B96,INDIRECT(nomFichierFiltreCatalogue &amp; "!B:B"),0)</f>
        <v>#N/A</v>
      </c>
      <c r="AE96" s="14"/>
    </row>
    <row r="97" spans="1:31" s="20" customFormat="1" ht="15.75" customHeight="1" x14ac:dyDescent="0.25">
      <c r="A97" s="25">
        <f ca="1">INDEX(INDIRECT(zoneFichierTraite),$J96+offsetInitialFichierTraite,2)</f>
        <v>0</v>
      </c>
      <c r="B97" s="58" t="str">
        <f ca="1">IFERROR(INDEX(INDIRECT(zoneFichierEAN13Valmag),$P96,3),"")</f>
        <v/>
      </c>
      <c r="C97" s="54" t="str">
        <f t="shared" ref="C97:C145" ca="1" si="353">AB96</f>
        <v/>
      </c>
      <c r="D97" s="19" t="str">
        <f ca="1">IFERROR(INDEX(INDIRECT(zoneFichierEAN13Valmag),$P96,4),"")</f>
        <v/>
      </c>
      <c r="E97" s="59" t="str">
        <f ca="1">IFERROR(INDEX(INDIRECT(zoneFichierFiltreCatalogue),AD96,3),"")</f>
        <v/>
      </c>
      <c r="F97" s="19"/>
      <c r="G97" s="18"/>
      <c r="H97" s="32" t="str">
        <f ca="1">IFERROR(INDEX(INDIRECT(zoneFichierFiltreCatalogue),AD96,6),"")</f>
        <v/>
      </c>
      <c r="T97" s="1"/>
      <c r="U97" s="21"/>
      <c r="V97" s="21"/>
      <c r="W97" s="21"/>
      <c r="X97" s="21"/>
      <c r="Y97" s="21"/>
      <c r="Z97" s="21"/>
      <c r="AA97" s="21"/>
      <c r="AB97" s="21"/>
      <c r="AC97" s="21"/>
      <c r="AD97" s="21"/>
    </row>
    <row r="98" spans="1:31" ht="39" customHeight="1" thickBot="1" x14ac:dyDescent="0.65">
      <c r="A98" s="9">
        <f ca="1">INDEX(INDIRECT(zoneFichierTraite),$J98+offsetInitialFichierTraite,6)</f>
        <v>0</v>
      </c>
      <c r="B98" s="5">
        <f ca="1">INDEX(INDIRECT(zoneFichierTraite),$J98+offsetInitialFichierTraite,4)</f>
        <v>0</v>
      </c>
      <c r="C98" s="26">
        <f ca="1">INDEX(INDIRECT(zoneFichierTraite),$J98+offsetInitialFichierTraite,5)</f>
        <v>0</v>
      </c>
      <c r="D98" s="27">
        <f ca="1">INDEX(INDIRECT(zoneFichierTraite),$J98+offsetInitialFichierTraite,13)</f>
        <v>0</v>
      </c>
      <c r="E98" s="30">
        <f ca="1">INDEX(INDIRECT(zoneFichierTraite),$J98+offsetInitialFichierTraite,7)</f>
        <v>0</v>
      </c>
      <c r="F98" s="28">
        <f ca="1">INDEX(INDIRECT(zoneFichierTraite),$J98+offsetInitialFichierTraite,8)</f>
        <v>0</v>
      </c>
      <c r="G98" s="29">
        <f t="shared" ref="G98:G145" ca="1" si="354">ROUNDUP(F98*3,0)</f>
        <v>0</v>
      </c>
      <c r="H98" s="31" t="str">
        <f ca="1">IF(ISNUMBER(N98),codeEAN13(INT(N98/10)),"")</f>
        <v/>
      </c>
      <c r="I98" s="1" t="b">
        <f t="shared" ref="I98" ca="1" si="355">AND(A101&lt;&gt;0,A99=A101)</f>
        <v>0</v>
      </c>
      <c r="J98" s="15">
        <f t="shared" si="259"/>
        <v>45</v>
      </c>
      <c r="K98" s="1">
        <f t="shared" ref="K98:K145" ca="1" si="356">A99</f>
        <v>0</v>
      </c>
      <c r="L98" s="5">
        <f ca="1">INDEX(INDIRECT(zoneFichierTraite),$J98+offsetInitialFichierTraite,1)</f>
        <v>0</v>
      </c>
      <c r="M98" s="11">
        <f ca="1">INDEX(INDIRECT(zoneFichierTraite),$J98+offsetInitialFichierTraite,9)</f>
        <v>0</v>
      </c>
      <c r="N98" s="14">
        <f ca="1">INDEX(INDIRECT(zoneFichierTraite),$J98+offsetInitialFichierTraite,3)</f>
        <v>0</v>
      </c>
      <c r="O98" s="14"/>
      <c r="P98" s="56" t="e">
        <f ca="1">MATCH(N98,INDIRECT(nomFichierEAN13Valmag &amp; "!A:A"),0)</f>
        <v>#N/A</v>
      </c>
      <c r="Q98" s="57" t="e">
        <f ca="1">MATCH(U98,INDIRECT(nomFichierEAN13Valmag &amp; "!A:A"),0)</f>
        <v>#N/A</v>
      </c>
      <c r="S98" s="50" t="str">
        <f t="shared" ref="S98:S145" ca="1" si="357">LEFT(B98,14)</f>
        <v>0</v>
      </c>
      <c r="T98" s="52" t="e">
        <f ca="1">MATCH($S98,INDIRECT(nomFichierEAN13ValmagUniq &amp; "!A:A"),0)</f>
        <v>#N/A</v>
      </c>
      <c r="U98" s="49" t="str">
        <f ca="1">IFERROR(INDEX(INDIRECT(zoneFichierEAN13ValmagUniq),T98,2),"")</f>
        <v/>
      </c>
      <c r="V98" s="52" t="e">
        <f ca="1">MATCH($S98,INDIRECT(nomFichierEAN13ValmagUniq &amp; "!A" &amp; (T98+1) &amp; ":A" &amp;  (T98+10)),0)</f>
        <v>#N/A</v>
      </c>
      <c r="W98" s="51" t="e">
        <f t="shared" ref="W98" ca="1" si="358">V98+T98</f>
        <v>#N/A</v>
      </c>
      <c r="X98" s="49" t="str">
        <f ca="1">IFERROR(INDEX(INDIRECT(zoneFichierEAN13ValmagUniq),W98,2),"")</f>
        <v/>
      </c>
      <c r="Y98" s="52" t="e">
        <f ca="1">MATCH($S98,INDIRECT(nomFichierEAN13ValmagUniq &amp; "!A" &amp; (W98+1) &amp; ":A" &amp;  (W98+10)),0)</f>
        <v>#N/A</v>
      </c>
      <c r="Z98" s="51" t="e">
        <f t="shared" ref="Z98" ca="1" si="359">Y98+W98</f>
        <v>#N/A</v>
      </c>
      <c r="AA98" s="49" t="str">
        <f ca="1">IFERROR(INDEX(INDIRECT(zoneFichierEAN13ValmagUniq),Z98,2),"")</f>
        <v/>
      </c>
      <c r="AB98" s="53" t="str">
        <f t="shared" ref="AB98" ca="1" si="360">U98 &amp; IF(X98="","", " | " &amp; X98) &amp; IF(AA98="","", " | " &amp;AA98)</f>
        <v/>
      </c>
      <c r="AD98" s="55" t="e">
        <f ca="1">MATCH(B98,INDIRECT(nomFichierFiltreCatalogue &amp; "!B:B"),0)</f>
        <v>#N/A</v>
      </c>
      <c r="AE98" s="14"/>
    </row>
    <row r="99" spans="1:31" s="20" customFormat="1" ht="15.75" customHeight="1" x14ac:dyDescent="0.25">
      <c r="A99" s="25">
        <f ca="1">INDEX(INDIRECT(zoneFichierTraite),$J98+offsetInitialFichierTraite,2)</f>
        <v>0</v>
      </c>
      <c r="B99" s="58" t="str">
        <f ca="1">IFERROR(INDEX(INDIRECT(zoneFichierEAN13Valmag),$P98,3),"")</f>
        <v/>
      </c>
      <c r="C99" s="54" t="str">
        <f t="shared" ref="C99:C145" ca="1" si="361">AB98</f>
        <v/>
      </c>
      <c r="D99" s="19" t="str">
        <f ca="1">IFERROR(INDEX(INDIRECT(zoneFichierEAN13Valmag),$P98,4),"")</f>
        <v/>
      </c>
      <c r="E99" s="59" t="str">
        <f ca="1">IFERROR(INDEX(INDIRECT(zoneFichierFiltreCatalogue),AD98,3),"")</f>
        <v/>
      </c>
      <c r="F99" s="19"/>
      <c r="G99" s="18"/>
      <c r="H99" s="32" t="str">
        <f ca="1">IFERROR(INDEX(INDIRECT(zoneFichierFiltreCatalogue),AD98,6),"")</f>
        <v/>
      </c>
      <c r="T99" s="1"/>
      <c r="U99" s="21"/>
      <c r="V99" s="21"/>
      <c r="W99" s="21"/>
      <c r="X99" s="21"/>
      <c r="Y99" s="21"/>
      <c r="Z99" s="21"/>
      <c r="AA99" s="21"/>
      <c r="AB99" s="21"/>
      <c r="AC99" s="21"/>
      <c r="AD99" s="21"/>
    </row>
    <row r="100" spans="1:31" ht="39" customHeight="1" thickBot="1" x14ac:dyDescent="0.65">
      <c r="A100" s="9">
        <f ca="1">INDEX(INDIRECT(zoneFichierTraite),$J100+offsetInitialFichierTraite,6)</f>
        <v>0</v>
      </c>
      <c r="B100" s="5">
        <f ca="1">INDEX(INDIRECT(zoneFichierTraite),$J100+offsetInitialFichierTraite,4)</f>
        <v>0</v>
      </c>
      <c r="C100" s="26">
        <f ca="1">INDEX(INDIRECT(zoneFichierTraite),$J100+offsetInitialFichierTraite,5)</f>
        <v>0</v>
      </c>
      <c r="D100" s="27">
        <f ca="1">INDEX(INDIRECT(zoneFichierTraite),$J100+offsetInitialFichierTraite,13)</f>
        <v>0</v>
      </c>
      <c r="E100" s="30">
        <f ca="1">INDEX(INDIRECT(zoneFichierTraite),$J100+offsetInitialFichierTraite,7)</f>
        <v>0</v>
      </c>
      <c r="F100" s="28">
        <f ca="1">INDEX(INDIRECT(zoneFichierTraite),$J100+offsetInitialFichierTraite,8)</f>
        <v>0</v>
      </c>
      <c r="G100" s="29">
        <f t="shared" ref="G100:G145" ca="1" si="362">ROUNDUP(F100*3,0)</f>
        <v>0</v>
      </c>
      <c r="H100" s="31" t="str">
        <f ca="1">IF(ISNUMBER(N100),codeEAN13(INT(N100/10)),"")</f>
        <v/>
      </c>
      <c r="I100" s="1" t="b">
        <f t="shared" ref="I100" ca="1" si="363">AND(A103&lt;&gt;0,A101=A103)</f>
        <v>0</v>
      </c>
      <c r="J100" s="15">
        <f t="shared" si="259"/>
        <v>46</v>
      </c>
      <c r="K100" s="1">
        <f t="shared" ref="K100:K145" ca="1" si="364">A101</f>
        <v>0</v>
      </c>
      <c r="L100" s="5">
        <f ca="1">INDEX(INDIRECT(zoneFichierTraite),$J100+offsetInitialFichierTraite,1)</f>
        <v>0</v>
      </c>
      <c r="M100" s="11">
        <f ca="1">INDEX(INDIRECT(zoneFichierTraite),$J100+offsetInitialFichierTraite,9)</f>
        <v>0</v>
      </c>
      <c r="N100" s="14">
        <f ca="1">INDEX(INDIRECT(zoneFichierTraite),$J100+offsetInitialFichierTraite,3)</f>
        <v>0</v>
      </c>
      <c r="O100" s="14"/>
      <c r="P100" s="56" t="e">
        <f ca="1">MATCH(N100,INDIRECT(nomFichierEAN13Valmag &amp; "!A:A"),0)</f>
        <v>#N/A</v>
      </c>
      <c r="Q100" s="57" t="e">
        <f ca="1">MATCH(U100,INDIRECT(nomFichierEAN13Valmag &amp; "!A:A"),0)</f>
        <v>#N/A</v>
      </c>
      <c r="S100" s="50" t="str">
        <f t="shared" ref="S100:S145" ca="1" si="365">LEFT(B100,14)</f>
        <v>0</v>
      </c>
      <c r="T100" s="52" t="e">
        <f ca="1">MATCH($S100,INDIRECT(nomFichierEAN13ValmagUniq &amp; "!A:A"),0)</f>
        <v>#N/A</v>
      </c>
      <c r="U100" s="49" t="str">
        <f ca="1">IFERROR(INDEX(INDIRECT(zoneFichierEAN13ValmagUniq),T100,2),"")</f>
        <v/>
      </c>
      <c r="V100" s="52" t="e">
        <f ca="1">MATCH($S100,INDIRECT(nomFichierEAN13ValmagUniq &amp; "!A" &amp; (T100+1) &amp; ":A" &amp;  (T100+10)),0)</f>
        <v>#N/A</v>
      </c>
      <c r="W100" s="51" t="e">
        <f t="shared" ref="W100" ca="1" si="366">V100+T100</f>
        <v>#N/A</v>
      </c>
      <c r="X100" s="49" t="str">
        <f ca="1">IFERROR(INDEX(INDIRECT(zoneFichierEAN13ValmagUniq),W100,2),"")</f>
        <v/>
      </c>
      <c r="Y100" s="52" t="e">
        <f ca="1">MATCH($S100,INDIRECT(nomFichierEAN13ValmagUniq &amp; "!A" &amp; (W100+1) &amp; ":A" &amp;  (W100+10)),0)</f>
        <v>#N/A</v>
      </c>
      <c r="Z100" s="51" t="e">
        <f t="shared" ref="Z100" ca="1" si="367">Y100+W100</f>
        <v>#N/A</v>
      </c>
      <c r="AA100" s="49" t="str">
        <f ca="1">IFERROR(INDEX(INDIRECT(zoneFichierEAN13ValmagUniq),Z100,2),"")</f>
        <v/>
      </c>
      <c r="AB100" s="53" t="str">
        <f t="shared" ref="AB100" ca="1" si="368">U100 &amp; IF(X100="","", " | " &amp; X100) &amp; IF(AA100="","", " | " &amp;AA100)</f>
        <v/>
      </c>
      <c r="AD100" s="55" t="e">
        <f ca="1">MATCH(B100,INDIRECT(nomFichierFiltreCatalogue &amp; "!B:B"),0)</f>
        <v>#N/A</v>
      </c>
      <c r="AE100" s="14"/>
    </row>
    <row r="101" spans="1:31" s="20" customFormat="1" ht="15.75" customHeight="1" x14ac:dyDescent="0.25">
      <c r="A101" s="25">
        <f ca="1">INDEX(INDIRECT(zoneFichierTraite),$J100+offsetInitialFichierTraite,2)</f>
        <v>0</v>
      </c>
      <c r="B101" s="58" t="str">
        <f ca="1">IFERROR(INDEX(INDIRECT(zoneFichierEAN13Valmag),$P100,3),"")</f>
        <v/>
      </c>
      <c r="C101" s="54" t="str">
        <f t="shared" ref="C101:C145" ca="1" si="369">AB100</f>
        <v/>
      </c>
      <c r="D101" s="19" t="str">
        <f ca="1">IFERROR(INDEX(INDIRECT(zoneFichierEAN13Valmag),$P100,4),"")</f>
        <v/>
      </c>
      <c r="E101" s="59" t="str">
        <f ca="1">IFERROR(INDEX(INDIRECT(zoneFichierFiltreCatalogue),AD100,3),"")</f>
        <v/>
      </c>
      <c r="F101" s="19"/>
      <c r="G101" s="18"/>
      <c r="H101" s="32" t="str">
        <f ca="1">IFERROR(INDEX(INDIRECT(zoneFichierFiltreCatalogue),AD100,6),"")</f>
        <v/>
      </c>
      <c r="T101" s="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</row>
    <row r="102" spans="1:31" ht="39" customHeight="1" thickBot="1" x14ac:dyDescent="0.65">
      <c r="A102" s="9">
        <f ca="1">INDEX(INDIRECT(zoneFichierTraite),$J102+offsetInitialFichierTraite,6)</f>
        <v>0</v>
      </c>
      <c r="B102" s="5">
        <f ca="1">INDEX(INDIRECT(zoneFichierTraite),$J102+offsetInitialFichierTraite,4)</f>
        <v>0</v>
      </c>
      <c r="C102" s="26">
        <f ca="1">INDEX(INDIRECT(zoneFichierTraite),$J102+offsetInitialFichierTraite,5)</f>
        <v>0</v>
      </c>
      <c r="D102" s="27">
        <f ca="1">INDEX(INDIRECT(zoneFichierTraite),$J102+offsetInitialFichierTraite,13)</f>
        <v>0</v>
      </c>
      <c r="E102" s="30">
        <f ca="1">INDEX(INDIRECT(zoneFichierTraite),$J102+offsetInitialFichierTraite,7)</f>
        <v>0</v>
      </c>
      <c r="F102" s="28">
        <f ca="1">INDEX(INDIRECT(zoneFichierTraite),$J102+offsetInitialFichierTraite,8)</f>
        <v>0</v>
      </c>
      <c r="G102" s="29">
        <f t="shared" ref="G102:G145" ca="1" si="370">ROUNDUP(F102*3,0)</f>
        <v>0</v>
      </c>
      <c r="H102" s="31" t="str">
        <f ca="1">IF(ISNUMBER(N102),codeEAN13(INT(N102/10)),"")</f>
        <v/>
      </c>
      <c r="I102" s="1" t="b">
        <f t="shared" ref="I102" ca="1" si="371">AND(A105&lt;&gt;0,A103=A105)</f>
        <v>0</v>
      </c>
      <c r="J102" s="15">
        <f t="shared" si="259"/>
        <v>47</v>
      </c>
      <c r="K102" s="1">
        <f t="shared" ref="K102:K145" ca="1" si="372">A103</f>
        <v>0</v>
      </c>
      <c r="L102" s="5">
        <f ca="1">INDEX(INDIRECT(zoneFichierTraite),$J102+offsetInitialFichierTraite,1)</f>
        <v>0</v>
      </c>
      <c r="M102" s="11">
        <f ca="1">INDEX(INDIRECT(zoneFichierTraite),$J102+offsetInitialFichierTraite,9)</f>
        <v>0</v>
      </c>
      <c r="N102" s="14">
        <f ca="1">INDEX(INDIRECT(zoneFichierTraite),$J102+offsetInitialFichierTraite,3)</f>
        <v>0</v>
      </c>
      <c r="O102" s="14"/>
      <c r="P102" s="56" t="e">
        <f ca="1">MATCH(N102,INDIRECT(nomFichierEAN13Valmag &amp; "!A:A"),0)</f>
        <v>#N/A</v>
      </c>
      <c r="Q102" s="57" t="e">
        <f ca="1">MATCH(U102,INDIRECT(nomFichierEAN13Valmag &amp; "!A:A"),0)</f>
        <v>#N/A</v>
      </c>
      <c r="S102" s="50" t="str">
        <f t="shared" ref="S102:S145" ca="1" si="373">LEFT(B102,14)</f>
        <v>0</v>
      </c>
      <c r="T102" s="52" t="e">
        <f ca="1">MATCH($S102,INDIRECT(nomFichierEAN13ValmagUniq &amp; "!A:A"),0)</f>
        <v>#N/A</v>
      </c>
      <c r="U102" s="49" t="str">
        <f ca="1">IFERROR(INDEX(INDIRECT(zoneFichierEAN13ValmagUniq),T102,2),"")</f>
        <v/>
      </c>
      <c r="V102" s="52" t="e">
        <f ca="1">MATCH($S102,INDIRECT(nomFichierEAN13ValmagUniq &amp; "!A" &amp; (T102+1) &amp; ":A" &amp;  (T102+10)),0)</f>
        <v>#N/A</v>
      </c>
      <c r="W102" s="51" t="e">
        <f t="shared" ref="W102" ca="1" si="374">V102+T102</f>
        <v>#N/A</v>
      </c>
      <c r="X102" s="49" t="str">
        <f ca="1">IFERROR(INDEX(INDIRECT(zoneFichierEAN13ValmagUniq),W102,2),"")</f>
        <v/>
      </c>
      <c r="Y102" s="52" t="e">
        <f ca="1">MATCH($S102,INDIRECT(nomFichierEAN13ValmagUniq &amp; "!A" &amp; (W102+1) &amp; ":A" &amp;  (W102+10)),0)</f>
        <v>#N/A</v>
      </c>
      <c r="Z102" s="51" t="e">
        <f t="shared" ref="Z102" ca="1" si="375">Y102+W102</f>
        <v>#N/A</v>
      </c>
      <c r="AA102" s="49" t="str">
        <f ca="1">IFERROR(INDEX(INDIRECT(zoneFichierEAN13ValmagUniq),Z102,2),"")</f>
        <v/>
      </c>
      <c r="AB102" s="53" t="str">
        <f t="shared" ref="AB102" ca="1" si="376">U102 &amp; IF(X102="","", " | " &amp; X102) &amp; IF(AA102="","", " | " &amp;AA102)</f>
        <v/>
      </c>
      <c r="AD102" s="55" t="e">
        <f ca="1">MATCH(B102,INDIRECT(nomFichierFiltreCatalogue &amp; "!B:B"),0)</f>
        <v>#N/A</v>
      </c>
      <c r="AE102" s="14"/>
    </row>
    <row r="103" spans="1:31" s="20" customFormat="1" ht="15.75" customHeight="1" x14ac:dyDescent="0.25">
      <c r="A103" s="25">
        <f ca="1">INDEX(INDIRECT(zoneFichierTraite),$J102+offsetInitialFichierTraite,2)</f>
        <v>0</v>
      </c>
      <c r="B103" s="58" t="str">
        <f ca="1">IFERROR(INDEX(INDIRECT(zoneFichierEAN13Valmag),$P102,3),"")</f>
        <v/>
      </c>
      <c r="C103" s="54" t="str">
        <f t="shared" ref="C103:C145" ca="1" si="377">AB102</f>
        <v/>
      </c>
      <c r="D103" s="19" t="str">
        <f ca="1">IFERROR(INDEX(INDIRECT(zoneFichierEAN13Valmag),$P102,4),"")</f>
        <v/>
      </c>
      <c r="E103" s="59" t="str">
        <f ca="1">IFERROR(INDEX(INDIRECT(zoneFichierFiltreCatalogue),AD102,3),"")</f>
        <v/>
      </c>
      <c r="F103" s="19"/>
      <c r="G103" s="18"/>
      <c r="H103" s="32" t="str">
        <f ca="1">IFERROR(INDEX(INDIRECT(zoneFichierFiltreCatalogue),AD102,6),"")</f>
        <v/>
      </c>
      <c r="T103" s="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</row>
    <row r="104" spans="1:31" ht="39" customHeight="1" thickBot="1" x14ac:dyDescent="0.65">
      <c r="A104" s="9">
        <f ca="1">INDEX(INDIRECT(zoneFichierTraite),$J104+offsetInitialFichierTraite,6)</f>
        <v>0</v>
      </c>
      <c r="B104" s="5">
        <f ca="1">INDEX(INDIRECT(zoneFichierTraite),$J104+offsetInitialFichierTraite,4)</f>
        <v>0</v>
      </c>
      <c r="C104" s="26">
        <f ca="1">INDEX(INDIRECT(zoneFichierTraite),$J104+offsetInitialFichierTraite,5)</f>
        <v>0</v>
      </c>
      <c r="D104" s="27">
        <f ca="1">INDEX(INDIRECT(zoneFichierTraite),$J104+offsetInitialFichierTraite,13)</f>
        <v>0</v>
      </c>
      <c r="E104" s="30">
        <f ca="1">INDEX(INDIRECT(zoneFichierTraite),$J104+offsetInitialFichierTraite,7)</f>
        <v>0</v>
      </c>
      <c r="F104" s="28">
        <f ca="1">INDEX(INDIRECT(zoneFichierTraite),$J104+offsetInitialFichierTraite,8)</f>
        <v>0</v>
      </c>
      <c r="G104" s="29">
        <f t="shared" ref="G104:G145" ca="1" si="378">ROUNDUP(F104*3,0)</f>
        <v>0</v>
      </c>
      <c r="H104" s="31" t="str">
        <f ca="1">IF(ISNUMBER(N104),codeEAN13(INT(N104/10)),"")</f>
        <v/>
      </c>
      <c r="I104" s="1" t="b">
        <f t="shared" ref="I104" ca="1" si="379">AND(A107&lt;&gt;0,A105=A107)</f>
        <v>0</v>
      </c>
      <c r="J104" s="15">
        <f t="shared" si="259"/>
        <v>48</v>
      </c>
      <c r="K104" s="1">
        <f t="shared" ref="K104:K145" ca="1" si="380">A105</f>
        <v>0</v>
      </c>
      <c r="L104" s="5">
        <f ca="1">INDEX(INDIRECT(zoneFichierTraite),$J104+offsetInitialFichierTraite,1)</f>
        <v>0</v>
      </c>
      <c r="M104" s="11">
        <f ca="1">INDEX(INDIRECT(zoneFichierTraite),$J104+offsetInitialFichierTraite,9)</f>
        <v>0</v>
      </c>
      <c r="N104" s="14">
        <f ca="1">INDEX(INDIRECT(zoneFichierTraite),$J104+offsetInitialFichierTraite,3)</f>
        <v>0</v>
      </c>
      <c r="O104" s="14"/>
      <c r="P104" s="56" t="e">
        <f ca="1">MATCH(N104,INDIRECT(nomFichierEAN13Valmag &amp; "!A:A"),0)</f>
        <v>#N/A</v>
      </c>
      <c r="Q104" s="57" t="e">
        <f ca="1">MATCH(U104,INDIRECT(nomFichierEAN13Valmag &amp; "!A:A"),0)</f>
        <v>#N/A</v>
      </c>
      <c r="S104" s="50" t="str">
        <f t="shared" ref="S104:S145" ca="1" si="381">LEFT(B104,14)</f>
        <v>0</v>
      </c>
      <c r="T104" s="52" t="e">
        <f ca="1">MATCH($S104,INDIRECT(nomFichierEAN13ValmagUniq &amp; "!A:A"),0)</f>
        <v>#N/A</v>
      </c>
      <c r="U104" s="49" t="str">
        <f ca="1">IFERROR(INDEX(INDIRECT(zoneFichierEAN13ValmagUniq),T104,2),"")</f>
        <v/>
      </c>
      <c r="V104" s="52" t="e">
        <f ca="1">MATCH($S104,INDIRECT(nomFichierEAN13ValmagUniq &amp; "!A" &amp; (T104+1) &amp; ":A" &amp;  (T104+10)),0)</f>
        <v>#N/A</v>
      </c>
      <c r="W104" s="51" t="e">
        <f t="shared" ref="W104" ca="1" si="382">V104+T104</f>
        <v>#N/A</v>
      </c>
      <c r="X104" s="49" t="str">
        <f ca="1">IFERROR(INDEX(INDIRECT(zoneFichierEAN13ValmagUniq),W104,2),"")</f>
        <v/>
      </c>
      <c r="Y104" s="52" t="e">
        <f ca="1">MATCH($S104,INDIRECT(nomFichierEAN13ValmagUniq &amp; "!A" &amp; (W104+1) &amp; ":A" &amp;  (W104+10)),0)</f>
        <v>#N/A</v>
      </c>
      <c r="Z104" s="51" t="e">
        <f t="shared" ref="Z104" ca="1" si="383">Y104+W104</f>
        <v>#N/A</v>
      </c>
      <c r="AA104" s="49" t="str">
        <f ca="1">IFERROR(INDEX(INDIRECT(zoneFichierEAN13ValmagUniq),Z104,2),"")</f>
        <v/>
      </c>
      <c r="AB104" s="53" t="str">
        <f t="shared" ref="AB104" ca="1" si="384">U104 &amp; IF(X104="","", " | " &amp; X104) &amp; IF(AA104="","", " | " &amp;AA104)</f>
        <v/>
      </c>
      <c r="AD104" s="55" t="e">
        <f ca="1">MATCH(B104,INDIRECT(nomFichierFiltreCatalogue &amp; "!B:B"),0)</f>
        <v>#N/A</v>
      </c>
      <c r="AE104" s="14"/>
    </row>
    <row r="105" spans="1:31" s="20" customFormat="1" ht="15.75" customHeight="1" x14ac:dyDescent="0.25">
      <c r="A105" s="25">
        <f ca="1">INDEX(INDIRECT(zoneFichierTraite),$J104+offsetInitialFichierTraite,2)</f>
        <v>0</v>
      </c>
      <c r="B105" s="58" t="str">
        <f ca="1">IFERROR(INDEX(INDIRECT(zoneFichierEAN13Valmag),$P104,3),"")</f>
        <v/>
      </c>
      <c r="C105" s="54" t="str">
        <f t="shared" ref="C105:C145" ca="1" si="385">AB104</f>
        <v/>
      </c>
      <c r="D105" s="19" t="str">
        <f ca="1">IFERROR(INDEX(INDIRECT(zoneFichierEAN13Valmag),$P104,4),"")</f>
        <v/>
      </c>
      <c r="E105" s="59" t="str">
        <f ca="1">IFERROR(INDEX(INDIRECT(zoneFichierFiltreCatalogue),AD104,3),"")</f>
        <v/>
      </c>
      <c r="F105" s="19"/>
      <c r="G105" s="18"/>
      <c r="H105" s="32" t="str">
        <f ca="1">IFERROR(INDEX(INDIRECT(zoneFichierFiltreCatalogue),AD104,6),"")</f>
        <v/>
      </c>
      <c r="T105" s="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</row>
    <row r="106" spans="1:31" ht="39" customHeight="1" thickBot="1" x14ac:dyDescent="0.65">
      <c r="A106" s="9">
        <f ca="1">INDEX(INDIRECT(zoneFichierTraite),$J106+offsetInitialFichierTraite,6)</f>
        <v>0</v>
      </c>
      <c r="B106" s="5">
        <f ca="1">INDEX(INDIRECT(zoneFichierTraite),$J106+offsetInitialFichierTraite,4)</f>
        <v>0</v>
      </c>
      <c r="C106" s="26">
        <f ca="1">INDEX(INDIRECT(zoneFichierTraite),$J106+offsetInitialFichierTraite,5)</f>
        <v>0</v>
      </c>
      <c r="D106" s="27">
        <f ca="1">INDEX(INDIRECT(zoneFichierTraite),$J106+offsetInitialFichierTraite,13)</f>
        <v>0</v>
      </c>
      <c r="E106" s="30">
        <f ca="1">INDEX(INDIRECT(zoneFichierTraite),$J106+offsetInitialFichierTraite,7)</f>
        <v>0</v>
      </c>
      <c r="F106" s="28">
        <f ca="1">INDEX(INDIRECT(zoneFichierTraite),$J106+offsetInitialFichierTraite,8)</f>
        <v>0</v>
      </c>
      <c r="G106" s="29">
        <f t="shared" ref="G106:G145" ca="1" si="386">ROUNDUP(F106*3,0)</f>
        <v>0</v>
      </c>
      <c r="H106" s="31" t="str">
        <f ca="1">IF(ISNUMBER(N106),codeEAN13(INT(N106/10)),"")</f>
        <v/>
      </c>
      <c r="I106" s="1" t="b">
        <f t="shared" ref="I106" ca="1" si="387">AND(A109&lt;&gt;0,A107=A109)</f>
        <v>0</v>
      </c>
      <c r="J106" s="15">
        <f t="shared" si="259"/>
        <v>49</v>
      </c>
      <c r="K106" s="1">
        <f t="shared" ref="K106:K145" ca="1" si="388">A107</f>
        <v>0</v>
      </c>
      <c r="L106" s="5">
        <f ca="1">INDEX(INDIRECT(zoneFichierTraite),$J106+offsetInitialFichierTraite,1)</f>
        <v>0</v>
      </c>
      <c r="M106" s="11">
        <f ca="1">INDEX(INDIRECT(zoneFichierTraite),$J106+offsetInitialFichierTraite,9)</f>
        <v>0</v>
      </c>
      <c r="N106" s="14">
        <f ca="1">INDEX(INDIRECT(zoneFichierTraite),$J106+offsetInitialFichierTraite,3)</f>
        <v>0</v>
      </c>
      <c r="O106" s="14"/>
      <c r="P106" s="56" t="e">
        <f ca="1">MATCH(N106,INDIRECT(nomFichierEAN13Valmag &amp; "!A:A"),0)</f>
        <v>#N/A</v>
      </c>
      <c r="Q106" s="57" t="e">
        <f ca="1">MATCH(U106,INDIRECT(nomFichierEAN13Valmag &amp; "!A:A"),0)</f>
        <v>#N/A</v>
      </c>
      <c r="S106" s="50" t="str">
        <f t="shared" ref="S106:S145" ca="1" si="389">LEFT(B106,14)</f>
        <v>0</v>
      </c>
      <c r="T106" s="52" t="e">
        <f ca="1">MATCH($S106,INDIRECT(nomFichierEAN13ValmagUniq &amp; "!A:A"),0)</f>
        <v>#N/A</v>
      </c>
      <c r="U106" s="49" t="str">
        <f ca="1">IFERROR(INDEX(INDIRECT(zoneFichierEAN13ValmagUniq),T106,2),"")</f>
        <v/>
      </c>
      <c r="V106" s="52" t="e">
        <f ca="1">MATCH($S106,INDIRECT(nomFichierEAN13ValmagUniq &amp; "!A" &amp; (T106+1) &amp; ":A" &amp;  (T106+10)),0)</f>
        <v>#N/A</v>
      </c>
      <c r="W106" s="51" t="e">
        <f t="shared" ref="W106" ca="1" si="390">V106+T106</f>
        <v>#N/A</v>
      </c>
      <c r="X106" s="49" t="str">
        <f ca="1">IFERROR(INDEX(INDIRECT(zoneFichierEAN13ValmagUniq),W106,2),"")</f>
        <v/>
      </c>
      <c r="Y106" s="52" t="e">
        <f ca="1">MATCH($S106,INDIRECT(nomFichierEAN13ValmagUniq &amp; "!A" &amp; (W106+1) &amp; ":A" &amp;  (W106+10)),0)</f>
        <v>#N/A</v>
      </c>
      <c r="Z106" s="51" t="e">
        <f t="shared" ref="Z106" ca="1" si="391">Y106+W106</f>
        <v>#N/A</v>
      </c>
      <c r="AA106" s="49" t="str">
        <f ca="1">IFERROR(INDEX(INDIRECT(zoneFichierEAN13ValmagUniq),Z106,2),"")</f>
        <v/>
      </c>
      <c r="AB106" s="53" t="str">
        <f t="shared" ref="AB106" ca="1" si="392">U106 &amp; IF(X106="","", " | " &amp; X106) &amp; IF(AA106="","", " | " &amp;AA106)</f>
        <v/>
      </c>
      <c r="AD106" s="55" t="e">
        <f ca="1">MATCH(B106,INDIRECT(nomFichierFiltreCatalogue &amp; "!B:B"),0)</f>
        <v>#N/A</v>
      </c>
      <c r="AE106" s="14"/>
    </row>
    <row r="107" spans="1:31" s="20" customFormat="1" ht="15.75" customHeight="1" x14ac:dyDescent="0.25">
      <c r="A107" s="25">
        <f ca="1">INDEX(INDIRECT(zoneFichierTraite),$J106+offsetInitialFichierTraite,2)</f>
        <v>0</v>
      </c>
      <c r="B107" s="58" t="str">
        <f ca="1">IFERROR(INDEX(INDIRECT(zoneFichierEAN13Valmag),$P106,3),"")</f>
        <v/>
      </c>
      <c r="C107" s="54" t="str">
        <f t="shared" ref="C107:C145" ca="1" si="393">AB106</f>
        <v/>
      </c>
      <c r="D107" s="19" t="str">
        <f ca="1">IFERROR(INDEX(INDIRECT(zoneFichierEAN13Valmag),$P106,4),"")</f>
        <v/>
      </c>
      <c r="E107" s="59" t="str">
        <f ca="1">IFERROR(INDEX(INDIRECT(zoneFichierFiltreCatalogue),AD106,3),"")</f>
        <v/>
      </c>
      <c r="F107" s="19"/>
      <c r="G107" s="18"/>
      <c r="H107" s="32" t="str">
        <f ca="1">IFERROR(INDEX(INDIRECT(zoneFichierFiltreCatalogue),AD106,6),"")</f>
        <v/>
      </c>
      <c r="T107" s="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</row>
    <row r="108" spans="1:31" ht="39" customHeight="1" thickBot="1" x14ac:dyDescent="0.65">
      <c r="A108" s="9">
        <f ca="1">INDEX(INDIRECT(zoneFichierTraite),$J108+offsetInitialFichierTraite,6)</f>
        <v>0</v>
      </c>
      <c r="B108" s="5">
        <f ca="1">INDEX(INDIRECT(zoneFichierTraite),$J108+offsetInitialFichierTraite,4)</f>
        <v>0</v>
      </c>
      <c r="C108" s="26">
        <f ca="1">INDEX(INDIRECT(zoneFichierTraite),$J108+offsetInitialFichierTraite,5)</f>
        <v>0</v>
      </c>
      <c r="D108" s="27">
        <f ca="1">INDEX(INDIRECT(zoneFichierTraite),$J108+offsetInitialFichierTraite,13)</f>
        <v>0</v>
      </c>
      <c r="E108" s="30">
        <f ca="1">INDEX(INDIRECT(zoneFichierTraite),$J108+offsetInitialFichierTraite,7)</f>
        <v>0</v>
      </c>
      <c r="F108" s="28">
        <f ca="1">INDEX(INDIRECT(zoneFichierTraite),$J108+offsetInitialFichierTraite,8)</f>
        <v>0</v>
      </c>
      <c r="G108" s="29">
        <f t="shared" ref="G108:G145" ca="1" si="394">ROUNDUP(F108*3,0)</f>
        <v>0</v>
      </c>
      <c r="H108" s="31" t="str">
        <f ca="1">IF(ISNUMBER(N108),codeEAN13(INT(N108/10)),"")</f>
        <v/>
      </c>
      <c r="I108" s="1" t="b">
        <f t="shared" ref="I108" ca="1" si="395">AND(A111&lt;&gt;0,A109=A111)</f>
        <v>0</v>
      </c>
      <c r="J108" s="15">
        <f t="shared" si="259"/>
        <v>50</v>
      </c>
      <c r="K108" s="1">
        <f t="shared" ref="K108:K145" ca="1" si="396">A109</f>
        <v>0</v>
      </c>
      <c r="L108" s="5">
        <f ca="1">INDEX(INDIRECT(zoneFichierTraite),$J108+offsetInitialFichierTraite,1)</f>
        <v>0</v>
      </c>
      <c r="M108" s="11">
        <f ca="1">INDEX(INDIRECT(zoneFichierTraite),$J108+offsetInitialFichierTraite,9)</f>
        <v>0</v>
      </c>
      <c r="N108" s="14">
        <f ca="1">INDEX(INDIRECT(zoneFichierTraite),$J108+offsetInitialFichierTraite,3)</f>
        <v>0</v>
      </c>
      <c r="O108" s="14"/>
      <c r="P108" s="56" t="e">
        <f ca="1">MATCH(N108,INDIRECT(nomFichierEAN13Valmag &amp; "!A:A"),0)</f>
        <v>#N/A</v>
      </c>
      <c r="Q108" s="57" t="e">
        <f ca="1">MATCH(U108,INDIRECT(nomFichierEAN13Valmag &amp; "!A:A"),0)</f>
        <v>#N/A</v>
      </c>
      <c r="S108" s="50" t="str">
        <f t="shared" ref="S108:S145" ca="1" si="397">LEFT(B108,14)</f>
        <v>0</v>
      </c>
      <c r="T108" s="52" t="e">
        <f ca="1">MATCH($S108,INDIRECT(nomFichierEAN13ValmagUniq &amp; "!A:A"),0)</f>
        <v>#N/A</v>
      </c>
      <c r="U108" s="49" t="str">
        <f ca="1">IFERROR(INDEX(INDIRECT(zoneFichierEAN13ValmagUniq),T108,2),"")</f>
        <v/>
      </c>
      <c r="V108" s="52" t="e">
        <f ca="1">MATCH($S108,INDIRECT(nomFichierEAN13ValmagUniq &amp; "!A" &amp; (T108+1) &amp; ":A" &amp;  (T108+10)),0)</f>
        <v>#N/A</v>
      </c>
      <c r="W108" s="51" t="e">
        <f t="shared" ref="W108" ca="1" si="398">V108+T108</f>
        <v>#N/A</v>
      </c>
      <c r="X108" s="49" t="str">
        <f ca="1">IFERROR(INDEX(INDIRECT(zoneFichierEAN13ValmagUniq),W108,2),"")</f>
        <v/>
      </c>
      <c r="Y108" s="52" t="e">
        <f ca="1">MATCH($S108,INDIRECT(nomFichierEAN13ValmagUniq &amp; "!A" &amp; (W108+1) &amp; ":A" &amp;  (W108+10)),0)</f>
        <v>#N/A</v>
      </c>
      <c r="Z108" s="51" t="e">
        <f t="shared" ref="Z108" ca="1" si="399">Y108+W108</f>
        <v>#N/A</v>
      </c>
      <c r="AA108" s="49" t="str">
        <f ca="1">IFERROR(INDEX(INDIRECT(zoneFichierEAN13ValmagUniq),Z108,2),"")</f>
        <v/>
      </c>
      <c r="AB108" s="53" t="str">
        <f t="shared" ref="AB108" ca="1" si="400">U108 &amp; IF(X108="","", " | " &amp; X108) &amp; IF(AA108="","", " | " &amp;AA108)</f>
        <v/>
      </c>
      <c r="AD108" s="55" t="e">
        <f ca="1">MATCH(B108,INDIRECT(nomFichierFiltreCatalogue &amp; "!B:B"),0)</f>
        <v>#N/A</v>
      </c>
      <c r="AE108" s="14"/>
    </row>
    <row r="109" spans="1:31" s="20" customFormat="1" ht="15.75" customHeight="1" x14ac:dyDescent="0.25">
      <c r="A109" s="25">
        <f ca="1">INDEX(INDIRECT(zoneFichierTraite),$J108+offsetInitialFichierTraite,2)</f>
        <v>0</v>
      </c>
      <c r="B109" s="58" t="str">
        <f ca="1">IFERROR(INDEX(INDIRECT(zoneFichierEAN13Valmag),$P108,3),"")</f>
        <v/>
      </c>
      <c r="C109" s="54" t="str">
        <f t="shared" ref="C109:C145" ca="1" si="401">AB108</f>
        <v/>
      </c>
      <c r="D109" s="19" t="str">
        <f ca="1">IFERROR(INDEX(INDIRECT(zoneFichierEAN13Valmag),$P108,4),"")</f>
        <v/>
      </c>
      <c r="E109" s="59" t="str">
        <f ca="1">IFERROR(INDEX(INDIRECT(zoneFichierFiltreCatalogue),AD108,3),"")</f>
        <v/>
      </c>
      <c r="F109" s="19"/>
      <c r="G109" s="18"/>
      <c r="H109" s="32" t="str">
        <f ca="1">IFERROR(INDEX(INDIRECT(zoneFichierFiltreCatalogue),AD108,6),"")</f>
        <v/>
      </c>
      <c r="T109" s="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</row>
    <row r="110" spans="1:31" ht="39" customHeight="1" thickBot="1" x14ac:dyDescent="0.65">
      <c r="A110" s="9">
        <f ca="1">INDEX(INDIRECT(zoneFichierTraite),$J110+offsetInitialFichierTraite,6)</f>
        <v>0</v>
      </c>
      <c r="B110" s="5">
        <f ca="1">INDEX(INDIRECT(zoneFichierTraite),$J110+offsetInitialFichierTraite,4)</f>
        <v>0</v>
      </c>
      <c r="C110" s="26">
        <f ca="1">INDEX(INDIRECT(zoneFichierTraite),$J110+offsetInitialFichierTraite,5)</f>
        <v>0</v>
      </c>
      <c r="D110" s="27">
        <f ca="1">INDEX(INDIRECT(zoneFichierTraite),$J110+offsetInitialFichierTraite,13)</f>
        <v>0</v>
      </c>
      <c r="E110" s="30">
        <f ca="1">INDEX(INDIRECT(zoneFichierTraite),$J110+offsetInitialFichierTraite,7)</f>
        <v>0</v>
      </c>
      <c r="F110" s="28">
        <f ca="1">INDEX(INDIRECT(zoneFichierTraite),$J110+offsetInitialFichierTraite,8)</f>
        <v>0</v>
      </c>
      <c r="G110" s="29">
        <f t="shared" ref="G110:G145" ca="1" si="402">ROUNDUP(F110*3,0)</f>
        <v>0</v>
      </c>
      <c r="H110" s="31" t="str">
        <f ca="1">IF(ISNUMBER(N110),codeEAN13(INT(N110/10)),"")</f>
        <v/>
      </c>
      <c r="I110" s="1" t="b">
        <f t="shared" ref="I110" ca="1" si="403">AND(A113&lt;&gt;0,A111=A113)</f>
        <v>0</v>
      </c>
      <c r="J110" s="15">
        <f t="shared" si="259"/>
        <v>51</v>
      </c>
      <c r="K110" s="1">
        <f t="shared" ref="K110:K145" ca="1" si="404">A111</f>
        <v>0</v>
      </c>
      <c r="L110" s="5">
        <f ca="1">INDEX(INDIRECT(zoneFichierTraite),$J110+offsetInitialFichierTraite,1)</f>
        <v>0</v>
      </c>
      <c r="M110" s="11">
        <f ca="1">INDEX(INDIRECT(zoneFichierTraite),$J110+offsetInitialFichierTraite,9)</f>
        <v>0</v>
      </c>
      <c r="N110" s="14">
        <f ca="1">INDEX(INDIRECT(zoneFichierTraite),$J110+offsetInitialFichierTraite,3)</f>
        <v>0</v>
      </c>
      <c r="O110" s="14"/>
      <c r="P110" s="56" t="e">
        <f ca="1">MATCH(N110,INDIRECT(nomFichierEAN13Valmag &amp; "!A:A"),0)</f>
        <v>#N/A</v>
      </c>
      <c r="Q110" s="57" t="e">
        <f ca="1">MATCH(U110,INDIRECT(nomFichierEAN13Valmag &amp; "!A:A"),0)</f>
        <v>#N/A</v>
      </c>
      <c r="S110" s="50" t="str">
        <f t="shared" ref="S110:S145" ca="1" si="405">LEFT(B110,14)</f>
        <v>0</v>
      </c>
      <c r="T110" s="52" t="e">
        <f ca="1">MATCH($S110,INDIRECT(nomFichierEAN13ValmagUniq &amp; "!A:A"),0)</f>
        <v>#N/A</v>
      </c>
      <c r="U110" s="49" t="str">
        <f ca="1">IFERROR(INDEX(INDIRECT(zoneFichierEAN13ValmagUniq),T110,2),"")</f>
        <v/>
      </c>
      <c r="V110" s="52" t="e">
        <f ca="1">MATCH($S110,INDIRECT(nomFichierEAN13ValmagUniq &amp; "!A" &amp; (T110+1) &amp; ":A" &amp;  (T110+10)),0)</f>
        <v>#N/A</v>
      </c>
      <c r="W110" s="51" t="e">
        <f t="shared" ref="W110" ca="1" si="406">V110+T110</f>
        <v>#N/A</v>
      </c>
      <c r="X110" s="49" t="str">
        <f ca="1">IFERROR(INDEX(INDIRECT(zoneFichierEAN13ValmagUniq),W110,2),"")</f>
        <v/>
      </c>
      <c r="Y110" s="52" t="e">
        <f ca="1">MATCH($S110,INDIRECT(nomFichierEAN13ValmagUniq &amp; "!A" &amp; (W110+1) &amp; ":A" &amp;  (W110+10)),0)</f>
        <v>#N/A</v>
      </c>
      <c r="Z110" s="51" t="e">
        <f t="shared" ref="Z110" ca="1" si="407">Y110+W110</f>
        <v>#N/A</v>
      </c>
      <c r="AA110" s="49" t="str">
        <f ca="1">IFERROR(INDEX(INDIRECT(zoneFichierEAN13ValmagUniq),Z110,2),"")</f>
        <v/>
      </c>
      <c r="AB110" s="53" t="str">
        <f t="shared" ref="AB110" ca="1" si="408">U110 &amp; IF(X110="","", " | " &amp; X110) &amp; IF(AA110="","", " | " &amp;AA110)</f>
        <v/>
      </c>
      <c r="AD110" s="55" t="e">
        <f ca="1">MATCH(B110,INDIRECT(nomFichierFiltreCatalogue &amp; "!B:B"),0)</f>
        <v>#N/A</v>
      </c>
      <c r="AE110" s="14"/>
    </row>
    <row r="111" spans="1:31" s="20" customFormat="1" ht="15.75" customHeight="1" x14ac:dyDescent="0.25">
      <c r="A111" s="25">
        <f ca="1">INDEX(INDIRECT(zoneFichierTraite),$J110+offsetInitialFichierTraite,2)</f>
        <v>0</v>
      </c>
      <c r="B111" s="58" t="str">
        <f ca="1">IFERROR(INDEX(INDIRECT(zoneFichierEAN13Valmag),$P110,3),"")</f>
        <v/>
      </c>
      <c r="C111" s="54" t="str">
        <f t="shared" ref="C111:C145" ca="1" si="409">AB110</f>
        <v/>
      </c>
      <c r="D111" s="19" t="str">
        <f ca="1">IFERROR(INDEX(INDIRECT(zoneFichierEAN13Valmag),$P110,4),"")</f>
        <v/>
      </c>
      <c r="E111" s="59" t="str">
        <f ca="1">IFERROR(INDEX(INDIRECT(zoneFichierFiltreCatalogue),AD110,3),"")</f>
        <v/>
      </c>
      <c r="F111" s="19"/>
      <c r="G111" s="18"/>
      <c r="H111" s="32" t="str">
        <f ca="1">IFERROR(INDEX(INDIRECT(zoneFichierFiltreCatalogue),AD110,6),"")</f>
        <v/>
      </c>
      <c r="T111" s="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</row>
    <row r="112" spans="1:31" ht="39" customHeight="1" thickBot="1" x14ac:dyDescent="0.65">
      <c r="A112" s="9">
        <f ca="1">INDEX(INDIRECT(zoneFichierTraite),$J112+offsetInitialFichierTraite,6)</f>
        <v>0</v>
      </c>
      <c r="B112" s="5">
        <f ca="1">INDEX(INDIRECT(zoneFichierTraite),$J112+offsetInitialFichierTraite,4)</f>
        <v>0</v>
      </c>
      <c r="C112" s="26">
        <f ca="1">INDEX(INDIRECT(zoneFichierTraite),$J112+offsetInitialFichierTraite,5)</f>
        <v>0</v>
      </c>
      <c r="D112" s="27">
        <f ca="1">INDEX(INDIRECT(zoneFichierTraite),$J112+offsetInitialFichierTraite,13)</f>
        <v>0</v>
      </c>
      <c r="E112" s="30">
        <f ca="1">INDEX(INDIRECT(zoneFichierTraite),$J112+offsetInitialFichierTraite,7)</f>
        <v>0</v>
      </c>
      <c r="F112" s="28">
        <f ca="1">INDEX(INDIRECT(zoneFichierTraite),$J112+offsetInitialFichierTraite,8)</f>
        <v>0</v>
      </c>
      <c r="G112" s="29">
        <f t="shared" ref="G112:G145" ca="1" si="410">ROUNDUP(F112*3,0)</f>
        <v>0</v>
      </c>
      <c r="H112" s="31" t="str">
        <f ca="1">IF(ISNUMBER(N112),codeEAN13(INT(N112/10)),"")</f>
        <v/>
      </c>
      <c r="I112" s="1" t="b">
        <f t="shared" ref="I112" ca="1" si="411">AND(A115&lt;&gt;0,A113=A115)</f>
        <v>0</v>
      </c>
      <c r="J112" s="15">
        <f t="shared" si="259"/>
        <v>52</v>
      </c>
      <c r="K112" s="1">
        <f t="shared" ref="K112:K145" ca="1" si="412">A113</f>
        <v>0</v>
      </c>
      <c r="L112" s="5">
        <f ca="1">INDEX(INDIRECT(zoneFichierTraite),$J112+offsetInitialFichierTraite,1)</f>
        <v>0</v>
      </c>
      <c r="M112" s="11">
        <f ca="1">INDEX(INDIRECT(zoneFichierTraite),$J112+offsetInitialFichierTraite,9)</f>
        <v>0</v>
      </c>
      <c r="N112" s="14">
        <f ca="1">INDEX(INDIRECT(zoneFichierTraite),$J112+offsetInitialFichierTraite,3)</f>
        <v>0</v>
      </c>
      <c r="O112" s="14"/>
      <c r="P112" s="56" t="e">
        <f ca="1">MATCH(N112,INDIRECT(nomFichierEAN13Valmag &amp; "!A:A"),0)</f>
        <v>#N/A</v>
      </c>
      <c r="Q112" s="57" t="e">
        <f ca="1">MATCH(U112,INDIRECT(nomFichierEAN13Valmag &amp; "!A:A"),0)</f>
        <v>#N/A</v>
      </c>
      <c r="S112" s="50" t="str">
        <f t="shared" ref="S112:S145" ca="1" si="413">LEFT(B112,14)</f>
        <v>0</v>
      </c>
      <c r="T112" s="52" t="e">
        <f ca="1">MATCH($S112,INDIRECT(nomFichierEAN13ValmagUniq &amp; "!A:A"),0)</f>
        <v>#N/A</v>
      </c>
      <c r="U112" s="49" t="str">
        <f ca="1">IFERROR(INDEX(INDIRECT(zoneFichierEAN13ValmagUniq),T112,2),"")</f>
        <v/>
      </c>
      <c r="V112" s="52" t="e">
        <f ca="1">MATCH($S112,INDIRECT(nomFichierEAN13ValmagUniq &amp; "!A" &amp; (T112+1) &amp; ":A" &amp;  (T112+10)),0)</f>
        <v>#N/A</v>
      </c>
      <c r="W112" s="51" t="e">
        <f t="shared" ref="W112" ca="1" si="414">V112+T112</f>
        <v>#N/A</v>
      </c>
      <c r="X112" s="49" t="str">
        <f ca="1">IFERROR(INDEX(INDIRECT(zoneFichierEAN13ValmagUniq),W112,2),"")</f>
        <v/>
      </c>
      <c r="Y112" s="52" t="e">
        <f ca="1">MATCH($S112,INDIRECT(nomFichierEAN13ValmagUniq &amp; "!A" &amp; (W112+1) &amp; ":A" &amp;  (W112+10)),0)</f>
        <v>#N/A</v>
      </c>
      <c r="Z112" s="51" t="e">
        <f t="shared" ref="Z112" ca="1" si="415">Y112+W112</f>
        <v>#N/A</v>
      </c>
      <c r="AA112" s="49" t="str">
        <f ca="1">IFERROR(INDEX(INDIRECT(zoneFichierEAN13ValmagUniq),Z112,2),"")</f>
        <v/>
      </c>
      <c r="AB112" s="53" t="str">
        <f t="shared" ref="AB112" ca="1" si="416">U112 &amp; IF(X112="","", " | " &amp; X112) &amp; IF(AA112="","", " | " &amp;AA112)</f>
        <v/>
      </c>
      <c r="AD112" s="55" t="e">
        <f ca="1">MATCH(B112,INDIRECT(nomFichierFiltreCatalogue &amp; "!B:B"),0)</f>
        <v>#N/A</v>
      </c>
      <c r="AE112" s="14"/>
    </row>
    <row r="113" spans="1:31" s="20" customFormat="1" ht="15.75" customHeight="1" x14ac:dyDescent="0.25">
      <c r="A113" s="25">
        <f ca="1">INDEX(INDIRECT(zoneFichierTraite),$J112+offsetInitialFichierTraite,2)</f>
        <v>0</v>
      </c>
      <c r="B113" s="58" t="str">
        <f ca="1">IFERROR(INDEX(INDIRECT(zoneFichierEAN13Valmag),$P112,3),"")</f>
        <v/>
      </c>
      <c r="C113" s="54" t="str">
        <f t="shared" ref="C113:C145" ca="1" si="417">AB112</f>
        <v/>
      </c>
      <c r="D113" s="19" t="str">
        <f ca="1">IFERROR(INDEX(INDIRECT(zoneFichierEAN13Valmag),$P112,4),"")</f>
        <v/>
      </c>
      <c r="E113" s="59" t="str">
        <f ca="1">IFERROR(INDEX(INDIRECT(zoneFichierFiltreCatalogue),AD112,3),"")</f>
        <v/>
      </c>
      <c r="F113" s="19"/>
      <c r="G113" s="18"/>
      <c r="H113" s="32" t="str">
        <f ca="1">IFERROR(INDEX(INDIRECT(zoneFichierFiltreCatalogue),AD112,6),"")</f>
        <v/>
      </c>
      <c r="T113" s="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</row>
    <row r="114" spans="1:31" ht="39" customHeight="1" thickBot="1" x14ac:dyDescent="0.65">
      <c r="A114" s="9">
        <f ca="1">INDEX(INDIRECT(zoneFichierTraite),$J114+offsetInitialFichierTraite,6)</f>
        <v>0</v>
      </c>
      <c r="B114" s="5">
        <f ca="1">INDEX(INDIRECT(zoneFichierTraite),$J114+offsetInitialFichierTraite,4)</f>
        <v>0</v>
      </c>
      <c r="C114" s="26">
        <f ca="1">INDEX(INDIRECT(zoneFichierTraite),$J114+offsetInitialFichierTraite,5)</f>
        <v>0</v>
      </c>
      <c r="D114" s="27">
        <f ca="1">INDEX(INDIRECT(zoneFichierTraite),$J114+offsetInitialFichierTraite,13)</f>
        <v>0</v>
      </c>
      <c r="E114" s="30">
        <f ca="1">INDEX(INDIRECT(zoneFichierTraite),$J114+offsetInitialFichierTraite,7)</f>
        <v>0</v>
      </c>
      <c r="F114" s="28">
        <f ca="1">INDEX(INDIRECT(zoneFichierTraite),$J114+offsetInitialFichierTraite,8)</f>
        <v>0</v>
      </c>
      <c r="G114" s="29">
        <f t="shared" ref="G114:G145" ca="1" si="418">ROUNDUP(F114*3,0)</f>
        <v>0</v>
      </c>
      <c r="H114" s="31" t="str">
        <f ca="1">IF(ISNUMBER(N114),codeEAN13(INT(N114/10)),"")</f>
        <v/>
      </c>
      <c r="I114" s="1" t="b">
        <f t="shared" ref="I114" ca="1" si="419">AND(A117&lt;&gt;0,A115=A117)</f>
        <v>0</v>
      </c>
      <c r="J114" s="15">
        <f t="shared" si="259"/>
        <v>53</v>
      </c>
      <c r="K114" s="1">
        <f t="shared" ref="K114:K145" ca="1" si="420">A115</f>
        <v>0</v>
      </c>
      <c r="L114" s="5">
        <f ca="1">INDEX(INDIRECT(zoneFichierTraite),$J114+offsetInitialFichierTraite,1)</f>
        <v>0</v>
      </c>
      <c r="M114" s="11">
        <f ca="1">INDEX(INDIRECT(zoneFichierTraite),$J114+offsetInitialFichierTraite,9)</f>
        <v>0</v>
      </c>
      <c r="N114" s="14">
        <f ca="1">INDEX(INDIRECT(zoneFichierTraite),$J114+offsetInitialFichierTraite,3)</f>
        <v>0</v>
      </c>
      <c r="O114" s="14"/>
      <c r="P114" s="56" t="e">
        <f ca="1">MATCH(N114,INDIRECT(nomFichierEAN13Valmag &amp; "!A:A"),0)</f>
        <v>#N/A</v>
      </c>
      <c r="Q114" s="57" t="e">
        <f ca="1">MATCH(U114,INDIRECT(nomFichierEAN13Valmag &amp; "!A:A"),0)</f>
        <v>#N/A</v>
      </c>
      <c r="S114" s="50" t="str">
        <f t="shared" ref="S114:S145" ca="1" si="421">LEFT(B114,14)</f>
        <v>0</v>
      </c>
      <c r="T114" s="52" t="e">
        <f ca="1">MATCH($S114,INDIRECT(nomFichierEAN13ValmagUniq &amp; "!A:A"),0)</f>
        <v>#N/A</v>
      </c>
      <c r="U114" s="49" t="str">
        <f ca="1">IFERROR(INDEX(INDIRECT(zoneFichierEAN13ValmagUniq),T114,2),"")</f>
        <v/>
      </c>
      <c r="V114" s="52" t="e">
        <f ca="1">MATCH($S114,INDIRECT(nomFichierEAN13ValmagUniq &amp; "!A" &amp; (T114+1) &amp; ":A" &amp;  (T114+10)),0)</f>
        <v>#N/A</v>
      </c>
      <c r="W114" s="51" t="e">
        <f t="shared" ref="W114" ca="1" si="422">V114+T114</f>
        <v>#N/A</v>
      </c>
      <c r="X114" s="49" t="str">
        <f ca="1">IFERROR(INDEX(INDIRECT(zoneFichierEAN13ValmagUniq),W114,2),"")</f>
        <v/>
      </c>
      <c r="Y114" s="52" t="e">
        <f ca="1">MATCH($S114,INDIRECT(nomFichierEAN13ValmagUniq &amp; "!A" &amp; (W114+1) &amp; ":A" &amp;  (W114+10)),0)</f>
        <v>#N/A</v>
      </c>
      <c r="Z114" s="51" t="e">
        <f t="shared" ref="Z114" ca="1" si="423">Y114+W114</f>
        <v>#N/A</v>
      </c>
      <c r="AA114" s="49" t="str">
        <f ca="1">IFERROR(INDEX(INDIRECT(zoneFichierEAN13ValmagUniq),Z114,2),"")</f>
        <v/>
      </c>
      <c r="AB114" s="53" t="str">
        <f t="shared" ref="AB114" ca="1" si="424">U114 &amp; IF(X114="","", " | " &amp; X114) &amp; IF(AA114="","", " | " &amp;AA114)</f>
        <v/>
      </c>
      <c r="AD114" s="55" t="e">
        <f ca="1">MATCH(B114,INDIRECT(nomFichierFiltreCatalogue &amp; "!B:B"),0)</f>
        <v>#N/A</v>
      </c>
      <c r="AE114" s="14"/>
    </row>
    <row r="115" spans="1:31" s="20" customFormat="1" ht="15.75" customHeight="1" x14ac:dyDescent="0.25">
      <c r="A115" s="25">
        <f ca="1">INDEX(INDIRECT(zoneFichierTraite),$J114+offsetInitialFichierTraite,2)</f>
        <v>0</v>
      </c>
      <c r="B115" s="58" t="str">
        <f ca="1">IFERROR(INDEX(INDIRECT(zoneFichierEAN13Valmag),$P114,3),"")</f>
        <v/>
      </c>
      <c r="C115" s="54" t="str">
        <f t="shared" ref="C115:C145" ca="1" si="425">AB114</f>
        <v/>
      </c>
      <c r="D115" s="19" t="str">
        <f ca="1">IFERROR(INDEX(INDIRECT(zoneFichierEAN13Valmag),$P114,4),"")</f>
        <v/>
      </c>
      <c r="E115" s="59" t="str">
        <f ca="1">IFERROR(INDEX(INDIRECT(zoneFichierFiltreCatalogue),AD114,3),"")</f>
        <v/>
      </c>
      <c r="F115" s="19"/>
      <c r="G115" s="18"/>
      <c r="H115" s="32" t="str">
        <f ca="1">IFERROR(INDEX(INDIRECT(zoneFichierFiltreCatalogue),AD114,6),"")</f>
        <v/>
      </c>
      <c r="T115" s="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</row>
    <row r="116" spans="1:31" ht="39" customHeight="1" thickBot="1" x14ac:dyDescent="0.65">
      <c r="A116" s="9">
        <f ca="1">INDEX(INDIRECT(zoneFichierTraite),$J116+offsetInitialFichierTraite,6)</f>
        <v>0</v>
      </c>
      <c r="B116" s="5">
        <f ca="1">INDEX(INDIRECT(zoneFichierTraite),$J116+offsetInitialFichierTraite,4)</f>
        <v>0</v>
      </c>
      <c r="C116" s="26">
        <f ca="1">INDEX(INDIRECT(zoneFichierTraite),$J116+offsetInitialFichierTraite,5)</f>
        <v>0</v>
      </c>
      <c r="D116" s="27">
        <f ca="1">INDEX(INDIRECT(zoneFichierTraite),$J116+offsetInitialFichierTraite,13)</f>
        <v>0</v>
      </c>
      <c r="E116" s="30">
        <f ca="1">INDEX(INDIRECT(zoneFichierTraite),$J116+offsetInitialFichierTraite,7)</f>
        <v>0</v>
      </c>
      <c r="F116" s="28">
        <f ca="1">INDEX(INDIRECT(zoneFichierTraite),$J116+offsetInitialFichierTraite,8)</f>
        <v>0</v>
      </c>
      <c r="G116" s="29">
        <f t="shared" ref="G116:G145" ca="1" si="426">ROUNDUP(F116*3,0)</f>
        <v>0</v>
      </c>
      <c r="H116" s="31" t="str">
        <f ca="1">IF(ISNUMBER(N116),codeEAN13(INT(N116/10)),"")</f>
        <v/>
      </c>
      <c r="I116" s="1" t="b">
        <f t="shared" ref="I116" ca="1" si="427">AND(A119&lt;&gt;0,A117=A119)</f>
        <v>0</v>
      </c>
      <c r="J116" s="15">
        <f t="shared" si="259"/>
        <v>54</v>
      </c>
      <c r="K116" s="1">
        <f t="shared" ref="K116:K145" ca="1" si="428">A117</f>
        <v>0</v>
      </c>
      <c r="L116" s="5">
        <f ca="1">INDEX(INDIRECT(zoneFichierTraite),$J116+offsetInitialFichierTraite,1)</f>
        <v>0</v>
      </c>
      <c r="M116" s="11">
        <f ca="1">INDEX(INDIRECT(zoneFichierTraite),$J116+offsetInitialFichierTraite,9)</f>
        <v>0</v>
      </c>
      <c r="N116" s="14">
        <f ca="1">INDEX(INDIRECT(zoneFichierTraite),$J116+offsetInitialFichierTraite,3)</f>
        <v>0</v>
      </c>
      <c r="O116" s="14"/>
      <c r="P116" s="56" t="e">
        <f ca="1">MATCH(N116,INDIRECT(nomFichierEAN13Valmag &amp; "!A:A"),0)</f>
        <v>#N/A</v>
      </c>
      <c r="Q116" s="57" t="e">
        <f ca="1">MATCH(U116,INDIRECT(nomFichierEAN13Valmag &amp; "!A:A"),0)</f>
        <v>#N/A</v>
      </c>
      <c r="S116" s="50" t="str">
        <f t="shared" ref="S116:S145" ca="1" si="429">LEFT(B116,14)</f>
        <v>0</v>
      </c>
      <c r="T116" s="52" t="e">
        <f ca="1">MATCH($S116,INDIRECT(nomFichierEAN13ValmagUniq &amp; "!A:A"),0)</f>
        <v>#N/A</v>
      </c>
      <c r="U116" s="49" t="str">
        <f ca="1">IFERROR(INDEX(INDIRECT(zoneFichierEAN13ValmagUniq),T116,2),"")</f>
        <v/>
      </c>
      <c r="V116" s="52" t="e">
        <f ca="1">MATCH($S116,INDIRECT(nomFichierEAN13ValmagUniq &amp; "!A" &amp; (T116+1) &amp; ":A" &amp;  (T116+10)),0)</f>
        <v>#N/A</v>
      </c>
      <c r="W116" s="51" t="e">
        <f t="shared" ref="W116" ca="1" si="430">V116+T116</f>
        <v>#N/A</v>
      </c>
      <c r="X116" s="49" t="str">
        <f ca="1">IFERROR(INDEX(INDIRECT(zoneFichierEAN13ValmagUniq),W116,2),"")</f>
        <v/>
      </c>
      <c r="Y116" s="52" t="e">
        <f ca="1">MATCH($S116,INDIRECT(nomFichierEAN13ValmagUniq &amp; "!A" &amp; (W116+1) &amp; ":A" &amp;  (W116+10)),0)</f>
        <v>#N/A</v>
      </c>
      <c r="Z116" s="51" t="e">
        <f t="shared" ref="Z116" ca="1" si="431">Y116+W116</f>
        <v>#N/A</v>
      </c>
      <c r="AA116" s="49" t="str">
        <f ca="1">IFERROR(INDEX(INDIRECT(zoneFichierEAN13ValmagUniq),Z116,2),"")</f>
        <v/>
      </c>
      <c r="AB116" s="53" t="str">
        <f t="shared" ref="AB116" ca="1" si="432">U116 &amp; IF(X116="","", " | " &amp; X116) &amp; IF(AA116="","", " | " &amp;AA116)</f>
        <v/>
      </c>
      <c r="AD116" s="55" t="e">
        <f ca="1">MATCH(B116,INDIRECT(nomFichierFiltreCatalogue &amp; "!B:B"),0)</f>
        <v>#N/A</v>
      </c>
      <c r="AE116" s="14"/>
    </row>
    <row r="117" spans="1:31" s="20" customFormat="1" ht="15.75" customHeight="1" x14ac:dyDescent="0.25">
      <c r="A117" s="25">
        <f ca="1">INDEX(INDIRECT(zoneFichierTraite),$J116+offsetInitialFichierTraite,2)</f>
        <v>0</v>
      </c>
      <c r="B117" s="58" t="str">
        <f ca="1">IFERROR(INDEX(INDIRECT(zoneFichierEAN13Valmag),$P116,3),"")</f>
        <v/>
      </c>
      <c r="C117" s="54" t="str">
        <f t="shared" ref="C117:C145" ca="1" si="433">AB116</f>
        <v/>
      </c>
      <c r="D117" s="19" t="str">
        <f ca="1">IFERROR(INDEX(INDIRECT(zoneFichierEAN13Valmag),$P116,4),"")</f>
        <v/>
      </c>
      <c r="E117" s="59" t="str">
        <f ca="1">IFERROR(INDEX(INDIRECT(zoneFichierFiltreCatalogue),AD116,3),"")</f>
        <v/>
      </c>
      <c r="F117" s="19"/>
      <c r="G117" s="18"/>
      <c r="H117" s="32" t="str">
        <f ca="1">IFERROR(INDEX(INDIRECT(zoneFichierFiltreCatalogue),AD116,6),"")</f>
        <v/>
      </c>
      <c r="T117" s="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</row>
    <row r="118" spans="1:31" ht="39" customHeight="1" thickBot="1" x14ac:dyDescent="0.65">
      <c r="A118" s="9">
        <f ca="1">INDEX(INDIRECT(zoneFichierTraite),$J118+offsetInitialFichierTraite,6)</f>
        <v>0</v>
      </c>
      <c r="B118" s="5">
        <f ca="1">INDEX(INDIRECT(zoneFichierTraite),$J118+offsetInitialFichierTraite,4)</f>
        <v>0</v>
      </c>
      <c r="C118" s="26">
        <f ca="1">INDEX(INDIRECT(zoneFichierTraite),$J118+offsetInitialFichierTraite,5)</f>
        <v>0</v>
      </c>
      <c r="D118" s="27">
        <f ca="1">INDEX(INDIRECT(zoneFichierTraite),$J118+offsetInitialFichierTraite,13)</f>
        <v>0</v>
      </c>
      <c r="E118" s="30">
        <f ca="1">INDEX(INDIRECT(zoneFichierTraite),$J118+offsetInitialFichierTraite,7)</f>
        <v>0</v>
      </c>
      <c r="F118" s="28">
        <f ca="1">INDEX(INDIRECT(zoneFichierTraite),$J118+offsetInitialFichierTraite,8)</f>
        <v>0</v>
      </c>
      <c r="G118" s="29">
        <f t="shared" ref="G118:G145" ca="1" si="434">ROUNDUP(F118*3,0)</f>
        <v>0</v>
      </c>
      <c r="H118" s="31" t="str">
        <f ca="1">IF(ISNUMBER(N118),codeEAN13(INT(N118/10)),"")</f>
        <v/>
      </c>
      <c r="I118" s="1" t="b">
        <f t="shared" ref="I118" ca="1" si="435">AND(A121&lt;&gt;0,A119=A121)</f>
        <v>0</v>
      </c>
      <c r="J118" s="15">
        <f t="shared" si="259"/>
        <v>55</v>
      </c>
      <c r="K118" s="1">
        <f t="shared" ref="K118:K145" ca="1" si="436">A119</f>
        <v>0</v>
      </c>
      <c r="L118" s="5">
        <f ca="1">INDEX(INDIRECT(zoneFichierTraite),$J118+offsetInitialFichierTraite,1)</f>
        <v>0</v>
      </c>
      <c r="M118" s="11">
        <f ca="1">INDEX(INDIRECT(zoneFichierTraite),$J118+offsetInitialFichierTraite,9)</f>
        <v>0</v>
      </c>
      <c r="N118" s="14">
        <f ca="1">INDEX(INDIRECT(zoneFichierTraite),$J118+offsetInitialFichierTraite,3)</f>
        <v>0</v>
      </c>
      <c r="O118" s="14"/>
      <c r="P118" s="56" t="e">
        <f ca="1">MATCH(N118,INDIRECT(nomFichierEAN13Valmag &amp; "!A:A"),0)</f>
        <v>#N/A</v>
      </c>
      <c r="Q118" s="57" t="e">
        <f ca="1">MATCH(U118,INDIRECT(nomFichierEAN13Valmag &amp; "!A:A"),0)</f>
        <v>#N/A</v>
      </c>
      <c r="S118" s="50" t="str">
        <f t="shared" ref="S118:S145" ca="1" si="437">LEFT(B118,14)</f>
        <v>0</v>
      </c>
      <c r="T118" s="52" t="e">
        <f ca="1">MATCH($S118,INDIRECT(nomFichierEAN13ValmagUniq &amp; "!A:A"),0)</f>
        <v>#N/A</v>
      </c>
      <c r="U118" s="49" t="str">
        <f ca="1">IFERROR(INDEX(INDIRECT(zoneFichierEAN13ValmagUniq),T118,2),"")</f>
        <v/>
      </c>
      <c r="V118" s="52" t="e">
        <f ca="1">MATCH($S118,INDIRECT(nomFichierEAN13ValmagUniq &amp; "!A" &amp; (T118+1) &amp; ":A" &amp;  (T118+10)),0)</f>
        <v>#N/A</v>
      </c>
      <c r="W118" s="51" t="e">
        <f t="shared" ref="W118" ca="1" si="438">V118+T118</f>
        <v>#N/A</v>
      </c>
      <c r="X118" s="49" t="str">
        <f ca="1">IFERROR(INDEX(INDIRECT(zoneFichierEAN13ValmagUniq),W118,2),"")</f>
        <v/>
      </c>
      <c r="Y118" s="52" t="e">
        <f ca="1">MATCH($S118,INDIRECT(nomFichierEAN13ValmagUniq &amp; "!A" &amp; (W118+1) &amp; ":A" &amp;  (W118+10)),0)</f>
        <v>#N/A</v>
      </c>
      <c r="Z118" s="51" t="e">
        <f t="shared" ref="Z118" ca="1" si="439">Y118+W118</f>
        <v>#N/A</v>
      </c>
      <c r="AA118" s="49" t="str">
        <f ca="1">IFERROR(INDEX(INDIRECT(zoneFichierEAN13ValmagUniq),Z118,2),"")</f>
        <v/>
      </c>
      <c r="AB118" s="53" t="str">
        <f t="shared" ref="AB118" ca="1" si="440">U118 &amp; IF(X118="","", " | " &amp; X118) &amp; IF(AA118="","", " | " &amp;AA118)</f>
        <v/>
      </c>
      <c r="AD118" s="55" t="e">
        <f ca="1">MATCH(B118,INDIRECT(nomFichierFiltreCatalogue &amp; "!B:B"),0)</f>
        <v>#N/A</v>
      </c>
      <c r="AE118" s="14"/>
    </row>
    <row r="119" spans="1:31" s="20" customFormat="1" ht="15.75" customHeight="1" x14ac:dyDescent="0.25">
      <c r="A119" s="25">
        <f ca="1">INDEX(INDIRECT(zoneFichierTraite),$J118+offsetInitialFichierTraite,2)</f>
        <v>0</v>
      </c>
      <c r="B119" s="58" t="str">
        <f ca="1">IFERROR(INDEX(INDIRECT(zoneFichierEAN13Valmag),$P118,3),"")</f>
        <v/>
      </c>
      <c r="C119" s="54" t="str">
        <f t="shared" ref="C119:C145" ca="1" si="441">AB118</f>
        <v/>
      </c>
      <c r="D119" s="19" t="str">
        <f ca="1">IFERROR(INDEX(INDIRECT(zoneFichierEAN13Valmag),$P118,4),"")</f>
        <v/>
      </c>
      <c r="E119" s="59" t="str">
        <f ca="1">IFERROR(INDEX(INDIRECT(zoneFichierFiltreCatalogue),AD118,3),"")</f>
        <v/>
      </c>
      <c r="F119" s="19"/>
      <c r="G119" s="18"/>
      <c r="H119" s="32" t="str">
        <f ca="1">IFERROR(INDEX(INDIRECT(zoneFichierFiltreCatalogue),AD118,6),"")</f>
        <v/>
      </c>
      <c r="T119" s="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</row>
    <row r="120" spans="1:31" ht="39" customHeight="1" thickBot="1" x14ac:dyDescent="0.65">
      <c r="A120" s="9">
        <f ca="1">INDEX(INDIRECT(zoneFichierTraite),$J120+offsetInitialFichierTraite,6)</f>
        <v>0</v>
      </c>
      <c r="B120" s="5">
        <f ca="1">INDEX(INDIRECT(zoneFichierTraite),$J120+offsetInitialFichierTraite,4)</f>
        <v>0</v>
      </c>
      <c r="C120" s="26">
        <f ca="1">INDEX(INDIRECT(zoneFichierTraite),$J120+offsetInitialFichierTraite,5)</f>
        <v>0</v>
      </c>
      <c r="D120" s="27">
        <f ca="1">INDEX(INDIRECT(zoneFichierTraite),$J120+offsetInitialFichierTraite,13)</f>
        <v>0</v>
      </c>
      <c r="E120" s="30">
        <f ca="1">INDEX(INDIRECT(zoneFichierTraite),$J120+offsetInitialFichierTraite,7)</f>
        <v>0</v>
      </c>
      <c r="F120" s="28">
        <f ca="1">INDEX(INDIRECT(zoneFichierTraite),$J120+offsetInitialFichierTraite,8)</f>
        <v>0</v>
      </c>
      <c r="G120" s="29">
        <f t="shared" ref="G120:G145" ca="1" si="442">ROUNDUP(F120*3,0)</f>
        <v>0</v>
      </c>
      <c r="H120" s="31" t="str">
        <f ca="1">IF(ISNUMBER(N120),codeEAN13(INT(N120/10)),"")</f>
        <v/>
      </c>
      <c r="I120" s="1" t="b">
        <f t="shared" ref="I120" ca="1" si="443">AND(A123&lt;&gt;0,A121=A123)</f>
        <v>0</v>
      </c>
      <c r="J120" s="15">
        <f t="shared" si="259"/>
        <v>56</v>
      </c>
      <c r="K120" s="1">
        <f t="shared" ref="K120:K145" ca="1" si="444">A121</f>
        <v>0</v>
      </c>
      <c r="L120" s="5">
        <f ca="1">INDEX(INDIRECT(zoneFichierTraite),$J120+offsetInitialFichierTraite,1)</f>
        <v>0</v>
      </c>
      <c r="M120" s="11">
        <f ca="1">INDEX(INDIRECT(zoneFichierTraite),$J120+offsetInitialFichierTraite,9)</f>
        <v>0</v>
      </c>
      <c r="N120" s="14">
        <f ca="1">INDEX(INDIRECT(zoneFichierTraite),$J120+offsetInitialFichierTraite,3)</f>
        <v>0</v>
      </c>
      <c r="O120" s="14"/>
      <c r="P120" s="56" t="e">
        <f ca="1">MATCH(N120,INDIRECT(nomFichierEAN13Valmag &amp; "!A:A"),0)</f>
        <v>#N/A</v>
      </c>
      <c r="Q120" s="57" t="e">
        <f ca="1">MATCH(U120,INDIRECT(nomFichierEAN13Valmag &amp; "!A:A"),0)</f>
        <v>#N/A</v>
      </c>
      <c r="S120" s="50" t="str">
        <f t="shared" ref="S120:S145" ca="1" si="445">LEFT(B120,14)</f>
        <v>0</v>
      </c>
      <c r="T120" s="52" t="e">
        <f ca="1">MATCH($S120,INDIRECT(nomFichierEAN13ValmagUniq &amp; "!A:A"),0)</f>
        <v>#N/A</v>
      </c>
      <c r="U120" s="49" t="str">
        <f ca="1">IFERROR(INDEX(INDIRECT(zoneFichierEAN13ValmagUniq),T120,2),"")</f>
        <v/>
      </c>
      <c r="V120" s="52" t="e">
        <f ca="1">MATCH($S120,INDIRECT(nomFichierEAN13ValmagUniq &amp; "!A" &amp; (T120+1) &amp; ":A" &amp;  (T120+10)),0)</f>
        <v>#N/A</v>
      </c>
      <c r="W120" s="51" t="e">
        <f t="shared" ref="W120" ca="1" si="446">V120+T120</f>
        <v>#N/A</v>
      </c>
      <c r="X120" s="49" t="str">
        <f ca="1">IFERROR(INDEX(INDIRECT(zoneFichierEAN13ValmagUniq),W120,2),"")</f>
        <v/>
      </c>
      <c r="Y120" s="52" t="e">
        <f ca="1">MATCH($S120,INDIRECT(nomFichierEAN13ValmagUniq &amp; "!A" &amp; (W120+1) &amp; ":A" &amp;  (W120+10)),0)</f>
        <v>#N/A</v>
      </c>
      <c r="Z120" s="51" t="e">
        <f t="shared" ref="Z120" ca="1" si="447">Y120+W120</f>
        <v>#N/A</v>
      </c>
      <c r="AA120" s="49" t="str">
        <f ca="1">IFERROR(INDEX(INDIRECT(zoneFichierEAN13ValmagUniq),Z120,2),"")</f>
        <v/>
      </c>
      <c r="AB120" s="53" t="str">
        <f t="shared" ref="AB120" ca="1" si="448">U120 &amp; IF(X120="","", " | " &amp; X120) &amp; IF(AA120="","", " | " &amp;AA120)</f>
        <v/>
      </c>
      <c r="AD120" s="55" t="e">
        <f ca="1">MATCH(B120,INDIRECT(nomFichierFiltreCatalogue &amp; "!B:B"),0)</f>
        <v>#N/A</v>
      </c>
      <c r="AE120" s="14"/>
    </row>
    <row r="121" spans="1:31" s="20" customFormat="1" ht="15.75" customHeight="1" x14ac:dyDescent="0.25">
      <c r="A121" s="25">
        <f ca="1">INDEX(INDIRECT(zoneFichierTraite),$J120+offsetInitialFichierTraite,2)</f>
        <v>0</v>
      </c>
      <c r="B121" s="58" t="str">
        <f ca="1">IFERROR(INDEX(INDIRECT(zoneFichierEAN13Valmag),$P120,3),"")</f>
        <v/>
      </c>
      <c r="C121" s="54" t="str">
        <f t="shared" ref="C121:C145" ca="1" si="449">AB120</f>
        <v/>
      </c>
      <c r="D121" s="19" t="str">
        <f ca="1">IFERROR(INDEX(INDIRECT(zoneFichierEAN13Valmag),$P120,4),"")</f>
        <v/>
      </c>
      <c r="E121" s="59" t="str">
        <f ca="1">IFERROR(INDEX(INDIRECT(zoneFichierFiltreCatalogue),AD120,3),"")</f>
        <v/>
      </c>
      <c r="F121" s="19"/>
      <c r="G121" s="18"/>
      <c r="H121" s="32" t="str">
        <f ca="1">IFERROR(INDEX(INDIRECT(zoneFichierFiltreCatalogue),AD120,6),"")</f>
        <v/>
      </c>
      <c r="T121" s="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</row>
    <row r="122" spans="1:31" ht="39" customHeight="1" thickBot="1" x14ac:dyDescent="0.65">
      <c r="A122" s="9">
        <f ca="1">INDEX(INDIRECT(zoneFichierTraite),$J122+offsetInitialFichierTraite,6)</f>
        <v>0</v>
      </c>
      <c r="B122" s="5">
        <f ca="1">INDEX(INDIRECT(zoneFichierTraite),$J122+offsetInitialFichierTraite,4)</f>
        <v>0</v>
      </c>
      <c r="C122" s="26">
        <f ca="1">INDEX(INDIRECT(zoneFichierTraite),$J122+offsetInitialFichierTraite,5)</f>
        <v>0</v>
      </c>
      <c r="D122" s="27">
        <f ca="1">INDEX(INDIRECT(zoneFichierTraite),$J122+offsetInitialFichierTraite,13)</f>
        <v>0</v>
      </c>
      <c r="E122" s="30">
        <f ca="1">INDEX(INDIRECT(zoneFichierTraite),$J122+offsetInitialFichierTraite,7)</f>
        <v>0</v>
      </c>
      <c r="F122" s="28">
        <f ca="1">INDEX(INDIRECT(zoneFichierTraite),$J122+offsetInitialFichierTraite,8)</f>
        <v>0</v>
      </c>
      <c r="G122" s="29">
        <f t="shared" ref="G122:G145" ca="1" si="450">ROUNDUP(F122*3,0)</f>
        <v>0</v>
      </c>
      <c r="H122" s="31" t="str">
        <f ca="1">IF(ISNUMBER(N122),codeEAN13(INT(N122/10)),"")</f>
        <v/>
      </c>
      <c r="I122" s="1" t="b">
        <f t="shared" ref="I122" ca="1" si="451">AND(A125&lt;&gt;0,A123=A125)</f>
        <v>0</v>
      </c>
      <c r="J122" s="15">
        <f t="shared" si="259"/>
        <v>57</v>
      </c>
      <c r="K122" s="1">
        <f t="shared" ref="K122:K145" ca="1" si="452">A123</f>
        <v>0</v>
      </c>
      <c r="L122" s="5">
        <f ca="1">INDEX(INDIRECT(zoneFichierTraite),$J122+offsetInitialFichierTraite,1)</f>
        <v>0</v>
      </c>
      <c r="M122" s="11">
        <f ca="1">INDEX(INDIRECT(zoneFichierTraite),$J122+offsetInitialFichierTraite,9)</f>
        <v>0</v>
      </c>
      <c r="N122" s="14">
        <f ca="1">INDEX(INDIRECT(zoneFichierTraite),$J122+offsetInitialFichierTraite,3)</f>
        <v>0</v>
      </c>
      <c r="O122" s="14"/>
      <c r="P122" s="56" t="e">
        <f ca="1">MATCH(N122,INDIRECT(nomFichierEAN13Valmag &amp; "!A:A"),0)</f>
        <v>#N/A</v>
      </c>
      <c r="Q122" s="57" t="e">
        <f ca="1">MATCH(U122,INDIRECT(nomFichierEAN13Valmag &amp; "!A:A"),0)</f>
        <v>#N/A</v>
      </c>
      <c r="S122" s="50" t="str">
        <f t="shared" ref="S122:S145" ca="1" si="453">LEFT(B122,14)</f>
        <v>0</v>
      </c>
      <c r="T122" s="52" t="e">
        <f ca="1">MATCH($S122,INDIRECT(nomFichierEAN13ValmagUniq &amp; "!A:A"),0)</f>
        <v>#N/A</v>
      </c>
      <c r="U122" s="49" t="str">
        <f ca="1">IFERROR(INDEX(INDIRECT(zoneFichierEAN13ValmagUniq),T122,2),"")</f>
        <v/>
      </c>
      <c r="V122" s="52" t="e">
        <f ca="1">MATCH($S122,INDIRECT(nomFichierEAN13ValmagUniq &amp; "!A" &amp; (T122+1) &amp; ":A" &amp;  (T122+10)),0)</f>
        <v>#N/A</v>
      </c>
      <c r="W122" s="51" t="e">
        <f t="shared" ref="W122" ca="1" si="454">V122+T122</f>
        <v>#N/A</v>
      </c>
      <c r="X122" s="49" t="str">
        <f ca="1">IFERROR(INDEX(INDIRECT(zoneFichierEAN13ValmagUniq),W122,2),"")</f>
        <v/>
      </c>
      <c r="Y122" s="52" t="e">
        <f ca="1">MATCH($S122,INDIRECT(nomFichierEAN13ValmagUniq &amp; "!A" &amp; (W122+1) &amp; ":A" &amp;  (W122+10)),0)</f>
        <v>#N/A</v>
      </c>
      <c r="Z122" s="51" t="e">
        <f t="shared" ref="Z122" ca="1" si="455">Y122+W122</f>
        <v>#N/A</v>
      </c>
      <c r="AA122" s="49" t="str">
        <f ca="1">IFERROR(INDEX(INDIRECT(zoneFichierEAN13ValmagUniq),Z122,2),"")</f>
        <v/>
      </c>
      <c r="AB122" s="53" t="str">
        <f t="shared" ref="AB122" ca="1" si="456">U122 &amp; IF(X122="","", " | " &amp; X122) &amp; IF(AA122="","", " | " &amp;AA122)</f>
        <v/>
      </c>
      <c r="AD122" s="55" t="e">
        <f ca="1">MATCH(B122,INDIRECT(nomFichierFiltreCatalogue &amp; "!B:B"),0)</f>
        <v>#N/A</v>
      </c>
      <c r="AE122" s="14"/>
    </row>
    <row r="123" spans="1:31" s="20" customFormat="1" ht="15.75" customHeight="1" x14ac:dyDescent="0.25">
      <c r="A123" s="25">
        <f ca="1">INDEX(INDIRECT(zoneFichierTraite),$J122+offsetInitialFichierTraite,2)</f>
        <v>0</v>
      </c>
      <c r="B123" s="58" t="str">
        <f ca="1">IFERROR(INDEX(INDIRECT(zoneFichierEAN13Valmag),$P122,3),"")</f>
        <v/>
      </c>
      <c r="C123" s="54" t="str">
        <f t="shared" ref="C123:C145" ca="1" si="457">AB122</f>
        <v/>
      </c>
      <c r="D123" s="19" t="str">
        <f ca="1">IFERROR(INDEX(INDIRECT(zoneFichierEAN13Valmag),$P122,4),"")</f>
        <v/>
      </c>
      <c r="E123" s="59" t="str">
        <f ca="1">IFERROR(INDEX(INDIRECT(zoneFichierFiltreCatalogue),AD122,3),"")</f>
        <v/>
      </c>
      <c r="F123" s="19"/>
      <c r="G123" s="18"/>
      <c r="H123" s="32" t="str">
        <f ca="1">IFERROR(INDEX(INDIRECT(zoneFichierFiltreCatalogue),AD122,6),"")</f>
        <v/>
      </c>
      <c r="T123" s="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</row>
    <row r="124" spans="1:31" ht="39" customHeight="1" thickBot="1" x14ac:dyDescent="0.65">
      <c r="A124" s="9">
        <f ca="1">INDEX(INDIRECT(zoneFichierTraite),$J124+offsetInitialFichierTraite,6)</f>
        <v>0</v>
      </c>
      <c r="B124" s="5">
        <f ca="1">INDEX(INDIRECT(zoneFichierTraite),$J124+offsetInitialFichierTraite,4)</f>
        <v>0</v>
      </c>
      <c r="C124" s="26">
        <f ca="1">INDEX(INDIRECT(zoneFichierTraite),$J124+offsetInitialFichierTraite,5)</f>
        <v>0</v>
      </c>
      <c r="D124" s="27">
        <f ca="1">INDEX(INDIRECT(zoneFichierTraite),$J124+offsetInitialFichierTraite,13)</f>
        <v>0</v>
      </c>
      <c r="E124" s="30">
        <f ca="1">INDEX(INDIRECT(zoneFichierTraite),$J124+offsetInitialFichierTraite,7)</f>
        <v>0</v>
      </c>
      <c r="F124" s="28">
        <f ca="1">INDEX(INDIRECT(zoneFichierTraite),$J124+offsetInitialFichierTraite,8)</f>
        <v>0</v>
      </c>
      <c r="G124" s="29">
        <f t="shared" ref="G124:G145" ca="1" si="458">ROUNDUP(F124*3,0)</f>
        <v>0</v>
      </c>
      <c r="H124" s="31" t="str">
        <f ca="1">IF(ISNUMBER(N124),codeEAN13(INT(N124/10)),"")</f>
        <v/>
      </c>
      <c r="I124" s="1" t="b">
        <f t="shared" ref="I124" ca="1" si="459">AND(A127&lt;&gt;0,A125=A127)</f>
        <v>0</v>
      </c>
      <c r="J124" s="15">
        <f t="shared" si="259"/>
        <v>58</v>
      </c>
      <c r="K124" s="1">
        <f t="shared" ref="K124:K145" ca="1" si="460">A125</f>
        <v>0</v>
      </c>
      <c r="L124" s="5">
        <f ca="1">INDEX(INDIRECT(zoneFichierTraite),$J124+offsetInitialFichierTraite,1)</f>
        <v>0</v>
      </c>
      <c r="M124" s="11">
        <f ca="1">INDEX(INDIRECT(zoneFichierTraite),$J124+offsetInitialFichierTraite,9)</f>
        <v>0</v>
      </c>
      <c r="N124" s="14">
        <f ca="1">INDEX(INDIRECT(zoneFichierTraite),$J124+offsetInitialFichierTraite,3)</f>
        <v>0</v>
      </c>
      <c r="O124" s="14"/>
      <c r="P124" s="56" t="e">
        <f ca="1">MATCH(N124,INDIRECT(nomFichierEAN13Valmag &amp; "!A:A"),0)</f>
        <v>#N/A</v>
      </c>
      <c r="Q124" s="57" t="e">
        <f ca="1">MATCH(U124,INDIRECT(nomFichierEAN13Valmag &amp; "!A:A"),0)</f>
        <v>#N/A</v>
      </c>
      <c r="S124" s="50" t="str">
        <f t="shared" ref="S124:S145" ca="1" si="461">LEFT(B124,14)</f>
        <v>0</v>
      </c>
      <c r="T124" s="52" t="e">
        <f ca="1">MATCH($S124,INDIRECT(nomFichierEAN13ValmagUniq &amp; "!A:A"),0)</f>
        <v>#N/A</v>
      </c>
      <c r="U124" s="49" t="str">
        <f ca="1">IFERROR(INDEX(INDIRECT(zoneFichierEAN13ValmagUniq),T124,2),"")</f>
        <v/>
      </c>
      <c r="V124" s="52" t="e">
        <f ca="1">MATCH($S124,INDIRECT(nomFichierEAN13ValmagUniq &amp; "!A" &amp; (T124+1) &amp; ":A" &amp;  (T124+10)),0)</f>
        <v>#N/A</v>
      </c>
      <c r="W124" s="51" t="e">
        <f t="shared" ref="W124" ca="1" si="462">V124+T124</f>
        <v>#N/A</v>
      </c>
      <c r="X124" s="49" t="str">
        <f ca="1">IFERROR(INDEX(INDIRECT(zoneFichierEAN13ValmagUniq),W124,2),"")</f>
        <v/>
      </c>
      <c r="Y124" s="52" t="e">
        <f ca="1">MATCH($S124,INDIRECT(nomFichierEAN13ValmagUniq &amp; "!A" &amp; (W124+1) &amp; ":A" &amp;  (W124+10)),0)</f>
        <v>#N/A</v>
      </c>
      <c r="Z124" s="51" t="e">
        <f t="shared" ref="Z124" ca="1" si="463">Y124+W124</f>
        <v>#N/A</v>
      </c>
      <c r="AA124" s="49" t="str">
        <f ca="1">IFERROR(INDEX(INDIRECT(zoneFichierEAN13ValmagUniq),Z124,2),"")</f>
        <v/>
      </c>
      <c r="AB124" s="53" t="str">
        <f t="shared" ref="AB124" ca="1" si="464">U124 &amp; IF(X124="","", " | " &amp; X124) &amp; IF(AA124="","", " | " &amp;AA124)</f>
        <v/>
      </c>
      <c r="AD124" s="55" t="e">
        <f ca="1">MATCH(B124,INDIRECT(nomFichierFiltreCatalogue &amp; "!B:B"),0)</f>
        <v>#N/A</v>
      </c>
      <c r="AE124" s="14"/>
    </row>
    <row r="125" spans="1:31" s="20" customFormat="1" ht="15.75" customHeight="1" x14ac:dyDescent="0.25">
      <c r="A125" s="25">
        <f ca="1">INDEX(INDIRECT(zoneFichierTraite),$J124+offsetInitialFichierTraite,2)</f>
        <v>0</v>
      </c>
      <c r="B125" s="58" t="str">
        <f ca="1">IFERROR(INDEX(INDIRECT(zoneFichierEAN13Valmag),$P124,3),"")</f>
        <v/>
      </c>
      <c r="C125" s="54" t="str">
        <f t="shared" ref="C125:C145" ca="1" si="465">AB124</f>
        <v/>
      </c>
      <c r="D125" s="19" t="str">
        <f ca="1">IFERROR(INDEX(INDIRECT(zoneFichierEAN13Valmag),$P124,4),"")</f>
        <v/>
      </c>
      <c r="E125" s="59" t="str">
        <f ca="1">IFERROR(INDEX(INDIRECT(zoneFichierFiltreCatalogue),AD124,3),"")</f>
        <v/>
      </c>
      <c r="F125" s="19"/>
      <c r="G125" s="18"/>
      <c r="H125" s="32" t="str">
        <f ca="1">IFERROR(INDEX(INDIRECT(zoneFichierFiltreCatalogue),AD124,6),"")</f>
        <v/>
      </c>
      <c r="T125" s="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</row>
    <row r="126" spans="1:31" ht="39" customHeight="1" thickBot="1" x14ac:dyDescent="0.65">
      <c r="A126" s="9">
        <f ca="1">INDEX(INDIRECT(zoneFichierTraite),$J126+offsetInitialFichierTraite,6)</f>
        <v>0</v>
      </c>
      <c r="B126" s="5">
        <f ca="1">INDEX(INDIRECT(zoneFichierTraite),$J126+offsetInitialFichierTraite,4)</f>
        <v>0</v>
      </c>
      <c r="C126" s="26">
        <f ca="1">INDEX(INDIRECT(zoneFichierTraite),$J126+offsetInitialFichierTraite,5)</f>
        <v>0</v>
      </c>
      <c r="D126" s="27">
        <f ca="1">INDEX(INDIRECT(zoneFichierTraite),$J126+offsetInitialFichierTraite,13)</f>
        <v>0</v>
      </c>
      <c r="E126" s="30">
        <f ca="1">INDEX(INDIRECT(zoneFichierTraite),$J126+offsetInitialFichierTraite,7)</f>
        <v>0</v>
      </c>
      <c r="F126" s="28">
        <f ca="1">INDEX(INDIRECT(zoneFichierTraite),$J126+offsetInitialFichierTraite,8)</f>
        <v>0</v>
      </c>
      <c r="G126" s="29">
        <f t="shared" ref="G126:G145" ca="1" si="466">ROUNDUP(F126*3,0)</f>
        <v>0</v>
      </c>
      <c r="H126" s="31" t="str">
        <f ca="1">IF(ISNUMBER(N126),codeEAN13(INT(N126/10)),"")</f>
        <v/>
      </c>
      <c r="I126" s="1" t="b">
        <f t="shared" ref="I126" ca="1" si="467">AND(A129&lt;&gt;0,A127=A129)</f>
        <v>0</v>
      </c>
      <c r="J126" s="15">
        <f t="shared" si="259"/>
        <v>59</v>
      </c>
      <c r="K126" s="1">
        <f t="shared" ref="K126:K145" ca="1" si="468">A127</f>
        <v>0</v>
      </c>
      <c r="L126" s="5">
        <f ca="1">INDEX(INDIRECT(zoneFichierTraite),$J126+offsetInitialFichierTraite,1)</f>
        <v>0</v>
      </c>
      <c r="M126" s="11">
        <f ca="1">INDEX(INDIRECT(zoneFichierTraite),$J126+offsetInitialFichierTraite,9)</f>
        <v>0</v>
      </c>
      <c r="N126" s="14">
        <f ca="1">INDEX(INDIRECT(zoneFichierTraite),$J126+offsetInitialFichierTraite,3)</f>
        <v>0</v>
      </c>
      <c r="O126" s="14"/>
      <c r="P126" s="56" t="e">
        <f ca="1">MATCH(N126,INDIRECT(nomFichierEAN13Valmag &amp; "!A:A"),0)</f>
        <v>#N/A</v>
      </c>
      <c r="Q126" s="57" t="e">
        <f ca="1">MATCH(U126,INDIRECT(nomFichierEAN13Valmag &amp; "!A:A"),0)</f>
        <v>#N/A</v>
      </c>
      <c r="S126" s="50" t="str">
        <f t="shared" ref="S126:S145" ca="1" si="469">LEFT(B126,14)</f>
        <v>0</v>
      </c>
      <c r="T126" s="52" t="e">
        <f ca="1">MATCH($S126,INDIRECT(nomFichierEAN13ValmagUniq &amp; "!A:A"),0)</f>
        <v>#N/A</v>
      </c>
      <c r="U126" s="49" t="str">
        <f ca="1">IFERROR(INDEX(INDIRECT(zoneFichierEAN13ValmagUniq),T126,2),"")</f>
        <v/>
      </c>
      <c r="V126" s="52" t="e">
        <f ca="1">MATCH($S126,INDIRECT(nomFichierEAN13ValmagUniq &amp; "!A" &amp; (T126+1) &amp; ":A" &amp;  (T126+10)),0)</f>
        <v>#N/A</v>
      </c>
      <c r="W126" s="51" t="e">
        <f t="shared" ref="W126" ca="1" si="470">V126+T126</f>
        <v>#N/A</v>
      </c>
      <c r="X126" s="49" t="str">
        <f ca="1">IFERROR(INDEX(INDIRECT(zoneFichierEAN13ValmagUniq),W126,2),"")</f>
        <v/>
      </c>
      <c r="Y126" s="52" t="e">
        <f ca="1">MATCH($S126,INDIRECT(nomFichierEAN13ValmagUniq &amp; "!A" &amp; (W126+1) &amp; ":A" &amp;  (W126+10)),0)</f>
        <v>#N/A</v>
      </c>
      <c r="Z126" s="51" t="e">
        <f t="shared" ref="Z126" ca="1" si="471">Y126+W126</f>
        <v>#N/A</v>
      </c>
      <c r="AA126" s="49" t="str">
        <f ca="1">IFERROR(INDEX(INDIRECT(zoneFichierEAN13ValmagUniq),Z126,2),"")</f>
        <v/>
      </c>
      <c r="AB126" s="53" t="str">
        <f t="shared" ref="AB126" ca="1" si="472">U126 &amp; IF(X126="","", " | " &amp; X126) &amp; IF(AA126="","", " | " &amp;AA126)</f>
        <v/>
      </c>
      <c r="AD126" s="55" t="e">
        <f ca="1">MATCH(B126,INDIRECT(nomFichierFiltreCatalogue &amp; "!B:B"),0)</f>
        <v>#N/A</v>
      </c>
      <c r="AE126" s="14"/>
    </row>
    <row r="127" spans="1:31" s="20" customFormat="1" ht="15.75" customHeight="1" x14ac:dyDescent="0.25">
      <c r="A127" s="25">
        <f ca="1">INDEX(INDIRECT(zoneFichierTraite),$J126+offsetInitialFichierTraite,2)</f>
        <v>0</v>
      </c>
      <c r="B127" s="58" t="str">
        <f ca="1">IFERROR(INDEX(INDIRECT(zoneFichierEAN13Valmag),$P126,3),"")</f>
        <v/>
      </c>
      <c r="C127" s="54" t="str">
        <f t="shared" ref="C127:C145" ca="1" si="473">AB126</f>
        <v/>
      </c>
      <c r="D127" s="19" t="str">
        <f ca="1">IFERROR(INDEX(INDIRECT(zoneFichierEAN13Valmag),$P126,4),"")</f>
        <v/>
      </c>
      <c r="E127" s="59" t="str">
        <f ca="1">IFERROR(INDEX(INDIRECT(zoneFichierFiltreCatalogue),AD126,3),"")</f>
        <v/>
      </c>
      <c r="F127" s="19"/>
      <c r="G127" s="18"/>
      <c r="H127" s="32" t="str">
        <f ca="1">IFERROR(INDEX(INDIRECT(zoneFichierFiltreCatalogue),AD126,6),"")</f>
        <v/>
      </c>
      <c r="T127" s="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</row>
    <row r="128" spans="1:31" ht="39" customHeight="1" thickBot="1" x14ac:dyDescent="0.65">
      <c r="A128" s="9">
        <f ca="1">INDEX(INDIRECT(zoneFichierTraite),$J128+offsetInitialFichierTraite,6)</f>
        <v>0</v>
      </c>
      <c r="B128" s="5">
        <f ca="1">INDEX(INDIRECT(zoneFichierTraite),$J128+offsetInitialFichierTraite,4)</f>
        <v>0</v>
      </c>
      <c r="C128" s="26">
        <f ca="1">INDEX(INDIRECT(zoneFichierTraite),$J128+offsetInitialFichierTraite,5)</f>
        <v>0</v>
      </c>
      <c r="D128" s="27">
        <f ca="1">INDEX(INDIRECT(zoneFichierTraite),$J128+offsetInitialFichierTraite,13)</f>
        <v>0</v>
      </c>
      <c r="E128" s="30">
        <f ca="1">INDEX(INDIRECT(zoneFichierTraite),$J128+offsetInitialFichierTraite,7)</f>
        <v>0</v>
      </c>
      <c r="F128" s="28">
        <f ca="1">INDEX(INDIRECT(zoneFichierTraite),$J128+offsetInitialFichierTraite,8)</f>
        <v>0</v>
      </c>
      <c r="G128" s="29">
        <f t="shared" ref="G128:G145" ca="1" si="474">ROUNDUP(F128*3,0)</f>
        <v>0</v>
      </c>
      <c r="H128" s="31" t="str">
        <f ca="1">IF(ISNUMBER(N128),codeEAN13(INT(N128/10)),"")</f>
        <v/>
      </c>
      <c r="I128" s="1" t="b">
        <f t="shared" ref="I128" ca="1" si="475">AND(A131&lt;&gt;0,A129=A131)</f>
        <v>0</v>
      </c>
      <c r="J128" s="15">
        <f t="shared" si="259"/>
        <v>60</v>
      </c>
      <c r="K128" s="1">
        <f t="shared" ref="K128:K145" ca="1" si="476">A129</f>
        <v>0</v>
      </c>
      <c r="L128" s="5">
        <f ca="1">INDEX(INDIRECT(zoneFichierTraite),$J128+offsetInitialFichierTraite,1)</f>
        <v>0</v>
      </c>
      <c r="M128" s="11">
        <f ca="1">INDEX(INDIRECT(zoneFichierTraite),$J128+offsetInitialFichierTraite,9)</f>
        <v>0</v>
      </c>
      <c r="N128" s="14">
        <f ca="1">INDEX(INDIRECT(zoneFichierTraite),$J128+offsetInitialFichierTraite,3)</f>
        <v>0</v>
      </c>
      <c r="O128" s="14"/>
      <c r="P128" s="56" t="e">
        <f ca="1">MATCH(N128,INDIRECT(nomFichierEAN13Valmag &amp; "!A:A"),0)</f>
        <v>#N/A</v>
      </c>
      <c r="Q128" s="57" t="e">
        <f ca="1">MATCH(U128,INDIRECT(nomFichierEAN13Valmag &amp; "!A:A"),0)</f>
        <v>#N/A</v>
      </c>
      <c r="S128" s="50" t="str">
        <f t="shared" ref="S128:S145" ca="1" si="477">LEFT(B128,14)</f>
        <v>0</v>
      </c>
      <c r="T128" s="52" t="e">
        <f ca="1">MATCH($S128,INDIRECT(nomFichierEAN13ValmagUniq &amp; "!A:A"),0)</f>
        <v>#N/A</v>
      </c>
      <c r="U128" s="49" t="str">
        <f ca="1">IFERROR(INDEX(INDIRECT(zoneFichierEAN13ValmagUniq),T128,2),"")</f>
        <v/>
      </c>
      <c r="V128" s="52" t="e">
        <f ca="1">MATCH($S128,INDIRECT(nomFichierEAN13ValmagUniq &amp; "!A" &amp; (T128+1) &amp; ":A" &amp;  (T128+10)),0)</f>
        <v>#N/A</v>
      </c>
      <c r="W128" s="51" t="e">
        <f t="shared" ref="W128" ca="1" si="478">V128+T128</f>
        <v>#N/A</v>
      </c>
      <c r="X128" s="49" t="str">
        <f ca="1">IFERROR(INDEX(INDIRECT(zoneFichierEAN13ValmagUniq),W128,2),"")</f>
        <v/>
      </c>
      <c r="Y128" s="52" t="e">
        <f ca="1">MATCH($S128,INDIRECT(nomFichierEAN13ValmagUniq &amp; "!A" &amp; (W128+1) &amp; ":A" &amp;  (W128+10)),0)</f>
        <v>#N/A</v>
      </c>
      <c r="Z128" s="51" t="e">
        <f t="shared" ref="Z128" ca="1" si="479">Y128+W128</f>
        <v>#N/A</v>
      </c>
      <c r="AA128" s="49" t="str">
        <f ca="1">IFERROR(INDEX(INDIRECT(zoneFichierEAN13ValmagUniq),Z128,2),"")</f>
        <v/>
      </c>
      <c r="AB128" s="53" t="str">
        <f t="shared" ref="AB128" ca="1" si="480">U128 &amp; IF(X128="","", " | " &amp; X128) &amp; IF(AA128="","", " | " &amp;AA128)</f>
        <v/>
      </c>
      <c r="AD128" s="55" t="e">
        <f ca="1">MATCH(B128,INDIRECT(nomFichierFiltreCatalogue &amp; "!B:B"),0)</f>
        <v>#N/A</v>
      </c>
      <c r="AE128" s="14"/>
    </row>
    <row r="129" spans="1:31" s="20" customFormat="1" ht="15.75" customHeight="1" x14ac:dyDescent="0.25">
      <c r="A129" s="25">
        <f ca="1">INDEX(INDIRECT(zoneFichierTraite),$J128+offsetInitialFichierTraite,2)</f>
        <v>0</v>
      </c>
      <c r="B129" s="58" t="str">
        <f ca="1">IFERROR(INDEX(INDIRECT(zoneFichierEAN13Valmag),$P128,3),"")</f>
        <v/>
      </c>
      <c r="C129" s="54" t="str">
        <f t="shared" ref="C129:C145" ca="1" si="481">AB128</f>
        <v/>
      </c>
      <c r="D129" s="19" t="str">
        <f ca="1">IFERROR(INDEX(INDIRECT(zoneFichierEAN13Valmag),$P128,4),"")</f>
        <v/>
      </c>
      <c r="E129" s="59" t="str">
        <f ca="1">IFERROR(INDEX(INDIRECT(zoneFichierFiltreCatalogue),AD128,3),"")</f>
        <v/>
      </c>
      <c r="F129" s="19"/>
      <c r="G129" s="18"/>
      <c r="H129" s="32" t="str">
        <f ca="1">IFERROR(INDEX(INDIRECT(zoneFichierFiltreCatalogue),AD128,6),"")</f>
        <v/>
      </c>
      <c r="T129" s="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</row>
    <row r="130" spans="1:31" ht="39" customHeight="1" thickBot="1" x14ac:dyDescent="0.65">
      <c r="A130" s="9">
        <f ca="1">INDEX(INDIRECT(zoneFichierTraite),$J130+offsetInitialFichierTraite,6)</f>
        <v>0</v>
      </c>
      <c r="B130" s="5">
        <f ca="1">INDEX(INDIRECT(zoneFichierTraite),$J130+offsetInitialFichierTraite,4)</f>
        <v>0</v>
      </c>
      <c r="C130" s="26">
        <f ca="1">INDEX(INDIRECT(zoneFichierTraite),$J130+offsetInitialFichierTraite,5)</f>
        <v>0</v>
      </c>
      <c r="D130" s="27">
        <f ca="1">INDEX(INDIRECT(zoneFichierTraite),$J130+offsetInitialFichierTraite,13)</f>
        <v>0</v>
      </c>
      <c r="E130" s="30">
        <f ca="1">INDEX(INDIRECT(zoneFichierTraite),$J130+offsetInitialFichierTraite,7)</f>
        <v>0</v>
      </c>
      <c r="F130" s="28">
        <f ca="1">INDEX(INDIRECT(zoneFichierTraite),$J130+offsetInitialFichierTraite,8)</f>
        <v>0</v>
      </c>
      <c r="G130" s="29">
        <f t="shared" ref="G130:G145" ca="1" si="482">ROUNDUP(F130*3,0)</f>
        <v>0</v>
      </c>
      <c r="H130" s="31" t="str">
        <f ca="1">IF(ISNUMBER(N130),codeEAN13(INT(N130/10)),"")</f>
        <v/>
      </c>
      <c r="I130" s="1" t="b">
        <f t="shared" ref="I130" ca="1" si="483">AND(A133&lt;&gt;0,A131=A133)</f>
        <v>0</v>
      </c>
      <c r="J130" s="15">
        <f t="shared" si="259"/>
        <v>61</v>
      </c>
      <c r="K130" s="1">
        <f t="shared" ref="K130:K145" ca="1" si="484">A131</f>
        <v>0</v>
      </c>
      <c r="L130" s="5">
        <f ca="1">INDEX(INDIRECT(zoneFichierTraite),$J130+offsetInitialFichierTraite,1)</f>
        <v>0</v>
      </c>
      <c r="M130" s="11">
        <f ca="1">INDEX(INDIRECT(zoneFichierTraite),$J130+offsetInitialFichierTraite,9)</f>
        <v>0</v>
      </c>
      <c r="N130" s="14">
        <f ca="1">INDEX(INDIRECT(zoneFichierTraite),$J130+offsetInitialFichierTraite,3)</f>
        <v>0</v>
      </c>
      <c r="O130" s="14"/>
      <c r="P130" s="56" t="e">
        <f ca="1">MATCH(N130,INDIRECT(nomFichierEAN13Valmag &amp; "!A:A"),0)</f>
        <v>#N/A</v>
      </c>
      <c r="Q130" s="57" t="e">
        <f ca="1">MATCH(U130,INDIRECT(nomFichierEAN13Valmag &amp; "!A:A"),0)</f>
        <v>#N/A</v>
      </c>
      <c r="S130" s="50" t="str">
        <f t="shared" ref="S130:S145" ca="1" si="485">LEFT(B130,14)</f>
        <v>0</v>
      </c>
      <c r="T130" s="52" t="e">
        <f ca="1">MATCH($S130,INDIRECT(nomFichierEAN13ValmagUniq &amp; "!A:A"),0)</f>
        <v>#N/A</v>
      </c>
      <c r="U130" s="49" t="str">
        <f ca="1">IFERROR(INDEX(INDIRECT(zoneFichierEAN13ValmagUniq),T130,2),"")</f>
        <v/>
      </c>
      <c r="V130" s="52" t="e">
        <f ca="1">MATCH($S130,INDIRECT(nomFichierEAN13ValmagUniq &amp; "!A" &amp; (T130+1) &amp; ":A" &amp;  (T130+10)),0)</f>
        <v>#N/A</v>
      </c>
      <c r="W130" s="51" t="e">
        <f t="shared" ref="W130" ca="1" si="486">V130+T130</f>
        <v>#N/A</v>
      </c>
      <c r="X130" s="49" t="str">
        <f ca="1">IFERROR(INDEX(INDIRECT(zoneFichierEAN13ValmagUniq),W130,2),"")</f>
        <v/>
      </c>
      <c r="Y130" s="52" t="e">
        <f ca="1">MATCH($S130,INDIRECT(nomFichierEAN13ValmagUniq &amp; "!A" &amp; (W130+1) &amp; ":A" &amp;  (W130+10)),0)</f>
        <v>#N/A</v>
      </c>
      <c r="Z130" s="51" t="e">
        <f t="shared" ref="Z130" ca="1" si="487">Y130+W130</f>
        <v>#N/A</v>
      </c>
      <c r="AA130" s="49" t="str">
        <f ca="1">IFERROR(INDEX(INDIRECT(zoneFichierEAN13ValmagUniq),Z130,2),"")</f>
        <v/>
      </c>
      <c r="AB130" s="53" t="str">
        <f t="shared" ref="AB130" ca="1" si="488">U130 &amp; IF(X130="","", " | " &amp; X130) &amp; IF(AA130="","", " | " &amp;AA130)</f>
        <v/>
      </c>
      <c r="AD130" s="55" t="e">
        <f ca="1">MATCH(B130,INDIRECT(nomFichierFiltreCatalogue &amp; "!B:B"),0)</f>
        <v>#N/A</v>
      </c>
      <c r="AE130" s="14"/>
    </row>
    <row r="131" spans="1:31" s="20" customFormat="1" ht="15.75" customHeight="1" x14ac:dyDescent="0.25">
      <c r="A131" s="25">
        <f ca="1">INDEX(INDIRECT(zoneFichierTraite),$J130+offsetInitialFichierTraite,2)</f>
        <v>0</v>
      </c>
      <c r="B131" s="58" t="str">
        <f ca="1">IFERROR(INDEX(INDIRECT(zoneFichierEAN13Valmag),$P130,3),"")</f>
        <v/>
      </c>
      <c r="C131" s="54" t="str">
        <f t="shared" ref="C131:C145" ca="1" si="489">AB130</f>
        <v/>
      </c>
      <c r="D131" s="19" t="str">
        <f ca="1">IFERROR(INDEX(INDIRECT(zoneFichierEAN13Valmag),$P130,4),"")</f>
        <v/>
      </c>
      <c r="E131" s="59" t="str">
        <f ca="1">IFERROR(INDEX(INDIRECT(zoneFichierFiltreCatalogue),AD130,3),"")</f>
        <v/>
      </c>
      <c r="F131" s="19"/>
      <c r="G131" s="18"/>
      <c r="H131" s="32" t="str">
        <f ca="1">IFERROR(INDEX(INDIRECT(zoneFichierFiltreCatalogue),AD130,6),"")</f>
        <v/>
      </c>
      <c r="T131" s="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1" ht="39" customHeight="1" thickBot="1" x14ac:dyDescent="0.65">
      <c r="A132" s="9">
        <f ca="1">INDEX(INDIRECT(zoneFichierTraite),$J132+offsetInitialFichierTraite,6)</f>
        <v>0</v>
      </c>
      <c r="B132" s="5">
        <f ca="1">INDEX(INDIRECT(zoneFichierTraite),$J132+offsetInitialFichierTraite,4)</f>
        <v>0</v>
      </c>
      <c r="C132" s="26">
        <f ca="1">INDEX(INDIRECT(zoneFichierTraite),$J132+offsetInitialFichierTraite,5)</f>
        <v>0</v>
      </c>
      <c r="D132" s="27">
        <f ca="1">INDEX(INDIRECT(zoneFichierTraite),$J132+offsetInitialFichierTraite,13)</f>
        <v>0</v>
      </c>
      <c r="E132" s="30">
        <f ca="1">INDEX(INDIRECT(zoneFichierTraite),$J132+offsetInitialFichierTraite,7)</f>
        <v>0</v>
      </c>
      <c r="F132" s="28">
        <f ca="1">INDEX(INDIRECT(zoneFichierTraite),$J132+offsetInitialFichierTraite,8)</f>
        <v>0</v>
      </c>
      <c r="G132" s="29">
        <f t="shared" ref="G132:G145" ca="1" si="490">ROUNDUP(F132*3,0)</f>
        <v>0</v>
      </c>
      <c r="H132" s="31" t="str">
        <f ca="1">IF(ISNUMBER(N132),codeEAN13(INT(N132/10)),"")</f>
        <v/>
      </c>
      <c r="I132" s="1" t="b">
        <f t="shared" ref="I132" ca="1" si="491">AND(A135&lt;&gt;0,A133=A135)</f>
        <v>0</v>
      </c>
      <c r="J132" s="15">
        <f t="shared" si="259"/>
        <v>62</v>
      </c>
      <c r="K132" s="1">
        <f t="shared" ref="K132:K145" ca="1" si="492">A133</f>
        <v>0</v>
      </c>
      <c r="L132" s="5">
        <f ca="1">INDEX(INDIRECT(zoneFichierTraite),$J132+offsetInitialFichierTraite,1)</f>
        <v>0</v>
      </c>
      <c r="M132" s="11">
        <f ca="1">INDEX(INDIRECT(zoneFichierTraite),$J132+offsetInitialFichierTraite,9)</f>
        <v>0</v>
      </c>
      <c r="N132" s="14">
        <f ca="1">INDEX(INDIRECT(zoneFichierTraite),$J132+offsetInitialFichierTraite,3)</f>
        <v>0</v>
      </c>
      <c r="O132" s="14"/>
      <c r="P132" s="56" t="e">
        <f ca="1">MATCH(N132,INDIRECT(nomFichierEAN13Valmag &amp; "!A:A"),0)</f>
        <v>#N/A</v>
      </c>
      <c r="Q132" s="57" t="e">
        <f ca="1">MATCH(U132,INDIRECT(nomFichierEAN13Valmag &amp; "!A:A"),0)</f>
        <v>#N/A</v>
      </c>
      <c r="S132" s="50" t="str">
        <f t="shared" ref="S132:S145" ca="1" si="493">LEFT(B132,14)</f>
        <v>0</v>
      </c>
      <c r="T132" s="52" t="e">
        <f ca="1">MATCH($S132,INDIRECT(nomFichierEAN13ValmagUniq &amp; "!A:A"),0)</f>
        <v>#N/A</v>
      </c>
      <c r="U132" s="49" t="str">
        <f ca="1">IFERROR(INDEX(INDIRECT(zoneFichierEAN13ValmagUniq),T132,2),"")</f>
        <v/>
      </c>
      <c r="V132" s="52" t="e">
        <f ca="1">MATCH($S132,INDIRECT(nomFichierEAN13ValmagUniq &amp; "!A" &amp; (T132+1) &amp; ":A" &amp;  (T132+10)),0)</f>
        <v>#N/A</v>
      </c>
      <c r="W132" s="51" t="e">
        <f t="shared" ref="W132" ca="1" si="494">V132+T132</f>
        <v>#N/A</v>
      </c>
      <c r="X132" s="49" t="str">
        <f ca="1">IFERROR(INDEX(INDIRECT(zoneFichierEAN13ValmagUniq),W132,2),"")</f>
        <v/>
      </c>
      <c r="Y132" s="52" t="e">
        <f ca="1">MATCH($S132,INDIRECT(nomFichierEAN13ValmagUniq &amp; "!A" &amp; (W132+1) &amp; ":A" &amp;  (W132+10)),0)</f>
        <v>#N/A</v>
      </c>
      <c r="Z132" s="51" t="e">
        <f t="shared" ref="Z132" ca="1" si="495">Y132+W132</f>
        <v>#N/A</v>
      </c>
      <c r="AA132" s="49" t="str">
        <f ca="1">IFERROR(INDEX(INDIRECT(zoneFichierEAN13ValmagUniq),Z132,2),"")</f>
        <v/>
      </c>
      <c r="AB132" s="53" t="str">
        <f t="shared" ref="AB132" ca="1" si="496">U132 &amp; IF(X132="","", " | " &amp; X132) &amp; IF(AA132="","", " | " &amp;AA132)</f>
        <v/>
      </c>
      <c r="AD132" s="55" t="e">
        <f ca="1">MATCH(B132,INDIRECT(nomFichierFiltreCatalogue &amp; "!B:B"),0)</f>
        <v>#N/A</v>
      </c>
      <c r="AE132" s="14"/>
    </row>
    <row r="133" spans="1:31" s="20" customFormat="1" ht="15.75" customHeight="1" x14ac:dyDescent="0.25">
      <c r="A133" s="25">
        <f ca="1">INDEX(INDIRECT(zoneFichierTraite),$J132+offsetInitialFichierTraite,2)</f>
        <v>0</v>
      </c>
      <c r="B133" s="58" t="str">
        <f ca="1">IFERROR(INDEX(INDIRECT(zoneFichierEAN13Valmag),$P132,3),"")</f>
        <v/>
      </c>
      <c r="C133" s="54" t="str">
        <f t="shared" ref="C133:C145" ca="1" si="497">AB132</f>
        <v/>
      </c>
      <c r="D133" s="19" t="str">
        <f ca="1">IFERROR(INDEX(INDIRECT(zoneFichierEAN13Valmag),$P132,4),"")</f>
        <v/>
      </c>
      <c r="E133" s="59" t="str">
        <f ca="1">IFERROR(INDEX(INDIRECT(zoneFichierFiltreCatalogue),AD132,3),"")</f>
        <v/>
      </c>
      <c r="F133" s="19"/>
      <c r="G133" s="18"/>
      <c r="H133" s="32" t="str">
        <f ca="1">IFERROR(INDEX(INDIRECT(zoneFichierFiltreCatalogue),AD132,6),"")</f>
        <v/>
      </c>
      <c r="T133" s="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1" ht="39" customHeight="1" thickBot="1" x14ac:dyDescent="0.65">
      <c r="A134" s="9">
        <f ca="1">INDEX(INDIRECT(zoneFichierTraite),$J134+offsetInitialFichierTraite,6)</f>
        <v>0</v>
      </c>
      <c r="B134" s="5">
        <f ca="1">INDEX(INDIRECT(zoneFichierTraite),$J134+offsetInitialFichierTraite,4)</f>
        <v>0</v>
      </c>
      <c r="C134" s="26">
        <f ca="1">INDEX(INDIRECT(zoneFichierTraite),$J134+offsetInitialFichierTraite,5)</f>
        <v>0</v>
      </c>
      <c r="D134" s="27">
        <f ca="1">INDEX(INDIRECT(zoneFichierTraite),$J134+offsetInitialFichierTraite,13)</f>
        <v>0</v>
      </c>
      <c r="E134" s="30">
        <f ca="1">INDEX(INDIRECT(zoneFichierTraite),$J134+offsetInitialFichierTraite,7)</f>
        <v>0</v>
      </c>
      <c r="F134" s="28">
        <f ca="1">INDEX(INDIRECT(zoneFichierTraite),$J134+offsetInitialFichierTraite,8)</f>
        <v>0</v>
      </c>
      <c r="G134" s="29">
        <f t="shared" ref="G134:G145" ca="1" si="498">ROUNDUP(F134*3,0)</f>
        <v>0</v>
      </c>
      <c r="H134" s="31" t="str">
        <f ca="1">IF(ISNUMBER(N134),codeEAN13(INT(N134/10)),"")</f>
        <v/>
      </c>
      <c r="I134" s="1" t="b">
        <f t="shared" ref="I134" ca="1" si="499">AND(A137&lt;&gt;0,A135=A137)</f>
        <v>0</v>
      </c>
      <c r="J134" s="15">
        <f t="shared" si="259"/>
        <v>63</v>
      </c>
      <c r="K134" s="1">
        <f t="shared" ref="K134:K145" ca="1" si="500">A135</f>
        <v>0</v>
      </c>
      <c r="L134" s="5">
        <f ca="1">INDEX(INDIRECT(zoneFichierTraite),$J134+offsetInitialFichierTraite,1)</f>
        <v>0</v>
      </c>
      <c r="M134" s="11">
        <f ca="1">INDEX(INDIRECT(zoneFichierTraite),$J134+offsetInitialFichierTraite,9)</f>
        <v>0</v>
      </c>
      <c r="N134" s="14">
        <f ca="1">INDEX(INDIRECT(zoneFichierTraite),$J134+offsetInitialFichierTraite,3)</f>
        <v>0</v>
      </c>
      <c r="O134" s="14"/>
      <c r="P134" s="56" t="e">
        <f ca="1">MATCH(N134,INDIRECT(nomFichierEAN13Valmag &amp; "!A:A"),0)</f>
        <v>#N/A</v>
      </c>
      <c r="Q134" s="57" t="e">
        <f ca="1">MATCH(U134,INDIRECT(nomFichierEAN13Valmag &amp; "!A:A"),0)</f>
        <v>#N/A</v>
      </c>
      <c r="S134" s="50" t="str">
        <f t="shared" ref="S134:S145" ca="1" si="501">LEFT(B134,14)</f>
        <v>0</v>
      </c>
      <c r="T134" s="52" t="e">
        <f ca="1">MATCH($S134,INDIRECT(nomFichierEAN13ValmagUniq &amp; "!A:A"),0)</f>
        <v>#N/A</v>
      </c>
      <c r="U134" s="49" t="str">
        <f ca="1">IFERROR(INDEX(INDIRECT(zoneFichierEAN13ValmagUniq),T134,2),"")</f>
        <v/>
      </c>
      <c r="V134" s="52" t="e">
        <f ca="1">MATCH($S134,INDIRECT(nomFichierEAN13ValmagUniq &amp; "!A" &amp; (T134+1) &amp; ":A" &amp;  (T134+10)),0)</f>
        <v>#N/A</v>
      </c>
      <c r="W134" s="51" t="e">
        <f t="shared" ref="W134" ca="1" si="502">V134+T134</f>
        <v>#N/A</v>
      </c>
      <c r="X134" s="49" t="str">
        <f ca="1">IFERROR(INDEX(INDIRECT(zoneFichierEAN13ValmagUniq),W134,2),"")</f>
        <v/>
      </c>
      <c r="Y134" s="52" t="e">
        <f ca="1">MATCH($S134,INDIRECT(nomFichierEAN13ValmagUniq &amp; "!A" &amp; (W134+1) &amp; ":A" &amp;  (W134+10)),0)</f>
        <v>#N/A</v>
      </c>
      <c r="Z134" s="51" t="e">
        <f t="shared" ref="Z134" ca="1" si="503">Y134+W134</f>
        <v>#N/A</v>
      </c>
      <c r="AA134" s="49" t="str">
        <f ca="1">IFERROR(INDEX(INDIRECT(zoneFichierEAN13ValmagUniq),Z134,2),"")</f>
        <v/>
      </c>
      <c r="AB134" s="53" t="str">
        <f t="shared" ref="AB134" ca="1" si="504">U134 &amp; IF(X134="","", " | " &amp; X134) &amp; IF(AA134="","", " | " &amp;AA134)</f>
        <v/>
      </c>
      <c r="AD134" s="55" t="e">
        <f ca="1">MATCH(B134,INDIRECT(nomFichierFiltreCatalogue &amp; "!B:B"),0)</f>
        <v>#N/A</v>
      </c>
      <c r="AE134" s="14"/>
    </row>
    <row r="135" spans="1:31" s="20" customFormat="1" ht="15.75" customHeight="1" x14ac:dyDescent="0.25">
      <c r="A135" s="25">
        <f ca="1">INDEX(INDIRECT(zoneFichierTraite),$J134+offsetInitialFichierTraite,2)</f>
        <v>0</v>
      </c>
      <c r="B135" s="58" t="str">
        <f ca="1">IFERROR(INDEX(INDIRECT(zoneFichierEAN13Valmag),$P134,3),"")</f>
        <v/>
      </c>
      <c r="C135" s="54" t="str">
        <f t="shared" ref="C135:C145" ca="1" si="505">AB134</f>
        <v/>
      </c>
      <c r="D135" s="19" t="str">
        <f ca="1">IFERROR(INDEX(INDIRECT(zoneFichierEAN13Valmag),$P134,4),"")</f>
        <v/>
      </c>
      <c r="E135" s="59" t="str">
        <f ca="1">IFERROR(INDEX(INDIRECT(zoneFichierFiltreCatalogue),AD134,3),"")</f>
        <v/>
      </c>
      <c r="F135" s="19"/>
      <c r="G135" s="18"/>
      <c r="H135" s="32" t="str">
        <f ca="1">IFERROR(INDEX(INDIRECT(zoneFichierFiltreCatalogue),AD134,6),"")</f>
        <v/>
      </c>
      <c r="T135" s="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1" ht="39" customHeight="1" thickBot="1" x14ac:dyDescent="0.65">
      <c r="A136" s="9">
        <f ca="1">INDEX(INDIRECT(zoneFichierTraite),$J136+offsetInitialFichierTraite,6)</f>
        <v>0</v>
      </c>
      <c r="B136" s="5">
        <f ca="1">INDEX(INDIRECT(zoneFichierTraite),$J136+offsetInitialFichierTraite,4)</f>
        <v>0</v>
      </c>
      <c r="C136" s="26">
        <f ca="1">INDEX(INDIRECT(zoneFichierTraite),$J136+offsetInitialFichierTraite,5)</f>
        <v>0</v>
      </c>
      <c r="D136" s="27">
        <f ca="1">INDEX(INDIRECT(zoneFichierTraite),$J136+offsetInitialFichierTraite,13)</f>
        <v>0</v>
      </c>
      <c r="E136" s="30">
        <f ca="1">INDEX(INDIRECT(zoneFichierTraite),$J136+offsetInitialFichierTraite,7)</f>
        <v>0</v>
      </c>
      <c r="F136" s="28">
        <f ca="1">INDEX(INDIRECT(zoneFichierTraite),$J136+offsetInitialFichierTraite,8)</f>
        <v>0</v>
      </c>
      <c r="G136" s="29">
        <f t="shared" ref="G136:G145" ca="1" si="506">ROUNDUP(F136*3,0)</f>
        <v>0</v>
      </c>
      <c r="H136" s="31" t="str">
        <f ca="1">IF(ISNUMBER(N136),codeEAN13(INT(N136/10)),"")</f>
        <v/>
      </c>
      <c r="I136" s="1" t="b">
        <f t="shared" ref="I136" ca="1" si="507">AND(A139&lt;&gt;0,A137=A139)</f>
        <v>0</v>
      </c>
      <c r="J136" s="15">
        <f t="shared" si="259"/>
        <v>64</v>
      </c>
      <c r="K136" s="1">
        <f t="shared" ref="K136:K145" ca="1" si="508">A137</f>
        <v>0</v>
      </c>
      <c r="L136" s="5">
        <f ca="1">INDEX(INDIRECT(zoneFichierTraite),$J136+offsetInitialFichierTraite,1)</f>
        <v>0</v>
      </c>
      <c r="M136" s="11">
        <f ca="1">INDEX(INDIRECT(zoneFichierTraite),$J136+offsetInitialFichierTraite,9)</f>
        <v>0</v>
      </c>
      <c r="N136" s="14">
        <f ca="1">INDEX(INDIRECT(zoneFichierTraite),$J136+offsetInitialFichierTraite,3)</f>
        <v>0</v>
      </c>
      <c r="O136" s="14"/>
      <c r="P136" s="56" t="e">
        <f ca="1">MATCH(N136,INDIRECT(nomFichierEAN13Valmag &amp; "!A:A"),0)</f>
        <v>#N/A</v>
      </c>
      <c r="Q136" s="57" t="e">
        <f ca="1">MATCH(U136,INDIRECT(nomFichierEAN13Valmag &amp; "!A:A"),0)</f>
        <v>#N/A</v>
      </c>
      <c r="S136" s="50" t="str">
        <f t="shared" ref="S136:S145" ca="1" si="509">LEFT(B136,14)</f>
        <v>0</v>
      </c>
      <c r="T136" s="52" t="e">
        <f ca="1">MATCH($S136,INDIRECT(nomFichierEAN13ValmagUniq &amp; "!A:A"),0)</f>
        <v>#N/A</v>
      </c>
      <c r="U136" s="49" t="str">
        <f ca="1">IFERROR(INDEX(INDIRECT(zoneFichierEAN13ValmagUniq),T136,2),"")</f>
        <v/>
      </c>
      <c r="V136" s="52" t="e">
        <f ca="1">MATCH($S136,INDIRECT(nomFichierEAN13ValmagUniq &amp; "!A" &amp; (T136+1) &amp; ":A" &amp;  (T136+10)),0)</f>
        <v>#N/A</v>
      </c>
      <c r="W136" s="51" t="e">
        <f t="shared" ref="W136" ca="1" si="510">V136+T136</f>
        <v>#N/A</v>
      </c>
      <c r="X136" s="49" t="str">
        <f ca="1">IFERROR(INDEX(INDIRECT(zoneFichierEAN13ValmagUniq),W136,2),"")</f>
        <v/>
      </c>
      <c r="Y136" s="52" t="e">
        <f ca="1">MATCH($S136,INDIRECT(nomFichierEAN13ValmagUniq &amp; "!A" &amp; (W136+1) &amp; ":A" &amp;  (W136+10)),0)</f>
        <v>#N/A</v>
      </c>
      <c r="Z136" s="51" t="e">
        <f t="shared" ref="Z136" ca="1" si="511">Y136+W136</f>
        <v>#N/A</v>
      </c>
      <c r="AA136" s="49" t="str">
        <f ca="1">IFERROR(INDEX(INDIRECT(zoneFichierEAN13ValmagUniq),Z136,2),"")</f>
        <v/>
      </c>
      <c r="AB136" s="53" t="str">
        <f t="shared" ref="AB136" ca="1" si="512">U136 &amp; IF(X136="","", " | " &amp; X136) &amp; IF(AA136="","", " | " &amp;AA136)</f>
        <v/>
      </c>
      <c r="AD136" s="55" t="e">
        <f ca="1">MATCH(B136,INDIRECT(nomFichierFiltreCatalogue &amp; "!B:B"),0)</f>
        <v>#N/A</v>
      </c>
      <c r="AE136" s="14"/>
    </row>
    <row r="137" spans="1:31" s="20" customFormat="1" ht="15.75" customHeight="1" x14ac:dyDescent="0.25">
      <c r="A137" s="25">
        <f ca="1">INDEX(INDIRECT(zoneFichierTraite),$J136+offsetInitialFichierTraite,2)</f>
        <v>0</v>
      </c>
      <c r="B137" s="58" t="str">
        <f ca="1">IFERROR(INDEX(INDIRECT(zoneFichierEAN13Valmag),$P136,3),"")</f>
        <v/>
      </c>
      <c r="C137" s="54" t="str">
        <f t="shared" ref="C137:C145" ca="1" si="513">AB136</f>
        <v/>
      </c>
      <c r="D137" s="19" t="str">
        <f ca="1">IFERROR(INDEX(INDIRECT(zoneFichierEAN13Valmag),$P136,4),"")</f>
        <v/>
      </c>
      <c r="E137" s="59" t="str">
        <f ca="1">IFERROR(INDEX(INDIRECT(zoneFichierFiltreCatalogue),AD136,3),"")</f>
        <v/>
      </c>
      <c r="F137" s="19"/>
      <c r="G137" s="18"/>
      <c r="H137" s="32" t="str">
        <f ca="1">IFERROR(INDEX(INDIRECT(zoneFichierFiltreCatalogue),AD136,6),"")</f>
        <v/>
      </c>
      <c r="T137" s="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1" ht="39" customHeight="1" thickBot="1" x14ac:dyDescent="0.65">
      <c r="A138" s="9">
        <f ca="1">INDEX(INDIRECT(zoneFichierTraite),$J138+offsetInitialFichierTraite,6)</f>
        <v>0</v>
      </c>
      <c r="B138" s="5">
        <f ca="1">INDEX(INDIRECT(zoneFichierTraite),$J138+offsetInitialFichierTraite,4)</f>
        <v>0</v>
      </c>
      <c r="C138" s="26">
        <f ca="1">INDEX(INDIRECT(zoneFichierTraite),$J138+offsetInitialFichierTraite,5)</f>
        <v>0</v>
      </c>
      <c r="D138" s="27">
        <f ca="1">INDEX(INDIRECT(zoneFichierTraite),$J138+offsetInitialFichierTraite,13)</f>
        <v>0</v>
      </c>
      <c r="E138" s="30">
        <f ca="1">INDEX(INDIRECT(zoneFichierTraite),$J138+offsetInitialFichierTraite,7)</f>
        <v>0</v>
      </c>
      <c r="F138" s="28">
        <f ca="1">INDEX(INDIRECT(zoneFichierTraite),$J138+offsetInitialFichierTraite,8)</f>
        <v>0</v>
      </c>
      <c r="G138" s="29">
        <f t="shared" ref="G138:G145" ca="1" si="514">ROUNDUP(F138*3,0)</f>
        <v>0</v>
      </c>
      <c r="H138" s="31" t="str">
        <f ca="1">IF(ISNUMBER(N138),codeEAN13(INT(N138/10)),"")</f>
        <v/>
      </c>
      <c r="I138" s="1" t="b">
        <f t="shared" ref="I138" ca="1" si="515">AND(A141&lt;&gt;0,A139=A141)</f>
        <v>0</v>
      </c>
      <c r="J138" s="15">
        <f t="shared" ref="J138:J144" si="516">J136+1</f>
        <v>65</v>
      </c>
      <c r="K138" s="1">
        <f t="shared" ref="K138:K145" ca="1" si="517">A139</f>
        <v>0</v>
      </c>
      <c r="L138" s="5">
        <f ca="1">INDEX(INDIRECT(zoneFichierTraite),$J138+offsetInitialFichierTraite,1)</f>
        <v>0</v>
      </c>
      <c r="M138" s="11">
        <f ca="1">INDEX(INDIRECT(zoneFichierTraite),$J138+offsetInitialFichierTraite,9)</f>
        <v>0</v>
      </c>
      <c r="N138" s="14">
        <f ca="1">INDEX(INDIRECT(zoneFichierTraite),$J138+offsetInitialFichierTraite,3)</f>
        <v>0</v>
      </c>
      <c r="O138" s="14"/>
      <c r="P138" s="56" t="e">
        <f ca="1">MATCH(N138,INDIRECT(nomFichierEAN13Valmag &amp; "!A:A"),0)</f>
        <v>#N/A</v>
      </c>
      <c r="Q138" s="57" t="e">
        <f ca="1">MATCH(U138,INDIRECT(nomFichierEAN13Valmag &amp; "!A:A"),0)</f>
        <v>#N/A</v>
      </c>
      <c r="S138" s="50" t="str">
        <f t="shared" ref="S138:S145" ca="1" si="518">LEFT(B138,14)</f>
        <v>0</v>
      </c>
      <c r="T138" s="52" t="e">
        <f ca="1">MATCH($S138,INDIRECT(nomFichierEAN13ValmagUniq &amp; "!A:A"),0)</f>
        <v>#N/A</v>
      </c>
      <c r="U138" s="49" t="str">
        <f ca="1">IFERROR(INDEX(INDIRECT(zoneFichierEAN13ValmagUniq),T138,2),"")</f>
        <v/>
      </c>
      <c r="V138" s="52" t="e">
        <f ca="1">MATCH($S138,INDIRECT(nomFichierEAN13ValmagUniq &amp; "!A" &amp; (T138+1) &amp; ":A" &amp;  (T138+10)),0)</f>
        <v>#N/A</v>
      </c>
      <c r="W138" s="51" t="e">
        <f t="shared" ref="W138" ca="1" si="519">V138+T138</f>
        <v>#N/A</v>
      </c>
      <c r="X138" s="49" t="str">
        <f ca="1">IFERROR(INDEX(INDIRECT(zoneFichierEAN13ValmagUniq),W138,2),"")</f>
        <v/>
      </c>
      <c r="Y138" s="52" t="e">
        <f ca="1">MATCH($S138,INDIRECT(nomFichierEAN13ValmagUniq &amp; "!A" &amp; (W138+1) &amp; ":A" &amp;  (W138+10)),0)</f>
        <v>#N/A</v>
      </c>
      <c r="Z138" s="51" t="e">
        <f t="shared" ref="Z138" ca="1" si="520">Y138+W138</f>
        <v>#N/A</v>
      </c>
      <c r="AA138" s="49" t="str">
        <f ca="1">IFERROR(INDEX(INDIRECT(zoneFichierEAN13ValmagUniq),Z138,2),"")</f>
        <v/>
      </c>
      <c r="AB138" s="53" t="str">
        <f t="shared" ref="AB138" ca="1" si="521">U138 &amp; IF(X138="","", " | " &amp; X138) &amp; IF(AA138="","", " | " &amp;AA138)</f>
        <v/>
      </c>
      <c r="AD138" s="55" t="e">
        <f ca="1">MATCH(B138,INDIRECT(nomFichierFiltreCatalogue &amp; "!B:B"),0)</f>
        <v>#N/A</v>
      </c>
      <c r="AE138" s="14"/>
    </row>
    <row r="139" spans="1:31" s="20" customFormat="1" ht="15.75" customHeight="1" x14ac:dyDescent="0.25">
      <c r="A139" s="25">
        <f ca="1">INDEX(INDIRECT(zoneFichierTraite),$J138+offsetInitialFichierTraite,2)</f>
        <v>0</v>
      </c>
      <c r="B139" s="58" t="str">
        <f ca="1">IFERROR(INDEX(INDIRECT(zoneFichierEAN13Valmag),$P138,3),"")</f>
        <v/>
      </c>
      <c r="C139" s="54" t="str">
        <f t="shared" ref="C139:C145" ca="1" si="522">AB138</f>
        <v/>
      </c>
      <c r="D139" s="19" t="str">
        <f ca="1">IFERROR(INDEX(INDIRECT(zoneFichierEAN13Valmag),$P138,4),"")</f>
        <v/>
      </c>
      <c r="E139" s="59" t="str">
        <f ca="1">IFERROR(INDEX(INDIRECT(zoneFichierFiltreCatalogue),AD138,3),"")</f>
        <v/>
      </c>
      <c r="F139" s="19"/>
      <c r="G139" s="18"/>
      <c r="H139" s="32" t="str">
        <f ca="1">IFERROR(INDEX(INDIRECT(zoneFichierFiltreCatalogue),AD138,6),"")</f>
        <v/>
      </c>
      <c r="T139" s="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1" ht="39" customHeight="1" thickBot="1" x14ac:dyDescent="0.65">
      <c r="A140" s="9">
        <f ca="1">INDEX(INDIRECT(zoneFichierTraite),$J140+offsetInitialFichierTraite,6)</f>
        <v>0</v>
      </c>
      <c r="B140" s="5">
        <f ca="1">INDEX(INDIRECT(zoneFichierTraite),$J140+offsetInitialFichierTraite,4)</f>
        <v>0</v>
      </c>
      <c r="C140" s="26">
        <f ca="1">INDEX(INDIRECT(zoneFichierTraite),$J140+offsetInitialFichierTraite,5)</f>
        <v>0</v>
      </c>
      <c r="D140" s="27">
        <f ca="1">INDEX(INDIRECT(zoneFichierTraite),$J140+offsetInitialFichierTraite,13)</f>
        <v>0</v>
      </c>
      <c r="E140" s="30">
        <f ca="1">INDEX(INDIRECT(zoneFichierTraite),$J140+offsetInitialFichierTraite,7)</f>
        <v>0</v>
      </c>
      <c r="F140" s="28">
        <f ca="1">INDEX(INDIRECT(zoneFichierTraite),$J140+offsetInitialFichierTraite,8)</f>
        <v>0</v>
      </c>
      <c r="G140" s="29">
        <f t="shared" ref="G140:G145" ca="1" si="523">ROUNDUP(F140*3,0)</f>
        <v>0</v>
      </c>
      <c r="H140" s="31" t="str">
        <f ca="1">IF(ISNUMBER(N140),codeEAN13(INT(N140/10)),"")</f>
        <v/>
      </c>
      <c r="I140" s="1" t="b">
        <f t="shared" ref="I140" ca="1" si="524">AND(A143&lt;&gt;0,A141=A143)</f>
        <v>0</v>
      </c>
      <c r="J140" s="15">
        <f t="shared" si="516"/>
        <v>66</v>
      </c>
      <c r="K140" s="1">
        <f t="shared" ref="K140:K145" ca="1" si="525">A141</f>
        <v>0</v>
      </c>
      <c r="L140" s="5">
        <f ca="1">INDEX(INDIRECT(zoneFichierTraite),$J140+offsetInitialFichierTraite,1)</f>
        <v>0</v>
      </c>
      <c r="M140" s="11">
        <f ca="1">INDEX(INDIRECT(zoneFichierTraite),$J140+offsetInitialFichierTraite,9)</f>
        <v>0</v>
      </c>
      <c r="N140" s="14">
        <f ca="1">INDEX(INDIRECT(zoneFichierTraite),$J140+offsetInitialFichierTraite,3)</f>
        <v>0</v>
      </c>
      <c r="O140" s="14"/>
      <c r="P140" s="56" t="e">
        <f ca="1">MATCH(N140,INDIRECT(nomFichierEAN13Valmag &amp; "!A:A"),0)</f>
        <v>#N/A</v>
      </c>
      <c r="Q140" s="57" t="e">
        <f ca="1">MATCH(U140,INDIRECT(nomFichierEAN13Valmag &amp; "!A:A"),0)</f>
        <v>#N/A</v>
      </c>
      <c r="S140" s="50" t="str">
        <f t="shared" ref="S140:S145" ca="1" si="526">LEFT(B140,14)</f>
        <v>0</v>
      </c>
      <c r="T140" s="52" t="e">
        <f ca="1">MATCH($S140,INDIRECT(nomFichierEAN13ValmagUniq &amp; "!A:A"),0)</f>
        <v>#N/A</v>
      </c>
      <c r="U140" s="49" t="str">
        <f ca="1">IFERROR(INDEX(INDIRECT(zoneFichierEAN13ValmagUniq),T140,2),"")</f>
        <v/>
      </c>
      <c r="V140" s="52" t="e">
        <f ca="1">MATCH($S140,INDIRECT(nomFichierEAN13ValmagUniq &amp; "!A" &amp; (T140+1) &amp; ":A" &amp;  (T140+10)),0)</f>
        <v>#N/A</v>
      </c>
      <c r="W140" s="51" t="e">
        <f t="shared" ref="W140" ca="1" si="527">V140+T140</f>
        <v>#N/A</v>
      </c>
      <c r="X140" s="49" t="str">
        <f ca="1">IFERROR(INDEX(INDIRECT(zoneFichierEAN13ValmagUniq),W140,2),"")</f>
        <v/>
      </c>
      <c r="Y140" s="52" t="e">
        <f ca="1">MATCH($S140,INDIRECT(nomFichierEAN13ValmagUniq &amp; "!A" &amp; (W140+1) &amp; ":A" &amp;  (W140+10)),0)</f>
        <v>#N/A</v>
      </c>
      <c r="Z140" s="51" t="e">
        <f t="shared" ref="Z140" ca="1" si="528">Y140+W140</f>
        <v>#N/A</v>
      </c>
      <c r="AA140" s="49" t="str">
        <f ca="1">IFERROR(INDEX(INDIRECT(zoneFichierEAN13ValmagUniq),Z140,2),"")</f>
        <v/>
      </c>
      <c r="AB140" s="53" t="str">
        <f t="shared" ref="AB140" ca="1" si="529">U140 &amp; IF(X140="","", " | " &amp; X140) &amp; IF(AA140="","", " | " &amp;AA140)</f>
        <v/>
      </c>
      <c r="AD140" s="55" t="e">
        <f ca="1">MATCH(B140,INDIRECT(nomFichierFiltreCatalogue &amp; "!B:B"),0)</f>
        <v>#N/A</v>
      </c>
      <c r="AE140" s="14"/>
    </row>
    <row r="141" spans="1:31" s="20" customFormat="1" ht="15.75" customHeight="1" x14ac:dyDescent="0.25">
      <c r="A141" s="25">
        <f ca="1">INDEX(INDIRECT(zoneFichierTraite),$J140+offsetInitialFichierTraite,2)</f>
        <v>0</v>
      </c>
      <c r="B141" s="58" t="str">
        <f ca="1">IFERROR(INDEX(INDIRECT(zoneFichierEAN13Valmag),$P140,3),"")</f>
        <v/>
      </c>
      <c r="C141" s="54" t="str">
        <f t="shared" ref="C141:C145" ca="1" si="530">AB140</f>
        <v/>
      </c>
      <c r="D141" s="19" t="str">
        <f ca="1">IFERROR(INDEX(INDIRECT(zoneFichierEAN13Valmag),$P140,4),"")</f>
        <v/>
      </c>
      <c r="E141" s="59" t="str">
        <f ca="1">IFERROR(INDEX(INDIRECT(zoneFichierFiltreCatalogue),AD140,3),"")</f>
        <v/>
      </c>
      <c r="F141" s="19"/>
      <c r="G141" s="18"/>
      <c r="H141" s="32" t="str">
        <f ca="1">IFERROR(INDEX(INDIRECT(zoneFichierFiltreCatalogue),AD140,6),"")</f>
        <v/>
      </c>
      <c r="T141" s="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1" ht="39" customHeight="1" thickBot="1" x14ac:dyDescent="0.65">
      <c r="A142" s="9">
        <f ca="1">INDEX(INDIRECT(zoneFichierTraite),$J142+offsetInitialFichierTraite,6)</f>
        <v>0</v>
      </c>
      <c r="B142" s="5">
        <f ca="1">INDEX(INDIRECT(zoneFichierTraite),$J142+offsetInitialFichierTraite,4)</f>
        <v>0</v>
      </c>
      <c r="C142" s="26">
        <f ca="1">INDEX(INDIRECT(zoneFichierTraite),$J142+offsetInitialFichierTraite,5)</f>
        <v>0</v>
      </c>
      <c r="D142" s="27">
        <f ca="1">INDEX(INDIRECT(zoneFichierTraite),$J142+offsetInitialFichierTraite,13)</f>
        <v>0</v>
      </c>
      <c r="E142" s="30">
        <f ca="1">INDEX(INDIRECT(zoneFichierTraite),$J142+offsetInitialFichierTraite,7)</f>
        <v>0</v>
      </c>
      <c r="F142" s="28">
        <f ca="1">INDEX(INDIRECT(zoneFichierTraite),$J142+offsetInitialFichierTraite,8)</f>
        <v>0</v>
      </c>
      <c r="G142" s="29">
        <f t="shared" ref="G142:G145" ca="1" si="531">ROUNDUP(F142*3,0)</f>
        <v>0</v>
      </c>
      <c r="H142" s="31" t="str">
        <f ca="1">IF(ISNUMBER(N142),codeEAN13(INT(N142/10)),"")</f>
        <v/>
      </c>
      <c r="I142" s="1" t="b">
        <f t="shared" ref="I142" ca="1" si="532">AND(A145&lt;&gt;0,A143=A145)</f>
        <v>0</v>
      </c>
      <c r="J142" s="15">
        <f t="shared" si="516"/>
        <v>67</v>
      </c>
      <c r="K142" s="1">
        <f t="shared" ref="K142:K145" ca="1" si="533">A143</f>
        <v>0</v>
      </c>
      <c r="L142" s="5">
        <f ca="1">INDEX(INDIRECT(zoneFichierTraite),$J142+offsetInitialFichierTraite,1)</f>
        <v>0</v>
      </c>
      <c r="M142" s="11">
        <f ca="1">INDEX(INDIRECT(zoneFichierTraite),$J142+offsetInitialFichierTraite,9)</f>
        <v>0</v>
      </c>
      <c r="N142" s="14">
        <f ca="1">INDEX(INDIRECT(zoneFichierTraite),$J142+offsetInitialFichierTraite,3)</f>
        <v>0</v>
      </c>
      <c r="O142" s="14"/>
      <c r="P142" s="56" t="e">
        <f ca="1">MATCH(N142,INDIRECT(nomFichierEAN13Valmag &amp; "!A:A"),0)</f>
        <v>#N/A</v>
      </c>
      <c r="Q142" s="57" t="e">
        <f ca="1">MATCH(U142,INDIRECT(nomFichierEAN13Valmag &amp; "!A:A"),0)</f>
        <v>#N/A</v>
      </c>
      <c r="S142" s="50" t="str">
        <f t="shared" ref="S142:S145" ca="1" si="534">LEFT(B142,14)</f>
        <v>0</v>
      </c>
      <c r="T142" s="52" t="e">
        <f ca="1">MATCH($S142,INDIRECT(nomFichierEAN13ValmagUniq &amp; "!A:A"),0)</f>
        <v>#N/A</v>
      </c>
      <c r="U142" s="49" t="str">
        <f ca="1">IFERROR(INDEX(INDIRECT(zoneFichierEAN13ValmagUniq),T142,2),"")</f>
        <v/>
      </c>
      <c r="V142" s="52" t="e">
        <f ca="1">MATCH($S142,INDIRECT(nomFichierEAN13ValmagUniq &amp; "!A" &amp; (T142+1) &amp; ":A" &amp;  (T142+10)),0)</f>
        <v>#N/A</v>
      </c>
      <c r="W142" s="51" t="e">
        <f t="shared" ref="W142" ca="1" si="535">V142+T142</f>
        <v>#N/A</v>
      </c>
      <c r="X142" s="49" t="str">
        <f ca="1">IFERROR(INDEX(INDIRECT(zoneFichierEAN13ValmagUniq),W142,2),"")</f>
        <v/>
      </c>
      <c r="Y142" s="52" t="e">
        <f ca="1">MATCH($S142,INDIRECT(nomFichierEAN13ValmagUniq &amp; "!A" &amp; (W142+1) &amp; ":A" &amp;  (W142+10)),0)</f>
        <v>#N/A</v>
      </c>
      <c r="Z142" s="51" t="e">
        <f t="shared" ref="Z142" ca="1" si="536">Y142+W142</f>
        <v>#N/A</v>
      </c>
      <c r="AA142" s="49" t="str">
        <f ca="1">IFERROR(INDEX(INDIRECT(zoneFichierEAN13ValmagUniq),Z142,2),"")</f>
        <v/>
      </c>
      <c r="AB142" s="53" t="str">
        <f t="shared" ref="AB142" ca="1" si="537">U142 &amp; IF(X142="","", " | " &amp; X142) &amp; IF(AA142="","", " | " &amp;AA142)</f>
        <v/>
      </c>
      <c r="AD142" s="55" t="e">
        <f ca="1">MATCH(B142,INDIRECT(nomFichierFiltreCatalogue &amp; "!B:B"),0)</f>
        <v>#N/A</v>
      </c>
      <c r="AE142" s="14"/>
    </row>
    <row r="143" spans="1:31" s="20" customFormat="1" ht="15.75" customHeight="1" x14ac:dyDescent="0.25">
      <c r="A143" s="25">
        <f ca="1">INDEX(INDIRECT(zoneFichierTraite),$J142+offsetInitialFichierTraite,2)</f>
        <v>0</v>
      </c>
      <c r="B143" s="58" t="str">
        <f ca="1">IFERROR(INDEX(INDIRECT(zoneFichierEAN13Valmag),$P142,3),"")</f>
        <v/>
      </c>
      <c r="C143" s="54" t="str">
        <f t="shared" ref="C143:C145" ca="1" si="538">AB142</f>
        <v/>
      </c>
      <c r="D143" s="19" t="str">
        <f ca="1">IFERROR(INDEX(INDIRECT(zoneFichierEAN13Valmag),$P142,4),"")</f>
        <v/>
      </c>
      <c r="E143" s="59" t="str">
        <f ca="1">IFERROR(INDEX(INDIRECT(zoneFichierFiltreCatalogue),AD142,3),"")</f>
        <v/>
      </c>
      <c r="F143" s="19"/>
      <c r="G143" s="18"/>
      <c r="H143" s="32" t="str">
        <f ca="1">IFERROR(INDEX(INDIRECT(zoneFichierFiltreCatalogue),AD142,6),"")</f>
        <v/>
      </c>
      <c r="T143" s="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1" ht="39" customHeight="1" thickBot="1" x14ac:dyDescent="0.65">
      <c r="A144" s="9">
        <f ca="1">INDEX(INDIRECT(zoneFichierTraite),$J144+offsetInitialFichierTraite,6)</f>
        <v>0</v>
      </c>
      <c r="B144" s="5">
        <f ca="1">INDEX(INDIRECT(zoneFichierTraite),$J144+offsetInitialFichierTraite,4)</f>
        <v>0</v>
      </c>
      <c r="C144" s="26">
        <f ca="1">INDEX(INDIRECT(zoneFichierTraite),$J144+offsetInitialFichierTraite,5)</f>
        <v>0</v>
      </c>
      <c r="D144" s="27">
        <f ca="1">INDEX(INDIRECT(zoneFichierTraite),$J144+offsetInitialFichierTraite,13)</f>
        <v>0</v>
      </c>
      <c r="E144" s="30">
        <f ca="1">INDEX(INDIRECT(zoneFichierTraite),$J144+offsetInitialFichierTraite,7)</f>
        <v>0</v>
      </c>
      <c r="F144" s="28">
        <f ca="1">INDEX(INDIRECT(zoneFichierTraite),$J144+offsetInitialFichierTraite,8)</f>
        <v>0</v>
      </c>
      <c r="G144" s="29">
        <f t="shared" ref="G144:G145" ca="1" si="539">ROUNDUP(F144*3,0)</f>
        <v>0</v>
      </c>
      <c r="H144" s="31" t="str">
        <f ca="1">IF(ISNUMBER(N144),codeEAN13(INT(N144/10)),"")</f>
        <v/>
      </c>
      <c r="I144" s="1" t="b">
        <f t="shared" ref="I144" ca="1" si="540">AND(A147&lt;&gt;0,A145=A147)</f>
        <v>0</v>
      </c>
      <c r="J144" s="15">
        <f t="shared" si="516"/>
        <v>68</v>
      </c>
      <c r="K144" s="1">
        <f t="shared" ref="K144:K145" ca="1" si="541">A145</f>
        <v>0</v>
      </c>
      <c r="L144" s="5">
        <f ca="1">INDEX(INDIRECT(zoneFichierTraite),$J144+offsetInitialFichierTraite,1)</f>
        <v>0</v>
      </c>
      <c r="M144" s="11">
        <f ca="1">INDEX(INDIRECT(zoneFichierTraite),$J144+offsetInitialFichierTraite,9)</f>
        <v>0</v>
      </c>
      <c r="N144" s="14">
        <f ca="1">INDEX(INDIRECT(zoneFichierTraite),$J144+offsetInitialFichierTraite,3)</f>
        <v>0</v>
      </c>
      <c r="O144" s="14"/>
      <c r="P144" s="56" t="e">
        <f ca="1">MATCH(N144,INDIRECT(nomFichierEAN13Valmag &amp; "!A:A"),0)</f>
        <v>#N/A</v>
      </c>
      <c r="Q144" s="57" t="e">
        <f ca="1">MATCH(U144,INDIRECT(nomFichierEAN13Valmag &amp; "!A:A"),0)</f>
        <v>#N/A</v>
      </c>
      <c r="S144" s="50" t="str">
        <f t="shared" ref="S144:S145" ca="1" si="542">LEFT(B144,14)</f>
        <v>0</v>
      </c>
      <c r="T144" s="52" t="e">
        <f ca="1">MATCH($S144,INDIRECT(nomFichierEAN13ValmagUniq &amp; "!A:A"),0)</f>
        <v>#N/A</v>
      </c>
      <c r="U144" s="49" t="str">
        <f ca="1">IFERROR(INDEX(INDIRECT(zoneFichierEAN13ValmagUniq),T144,2),"")</f>
        <v/>
      </c>
      <c r="V144" s="52" t="e">
        <f ca="1">MATCH($S144,INDIRECT(nomFichierEAN13ValmagUniq &amp; "!A" &amp; (T144+1) &amp; ":A" &amp;  (T144+10)),0)</f>
        <v>#N/A</v>
      </c>
      <c r="W144" s="51" t="e">
        <f t="shared" ref="W144" ca="1" si="543">V144+T144</f>
        <v>#N/A</v>
      </c>
      <c r="X144" s="49" t="str">
        <f ca="1">IFERROR(INDEX(INDIRECT(zoneFichierEAN13ValmagUniq),W144,2),"")</f>
        <v/>
      </c>
      <c r="Y144" s="52" t="e">
        <f ca="1">MATCH($S144,INDIRECT(nomFichierEAN13ValmagUniq &amp; "!A" &amp; (W144+1) &amp; ":A" &amp;  (W144+10)),0)</f>
        <v>#N/A</v>
      </c>
      <c r="Z144" s="51" t="e">
        <f t="shared" ref="Z144" ca="1" si="544">Y144+W144</f>
        <v>#N/A</v>
      </c>
      <c r="AA144" s="49" t="str">
        <f ca="1">IFERROR(INDEX(INDIRECT(zoneFichierEAN13ValmagUniq),Z144,2),"")</f>
        <v/>
      </c>
      <c r="AB144" s="53" t="str">
        <f t="shared" ref="AB144" ca="1" si="545">U144 &amp; IF(X144="","", " | " &amp; X144) &amp; IF(AA144="","", " | " &amp;AA144)</f>
        <v/>
      </c>
      <c r="AD144" s="55" t="e">
        <f ca="1">MATCH(B144,INDIRECT(nomFichierFiltreCatalogue &amp; "!B:B"),0)</f>
        <v>#N/A</v>
      </c>
      <c r="AE144" s="14"/>
    </row>
    <row r="145" spans="1:30" s="20" customFormat="1" ht="15.75" customHeight="1" x14ac:dyDescent="0.25">
      <c r="A145" s="25">
        <f ca="1">INDEX(INDIRECT(zoneFichierTraite),$J144+offsetInitialFichierTraite,2)</f>
        <v>0</v>
      </c>
      <c r="B145" s="58" t="str">
        <f ca="1">IFERROR(INDEX(INDIRECT(zoneFichierEAN13Valmag),$P144,3),"")</f>
        <v/>
      </c>
      <c r="C145" s="54" t="str">
        <f t="shared" ref="C145" ca="1" si="546">AB144</f>
        <v/>
      </c>
      <c r="D145" s="19" t="str">
        <f ca="1">IFERROR(INDEX(INDIRECT(zoneFichierEAN13Valmag),$P144,4),"")</f>
        <v/>
      </c>
      <c r="E145" s="59" t="str">
        <f ca="1">IFERROR(INDEX(INDIRECT(zoneFichierFiltreCatalogue),AD144,3),"")</f>
        <v/>
      </c>
      <c r="F145" s="19"/>
      <c r="G145" s="18"/>
      <c r="H145" s="32" t="str">
        <f ca="1">IFERROR(INDEX(INDIRECT(zoneFichierFiltreCatalogue),AD144,6),"")</f>
        <v/>
      </c>
      <c r="T145" s="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</sheetData>
  <conditionalFormatting sqref="I1:I5 I7:I1048576">
    <cfRule type="expression" dxfId="5" priority="1">
      <formula>I1</formula>
    </cfRule>
  </conditionalFormatting>
  <pageMargins left="0.39370078740157483" right="0.39370078740157483" top="0.39370078740157483" bottom="0.39370078740157483" header="0.31496062992125984" footer="0.31496062992125984"/>
  <pageSetup paperSize="9" scale="65" fitToHeight="0" orientation="landscape" horizontalDpi="0" verticalDpi="0" r:id="rId1"/>
  <headerFooter>
    <oddFooter>&amp;L&amp;A&amp;C&amp;P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7"/>
  <sheetViews>
    <sheetView workbookViewId="0">
      <selection activeCell="C8" sqref="C8"/>
    </sheetView>
  </sheetViews>
  <sheetFormatPr baseColWidth="10" defaultRowHeight="15" x14ac:dyDescent="0.25"/>
  <cols>
    <col min="1" max="1" width="21.7109375" bestFit="1" customWidth="1"/>
  </cols>
  <sheetData>
    <row r="1" spans="1:3" x14ac:dyDescent="0.25">
      <c r="A1" s="16" t="s">
        <v>3</v>
      </c>
      <c r="B1" s="1" t="s">
        <v>8</v>
      </c>
      <c r="C1" s="1"/>
    </row>
    <row r="2" spans="1:3" x14ac:dyDescent="0.25">
      <c r="A2" s="2" t="s">
        <v>0</v>
      </c>
      <c r="B2" s="6">
        <v>7</v>
      </c>
      <c r="C2" s="1" t="str">
        <f>nomFichierTraite &amp; "!A:Z"</f>
        <v>EAN13_traite.csv!A:Z</v>
      </c>
    </row>
    <row r="3" spans="1:3" x14ac:dyDescent="0.25">
      <c r="A3" s="16" t="s">
        <v>12</v>
      </c>
      <c r="B3" s="1"/>
      <c r="C3" s="1"/>
    </row>
    <row r="4" spans="1:3" x14ac:dyDescent="0.25">
      <c r="A4" s="2" t="s">
        <v>6</v>
      </c>
      <c r="B4" s="1"/>
      <c r="C4" s="1" t="str">
        <f>nomFichierBaseCatalogue &amp; "!A:Z"</f>
        <v>base.EAN13.csv!A:Z</v>
      </c>
    </row>
    <row r="5" spans="1:3" x14ac:dyDescent="0.25">
      <c r="A5" s="16" t="s">
        <v>9</v>
      </c>
      <c r="B5" s="12"/>
      <c r="C5" s="1"/>
    </row>
    <row r="6" spans="1:3" x14ac:dyDescent="0.25">
      <c r="A6" s="2" t="s">
        <v>21</v>
      </c>
      <c r="B6" s="13"/>
      <c r="C6" s="1" t="str">
        <f>nomFichierEAN13Valmag &amp; "!A:Z"</f>
        <v>base.ValmagEAN13.csv!A:Z</v>
      </c>
    </row>
    <row r="7" spans="1:3" x14ac:dyDescent="0.25">
      <c r="A7" s="2" t="s">
        <v>25</v>
      </c>
      <c r="B7" s="13"/>
      <c r="C7" s="1" t="str">
        <f>nomFichierEAN13ValmagUniq &amp; "!A:Z"</f>
        <v>base.ValmagEAN13.code.uniq.csv!A:Z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42"/>
  <sheetViews>
    <sheetView workbookViewId="0">
      <selection activeCell="G3" sqref="G3"/>
    </sheetView>
  </sheetViews>
  <sheetFormatPr baseColWidth="10" defaultRowHeight="15" x14ac:dyDescent="0.25"/>
  <cols>
    <col min="1" max="1" width="23" customWidth="1"/>
    <col min="3" max="3" width="54.85546875" bestFit="1" customWidth="1"/>
    <col min="7" max="7" width="40.28515625" bestFit="1" customWidth="1"/>
    <col min="12" max="12" width="21.7109375" bestFit="1" customWidth="1"/>
    <col min="13" max="13" width="45.42578125" bestFit="1" customWidth="1"/>
    <col min="14" max="14" width="21.7109375" customWidth="1"/>
  </cols>
  <sheetData>
    <row r="1" spans="1:18" x14ac:dyDescent="0.25">
      <c r="A1" s="5" t="s">
        <v>20</v>
      </c>
      <c r="G1" s="42" t="s">
        <v>20</v>
      </c>
    </row>
    <row r="2" spans="1:18" x14ac:dyDescent="0.25">
      <c r="A2" s="17" t="str">
        <f>"    Catalogue / " &amp; nomFichierBaseCatalogue</f>
        <v xml:space="preserve">    Catalogue / base.EAN13.csv</v>
      </c>
      <c r="G2" s="48" t="str">
        <f>"-  Catalogues / " &amp; nomFichierBaseCatalogue</f>
        <v>-  Catalogues / base.EAN13.csv</v>
      </c>
    </row>
    <row r="3" spans="1:18" x14ac:dyDescent="0.25">
      <c r="A3" s="17" t="str">
        <f>"    ValmagEAN13 / " &amp; nomFichierEAN13Valmag</f>
        <v xml:space="preserve">    ValmagEAN13 / base.ValmagEAN13.csv</v>
      </c>
    </row>
    <row r="4" spans="1:18" x14ac:dyDescent="0.25">
      <c r="A4" s="17"/>
    </row>
    <row r="5" spans="1:18" x14ac:dyDescent="0.25">
      <c r="A5" s="17"/>
    </row>
    <row r="6" spans="1:18" x14ac:dyDescent="0.25">
      <c r="A6" s="17"/>
    </row>
    <row r="7" spans="1:18" x14ac:dyDescent="0.25">
      <c r="A7" s="1" t="s">
        <v>1</v>
      </c>
      <c r="B7" s="1"/>
      <c r="C7" s="1"/>
      <c r="D7" s="1"/>
      <c r="E7" s="1"/>
      <c r="G7" s="1" t="s">
        <v>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0" t="s">
        <v>22</v>
      </c>
      <c r="B8" s="1" t="s">
        <v>7</v>
      </c>
      <c r="C8" s="1"/>
      <c r="D8" s="1"/>
      <c r="E8" s="1"/>
      <c r="G8" s="8"/>
      <c r="H8" s="1" t="s">
        <v>5</v>
      </c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8">
        <v>0</v>
      </c>
      <c r="B9" s="1" t="s">
        <v>2</v>
      </c>
      <c r="C9" s="1"/>
      <c r="D9" s="1"/>
      <c r="E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7" t="str">
        <f ca="1">INDEX(INDIRECT(nomFichierTraite &amp; "!D:D"),SUM($E$9:$E10))</f>
        <v>HLESGC00-ECS04-038</v>
      </c>
      <c r="B10" s="3">
        <f ca="1">INDEX(INDIRECT(nomFichierTraite &amp; "!H:H"),SUM($E$9:$E10))</f>
        <v>6.05</v>
      </c>
      <c r="C10" s="7" t="str">
        <f ca="1">INDEX(INDIRECT(nomFichierTraite &amp; "!E:E"),SUM($E$9:$E10))</f>
        <v>ANSES COURTES EN FAUX CUIR POMPON</v>
      </c>
      <c r="D10" s="1"/>
      <c r="E10" s="4">
        <f ca="1">MATCH($A$8&amp;"*-*"&amp;$A$9&amp;"*",INDIRECT(nomFichierTraite &amp; "!D" &amp; (SUM(E$9:E9)+1) &amp; ":D" &amp;SUM(E$9:E9)+500),0)</f>
        <v>9</v>
      </c>
      <c r="G10" s="7" t="e">
        <f ca="1">INDEX(M:M,SUM($J$9:$J10))</f>
        <v>#N/A</v>
      </c>
      <c r="H10" s="3" t="e">
        <f ca="1">INDEX(N:N,SUM($J$9:$J10))</f>
        <v>#N/A</v>
      </c>
      <c r="I10" s="1"/>
      <c r="J10" s="4" t="e">
        <f ca="1">MATCH("*" &amp; $G$8 &amp; "*",INDIRECT("M" &amp; (SUM(J$9:J9)+1) &amp; ":M" &amp;SUM(J$9:J9)+500),0)</f>
        <v>#N/A</v>
      </c>
      <c r="K10" s="1"/>
      <c r="L10" s="7" t="e">
        <f ca="1">INDEX(INDIRECT(nomFichierBaseCatalogue &amp; "!B:B"),SUM($P$9:$P10))</f>
        <v>#REF!</v>
      </c>
      <c r="M10" s="3" t="e">
        <f ca="1">INDEX(INDIRECT(nomFichierBaseCatalogue &amp; "!F:F"),SUM($P$9:$P10))</f>
        <v>#REF!</v>
      </c>
      <c r="N10" s="7" t="e">
        <f ca="1">INDEX(INDIRECT(nomFichierBaseCatalogue &amp; "!C:C"),SUM($P$9:$P10))</f>
        <v>#REF!</v>
      </c>
      <c r="O10" s="1"/>
      <c r="P10" s="4" t="e">
        <f ca="1">MATCH($A$8&amp;"*-*"&amp;$A$9&amp;"*",INDIRECT(nomFichierBaseCatalogue &amp; "!B" &amp; (SUM(P$9:P9)+1) &amp; ":B" &amp;SUM(P$9:P9)+10000),0)</f>
        <v>#REF!</v>
      </c>
      <c r="Q10" s="1"/>
      <c r="R10" s="1"/>
    </row>
    <row r="11" spans="1:18" x14ac:dyDescent="0.25">
      <c r="A11" s="7" t="str">
        <f ca="1">INDEX(INDIRECT(nomFichierTraite &amp; "!D:D"),SUM($E$9:$E11))</f>
        <v>HLESGC00-PLS00-048</v>
      </c>
      <c r="B11" s="3">
        <f ca="1">INDEX(INDIRECT(nomFichierTraite &amp; "!H:H"),SUM($E$9:$E11))</f>
        <v>12.59</v>
      </c>
      <c r="C11" s="7" t="str">
        <f ca="1">INDEX(INDIRECT(nomFichierTraite &amp; "!E:E"),SUM($E$9:$E11))</f>
        <v>ANSES COURTES EN PLEXIGLAS + GOUTE</v>
      </c>
      <c r="D11" s="1"/>
      <c r="E11" s="4">
        <f ca="1">MATCH($A$8&amp;"*-*"&amp;$A$9&amp;"*",INDIRECT(nomFichierTraite &amp; "!D" &amp; (SUM(E$9:E10)+1) &amp; ":D" &amp;SUM(E$9:E10)+500),0)</f>
        <v>1</v>
      </c>
      <c r="G11" s="7" t="e">
        <f ca="1">INDEX(M:M,SUM($J$9:$J11))</f>
        <v>#N/A</v>
      </c>
      <c r="H11" s="3" t="e">
        <f ca="1">INDEX(N:N,SUM($J$9:$J11))</f>
        <v>#N/A</v>
      </c>
      <c r="I11" s="1"/>
      <c r="J11" s="4" t="e">
        <f ca="1">MATCH("*" &amp; $G$8 &amp; "*",INDIRECT("M" &amp; (SUM(J$9:J10)+1) &amp; ":M" &amp;SUM(J$9:J10)+500),0)</f>
        <v>#N/A</v>
      </c>
      <c r="K11" s="1"/>
      <c r="L11" s="7" t="e">
        <f ca="1">INDEX(INDIRECT(nomFichierBaseCatalogue &amp; "!B:B"),SUM($P$9:$P11))</f>
        <v>#REF!</v>
      </c>
      <c r="M11" s="3" t="e">
        <f ca="1">INDEX(INDIRECT(nomFichierBaseCatalogue &amp; "!F:F"),SUM($P$9:$P11))</f>
        <v>#REF!</v>
      </c>
      <c r="N11" s="7" t="e">
        <f ca="1">INDEX(INDIRECT(nomFichierBaseCatalogue &amp; "!C:C"),SUM($P$9:$P11))</f>
        <v>#REF!</v>
      </c>
      <c r="O11" s="1"/>
      <c r="P11" s="4" t="e">
        <f ca="1">MATCH($A$8&amp;"*-*"&amp;$A$9&amp;"*",INDIRECT(nomFichierBaseCatalogue &amp; "!B" &amp; (SUM(P$9:P10)+1) &amp; ":B" &amp;SUM(P$9:P10)+10000),0)</f>
        <v>#REF!</v>
      </c>
      <c r="Q11" s="1"/>
      <c r="R11" s="1"/>
    </row>
    <row r="12" spans="1:18" x14ac:dyDescent="0.25">
      <c r="A12" s="7" t="str">
        <f ca="1">INDEX(INDIRECT(nomFichierTraite &amp; "!D:D"),SUM($E$9:$E12))</f>
        <v>HLESGC00-PLS00-347</v>
      </c>
      <c r="B12" s="3">
        <f ca="1">INDEX(INDIRECT(nomFichierTraite &amp; "!H:H"),SUM($E$9:$E12))</f>
        <v>12.59</v>
      </c>
      <c r="C12" s="7" t="str">
        <f ca="1">INDEX(INDIRECT(nomFichierTraite &amp; "!E:E"),SUM($E$9:$E12))</f>
        <v>ANSES COURTES EN PLEXIGLAS + GOUTE</v>
      </c>
      <c r="D12" s="1"/>
      <c r="E12" s="4">
        <f ca="1">MATCH($A$8&amp;"*-*"&amp;$A$9&amp;"*",INDIRECT(nomFichierTraite &amp; "!D" &amp; (SUM(E$9:E11)+1) &amp; ":D" &amp;SUM(E$9:E11)+500),0)</f>
        <v>1</v>
      </c>
      <c r="G12" s="7" t="e">
        <f ca="1">INDEX(M:M,SUM($J$9:$J12))</f>
        <v>#N/A</v>
      </c>
      <c r="H12" s="3" t="e">
        <f ca="1">INDEX(N:N,SUM($J$9:$J12))</f>
        <v>#N/A</v>
      </c>
      <c r="I12" s="1"/>
      <c r="J12" s="4" t="e">
        <f ca="1">MATCH("*" &amp; $G$8 &amp; "*",INDIRECT("M" &amp; (SUM(J$9:J11)+1) &amp; ":M" &amp;SUM(J$9:J11)+500),0)</f>
        <v>#N/A</v>
      </c>
      <c r="K12" s="1"/>
      <c r="L12" s="7" t="e">
        <f ca="1">INDEX(INDIRECT(nomFichierBaseCatalogue &amp; "!B:B"),SUM($P$9:$P12))</f>
        <v>#REF!</v>
      </c>
      <c r="M12" s="3" t="e">
        <f ca="1">INDEX(INDIRECT(nomFichierBaseCatalogue &amp; "!F:F"),SUM($P$9:$P12))</f>
        <v>#REF!</v>
      </c>
      <c r="N12" s="7" t="e">
        <f ca="1">INDEX(INDIRECT(nomFichierBaseCatalogue &amp; "!C:C"),SUM($P$9:$P12))</f>
        <v>#REF!</v>
      </c>
      <c r="O12" s="1"/>
      <c r="P12" s="4" t="e">
        <f ca="1">MATCH($A$8&amp;"*-*"&amp;$A$9&amp;"*",INDIRECT(nomFichierBaseCatalogue &amp; "!B" &amp; (SUM(P$9:P11)+1) &amp; ":B" &amp;SUM(P$9:P11)+10000),0)</f>
        <v>#REF!</v>
      </c>
      <c r="Q12" s="1"/>
      <c r="R12" s="1"/>
    </row>
    <row r="13" spans="1:18" x14ac:dyDescent="0.25">
      <c r="A13" s="7" t="str">
        <f ca="1">INDEX(INDIRECT(nomFichierTraite &amp; "!D:D"),SUM($E$9:$E13))</f>
        <v>HLESGC00-PLS00-371</v>
      </c>
      <c r="B13" s="3">
        <f ca="1">INDEX(INDIRECT(nomFichierTraite &amp; "!H:H"),SUM($E$9:$E13))</f>
        <v>12.59</v>
      </c>
      <c r="C13" s="7" t="str">
        <f ca="1">INDEX(INDIRECT(nomFichierTraite &amp; "!E:E"),SUM($E$9:$E13))</f>
        <v>ANSES COURTES EN PLEXIGLAS + GOUTE</v>
      </c>
      <c r="D13" s="1"/>
      <c r="E13" s="4">
        <f ca="1">MATCH($A$8&amp;"*-*"&amp;$A$9&amp;"*",INDIRECT(nomFichierTraite &amp; "!D" &amp; (SUM(E$9:E12)+1) &amp; ":D" &amp;SUM(E$9:E12)+500),0)</f>
        <v>1</v>
      </c>
      <c r="G13" s="7" t="e">
        <f ca="1">INDEX(M:M,SUM($J$9:$J13))</f>
        <v>#N/A</v>
      </c>
      <c r="H13" s="3" t="e">
        <f ca="1">INDEX(N:N,SUM($J$9:$J13))</f>
        <v>#N/A</v>
      </c>
      <c r="I13" s="1"/>
      <c r="J13" s="4" t="e">
        <f ca="1">MATCH("*" &amp; $G$8 &amp; "*",INDIRECT("M" &amp; (SUM(J$9:J12)+1) &amp; ":M" &amp;SUM(J$9:J12)+500),0)</f>
        <v>#N/A</v>
      </c>
      <c r="K13" s="1"/>
      <c r="L13" s="7" t="e">
        <f ca="1">INDEX(INDIRECT(nomFichierBaseCatalogue &amp; "!B:B"),SUM($P$9:$P13))</f>
        <v>#REF!</v>
      </c>
      <c r="M13" s="3" t="e">
        <f ca="1">INDEX(INDIRECT(nomFichierBaseCatalogue &amp; "!F:F"),SUM($P$9:$P13))</f>
        <v>#REF!</v>
      </c>
      <c r="N13" s="7" t="e">
        <f ca="1">INDEX(INDIRECT(nomFichierBaseCatalogue &amp; "!C:C"),SUM($P$9:$P13))</f>
        <v>#REF!</v>
      </c>
      <c r="O13" s="1"/>
      <c r="P13" s="4" t="e">
        <f ca="1">MATCH($A$8&amp;"*-*"&amp;$A$9&amp;"*",INDIRECT(nomFichierBaseCatalogue &amp; "!B" &amp; (SUM(P$9:P12)+1) &amp; ":B" &amp;SUM(P$9:P12)+10000),0)</f>
        <v>#REF!</v>
      </c>
      <c r="Q13" s="1"/>
      <c r="R13" s="1"/>
    </row>
    <row r="14" spans="1:18" x14ac:dyDescent="0.25">
      <c r="A14" s="7" t="str">
        <f ca="1">INDEX(INDIRECT(nomFichierTraite &amp; "!D:D"),SUM($E$9:$E14))</f>
        <v>HLESGC00-ROS10-371</v>
      </c>
      <c r="B14" s="3">
        <f ca="1">INDEX(INDIRECT(nomFichierTraite &amp; "!H:H"),SUM($E$9:$E14))</f>
        <v>7.8</v>
      </c>
      <c r="C14" s="7" t="str">
        <f ca="1">INDEX(INDIRECT(nomFichierTraite &amp; "!E:E"),SUM($E$9:$E14))</f>
        <v>ANSES COURTES EN CORDE EN COTON TRESSE</v>
      </c>
      <c r="D14" s="1"/>
      <c r="E14" s="4">
        <f ca="1">MATCH($A$8&amp;"*-*"&amp;$A$9&amp;"*",INDIRECT(nomFichierTraite &amp; "!D" &amp; (SUM(E$9:E13)+1) &amp; ":D" &amp;SUM(E$9:E13)+500),0)</f>
        <v>1</v>
      </c>
      <c r="G14" s="7" t="e">
        <f ca="1">INDEX(M:M,SUM($J$9:$J14))</f>
        <v>#N/A</v>
      </c>
      <c r="H14" s="3" t="e">
        <f ca="1">INDEX(N:N,SUM($J$9:$J14))</f>
        <v>#N/A</v>
      </c>
      <c r="I14" s="1"/>
      <c r="J14" s="4" t="e">
        <f ca="1">MATCH("*" &amp; $G$8 &amp; "*",INDIRECT("M" &amp; (SUM(J$9:J13)+1) &amp; ":M" &amp;SUM(J$9:J13)+500),0)</f>
        <v>#N/A</v>
      </c>
      <c r="K14" s="1"/>
      <c r="L14" s="7" t="e">
        <f ca="1">INDEX(INDIRECT(nomFichierBaseCatalogue &amp; "!B:B"),SUM($P$9:$P14))</f>
        <v>#REF!</v>
      </c>
      <c r="M14" s="3" t="e">
        <f ca="1">INDEX(INDIRECT(nomFichierBaseCatalogue &amp; "!F:F"),SUM($P$9:$P14))</f>
        <v>#REF!</v>
      </c>
      <c r="N14" s="7" t="e">
        <f ca="1">INDEX(INDIRECT(nomFichierBaseCatalogue &amp; "!C:C"),SUM($P$9:$P14))</f>
        <v>#REF!</v>
      </c>
      <c r="O14" s="1"/>
      <c r="P14" s="4" t="e">
        <f ca="1">MATCH($A$8&amp;"*-*"&amp;$A$9&amp;"*",INDIRECT(nomFichierBaseCatalogue &amp; "!B" &amp; (SUM(P$9:P13)+1) &amp; ":B" &amp;SUM(P$9:P13)+10000),0)</f>
        <v>#REF!</v>
      </c>
      <c r="Q14" s="1"/>
      <c r="R14" s="1"/>
    </row>
    <row r="15" spans="1:18" x14ac:dyDescent="0.25">
      <c r="A15" s="7" t="e">
        <f ca="1">INDEX(INDIRECT(nomFichierTraite &amp; "!D:D"),SUM($E$9:$E15))</f>
        <v>#N/A</v>
      </c>
      <c r="B15" s="3" t="e">
        <f ca="1">INDEX(INDIRECT(nomFichierTraite &amp; "!H:H"),SUM($E$9:$E15))</f>
        <v>#N/A</v>
      </c>
      <c r="C15" s="7" t="e">
        <f ca="1">INDEX(INDIRECT(nomFichierTraite &amp; "!E:E"),SUM($E$9:$E15))</f>
        <v>#N/A</v>
      </c>
      <c r="D15" s="1"/>
      <c r="E15" s="4" t="e">
        <f ca="1">MATCH($A$8&amp;"*-*"&amp;$A$9&amp;"*",INDIRECT(nomFichierTraite &amp; "!D" &amp; (SUM(E$9:E14)+1) &amp; ":D" &amp;SUM(E$9:E14)+500),0)</f>
        <v>#N/A</v>
      </c>
      <c r="G15" s="7" t="e">
        <f ca="1">INDEX(M:M,SUM($J$9:$J15))</f>
        <v>#N/A</v>
      </c>
      <c r="H15" s="3" t="e">
        <f ca="1">INDEX(N:N,SUM($J$9:$J15))</f>
        <v>#N/A</v>
      </c>
      <c r="I15" s="1"/>
      <c r="J15" s="4" t="e">
        <f ca="1">MATCH("*" &amp; $G$8 &amp; "*",INDIRECT("M" &amp; (SUM(J$9:J14)+1) &amp; ":M" &amp;SUM(J$9:J14)+500),0)</f>
        <v>#N/A</v>
      </c>
      <c r="K15" s="1"/>
      <c r="L15" s="7" t="e">
        <f ca="1">INDEX(INDIRECT(nomFichierBaseCatalogue &amp; "!B:B"),SUM($P$9:$P15))</f>
        <v>#REF!</v>
      </c>
      <c r="M15" s="3" t="e">
        <f ca="1">INDEX(INDIRECT(nomFichierBaseCatalogue &amp; "!F:F"),SUM($P$9:$P15))</f>
        <v>#REF!</v>
      </c>
      <c r="N15" s="7" t="e">
        <f ca="1">INDEX(INDIRECT(nomFichierBaseCatalogue &amp; "!C:C"),SUM($P$9:$P15))</f>
        <v>#REF!</v>
      </c>
      <c r="O15" s="1"/>
      <c r="P15" s="4" t="e">
        <f ca="1">MATCH($A$8&amp;"*-*"&amp;$A$9&amp;"*",INDIRECT(nomFichierBaseCatalogue &amp; "!B" &amp; (SUM(P$9:P14)+1) &amp; ":B" &amp;SUM(P$9:P14)+10000),0)</f>
        <v>#REF!</v>
      </c>
      <c r="Q15" s="1"/>
      <c r="R15" s="1"/>
    </row>
    <row r="16" spans="1:18" x14ac:dyDescent="0.25">
      <c r="A16" s="7" t="e">
        <f ca="1">INDEX(INDIRECT(nomFichierTraite &amp; "!D:D"),SUM($E$9:$E16))</f>
        <v>#N/A</v>
      </c>
      <c r="B16" s="3" t="e">
        <f ca="1">INDEX(INDIRECT(nomFichierTraite &amp; "!H:H"),SUM($E$9:$E16))</f>
        <v>#N/A</v>
      </c>
      <c r="C16" s="7" t="e">
        <f ca="1">INDEX(INDIRECT(nomFichierTraite &amp; "!E:E"),SUM($E$9:$E16))</f>
        <v>#N/A</v>
      </c>
      <c r="D16" s="1"/>
      <c r="E16" s="4" t="e">
        <f ca="1">MATCH($A$8&amp;"*-*"&amp;$A$9&amp;"*",INDIRECT(nomFichierTraite &amp; "!D" &amp; (SUM(E$9:E15)+1) &amp; ":D" &amp;SUM(E$9:E15)+500),0)</f>
        <v>#N/A</v>
      </c>
      <c r="G16" s="7" t="e">
        <f ca="1">INDEX(M:M,SUM($J$9:$J16))</f>
        <v>#N/A</v>
      </c>
      <c r="H16" s="3" t="e">
        <f ca="1">INDEX(N:N,SUM($J$9:$J16))</f>
        <v>#N/A</v>
      </c>
      <c r="I16" s="1"/>
      <c r="J16" s="4" t="e">
        <f ca="1">MATCH("*" &amp; $G$8 &amp; "*",INDIRECT("M" &amp; (SUM(J$9:J15)+1) &amp; ":M" &amp;SUM(J$9:J15)+500),0)</f>
        <v>#N/A</v>
      </c>
      <c r="K16" s="1"/>
      <c r="L16" s="7" t="e">
        <f ca="1">INDEX(INDIRECT(nomFichierBaseCatalogue &amp; "!B:B"),SUM($P$9:$P16))</f>
        <v>#REF!</v>
      </c>
      <c r="M16" s="3" t="e">
        <f ca="1">INDEX(INDIRECT(nomFichierBaseCatalogue &amp; "!F:F"),SUM($P$9:$P16))</f>
        <v>#REF!</v>
      </c>
      <c r="N16" s="7" t="e">
        <f ca="1">INDEX(INDIRECT(nomFichierBaseCatalogue &amp; "!C:C"),SUM($P$9:$P16))</f>
        <v>#REF!</v>
      </c>
      <c r="O16" s="1"/>
      <c r="P16" s="4" t="e">
        <f ca="1">MATCH($A$8&amp;"*-*"&amp;$A$9&amp;"*",INDIRECT(nomFichierBaseCatalogue &amp; "!B" &amp; (SUM(P$9:P15)+1) &amp; ":B" &amp;SUM(P$9:P15)+10000),0)</f>
        <v>#REF!</v>
      </c>
      <c r="Q16" s="1"/>
      <c r="R16" s="1"/>
    </row>
    <row r="17" spans="1:18" x14ac:dyDescent="0.25">
      <c r="A17" s="7" t="e">
        <f ca="1">INDEX(INDIRECT(nomFichierTraite &amp; "!D:D"),SUM($E$9:$E17))</f>
        <v>#N/A</v>
      </c>
      <c r="B17" s="3" t="e">
        <f ca="1">INDEX(INDIRECT(nomFichierTraite &amp; "!H:H"),SUM($E$9:$E17))</f>
        <v>#N/A</v>
      </c>
      <c r="C17" s="7" t="e">
        <f ca="1">INDEX(INDIRECT(nomFichierTraite &amp; "!E:E"),SUM($E$9:$E17))</f>
        <v>#N/A</v>
      </c>
      <c r="D17" s="1"/>
      <c r="E17" s="4" t="e">
        <f ca="1">MATCH($A$8&amp;"*-*"&amp;$A$9&amp;"*",INDIRECT(nomFichierTraite &amp; "!D" &amp; (SUM(E$9:E16)+1) &amp; ":D" &amp;SUM(E$9:E16)+500),0)</f>
        <v>#N/A</v>
      </c>
      <c r="G17" s="7" t="e">
        <f ca="1">INDEX(M:M,SUM($J$9:$J17))</f>
        <v>#N/A</v>
      </c>
      <c r="H17" s="3" t="e">
        <f ca="1">INDEX(N:N,SUM($J$9:$J17))</f>
        <v>#N/A</v>
      </c>
      <c r="I17" s="1"/>
      <c r="J17" s="4" t="e">
        <f ca="1">MATCH("*" &amp; $G$8 &amp; "*",INDIRECT("M" &amp; (SUM(J$9:J16)+1) &amp; ":M" &amp;SUM(J$9:J16)+500),0)</f>
        <v>#N/A</v>
      </c>
      <c r="K17" s="1"/>
      <c r="L17" s="7" t="e">
        <f ca="1">INDEX(INDIRECT(nomFichierBaseCatalogue &amp; "!B:B"),SUM($P$9:$P17))</f>
        <v>#REF!</v>
      </c>
      <c r="M17" s="3" t="e">
        <f ca="1">INDEX(INDIRECT(nomFichierBaseCatalogue &amp; "!F:F"),SUM($P$9:$P17))</f>
        <v>#REF!</v>
      </c>
      <c r="N17" s="7" t="e">
        <f ca="1">INDEX(INDIRECT(nomFichierBaseCatalogue &amp; "!C:C"),SUM($P$9:$P17))</f>
        <v>#REF!</v>
      </c>
      <c r="O17" s="1"/>
      <c r="P17" s="4" t="e">
        <f ca="1">MATCH($A$8&amp;"*-*"&amp;$A$9&amp;"*",INDIRECT(nomFichierBaseCatalogue &amp; "!B" &amp; (SUM(P$9:P16)+1) &amp; ":B" &amp;SUM(P$9:P16)+10000),0)</f>
        <v>#REF!</v>
      </c>
      <c r="Q17" s="1"/>
      <c r="R17" s="1"/>
    </row>
    <row r="18" spans="1:18" x14ac:dyDescent="0.25">
      <c r="A18" s="7" t="e">
        <f ca="1">INDEX(INDIRECT(nomFichierTraite &amp; "!D:D"),SUM($E$9:$E18))</f>
        <v>#N/A</v>
      </c>
      <c r="B18" s="3" t="e">
        <f ca="1">INDEX(INDIRECT(nomFichierTraite &amp; "!H:H"),SUM($E$9:$E18))</f>
        <v>#N/A</v>
      </c>
      <c r="C18" s="7" t="e">
        <f ca="1">INDEX(INDIRECT(nomFichierTraite &amp; "!E:E"),SUM($E$9:$E18))</f>
        <v>#N/A</v>
      </c>
      <c r="D18" s="1"/>
      <c r="E18" s="4" t="e">
        <f ca="1">MATCH($A$8&amp;"*-*"&amp;$A$9&amp;"*",INDIRECT(nomFichierTraite &amp; "!D" &amp; (SUM(E$9:E17)+1) &amp; ":D" &amp;SUM(E$9:E17)+500),0)</f>
        <v>#N/A</v>
      </c>
      <c r="G18" s="7" t="e">
        <f ca="1">INDEX(M:M,SUM($J$9:$J18))</f>
        <v>#N/A</v>
      </c>
      <c r="H18" s="3" t="e">
        <f ca="1">INDEX(N:N,SUM($J$9:$J18))</f>
        <v>#N/A</v>
      </c>
      <c r="I18" s="1"/>
      <c r="J18" s="4" t="e">
        <f ca="1">MATCH("*" &amp; $G$8 &amp; "*",INDIRECT("M" &amp; (SUM(J$9:J17)+1) &amp; ":M" &amp;SUM(J$9:J17)+500),0)</f>
        <v>#N/A</v>
      </c>
      <c r="K18" s="1"/>
      <c r="L18" s="7" t="e">
        <f ca="1">INDEX(INDIRECT(nomFichierBaseCatalogue &amp; "!B:B"),SUM($P$9:$P18))</f>
        <v>#REF!</v>
      </c>
      <c r="M18" s="3" t="e">
        <f ca="1">INDEX(INDIRECT(nomFichierBaseCatalogue &amp; "!F:F"),SUM($P$9:$P18))</f>
        <v>#REF!</v>
      </c>
      <c r="N18" s="7" t="e">
        <f ca="1">INDEX(INDIRECT(nomFichierBaseCatalogue &amp; "!C:C"),SUM($P$9:$P18))</f>
        <v>#REF!</v>
      </c>
      <c r="O18" s="1"/>
      <c r="P18" s="4" t="e">
        <f ca="1">MATCH($A$8&amp;"*-*"&amp;$A$9&amp;"*",INDIRECT(nomFichierBaseCatalogue &amp; "!B" &amp; (SUM(P$9:P17)+1) &amp; ":B" &amp;SUM(P$9:P17)+10000),0)</f>
        <v>#REF!</v>
      </c>
      <c r="Q18" s="1"/>
      <c r="R18" s="1"/>
    </row>
    <row r="19" spans="1:18" x14ac:dyDescent="0.25">
      <c r="A19" s="7" t="e">
        <f ca="1">INDEX(INDIRECT(nomFichierTraite &amp; "!D:D"),SUM($E$9:$E19))</f>
        <v>#N/A</v>
      </c>
      <c r="B19" s="3" t="e">
        <f ca="1">INDEX(INDIRECT(nomFichierTraite &amp; "!H:H"),SUM($E$9:$E19))</f>
        <v>#N/A</v>
      </c>
      <c r="C19" s="7" t="e">
        <f ca="1">INDEX(INDIRECT(nomFichierTraite &amp; "!E:E"),SUM($E$9:$E19))</f>
        <v>#N/A</v>
      </c>
      <c r="D19" s="1"/>
      <c r="E19" s="4" t="e">
        <f ca="1">MATCH($A$8&amp;"*-*"&amp;$A$9&amp;"*",INDIRECT(nomFichierTraite &amp; "!D" &amp; (SUM(E$9:E18)+1) &amp; ":D" &amp;SUM(E$9:E18)+500),0)</f>
        <v>#N/A</v>
      </c>
      <c r="G19" s="7" t="e">
        <f ca="1">INDEX(M:M,SUM($J$9:$J19))</f>
        <v>#N/A</v>
      </c>
      <c r="H19" s="3" t="e">
        <f ca="1">INDEX(N:N,SUM($J$9:$J19))</f>
        <v>#N/A</v>
      </c>
      <c r="I19" s="1"/>
      <c r="J19" s="4" t="e">
        <f ca="1">MATCH("*" &amp; $G$8 &amp; "*",INDIRECT("M" &amp; (SUM(J$9:J18)+1) &amp; ":M" &amp;SUM(J$9:J18)+500),0)</f>
        <v>#N/A</v>
      </c>
      <c r="K19" s="1"/>
      <c r="L19" s="7" t="e">
        <f ca="1">INDEX(INDIRECT(nomFichierBaseCatalogue &amp; "!B:B"),SUM($P$9:$P19))</f>
        <v>#REF!</v>
      </c>
      <c r="M19" s="3" t="e">
        <f ca="1">INDEX(INDIRECT(nomFichierBaseCatalogue &amp; "!F:F"),SUM($P$9:$P19))</f>
        <v>#REF!</v>
      </c>
      <c r="N19" s="7" t="e">
        <f ca="1">INDEX(INDIRECT(nomFichierBaseCatalogue &amp; "!C:C"),SUM($P$9:$P19))</f>
        <v>#REF!</v>
      </c>
      <c r="O19" s="1"/>
      <c r="P19" s="4" t="e">
        <f ca="1">MATCH($A$8&amp;"*-*"&amp;$A$9&amp;"*",INDIRECT(nomFichierBaseCatalogue &amp; "!B" &amp; (SUM(P$9:P18)+1) &amp; ":B" &amp;SUM(P$9:P18)+10000),0)</f>
        <v>#REF!</v>
      </c>
      <c r="Q19" s="1"/>
      <c r="R19" s="1"/>
    </row>
    <row r="20" spans="1:18" x14ac:dyDescent="0.25">
      <c r="A20" s="7" t="e">
        <f ca="1">INDEX(INDIRECT(nomFichierTraite &amp; "!D:D"),SUM($E$9:$E20))</f>
        <v>#N/A</v>
      </c>
      <c r="B20" s="3" t="e">
        <f ca="1">INDEX(INDIRECT(nomFichierTraite &amp; "!H:H"),SUM($E$9:$E20))</f>
        <v>#N/A</v>
      </c>
      <c r="C20" s="7" t="e">
        <f ca="1">INDEX(INDIRECT(nomFichierTraite &amp; "!E:E"),SUM($E$9:$E20))</f>
        <v>#N/A</v>
      </c>
      <c r="D20" s="1"/>
      <c r="E20" s="4" t="e">
        <f ca="1">MATCH($A$8&amp;"*-*"&amp;$A$9&amp;"*",INDIRECT(nomFichierTraite &amp; "!D" &amp; (SUM(E$9:E19)+1) &amp; ":D" &amp;SUM(E$9:E19)+500),0)</f>
        <v>#N/A</v>
      </c>
      <c r="G20" s="7" t="e">
        <f ca="1">INDEX(M:M,SUM($J$9:$J20))</f>
        <v>#N/A</v>
      </c>
      <c r="H20" s="3" t="e">
        <f ca="1">INDEX(N:N,SUM($J$9:$J20))</f>
        <v>#N/A</v>
      </c>
      <c r="I20" s="1"/>
      <c r="J20" s="4" t="e">
        <f ca="1">MATCH("*" &amp; $G$8 &amp; "*",INDIRECT("M" &amp; (SUM(J$9:J19)+1) &amp; ":M" &amp;SUM(J$9:J19)+500),0)</f>
        <v>#N/A</v>
      </c>
      <c r="K20" s="1"/>
      <c r="L20" s="7" t="e">
        <f ca="1">INDEX(INDIRECT(nomFichierBaseCatalogue &amp; "!B:B"),SUM($P$9:$P20))</f>
        <v>#REF!</v>
      </c>
      <c r="M20" s="3" t="e">
        <f ca="1">INDEX(INDIRECT(nomFichierBaseCatalogue &amp; "!F:F"),SUM($P$9:$P20))</f>
        <v>#REF!</v>
      </c>
      <c r="N20" s="7" t="e">
        <f ca="1">INDEX(INDIRECT(nomFichierBaseCatalogue &amp; "!C:C"),SUM($P$9:$P20))</f>
        <v>#REF!</v>
      </c>
      <c r="O20" s="1"/>
      <c r="P20" s="4" t="e">
        <f ca="1">MATCH($A$8&amp;"*-*"&amp;$A$9&amp;"*",INDIRECT(nomFichierBaseCatalogue &amp; "!B" &amp; (SUM(P$9:P19)+1) &amp; ":B" &amp;SUM(P$9:P19)+10000),0)</f>
        <v>#REF!</v>
      </c>
      <c r="Q20" s="1"/>
      <c r="R20" s="1"/>
    </row>
    <row r="21" spans="1:18" x14ac:dyDescent="0.25">
      <c r="A21" s="7" t="e">
        <f ca="1">INDEX(INDIRECT(nomFichierTraite &amp; "!D:D"),SUM($E$9:$E21))</f>
        <v>#N/A</v>
      </c>
      <c r="B21" s="3" t="e">
        <f ca="1">INDEX(INDIRECT(nomFichierTraite &amp; "!H:H"),SUM($E$9:$E21))</f>
        <v>#N/A</v>
      </c>
      <c r="C21" s="7" t="e">
        <f ca="1">INDEX(INDIRECT(nomFichierTraite &amp; "!E:E"),SUM($E$9:$E21))</f>
        <v>#N/A</v>
      </c>
      <c r="D21" s="1"/>
      <c r="E21" s="4" t="e">
        <f ca="1">MATCH($A$8&amp;"*-*"&amp;$A$9&amp;"*",INDIRECT(nomFichierTraite &amp; "!D" &amp; (SUM(E$9:E20)+1) &amp; ":D" &amp;SUM(E$9:E20)+500),0)</f>
        <v>#N/A</v>
      </c>
      <c r="G21" s="7" t="e">
        <f ca="1">INDEX(M:M,SUM($J$9:$J21))</f>
        <v>#N/A</v>
      </c>
      <c r="H21" s="3" t="e">
        <f ca="1">INDEX(N:N,SUM($J$9:$J21))</f>
        <v>#N/A</v>
      </c>
      <c r="I21" s="1"/>
      <c r="J21" s="4" t="e">
        <f ca="1">MATCH("*" &amp; $G$8 &amp; "*",INDIRECT("M" &amp; (SUM(J$9:J20)+1) &amp; ":M" &amp;SUM(J$9:J20)+500),0)</f>
        <v>#N/A</v>
      </c>
      <c r="K21" s="1"/>
      <c r="L21" s="7" t="e">
        <f ca="1">INDEX(INDIRECT(nomFichierBaseCatalogue &amp; "!B:B"),SUM($P$9:$P21))</f>
        <v>#REF!</v>
      </c>
      <c r="M21" s="3" t="e">
        <f ca="1">INDEX(INDIRECT(nomFichierBaseCatalogue &amp; "!F:F"),SUM($P$9:$P21))</f>
        <v>#REF!</v>
      </c>
      <c r="N21" s="7" t="e">
        <f ca="1">INDEX(INDIRECT(nomFichierBaseCatalogue &amp; "!C:C"),SUM($P$9:$P21))</f>
        <v>#REF!</v>
      </c>
      <c r="O21" s="1"/>
      <c r="P21" s="4" t="e">
        <f ca="1">MATCH($A$8&amp;"*-*"&amp;$A$9&amp;"*",INDIRECT(nomFichierBaseCatalogue &amp; "!B" &amp; (SUM(P$9:P20)+1) &amp; ":B" &amp;SUM(P$9:P20)+10000),0)</f>
        <v>#REF!</v>
      </c>
      <c r="Q21" s="1"/>
      <c r="R21" s="1"/>
    </row>
    <row r="22" spans="1:18" x14ac:dyDescent="0.25">
      <c r="A22" s="7" t="e">
        <f ca="1">INDEX(INDIRECT(nomFichierTraite &amp; "!D:D"),SUM($E$9:$E22))</f>
        <v>#N/A</v>
      </c>
      <c r="B22" s="3" t="e">
        <f ca="1">INDEX(INDIRECT(nomFichierTraite &amp; "!H:H"),SUM($E$9:$E22))</f>
        <v>#N/A</v>
      </c>
      <c r="C22" s="7" t="e">
        <f ca="1">INDEX(INDIRECT(nomFichierTraite &amp; "!E:E"),SUM($E$9:$E22))</f>
        <v>#N/A</v>
      </c>
      <c r="D22" s="1"/>
      <c r="E22" s="4" t="e">
        <f ca="1">MATCH($A$8&amp;"*-*"&amp;$A$9&amp;"*",INDIRECT(nomFichierTraite &amp; "!D" &amp; (SUM(E$9:E21)+1) &amp; ":D" &amp;SUM(E$9:E21)+500),0)</f>
        <v>#N/A</v>
      </c>
      <c r="G22" s="7" t="e">
        <f ca="1">INDEX(M:M,SUM($J$9:$J22))</f>
        <v>#N/A</v>
      </c>
      <c r="H22" s="3" t="e">
        <f ca="1">INDEX(N:N,SUM($J$9:$J22))</f>
        <v>#N/A</v>
      </c>
      <c r="I22" s="1"/>
      <c r="J22" s="4" t="e">
        <f ca="1">MATCH("*" &amp; $G$8 &amp; "*",INDIRECT("M" &amp; (SUM(J$9:J21)+1) &amp; ":M" &amp;SUM(J$9:J21)+500),0)</f>
        <v>#N/A</v>
      </c>
      <c r="K22" s="1"/>
      <c r="L22" s="7" t="e">
        <f ca="1">INDEX(INDIRECT(nomFichierBaseCatalogue &amp; "!B:B"),SUM($P$9:$P22))</f>
        <v>#REF!</v>
      </c>
      <c r="M22" s="3" t="e">
        <f ca="1">INDEX(INDIRECT(nomFichierBaseCatalogue &amp; "!F:F"),SUM($P$9:$P22))</f>
        <v>#REF!</v>
      </c>
      <c r="N22" s="7" t="e">
        <f ca="1">INDEX(INDIRECT(nomFichierBaseCatalogue &amp; "!C:C"),SUM($P$9:$P22))</f>
        <v>#REF!</v>
      </c>
      <c r="O22" s="1"/>
      <c r="P22" s="4" t="e">
        <f ca="1">MATCH($A$8&amp;"*-*"&amp;$A$9&amp;"*",INDIRECT(nomFichierBaseCatalogue &amp; "!B" &amp; (SUM(P$9:P21)+1) &amp; ":B" &amp;SUM(P$9:P21)+10000),0)</f>
        <v>#REF!</v>
      </c>
      <c r="Q22" s="1"/>
      <c r="R22" s="1"/>
    </row>
    <row r="23" spans="1:18" x14ac:dyDescent="0.25">
      <c r="G23" s="1"/>
      <c r="H23" s="1"/>
      <c r="I23" s="1"/>
      <c r="J23" s="1"/>
      <c r="K23" s="1"/>
      <c r="L23" s="7" t="e">
        <f ca="1">INDEX(INDIRECT(nomFichierBaseCatalogue &amp; "!B:B"),SUM($P$9:$P23))</f>
        <v>#REF!</v>
      </c>
      <c r="M23" s="3" t="e">
        <f ca="1">INDEX(INDIRECT(nomFichierBaseCatalogue &amp; "!F:F"),SUM($P$9:$P23))</f>
        <v>#REF!</v>
      </c>
      <c r="N23" s="7" t="e">
        <f ca="1">INDEX(INDIRECT(nomFichierBaseCatalogue &amp; "!C:C"),SUM($P$9:$P23))</f>
        <v>#REF!</v>
      </c>
      <c r="O23" s="1"/>
      <c r="P23" s="4" t="e">
        <f ca="1">MATCH($A$8&amp;"*-*"&amp;$A$9&amp;"*",INDIRECT(nomFichierBaseCatalogue &amp; "!B" &amp; (SUM(P$9:P22)+1) &amp; ":B" &amp;SUM(P$9:P22)+10000),0)</f>
        <v>#REF!</v>
      </c>
    </row>
    <row r="24" spans="1:18" x14ac:dyDescent="0.25">
      <c r="G24" s="1"/>
      <c r="H24" s="1"/>
      <c r="I24" s="1"/>
      <c r="J24" s="1"/>
      <c r="K24" s="1"/>
      <c r="L24" s="7" t="e">
        <f ca="1">INDEX(INDIRECT(nomFichierBaseCatalogue &amp; "!B:B"),SUM($P$9:$P24))</f>
        <v>#REF!</v>
      </c>
      <c r="M24" s="3" t="e">
        <f ca="1">INDEX(INDIRECT(nomFichierBaseCatalogue &amp; "!F:F"),SUM($P$9:$P24))</f>
        <v>#REF!</v>
      </c>
      <c r="N24" s="7" t="e">
        <f ca="1">INDEX(INDIRECT(nomFichierBaseCatalogue &amp; "!C:C"),SUM($P$9:$P24))</f>
        <v>#REF!</v>
      </c>
      <c r="O24" s="1"/>
      <c r="P24" s="4" t="e">
        <f ca="1">MATCH($A$8&amp;"*-*"&amp;$A$9&amp;"*",INDIRECT(nomFichierBaseCatalogue &amp; "!B" &amp; (SUM(P$9:P23)+1) &amp; ":B" &amp;SUM(P$9:P23)+10000),0)</f>
        <v>#REF!</v>
      </c>
    </row>
    <row r="25" spans="1:18" x14ac:dyDescent="0.25">
      <c r="G25" s="1"/>
      <c r="H25" s="1"/>
      <c r="I25" s="1"/>
      <c r="J25" s="1"/>
      <c r="K25" s="1"/>
      <c r="L25" s="7" t="e">
        <f ca="1">INDEX(INDIRECT(nomFichierBaseCatalogue &amp; "!B:B"),SUM($P$9:$P25))</f>
        <v>#REF!</v>
      </c>
      <c r="M25" s="3" t="e">
        <f ca="1">INDEX(INDIRECT(nomFichierBaseCatalogue &amp; "!F:F"),SUM($P$9:$P25))</f>
        <v>#REF!</v>
      </c>
      <c r="N25" s="7" t="e">
        <f ca="1">INDEX(INDIRECT(nomFichierBaseCatalogue &amp; "!C:C"),SUM($P$9:$P25))</f>
        <v>#REF!</v>
      </c>
      <c r="O25" s="1"/>
      <c r="P25" s="4" t="e">
        <f ca="1">MATCH($A$8&amp;"*-*"&amp;$A$9&amp;"*",INDIRECT(nomFichierBaseCatalogue &amp; "!B" &amp; (SUM(P$9:P24)+1) &amp; ":B" &amp;SUM(P$9:P24)+10000),0)</f>
        <v>#REF!</v>
      </c>
    </row>
    <row r="26" spans="1:18" x14ac:dyDescent="0.25">
      <c r="G26" s="1"/>
      <c r="H26" s="1"/>
      <c r="I26" s="1"/>
      <c r="J26" s="1"/>
      <c r="K26" s="1"/>
      <c r="L26" s="7" t="e">
        <f ca="1">INDEX(INDIRECT(nomFichierBaseCatalogue &amp; "!B:B"),SUM($P$9:$P26))</f>
        <v>#REF!</v>
      </c>
      <c r="M26" s="3" t="e">
        <f ca="1">INDEX(INDIRECT(nomFichierBaseCatalogue &amp; "!F:F"),SUM($P$9:$P26))</f>
        <v>#REF!</v>
      </c>
      <c r="N26" s="7" t="e">
        <f ca="1">INDEX(INDIRECT(nomFichierBaseCatalogue &amp; "!C:C"),SUM($P$9:$P26))</f>
        <v>#REF!</v>
      </c>
      <c r="O26" s="1"/>
      <c r="P26" s="4" t="e">
        <f ca="1">MATCH($A$8&amp;"*-*"&amp;$A$9&amp;"*",INDIRECT(nomFichierBaseCatalogue &amp; "!B" &amp; (SUM(P$9:P25)+1) &amp; ":B" &amp;SUM(P$9:P25)+10000),0)</f>
        <v>#REF!</v>
      </c>
    </row>
    <row r="27" spans="1:18" x14ac:dyDescent="0.25">
      <c r="A27" s="1" t="s">
        <v>19</v>
      </c>
      <c r="G27" s="1"/>
      <c r="H27" s="1"/>
      <c r="I27" s="1"/>
      <c r="J27" s="1"/>
      <c r="K27" s="1"/>
      <c r="L27" s="7" t="e">
        <f ca="1">INDEX(INDIRECT(nomFichierBaseCatalogue &amp; "!B:B"),SUM($P$9:$P27))</f>
        <v>#REF!</v>
      </c>
      <c r="M27" s="3" t="e">
        <f ca="1">INDEX(INDIRECT(nomFichierBaseCatalogue &amp; "!F:F"),SUM($P$9:$P27))</f>
        <v>#REF!</v>
      </c>
      <c r="N27" s="7" t="e">
        <f ca="1">INDEX(INDIRECT(nomFichierBaseCatalogue &amp; "!C:C"),SUM($P$9:$P27))</f>
        <v>#REF!</v>
      </c>
      <c r="O27" s="1"/>
      <c r="P27" s="4" t="e">
        <f ca="1">MATCH($A$8&amp;"*-*"&amp;$A$9&amp;"*",INDIRECT(nomFichierBaseCatalogue &amp; "!B" &amp; (SUM(P$9:P26)+1) &amp; ":B" &amp;SUM(P$9:P26)+10000),0)</f>
        <v>#REF!</v>
      </c>
    </row>
    <row r="28" spans="1:18" x14ac:dyDescent="0.25">
      <c r="G28" s="1"/>
      <c r="H28" s="1"/>
      <c r="I28" s="1"/>
      <c r="J28" s="1"/>
      <c r="K28" s="1"/>
      <c r="L28" s="7" t="e">
        <f ca="1">INDEX(INDIRECT(nomFichierBaseCatalogue &amp; "!B:B"),SUM($P$9:$P28))</f>
        <v>#REF!</v>
      </c>
      <c r="M28" s="3" t="e">
        <f ca="1">INDEX(INDIRECT(nomFichierBaseCatalogue &amp; "!F:F"),SUM($P$9:$P28))</f>
        <v>#REF!</v>
      </c>
      <c r="N28" s="7" t="e">
        <f ca="1">INDEX(INDIRECT(nomFichierBaseCatalogue &amp; "!C:C"),SUM($P$9:$P28))</f>
        <v>#REF!</v>
      </c>
      <c r="O28" s="1"/>
      <c r="P28" s="4" t="e">
        <f ca="1">MATCH($A$8&amp;"*-*"&amp;$A$9&amp;"*",INDIRECT(nomFichierBaseCatalogue &amp; "!B" &amp; (SUM(P$9:P27)+1) &amp; ":B" &amp;SUM(P$9:P27)+10000),0)</f>
        <v>#REF!</v>
      </c>
    </row>
    <row r="29" spans="1:18" x14ac:dyDescent="0.25">
      <c r="G29" s="1"/>
      <c r="H29" s="1"/>
      <c r="I29" s="1"/>
      <c r="J29" s="1"/>
      <c r="K29" s="1"/>
      <c r="L29" s="7" t="e">
        <f ca="1">INDEX(INDIRECT(nomFichierBaseCatalogue &amp; "!B:B"),SUM($P$9:$P29))</f>
        <v>#REF!</v>
      </c>
      <c r="M29" s="3" t="e">
        <f ca="1">INDEX(INDIRECT(nomFichierBaseCatalogue &amp; "!F:F"),SUM($P$9:$P29))</f>
        <v>#REF!</v>
      </c>
      <c r="N29" s="7" t="e">
        <f ca="1">INDEX(INDIRECT(nomFichierBaseCatalogue &amp; "!C:C"),SUM($P$9:$P29))</f>
        <v>#REF!</v>
      </c>
      <c r="O29" s="1"/>
      <c r="P29" s="4" t="e">
        <f ca="1">MATCH($A$8&amp;"*-*"&amp;$A$9&amp;"*",INDIRECT(nomFichierBaseCatalogue &amp; "!B" &amp; (SUM(P$9:P28)+1) &amp; ":B" &amp;SUM(P$9:P28)+10000),0)</f>
        <v>#REF!</v>
      </c>
    </row>
    <row r="30" spans="1:18" x14ac:dyDescent="0.25">
      <c r="G30" s="1"/>
      <c r="H30" s="1"/>
      <c r="I30" s="1"/>
      <c r="J30" s="1"/>
      <c r="K30" s="1"/>
      <c r="L30" s="7" t="e">
        <f ca="1">INDEX(INDIRECT(nomFichierBaseCatalogue &amp; "!B:B"),SUM($P$9:$P30))</f>
        <v>#REF!</v>
      </c>
      <c r="M30" s="3" t="e">
        <f ca="1">INDEX(INDIRECT(nomFichierBaseCatalogue &amp; "!F:F"),SUM($P$9:$P30))</f>
        <v>#REF!</v>
      </c>
      <c r="N30" s="7" t="e">
        <f ca="1">INDEX(INDIRECT(nomFichierBaseCatalogue &amp; "!C:C"),SUM($P$9:$P30))</f>
        <v>#REF!</v>
      </c>
      <c r="O30" s="1"/>
      <c r="P30" s="4" t="e">
        <f ca="1">MATCH($A$8&amp;"*-*"&amp;$A$9&amp;"*",INDIRECT(nomFichierBaseCatalogue &amp; "!B" &amp; (SUM(P$9:P29)+1) &amp; ":B" &amp;SUM(P$9:P29)+10000),0)</f>
        <v>#REF!</v>
      </c>
    </row>
    <row r="31" spans="1:18" x14ac:dyDescent="0.25">
      <c r="G31" s="1"/>
      <c r="H31" s="1"/>
      <c r="I31" s="1"/>
      <c r="J31" s="1"/>
      <c r="K31" s="1"/>
      <c r="L31" s="7" t="e">
        <f ca="1">INDEX(INDIRECT(nomFichierBaseCatalogue &amp; "!B:B"),SUM($P$9:$P31))</f>
        <v>#REF!</v>
      </c>
      <c r="M31" s="3" t="e">
        <f ca="1">INDEX(INDIRECT(nomFichierBaseCatalogue &amp; "!F:F"),SUM($P$9:$P31))</f>
        <v>#REF!</v>
      </c>
      <c r="N31" s="7" t="e">
        <f ca="1">INDEX(INDIRECT(nomFichierBaseCatalogue &amp; "!C:C"),SUM($P$9:$P31))</f>
        <v>#REF!</v>
      </c>
      <c r="O31" s="1"/>
      <c r="P31" s="4" t="e">
        <f ca="1">MATCH($A$8&amp;"*-*"&amp;$A$9&amp;"*",INDIRECT(nomFichierBaseCatalogue &amp; "!B" &amp; (SUM(P$9:P30)+1) &amp; ":B" &amp;SUM(P$9:P30)+10000),0)</f>
        <v>#REF!</v>
      </c>
    </row>
    <row r="32" spans="1:18" x14ac:dyDescent="0.25">
      <c r="G32" s="1"/>
      <c r="H32" s="1"/>
      <c r="I32" s="1"/>
      <c r="J32" s="1"/>
      <c r="K32" s="1"/>
      <c r="L32" s="7" t="e">
        <f ca="1">INDEX(INDIRECT(nomFichierBaseCatalogue &amp; "!B:B"),SUM($P$9:$P32))</f>
        <v>#REF!</v>
      </c>
      <c r="M32" s="3" t="e">
        <f ca="1">INDEX(INDIRECT(nomFichierBaseCatalogue &amp; "!F:F"),SUM($P$9:$P32))</f>
        <v>#REF!</v>
      </c>
      <c r="N32" s="7" t="e">
        <f ca="1">INDEX(INDIRECT(nomFichierBaseCatalogue &amp; "!C:C"),SUM($P$9:$P32))</f>
        <v>#REF!</v>
      </c>
      <c r="O32" s="1"/>
      <c r="P32" s="4" t="e">
        <f ca="1">MATCH($A$8&amp;"*-*"&amp;$A$9&amp;"*",INDIRECT(nomFichierBaseCatalogue &amp; "!B" &amp; (SUM(P$9:P31)+1) &amp; ":B" &amp;SUM(P$9:P31)+10000),0)</f>
        <v>#REF!</v>
      </c>
    </row>
    <row r="33" spans="7:16" x14ac:dyDescent="0.25">
      <c r="G33" s="1"/>
      <c r="H33" s="1"/>
      <c r="I33" s="1"/>
      <c r="J33" s="1"/>
      <c r="K33" s="1"/>
      <c r="L33" s="7" t="e">
        <f ca="1">INDEX(INDIRECT(nomFichierBaseCatalogue &amp; "!B:B"),SUM($P$9:$P33))</f>
        <v>#REF!</v>
      </c>
      <c r="M33" s="3" t="e">
        <f ca="1">INDEX(INDIRECT(nomFichierBaseCatalogue &amp; "!F:F"),SUM($P$9:$P33))</f>
        <v>#REF!</v>
      </c>
      <c r="N33" s="7" t="e">
        <f ca="1">INDEX(INDIRECT(nomFichierBaseCatalogue &amp; "!C:C"),SUM($P$9:$P33))</f>
        <v>#REF!</v>
      </c>
      <c r="O33" s="1"/>
      <c r="P33" s="4" t="e">
        <f ca="1">MATCH($A$8&amp;"*-*"&amp;$A$9&amp;"*",INDIRECT(nomFichierBaseCatalogue &amp; "!B" &amp; (SUM(P$9:P32)+1) &amp; ":B" &amp;SUM(P$9:P32)+10000),0)</f>
        <v>#REF!</v>
      </c>
    </row>
    <row r="34" spans="7:16" x14ac:dyDescent="0.25">
      <c r="G34" s="1"/>
      <c r="H34" s="1"/>
      <c r="I34" s="1"/>
      <c r="J34" s="1"/>
      <c r="K34" s="1"/>
      <c r="L34" s="7" t="e">
        <f ca="1">INDEX(INDIRECT(nomFichierBaseCatalogue &amp; "!B:B"),SUM($P$9:$P34))</f>
        <v>#REF!</v>
      </c>
      <c r="M34" s="3" t="e">
        <f ca="1">INDEX(INDIRECT(nomFichierBaseCatalogue &amp; "!F:F"),SUM($P$9:$P34))</f>
        <v>#REF!</v>
      </c>
      <c r="N34" s="7" t="e">
        <f ca="1">INDEX(INDIRECT(nomFichierBaseCatalogue &amp; "!C:C"),SUM($P$9:$P34))</f>
        <v>#REF!</v>
      </c>
      <c r="O34" s="1"/>
      <c r="P34" s="4" t="e">
        <f ca="1">MATCH($A$8&amp;"*-*"&amp;$A$9&amp;"*",INDIRECT(nomFichierBaseCatalogue &amp; "!B" &amp; (SUM(P$9:P33)+1) &amp; ":B" &amp;SUM(P$9:P33)+10000),0)</f>
        <v>#REF!</v>
      </c>
    </row>
    <row r="35" spans="7:16" x14ac:dyDescent="0.25">
      <c r="G35" s="1"/>
      <c r="H35" s="1"/>
      <c r="I35" s="1"/>
      <c r="J35" s="1"/>
      <c r="K35" s="1"/>
      <c r="L35" s="7" t="e">
        <f ca="1">INDEX(INDIRECT(nomFichierBaseCatalogue &amp; "!B:B"),SUM($P$9:$P35))</f>
        <v>#REF!</v>
      </c>
      <c r="M35" s="3" t="e">
        <f ca="1">INDEX(INDIRECT(nomFichierBaseCatalogue &amp; "!F:F"),SUM($P$9:$P35))</f>
        <v>#REF!</v>
      </c>
      <c r="N35" s="7" t="e">
        <f ca="1">INDEX(INDIRECT(nomFichierBaseCatalogue &amp; "!C:C"),SUM($P$9:$P35))</f>
        <v>#REF!</v>
      </c>
      <c r="O35" s="1"/>
      <c r="P35" s="4" t="e">
        <f ca="1">MATCH($A$8&amp;"*-*"&amp;$A$9&amp;"*",INDIRECT(nomFichierBaseCatalogue &amp; "!B" &amp; (SUM(P$9:P34)+1) &amp; ":B" &amp;SUM(P$9:P34)+10000),0)</f>
        <v>#REF!</v>
      </c>
    </row>
    <row r="36" spans="7:16" x14ac:dyDescent="0.25">
      <c r="G36" s="1"/>
      <c r="H36" s="1"/>
      <c r="I36" s="1"/>
      <c r="J36" s="1"/>
      <c r="K36" s="1"/>
      <c r="L36" s="7" t="e">
        <f ca="1">INDEX(INDIRECT(nomFichierBaseCatalogue &amp; "!B:B"),SUM($P$9:$P36))</f>
        <v>#REF!</v>
      </c>
      <c r="M36" s="3" t="e">
        <f ca="1">INDEX(INDIRECT(nomFichierBaseCatalogue &amp; "!F:F"),SUM($P$9:$P36))</f>
        <v>#REF!</v>
      </c>
      <c r="N36" s="7" t="e">
        <f ca="1">INDEX(INDIRECT(nomFichierBaseCatalogue &amp; "!C:C"),SUM($P$9:$P36))</f>
        <v>#REF!</v>
      </c>
      <c r="O36" s="1"/>
      <c r="P36" s="4" t="e">
        <f ca="1">MATCH($A$8&amp;"*-*"&amp;$A$9&amp;"*",INDIRECT(nomFichierBaseCatalogue &amp; "!B" &amp; (SUM(P$9:P35)+1) &amp; ":B" &amp;SUM(P$9:P35)+10000),0)</f>
        <v>#REF!</v>
      </c>
    </row>
    <row r="37" spans="7:16" x14ac:dyDescent="0.25">
      <c r="G37" s="1"/>
      <c r="H37" s="1"/>
      <c r="I37" s="1"/>
      <c r="J37" s="1"/>
      <c r="K37" s="1"/>
      <c r="L37" s="7" t="e">
        <f ca="1">INDEX(INDIRECT(nomFichierBaseCatalogue &amp; "!B:B"),SUM($P$9:$P37))</f>
        <v>#REF!</v>
      </c>
      <c r="M37" s="3" t="e">
        <f ca="1">INDEX(INDIRECT(nomFichierBaseCatalogue &amp; "!F:F"),SUM($P$9:$P37))</f>
        <v>#REF!</v>
      </c>
      <c r="N37" s="7" t="e">
        <f ca="1">INDEX(INDIRECT(nomFichierBaseCatalogue &amp; "!C:C"),SUM($P$9:$P37))</f>
        <v>#REF!</v>
      </c>
      <c r="O37" s="1"/>
      <c r="P37" s="4" t="e">
        <f ca="1">MATCH($A$8&amp;"*-*"&amp;$A$9&amp;"*",INDIRECT(nomFichierBaseCatalogue &amp; "!B" &amp; (SUM(P$9:P36)+1) &amp; ":B" &amp;SUM(P$9:P36)+10000),0)</f>
        <v>#REF!</v>
      </c>
    </row>
    <row r="38" spans="7:16" x14ac:dyDescent="0.25">
      <c r="G38" s="1"/>
      <c r="H38" s="1"/>
      <c r="I38" s="1"/>
      <c r="J38" s="1"/>
      <c r="K38" s="1"/>
      <c r="L38" s="7" t="e">
        <f ca="1">INDEX(INDIRECT(nomFichierBaseCatalogue &amp; "!B:B"),SUM($P$9:$P38))</f>
        <v>#REF!</v>
      </c>
      <c r="M38" s="3" t="e">
        <f ca="1">INDEX(INDIRECT(nomFichierBaseCatalogue &amp; "!F:F"),SUM($P$9:$P38))</f>
        <v>#REF!</v>
      </c>
      <c r="N38" s="7" t="e">
        <f ca="1">INDEX(INDIRECT(nomFichierBaseCatalogue &amp; "!C:C"),SUM($P$9:$P38))</f>
        <v>#REF!</v>
      </c>
      <c r="O38" s="1"/>
      <c r="P38" s="4" t="e">
        <f ca="1">MATCH($A$8&amp;"*-*"&amp;$A$9&amp;"*",INDIRECT(nomFichierBaseCatalogue &amp; "!B" &amp; (SUM(P$9:P37)+1) &amp; ":B" &amp;SUM(P$9:P37)+10000),0)</f>
        <v>#REF!</v>
      </c>
    </row>
    <row r="39" spans="7:16" x14ac:dyDescent="0.25">
      <c r="G39" s="1"/>
      <c r="H39" s="1"/>
      <c r="I39" s="1"/>
      <c r="J39" s="1"/>
      <c r="K39" s="1"/>
      <c r="L39" s="7" t="e">
        <f ca="1">INDEX(INDIRECT(nomFichierBaseCatalogue &amp; "!B:B"),SUM($P$9:$P39))</f>
        <v>#REF!</v>
      </c>
      <c r="M39" s="3" t="e">
        <f ca="1">INDEX(INDIRECT(nomFichierBaseCatalogue &amp; "!F:F"),SUM($P$9:$P39))</f>
        <v>#REF!</v>
      </c>
      <c r="N39" s="7" t="e">
        <f ca="1">INDEX(INDIRECT(nomFichierBaseCatalogue &amp; "!C:C"),SUM($P$9:$P39))</f>
        <v>#REF!</v>
      </c>
      <c r="O39" s="1"/>
      <c r="P39" s="4" t="e">
        <f ca="1">MATCH($A$8&amp;"*-*"&amp;$A$9&amp;"*",INDIRECT(nomFichierBaseCatalogue &amp; "!B" &amp; (SUM(P$9:P38)+1) &amp; ":B" &amp;SUM(P$9:P38)+10000),0)</f>
        <v>#REF!</v>
      </c>
    </row>
    <row r="40" spans="7:16" x14ac:dyDescent="0.25">
      <c r="G40" s="1"/>
      <c r="H40" s="1"/>
      <c r="I40" s="1"/>
      <c r="J40" s="1"/>
      <c r="K40" s="1"/>
      <c r="L40" s="7" t="e">
        <f ca="1">INDEX(INDIRECT(nomFichierBaseCatalogue &amp; "!B:B"),SUM($P$9:$P40))</f>
        <v>#REF!</v>
      </c>
      <c r="M40" s="3" t="e">
        <f ca="1">INDEX(INDIRECT(nomFichierBaseCatalogue &amp; "!F:F"),SUM($P$9:$P40))</f>
        <v>#REF!</v>
      </c>
      <c r="N40" s="7" t="e">
        <f ca="1">INDEX(INDIRECT(nomFichierBaseCatalogue &amp; "!C:C"),SUM($P$9:$P40))</f>
        <v>#REF!</v>
      </c>
      <c r="O40" s="1"/>
      <c r="P40" s="4" t="e">
        <f ca="1">MATCH($A$8&amp;"*-*"&amp;$A$9&amp;"*",INDIRECT(nomFichierBaseCatalogue &amp; "!B" &amp; (SUM(P$9:P39)+1) &amp; ":B" &amp;SUM(P$9:P39)+10000),0)</f>
        <v>#REF!</v>
      </c>
    </row>
    <row r="41" spans="7:16" x14ac:dyDescent="0.25">
      <c r="G41" s="1"/>
      <c r="H41" s="1"/>
      <c r="I41" s="1"/>
      <c r="J41" s="1"/>
      <c r="K41" s="1"/>
      <c r="L41" s="7" t="e">
        <f ca="1">INDEX(INDIRECT(nomFichierBaseCatalogue &amp; "!B:B"),SUM($P$9:$P41))</f>
        <v>#REF!</v>
      </c>
      <c r="M41" s="3" t="e">
        <f ca="1">INDEX(INDIRECT(nomFichierBaseCatalogue &amp; "!F:F"),SUM($P$9:$P41))</f>
        <v>#REF!</v>
      </c>
      <c r="N41" s="7" t="e">
        <f ca="1">INDEX(INDIRECT(nomFichierBaseCatalogue &amp; "!C:C"),SUM($P$9:$P41))</f>
        <v>#REF!</v>
      </c>
      <c r="O41" s="1"/>
      <c r="P41" s="4" t="e">
        <f ca="1">MATCH($A$8&amp;"*-*"&amp;$A$9&amp;"*",INDIRECT(nomFichierBaseCatalogue &amp; "!B" &amp; (SUM(P$9:P40)+1) &amp; ":B" &amp;SUM(P$9:P40)+10000),0)</f>
        <v>#REF!</v>
      </c>
    </row>
    <row r="42" spans="7:16" x14ac:dyDescent="0.25">
      <c r="G42" s="1"/>
      <c r="H42" s="1"/>
      <c r="I42" s="1"/>
      <c r="J42" s="1"/>
      <c r="K42" s="1"/>
      <c r="L42" s="7" t="e">
        <f ca="1">INDEX(INDIRECT(nomFichierBaseCatalogue &amp; "!B:B"),SUM($P$9:$P42))</f>
        <v>#REF!</v>
      </c>
      <c r="M42" s="3" t="e">
        <f ca="1">INDEX(INDIRECT(nomFichierBaseCatalogue &amp; "!F:F"),SUM($P$9:$P42))</f>
        <v>#REF!</v>
      </c>
      <c r="N42" s="7" t="e">
        <f ca="1">INDEX(INDIRECT(nomFichierBaseCatalogue &amp; "!C:C"),SUM($P$9:$P42))</f>
        <v>#REF!</v>
      </c>
      <c r="O42" s="1"/>
      <c r="P42" s="4" t="e">
        <f ca="1">MATCH($A$8&amp;"*-*"&amp;$A$9&amp;"*",INDIRECT(nomFichierBaseCatalogue &amp; "!B" &amp; (SUM(P$9:P41)+1) &amp; ":B" &amp;SUM(P$9:P41)+10000),0)</f>
        <v>#REF!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13</vt:i4>
      </vt:variant>
    </vt:vector>
  </HeadingPairs>
  <TitlesOfParts>
    <vt:vector size="16" baseType="lpstr">
      <vt:lpstr>Synthèse Proforma</vt:lpstr>
      <vt:lpstr>Paramètres</vt:lpstr>
      <vt:lpstr>Requêteur</vt:lpstr>
      <vt:lpstr>listeFichierPDF</vt:lpstr>
      <vt:lpstr>nomFichierBaseCatalogue</vt:lpstr>
      <vt:lpstr>nomFichierEAN13Valmag</vt:lpstr>
      <vt:lpstr>nomFichierEAN13ValmagUniq</vt:lpstr>
      <vt:lpstr>nomFichierFiltreCatalogue</vt:lpstr>
      <vt:lpstr>nomFichierTraite</vt:lpstr>
      <vt:lpstr>offsetInitialFichierTraite</vt:lpstr>
      <vt:lpstr>'Synthèse Proforma'!Zone_d_impression</vt:lpstr>
      <vt:lpstr>zoneFichierBaseCatalogue</vt:lpstr>
      <vt:lpstr>zoneFichierEAN13Valmag</vt:lpstr>
      <vt:lpstr>zoneFichierEAN13ValmagUniq</vt:lpstr>
      <vt:lpstr>zoneFichierFiltreCatalogue</vt:lpstr>
      <vt:lpstr>zoneFichierTraite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NH RC) - AF</dc:creator>
  <cp:lastModifiedBy>Lestang, Jean (DI NH RC) - AF</cp:lastModifiedBy>
  <cp:lastPrinted>2019-10-06T07:36:35Z</cp:lastPrinted>
  <dcterms:created xsi:type="dcterms:W3CDTF">2019-10-04T18:50:53Z</dcterms:created>
  <dcterms:modified xsi:type="dcterms:W3CDTF">2019-10-06T07:37:48Z</dcterms:modified>
</cp:coreProperties>
</file>