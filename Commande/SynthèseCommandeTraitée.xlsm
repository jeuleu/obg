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 activeTab="1"/>
  </bookViews>
  <sheets>
    <sheet name="Requêteur" sheetId="1" r:id="rId1"/>
    <sheet name="Synthèse Proforma" sheetId="2" r:id="rId2"/>
    <sheet name="Paramètres" sheetId="3" r:id="rId3"/>
  </sheets>
  <functionGroups builtInGroupCount="18"/>
  <definedNames>
    <definedName name="listeFichierPDF">Requêteur!$A:$A</definedName>
    <definedName name="nomFichierBaseCatalogue">Paramètres!$A$6</definedName>
    <definedName name="nomFichierEAN13Valmag">Paramètres!$A$4</definedName>
    <definedName name="nomFichierFiltreCatalogue">'Synthèse Proforma'!$I$6</definedName>
    <definedName name="nomFichierTraite">Paramètres!$A$2</definedName>
    <definedName name="offsetInitialFichierTraite">Paramètres!$B$2</definedName>
    <definedName name="_xlnm.Print_Area" localSheetId="1">'Synthèse Proforma'!$A:$H</definedName>
    <definedName name="zoneFichierBaseCatalogue">Paramètres!$C$6</definedName>
    <definedName name="zoneFichierEAN13Valmag">Paramètres!$C$4</definedName>
    <definedName name="zoneFichierFiltreCatalogue">'Synthèse Proforma'!$K$7</definedName>
    <definedName name="zoneFichierTraite">Paramètres!$C$2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2" i="1"/>
  <c r="I2" i="2"/>
  <c r="I3" i="2"/>
  <c r="I4" i="2" l="1"/>
  <c r="J10" i="2"/>
  <c r="J12" i="2" s="1"/>
  <c r="D10" i="2"/>
  <c r="N12" i="2"/>
  <c r="O12" i="2" s="1"/>
  <c r="N10" i="2"/>
  <c r="O10" i="2" s="1"/>
  <c r="M10" i="2"/>
  <c r="J14" i="2" l="1"/>
  <c r="A3" i="1"/>
  <c r="A2" i="1"/>
  <c r="C6" i="3"/>
  <c r="C4" i="3"/>
  <c r="C2" i="3"/>
  <c r="H10" i="2"/>
  <c r="H12" i="2"/>
  <c r="A13" i="2"/>
  <c r="B6" i="2"/>
  <c r="C12" i="2"/>
  <c r="F10" i="2"/>
  <c r="B12" i="2"/>
  <c r="L12" i="2"/>
  <c r="C3" i="2"/>
  <c r="P10" i="1"/>
  <c r="N10" i="1" s="1"/>
  <c r="B10" i="2"/>
  <c r="A10" i="2"/>
  <c r="C6" i="2"/>
  <c r="M12" i="2"/>
  <c r="C4" i="2"/>
  <c r="E10" i="2"/>
  <c r="E10" i="1"/>
  <c r="A11" i="2"/>
  <c r="A12" i="2"/>
  <c r="H1" i="2"/>
  <c r="D12" i="2"/>
  <c r="E12" i="2"/>
  <c r="M10" i="1"/>
  <c r="L10" i="2"/>
  <c r="C7" i="2"/>
  <c r="F12" i="2"/>
  <c r="C10" i="2"/>
  <c r="L10" i="1"/>
  <c r="I10" i="2" l="1"/>
  <c r="K12" i="2"/>
  <c r="K10" i="2"/>
  <c r="G12" i="2"/>
  <c r="G10" i="2"/>
  <c r="J16" i="2"/>
  <c r="I6" i="2"/>
  <c r="C11" i="2"/>
  <c r="M14" i="2"/>
  <c r="B10" i="1"/>
  <c r="E14" i="2"/>
  <c r="F14" i="2"/>
  <c r="D14" i="2"/>
  <c r="D11" i="2"/>
  <c r="Q10" i="2"/>
  <c r="S12" i="2"/>
  <c r="B14" i="2"/>
  <c r="E11" i="1"/>
  <c r="C11" i="1" s="1"/>
  <c r="C13" i="2"/>
  <c r="C10" i="1"/>
  <c r="Q12" i="2"/>
  <c r="N14" i="2"/>
  <c r="O14" i="2" s="1"/>
  <c r="L14" i="2"/>
  <c r="P11" i="1"/>
  <c r="B11" i="1"/>
  <c r="S10" i="2"/>
  <c r="C14" i="2"/>
  <c r="A14" i="2"/>
  <c r="M11" i="1"/>
  <c r="A15" i="2"/>
  <c r="D13" i="2"/>
  <c r="A10" i="1"/>
  <c r="A11" i="1"/>
  <c r="N11" i="1"/>
  <c r="L11" i="1"/>
  <c r="I12" i="2" l="1"/>
  <c r="K14" i="2"/>
  <c r="K7" i="2"/>
  <c r="G14" i="2"/>
  <c r="J18" i="2"/>
  <c r="H14" i="2"/>
  <c r="C16" i="2"/>
  <c r="D16" i="2"/>
  <c r="A17" i="2"/>
  <c r="H13" i="2"/>
  <c r="L16" i="2"/>
  <c r="H11" i="2"/>
  <c r="R10" i="2"/>
  <c r="E12" i="1"/>
  <c r="B12" i="1" s="1"/>
  <c r="F16" i="2"/>
  <c r="E11" i="2"/>
  <c r="P12" i="1"/>
  <c r="L12" i="1" s="1"/>
  <c r="S14" i="2"/>
  <c r="B16" i="2"/>
  <c r="M16" i="2"/>
  <c r="A16" i="2"/>
  <c r="Q14" i="2"/>
  <c r="A12" i="1"/>
  <c r="C12" i="1"/>
  <c r="R12" i="2"/>
  <c r="E16" i="2"/>
  <c r="M12" i="1"/>
  <c r="N16" i="2"/>
  <c r="O16" i="2" s="1"/>
  <c r="E13" i="2"/>
  <c r="N12" i="1"/>
  <c r="I14" i="2" l="1"/>
  <c r="K16" i="2"/>
  <c r="G16" i="2"/>
  <c r="J20" i="2"/>
  <c r="H16" i="2"/>
  <c r="D18" i="2"/>
  <c r="P13" i="1"/>
  <c r="D15" i="2"/>
  <c r="S16" i="2"/>
  <c r="E15" i="2"/>
  <c r="M18" i="2"/>
  <c r="L18" i="2"/>
  <c r="C15" i="2"/>
  <c r="F18" i="2"/>
  <c r="Q16" i="2"/>
  <c r="N18" i="2"/>
  <c r="O18" i="2" s="1"/>
  <c r="R14" i="2"/>
  <c r="P12" i="2"/>
  <c r="E18" i="2"/>
  <c r="A18" i="2"/>
  <c r="M13" i="1"/>
  <c r="E13" i="1"/>
  <c r="B13" i="1" s="1"/>
  <c r="H15" i="2"/>
  <c r="N13" i="1"/>
  <c r="C13" i="1"/>
  <c r="P10" i="2"/>
  <c r="C18" i="2"/>
  <c r="B18" i="2"/>
  <c r="A19" i="2"/>
  <c r="A13" i="1"/>
  <c r="I16" i="2" l="1"/>
  <c r="K18" i="2"/>
  <c r="G18" i="2"/>
  <c r="J22" i="2"/>
  <c r="H18" i="2"/>
  <c r="P14" i="1"/>
  <c r="R16" i="2"/>
  <c r="L14" i="1"/>
  <c r="E20" i="2"/>
  <c r="A20" i="2"/>
  <c r="D17" i="2"/>
  <c r="M20" i="2"/>
  <c r="L20" i="2"/>
  <c r="P14" i="2"/>
  <c r="N14" i="1"/>
  <c r="L13" i="1"/>
  <c r="C20" i="2"/>
  <c r="D20" i="2"/>
  <c r="B20" i="2"/>
  <c r="A21" i="2"/>
  <c r="M14" i="1"/>
  <c r="E14" i="1"/>
  <c r="C17" i="2"/>
  <c r="H17" i="2"/>
  <c r="S18" i="2"/>
  <c r="E17" i="2"/>
  <c r="B14" i="1"/>
  <c r="Q18" i="2"/>
  <c r="B13" i="2"/>
  <c r="B11" i="2"/>
  <c r="F20" i="2"/>
  <c r="N20" i="2"/>
  <c r="O20" i="2" s="1"/>
  <c r="C14" i="1"/>
  <c r="A14" i="1"/>
  <c r="I18" i="2" l="1"/>
  <c r="K20" i="2"/>
  <c r="G20" i="2"/>
  <c r="J24" i="2"/>
  <c r="H20" i="2"/>
  <c r="P16" i="2"/>
  <c r="C22" i="2"/>
  <c r="A23" i="2"/>
  <c r="E15" i="1"/>
  <c r="E20" i="1"/>
  <c r="P15" i="1"/>
  <c r="E22" i="2"/>
  <c r="E21" i="1"/>
  <c r="Q20" i="2"/>
  <c r="D22" i="2"/>
  <c r="H19" i="2"/>
  <c r="D19" i="2"/>
  <c r="L22" i="2"/>
  <c r="E16" i="1"/>
  <c r="M15" i="1"/>
  <c r="B15" i="2"/>
  <c r="A22" i="2"/>
  <c r="N22" i="2"/>
  <c r="O22" i="2" s="1"/>
  <c r="E19" i="1"/>
  <c r="S20" i="2"/>
  <c r="E17" i="1"/>
  <c r="F22" i="2"/>
  <c r="M22" i="2"/>
  <c r="E19" i="2"/>
  <c r="R18" i="2"/>
  <c r="C19" i="2"/>
  <c r="B22" i="2"/>
  <c r="L15" i="1"/>
  <c r="N15" i="1"/>
  <c r="E22" i="1"/>
  <c r="E18" i="1"/>
  <c r="B18" i="1"/>
  <c r="A21" i="1"/>
  <c r="A17" i="1"/>
  <c r="C18" i="1"/>
  <c r="C16" i="1"/>
  <c r="A20" i="1"/>
  <c r="A19" i="1"/>
  <c r="B16" i="1"/>
  <c r="C17" i="1"/>
  <c r="A18" i="1"/>
  <c r="A15" i="1"/>
  <c r="B20" i="1"/>
  <c r="C22" i="1"/>
  <c r="B17" i="1"/>
  <c r="B22" i="1"/>
  <c r="C15" i="1"/>
  <c r="A16" i="1"/>
  <c r="A22" i="1"/>
  <c r="B19" i="1"/>
  <c r="C19" i="1"/>
  <c r="B15" i="1"/>
  <c r="C21" i="1"/>
  <c r="B21" i="1"/>
  <c r="C20" i="1"/>
  <c r="I20" i="2" l="1"/>
  <c r="K22" i="2"/>
  <c r="G22" i="2"/>
  <c r="J26" i="2"/>
  <c r="H22" i="2"/>
  <c r="D24" i="2"/>
  <c r="C24" i="2"/>
  <c r="P16" i="1"/>
  <c r="S22" i="2"/>
  <c r="L16" i="1"/>
  <c r="D21" i="2"/>
  <c r="B24" i="2"/>
  <c r="R20" i="2"/>
  <c r="L24" i="2"/>
  <c r="M24" i="2"/>
  <c r="A25" i="2"/>
  <c r="A24" i="2"/>
  <c r="B17" i="2"/>
  <c r="Q22" i="2"/>
  <c r="N24" i="2"/>
  <c r="O24" i="2" s="1"/>
  <c r="H21" i="2"/>
  <c r="F24" i="2"/>
  <c r="E21" i="2"/>
  <c r="P18" i="2"/>
  <c r="C21" i="2"/>
  <c r="M16" i="1"/>
  <c r="E24" i="2"/>
  <c r="I22" i="2" l="1"/>
  <c r="H3" i="2" s="1"/>
  <c r="K24" i="2"/>
  <c r="G24" i="2"/>
  <c r="J28" i="2"/>
  <c r="H24" i="2"/>
  <c r="A27" i="2"/>
  <c r="R22" i="2"/>
  <c r="E26" i="2"/>
  <c r="P17" i="1"/>
  <c r="M26" i="2"/>
  <c r="M17" i="1"/>
  <c r="L17" i="1"/>
  <c r="N16" i="1"/>
  <c r="D23" i="2"/>
  <c r="Q24" i="2"/>
  <c r="N26" i="2"/>
  <c r="O26" i="2" s="1"/>
  <c r="L26" i="2"/>
  <c r="D26" i="2"/>
  <c r="N17" i="1"/>
  <c r="A26" i="2"/>
  <c r="S24" i="2"/>
  <c r="H23" i="2"/>
  <c r="B19" i="2"/>
  <c r="P20" i="2"/>
  <c r="F26" i="2"/>
  <c r="C26" i="2"/>
  <c r="C23" i="2"/>
  <c r="B26" i="2"/>
  <c r="E23" i="2"/>
  <c r="K26" i="2" l="1"/>
  <c r="G26" i="2"/>
  <c r="J30" i="2"/>
  <c r="H26" i="2"/>
  <c r="B21" i="2"/>
  <c r="B28" i="2"/>
  <c r="N28" i="2"/>
  <c r="O28" i="2" s="1"/>
  <c r="H25" i="2"/>
  <c r="Q26" i="2"/>
  <c r="E28" i="2"/>
  <c r="F28" i="2"/>
  <c r="A29" i="2"/>
  <c r="M28" i="2"/>
  <c r="L28" i="2"/>
  <c r="D25" i="2"/>
  <c r="R24" i="2"/>
  <c r="S26" i="2"/>
  <c r="A28" i="2"/>
  <c r="C28" i="2"/>
  <c r="E25" i="2"/>
  <c r="D28" i="2"/>
  <c r="P22" i="2"/>
  <c r="P18" i="1"/>
  <c r="C25" i="2"/>
  <c r="L18" i="1"/>
  <c r="N18" i="1"/>
  <c r="M18" i="1"/>
  <c r="P19" i="1"/>
  <c r="M19" i="1"/>
  <c r="P20" i="1"/>
  <c r="N20" i="1"/>
  <c r="L19" i="1"/>
  <c r="L20" i="1"/>
  <c r="N19" i="1"/>
  <c r="M20" i="1"/>
  <c r="K28" i="2" l="1"/>
  <c r="G28" i="2"/>
  <c r="J32" i="2"/>
  <c r="H28" i="2"/>
  <c r="B30" i="2"/>
  <c r="Q28" i="2"/>
  <c r="L30" i="2"/>
  <c r="H27" i="2"/>
  <c r="N30" i="2"/>
  <c r="O30" i="2" s="1"/>
  <c r="P21" i="1"/>
  <c r="S28" i="2"/>
  <c r="C27" i="2"/>
  <c r="D30" i="2"/>
  <c r="E27" i="2"/>
  <c r="C30" i="2"/>
  <c r="F30" i="2"/>
  <c r="M30" i="2"/>
  <c r="E30" i="2"/>
  <c r="A30" i="2"/>
  <c r="R26" i="2"/>
  <c r="B23" i="2"/>
  <c r="D27" i="2"/>
  <c r="P24" i="2"/>
  <c r="A31" i="2"/>
  <c r="P22" i="1"/>
  <c r="L22" i="1"/>
  <c r="M21" i="1"/>
  <c r="M22" i="1"/>
  <c r="N21" i="1"/>
  <c r="L21" i="1"/>
  <c r="N22" i="1"/>
  <c r="P23" i="1"/>
  <c r="N23" i="1"/>
  <c r="M23" i="1"/>
  <c r="P24" i="1"/>
  <c r="M24" i="1"/>
  <c r="L23" i="1"/>
  <c r="P25" i="1"/>
  <c r="M25" i="1"/>
  <c r="L24" i="1"/>
  <c r="N25" i="1"/>
  <c r="N24" i="1"/>
  <c r="L25" i="1"/>
  <c r="K30" i="2" l="1"/>
  <c r="G30" i="2"/>
  <c r="J34" i="2"/>
  <c r="H30" i="2"/>
  <c r="L32" i="2"/>
  <c r="Q30" i="2"/>
  <c r="N34" i="2"/>
  <c r="O34" i="2" s="1"/>
  <c r="E34" i="2"/>
  <c r="S30" i="2"/>
  <c r="P26" i="1"/>
  <c r="E32" i="2"/>
  <c r="B25" i="2"/>
  <c r="A33" i="2"/>
  <c r="F32" i="2"/>
  <c r="R28" i="2"/>
  <c r="M32" i="2"/>
  <c r="A35" i="2"/>
  <c r="B34" i="2"/>
  <c r="A34" i="2"/>
  <c r="D32" i="2"/>
  <c r="P26" i="2"/>
  <c r="F34" i="2"/>
  <c r="H29" i="2"/>
  <c r="E29" i="2"/>
  <c r="D29" i="2"/>
  <c r="A32" i="2"/>
  <c r="C29" i="2"/>
  <c r="B32" i="2"/>
  <c r="L34" i="2"/>
  <c r="C34" i="2"/>
  <c r="C32" i="2"/>
  <c r="D34" i="2"/>
  <c r="M34" i="2"/>
  <c r="N32" i="2"/>
  <c r="O32" i="2" s="1"/>
  <c r="M26" i="1"/>
  <c r="N26" i="1"/>
  <c r="L26" i="1"/>
  <c r="K34" i="2" l="1"/>
  <c r="K32" i="2"/>
  <c r="G34" i="2"/>
  <c r="G32" i="2"/>
  <c r="J36" i="2"/>
  <c r="H32" i="2"/>
  <c r="H34" i="2"/>
  <c r="E31" i="2"/>
  <c r="D31" i="2"/>
  <c r="P27" i="1"/>
  <c r="H31" i="2"/>
  <c r="C31" i="2"/>
  <c r="P28" i="2"/>
  <c r="R30" i="2"/>
  <c r="Q34" i="2"/>
  <c r="S32" i="2"/>
  <c r="S34" i="2"/>
  <c r="Q32" i="2"/>
  <c r="B27" i="2"/>
  <c r="L27" i="1"/>
  <c r="N27" i="1"/>
  <c r="M27" i="1"/>
  <c r="J38" i="2" l="1"/>
  <c r="E33" i="2"/>
  <c r="M36" i="2"/>
  <c r="R32" i="2"/>
  <c r="D36" i="2"/>
  <c r="L36" i="2"/>
  <c r="E36" i="2"/>
  <c r="B36" i="2"/>
  <c r="H35" i="2"/>
  <c r="C36" i="2"/>
  <c r="P30" i="2"/>
  <c r="B29" i="2"/>
  <c r="D33" i="2"/>
  <c r="N36" i="2"/>
  <c r="O36" i="2" s="1"/>
  <c r="E35" i="2"/>
  <c r="C33" i="2"/>
  <c r="D35" i="2"/>
  <c r="A36" i="2"/>
  <c r="R34" i="2"/>
  <c r="P28" i="1"/>
  <c r="F36" i="2"/>
  <c r="A37" i="2"/>
  <c r="H33" i="2"/>
  <c r="C35" i="2"/>
  <c r="M28" i="1"/>
  <c r="L28" i="1"/>
  <c r="N28" i="1"/>
  <c r="K36" i="2" l="1"/>
  <c r="G36" i="2"/>
  <c r="J40" i="2"/>
  <c r="H36" i="2"/>
  <c r="P32" i="2"/>
  <c r="N38" i="2"/>
  <c r="O38" i="2" s="1"/>
  <c r="B38" i="2"/>
  <c r="F38" i="2"/>
  <c r="A38" i="2"/>
  <c r="M38" i="2"/>
  <c r="Q36" i="2"/>
  <c r="C38" i="2"/>
  <c r="P34" i="2"/>
  <c r="S36" i="2"/>
  <c r="D38" i="2"/>
  <c r="P29" i="1"/>
  <c r="E38" i="2"/>
  <c r="B31" i="2"/>
  <c r="B35" i="2"/>
  <c r="A39" i="2"/>
  <c r="L38" i="2"/>
  <c r="N29" i="1"/>
  <c r="L29" i="1"/>
  <c r="M29" i="1"/>
  <c r="K38" i="2" l="1"/>
  <c r="G38" i="2"/>
  <c r="J42" i="2"/>
  <c r="H38" i="2"/>
  <c r="E37" i="2"/>
  <c r="F40" i="2"/>
  <c r="M40" i="2"/>
  <c r="H37" i="2"/>
  <c r="S38" i="2"/>
  <c r="P30" i="1"/>
  <c r="L40" i="2"/>
  <c r="A40" i="2"/>
  <c r="Q38" i="2"/>
  <c r="A41" i="2"/>
  <c r="C40" i="2"/>
  <c r="E40" i="2"/>
  <c r="C37" i="2"/>
  <c r="D40" i="2"/>
  <c r="B33" i="2"/>
  <c r="N40" i="2"/>
  <c r="O40" i="2" s="1"/>
  <c r="B40" i="2"/>
  <c r="R36" i="2"/>
  <c r="D37" i="2"/>
  <c r="P31" i="1"/>
  <c r="M30" i="1"/>
  <c r="M31" i="1"/>
  <c r="L30" i="1"/>
  <c r="L31" i="1"/>
  <c r="N31" i="1"/>
  <c r="N30" i="1"/>
  <c r="P32" i="1"/>
  <c r="P33" i="1"/>
  <c r="P34" i="1"/>
  <c r="N32" i="1"/>
  <c r="M32" i="1"/>
  <c r="L34" i="1"/>
  <c r="N33" i="1"/>
  <c r="N34" i="1"/>
  <c r="L33" i="1"/>
  <c r="L32" i="1"/>
  <c r="M34" i="1"/>
  <c r="M33" i="1"/>
  <c r="P35" i="1"/>
  <c r="P36" i="1"/>
  <c r="P37" i="1"/>
  <c r="L37" i="1"/>
  <c r="M35" i="1"/>
  <c r="L35" i="1"/>
  <c r="M37" i="1"/>
  <c r="L36" i="1"/>
  <c r="N35" i="1"/>
  <c r="N37" i="1"/>
  <c r="M36" i="1"/>
  <c r="N36" i="1"/>
  <c r="P38" i="1"/>
  <c r="P39" i="1"/>
  <c r="P42" i="1" s="1"/>
  <c r="P40" i="1"/>
  <c r="L39" i="1"/>
  <c r="L41" i="1"/>
  <c r="L40" i="1"/>
  <c r="N42" i="1"/>
  <c r="N40" i="1"/>
  <c r="N39" i="1"/>
  <c r="L42" i="1"/>
  <c r="N41" i="1"/>
  <c r="L38" i="1"/>
  <c r="M42" i="1"/>
  <c r="M40" i="1"/>
  <c r="M38" i="1"/>
  <c r="M41" i="1"/>
  <c r="J10" i="1" s="1"/>
  <c r="N38" i="1"/>
  <c r="M39" i="1"/>
  <c r="P41" i="1"/>
  <c r="J11" i="1"/>
  <c r="J12" i="1"/>
  <c r="J13" i="1"/>
  <c r="J14" i="1"/>
  <c r="J15" i="1"/>
  <c r="J16" i="1"/>
  <c r="H10" i="1" l="1"/>
  <c r="G10" i="1"/>
  <c r="H11" i="1"/>
  <c r="G11" i="1"/>
  <c r="H12" i="1"/>
  <c r="G12" i="1"/>
  <c r="H13" i="1"/>
  <c r="G13" i="1"/>
  <c r="H14" i="1"/>
  <c r="G14" i="1"/>
  <c r="G15" i="1"/>
  <c r="H15" i="1"/>
  <c r="K40" i="2"/>
  <c r="G16" i="1"/>
  <c r="H16" i="1"/>
  <c r="G40" i="2"/>
  <c r="J44" i="2"/>
  <c r="J46" i="2" s="1"/>
  <c r="A46" i="2"/>
  <c r="L46" i="2"/>
  <c r="F46" i="2"/>
  <c r="B46" i="2"/>
  <c r="E46" i="2"/>
  <c r="A47" i="2"/>
  <c r="N46" i="2"/>
  <c r="O46" i="2" s="1"/>
  <c r="C46" i="2"/>
  <c r="D46" i="2"/>
  <c r="M46" i="2"/>
  <c r="H40" i="2"/>
  <c r="C42" i="2"/>
  <c r="C39" i="2"/>
  <c r="R38" i="2"/>
  <c r="P36" i="2"/>
  <c r="N42" i="2"/>
  <c r="O42" i="2" s="1"/>
  <c r="J17" i="1"/>
  <c r="J18" i="1" s="1"/>
  <c r="A42" i="2"/>
  <c r="A43" i="2"/>
  <c r="D39" i="2"/>
  <c r="E42" i="2"/>
  <c r="E39" i="2"/>
  <c r="J19" i="1"/>
  <c r="H39" i="2"/>
  <c r="S40" i="2"/>
  <c r="D42" i="2"/>
  <c r="F42" i="2"/>
  <c r="B42" i="2"/>
  <c r="J20" i="1"/>
  <c r="J21" i="1" s="1"/>
  <c r="M42" i="2"/>
  <c r="L42" i="2"/>
  <c r="Q40" i="2"/>
  <c r="S46" i="2"/>
  <c r="Q46" i="2"/>
  <c r="R46" i="2" s="1"/>
  <c r="P46" i="2" s="1"/>
  <c r="H46" i="2"/>
  <c r="H47" i="2"/>
  <c r="E47" i="2"/>
  <c r="D47" i="2"/>
  <c r="C47" i="2"/>
  <c r="B47" i="2" s="1"/>
  <c r="K42" i="2" l="1"/>
  <c r="K46" i="2"/>
  <c r="G46" i="2"/>
  <c r="J48" i="2"/>
  <c r="G20" i="1"/>
  <c r="G21" i="1"/>
  <c r="G19" i="1"/>
  <c r="H21" i="1"/>
  <c r="H18" i="1"/>
  <c r="G18" i="1"/>
  <c r="G17" i="1"/>
  <c r="H19" i="1"/>
  <c r="H20" i="1"/>
  <c r="H17" i="1"/>
  <c r="G42" i="2"/>
  <c r="M48" i="2"/>
  <c r="A49" i="2"/>
  <c r="B48" i="2"/>
  <c r="L48" i="2"/>
  <c r="F48" i="2"/>
  <c r="C48" i="2"/>
  <c r="N48" i="2"/>
  <c r="O48" i="2" s="1"/>
  <c r="A48" i="2"/>
  <c r="E48" i="2"/>
  <c r="D48" i="2"/>
  <c r="H42" i="2"/>
  <c r="A45" i="2"/>
  <c r="R40" i="2"/>
  <c r="N44" i="2"/>
  <c r="O44" i="2" s="1"/>
  <c r="P38" i="2"/>
  <c r="Q42" i="2"/>
  <c r="J22" i="1"/>
  <c r="C44" i="2"/>
  <c r="M44" i="2"/>
  <c r="E41" i="2"/>
  <c r="C41" i="2"/>
  <c r="L44" i="2"/>
  <c r="B44" i="2"/>
  <c r="B37" i="2"/>
  <c r="D44" i="2"/>
  <c r="F44" i="2"/>
  <c r="A44" i="2"/>
  <c r="D41" i="2"/>
  <c r="H41" i="2"/>
  <c r="E44" i="2"/>
  <c r="S42" i="2"/>
  <c r="S48" i="2"/>
  <c r="Q48" i="2"/>
  <c r="R48" i="2" s="1"/>
  <c r="P48" i="2" s="1"/>
  <c r="H48" i="2"/>
  <c r="H49" i="2"/>
  <c r="E49" i="2"/>
  <c r="C49" i="2"/>
  <c r="B49" i="2" s="1"/>
  <c r="D49" i="2"/>
  <c r="H22" i="1" l="1"/>
  <c r="G22" i="1"/>
  <c r="K44" i="2"/>
  <c r="K48" i="2"/>
  <c r="G48" i="2"/>
  <c r="J50" i="2"/>
  <c r="G44" i="2"/>
  <c r="B50" i="2"/>
  <c r="M50" i="2"/>
  <c r="F50" i="2"/>
  <c r="L50" i="2"/>
  <c r="C50" i="2"/>
  <c r="A51" i="2"/>
  <c r="N50" i="2"/>
  <c r="O50" i="2" s="1"/>
  <c r="A50" i="2"/>
  <c r="D50" i="2"/>
  <c r="E50" i="2"/>
  <c r="H44" i="2"/>
  <c r="Q44" i="2"/>
  <c r="S44" i="2"/>
  <c r="R42" i="2"/>
  <c r="C43" i="2"/>
  <c r="P40" i="2"/>
  <c r="H43" i="2"/>
  <c r="E43" i="2"/>
  <c r="B39" i="2"/>
  <c r="D43" i="2"/>
  <c r="S50" i="2"/>
  <c r="Q50" i="2"/>
  <c r="R50" i="2" s="1"/>
  <c r="P50" i="2" s="1"/>
  <c r="H50" i="2"/>
  <c r="H51" i="2"/>
  <c r="E51" i="2"/>
  <c r="C51" i="2"/>
  <c r="B51" i="2" s="1"/>
  <c r="D51" i="2"/>
  <c r="K50" i="2" l="1"/>
  <c r="G50" i="2"/>
  <c r="J52" i="2"/>
  <c r="C52" i="2"/>
  <c r="B52" i="2"/>
  <c r="F52" i="2"/>
  <c r="E52" i="2"/>
  <c r="A53" i="2"/>
  <c r="M52" i="2"/>
  <c r="L52" i="2"/>
  <c r="A52" i="2"/>
  <c r="D52" i="2"/>
  <c r="N52" i="2"/>
  <c r="O52" i="2" s="1"/>
  <c r="R44" i="2"/>
  <c r="H45" i="2"/>
  <c r="C45" i="2"/>
  <c r="P42" i="2"/>
  <c r="E45" i="2"/>
  <c r="D45" i="2"/>
  <c r="B41" i="2"/>
  <c r="S52" i="2"/>
  <c r="Q52" i="2"/>
  <c r="R52" i="2" s="1"/>
  <c r="P52" i="2" s="1"/>
  <c r="H52" i="2"/>
  <c r="H53" i="2"/>
  <c r="E53" i="2"/>
  <c r="D53" i="2"/>
  <c r="C53" i="2"/>
  <c r="B53" i="2" s="1"/>
  <c r="K52" i="2" l="1"/>
  <c r="G52" i="2"/>
  <c r="J54" i="2"/>
  <c r="B54" i="2"/>
  <c r="N54" i="2"/>
  <c r="O54" i="2" s="1"/>
  <c r="M54" i="2"/>
  <c r="A54" i="2"/>
  <c r="E54" i="2"/>
  <c r="F54" i="2"/>
  <c r="C54" i="2"/>
  <c r="L54" i="2"/>
  <c r="D54" i="2"/>
  <c r="A55" i="2"/>
  <c r="B43" i="2"/>
  <c r="P44" i="2"/>
  <c r="Q54" i="2"/>
  <c r="R54" i="2" s="1"/>
  <c r="P54" i="2" s="1"/>
  <c r="S54" i="2"/>
  <c r="H54" i="2"/>
  <c r="H55" i="2"/>
  <c r="E55" i="2"/>
  <c r="D55" i="2"/>
  <c r="C55" i="2"/>
  <c r="B55" i="2" s="1"/>
  <c r="K54" i="2" l="1"/>
  <c r="G54" i="2"/>
  <c r="J56" i="2"/>
  <c r="N56" i="2"/>
  <c r="O56" i="2" s="1"/>
  <c r="L56" i="2"/>
  <c r="A56" i="2"/>
  <c r="D56" i="2"/>
  <c r="M56" i="2"/>
  <c r="B56" i="2"/>
  <c r="E56" i="2"/>
  <c r="C56" i="2"/>
  <c r="A57" i="2"/>
  <c r="F56" i="2"/>
  <c r="B45" i="2"/>
  <c r="H56" i="2"/>
  <c r="Q56" i="2"/>
  <c r="R56" i="2" s="1"/>
  <c r="P56" i="2" s="1"/>
  <c r="S56" i="2"/>
  <c r="C57" i="2"/>
  <c r="B57" i="2" s="1"/>
  <c r="D57" i="2"/>
  <c r="H57" i="2"/>
  <c r="E57" i="2"/>
  <c r="K56" i="2" l="1"/>
  <c r="G56" i="2"/>
  <c r="J58" i="2"/>
  <c r="L58" i="2"/>
  <c r="A58" i="2"/>
  <c r="M58" i="2"/>
  <c r="D58" i="2"/>
  <c r="E58" i="2"/>
  <c r="A59" i="2"/>
  <c r="N58" i="2"/>
  <c r="O58" i="2" s="1"/>
  <c r="B58" i="2"/>
  <c r="F58" i="2"/>
  <c r="C58" i="2"/>
  <c r="H58" i="2"/>
  <c r="S58" i="2"/>
  <c r="Q58" i="2"/>
  <c r="R58" i="2" s="1"/>
  <c r="P58" i="2" s="1"/>
  <c r="C59" i="2"/>
  <c r="B59" i="2" s="1"/>
  <c r="D59" i="2"/>
  <c r="H59" i="2"/>
  <c r="E59" i="2"/>
  <c r="K58" i="2" l="1"/>
  <c r="G58" i="2"/>
  <c r="J60" i="2"/>
  <c r="J62" i="2" s="1"/>
  <c r="E62" i="2"/>
  <c r="C62" i="2"/>
  <c r="B62" i="2"/>
  <c r="A62" i="2"/>
  <c r="A63" i="2"/>
  <c r="L62" i="2"/>
  <c r="D62" i="2"/>
  <c r="F62" i="2"/>
  <c r="M62" i="2"/>
  <c r="N62" i="2"/>
  <c r="C60" i="2"/>
  <c r="M60" i="2"/>
  <c r="E60" i="2"/>
  <c r="A61" i="2"/>
  <c r="L60" i="2"/>
  <c r="A60" i="2"/>
  <c r="B60" i="2"/>
  <c r="F60" i="2"/>
  <c r="N60" i="2"/>
  <c r="O60" i="2" s="1"/>
  <c r="D60" i="2"/>
  <c r="Q60" i="2"/>
  <c r="R60" i="2" s="1"/>
  <c r="P60" i="2" s="1"/>
  <c r="S60" i="2"/>
  <c r="H60" i="2"/>
  <c r="H61" i="2"/>
  <c r="E61" i="2"/>
  <c r="C61" i="2"/>
  <c r="B61" i="2" s="1"/>
  <c r="D61" i="2"/>
  <c r="Q62" i="2"/>
  <c r="R62" i="2" s="1"/>
  <c r="P62" i="2" s="1"/>
  <c r="S62" i="2"/>
  <c r="H62" i="2"/>
  <c r="O62" i="2"/>
  <c r="E63" i="2"/>
  <c r="H63" i="2"/>
  <c r="D63" i="2"/>
  <c r="C63" i="2"/>
  <c r="B63" i="2" s="1"/>
  <c r="G62" i="2" l="1"/>
  <c r="K62" i="2"/>
  <c r="J64" i="2"/>
  <c r="K60" i="2"/>
  <c r="G60" i="2"/>
  <c r="E64" i="2"/>
  <c r="B64" i="2"/>
  <c r="A64" i="2"/>
  <c r="D64" i="2"/>
  <c r="A65" i="2"/>
  <c r="L64" i="2"/>
  <c r="C64" i="2"/>
  <c r="M64" i="2"/>
  <c r="F64" i="2"/>
  <c r="N64" i="2"/>
  <c r="S64" i="2"/>
  <c r="Q64" i="2"/>
  <c r="R64" i="2" s="1"/>
  <c r="P64" i="2" s="1"/>
  <c r="O64" i="2"/>
  <c r="H64" i="2"/>
  <c r="H65" i="2"/>
  <c r="E65" i="2"/>
  <c r="D65" i="2"/>
  <c r="C65" i="2"/>
  <c r="B65" i="2" s="1"/>
  <c r="G64" i="2" l="1"/>
  <c r="K64" i="2"/>
  <c r="J66" i="2"/>
  <c r="B66" i="2"/>
  <c r="E66" i="2"/>
  <c r="A66" i="2"/>
  <c r="D66" i="2"/>
  <c r="A67" i="2"/>
  <c r="L66" i="2"/>
  <c r="C66" i="2"/>
  <c r="M66" i="2"/>
  <c r="F66" i="2"/>
  <c r="N66" i="2"/>
  <c r="Q66" i="2"/>
  <c r="R66" i="2" s="1"/>
  <c r="P66" i="2" s="1"/>
  <c r="S66" i="2"/>
  <c r="H66" i="2"/>
  <c r="O66" i="2"/>
  <c r="H67" i="2"/>
  <c r="E67" i="2"/>
  <c r="D67" i="2"/>
  <c r="C67" i="2"/>
  <c r="B67" i="2" s="1"/>
  <c r="G66" i="2" l="1"/>
  <c r="K66" i="2"/>
  <c r="J68" i="2"/>
  <c r="B68" i="2"/>
  <c r="E68" i="2"/>
  <c r="F68" i="2"/>
  <c r="A68" i="2"/>
  <c r="M68" i="2"/>
  <c r="A69" i="2"/>
  <c r="L68" i="2"/>
  <c r="C68" i="2"/>
  <c r="D68" i="2"/>
  <c r="N68" i="2"/>
  <c r="S68" i="2"/>
  <c r="Q68" i="2"/>
  <c r="R68" i="2" s="1"/>
  <c r="P68" i="2" s="1"/>
  <c r="O68" i="2"/>
  <c r="H68" i="2"/>
  <c r="H69" i="2"/>
  <c r="E69" i="2"/>
  <c r="D69" i="2"/>
  <c r="C69" i="2"/>
  <c r="B69" i="2" s="1"/>
  <c r="K68" i="2" l="1"/>
  <c r="G68" i="2"/>
  <c r="J70" i="2"/>
  <c r="E70" i="2"/>
  <c r="B70" i="2"/>
  <c r="F70" i="2"/>
  <c r="A70" i="2"/>
  <c r="D70" i="2"/>
  <c r="A71" i="2"/>
  <c r="L70" i="2"/>
  <c r="C70" i="2"/>
  <c r="M70" i="2"/>
  <c r="N70" i="2"/>
  <c r="S70" i="2"/>
  <c r="Q70" i="2"/>
  <c r="R70" i="2" s="1"/>
  <c r="P70" i="2" s="1"/>
  <c r="O70" i="2"/>
  <c r="H70" i="2"/>
  <c r="H71" i="2"/>
  <c r="E71" i="2"/>
  <c r="D71" i="2"/>
  <c r="C71" i="2"/>
  <c r="B71" i="2" s="1"/>
  <c r="K70" i="2" l="1"/>
  <c r="G70" i="2"/>
  <c r="J72" i="2"/>
  <c r="E72" i="2"/>
  <c r="B72" i="2"/>
  <c r="F72" i="2"/>
  <c r="A72" i="2"/>
  <c r="A73" i="2"/>
  <c r="L72" i="2"/>
  <c r="C72" i="2"/>
  <c r="D72" i="2"/>
  <c r="M72" i="2"/>
  <c r="N72" i="2"/>
  <c r="Q72" i="2"/>
  <c r="R72" i="2" s="1"/>
  <c r="P72" i="2" s="1"/>
  <c r="S72" i="2"/>
  <c r="O72" i="2"/>
  <c r="H72" i="2"/>
  <c r="E73" i="2"/>
  <c r="H73" i="2"/>
  <c r="D73" i="2"/>
  <c r="C73" i="2"/>
  <c r="B73" i="2" s="1"/>
  <c r="K72" i="2" l="1"/>
  <c r="G72" i="2"/>
  <c r="J74" i="2"/>
  <c r="F74" i="2"/>
  <c r="E74" i="2"/>
  <c r="B74" i="2"/>
  <c r="C74" i="2"/>
  <c r="A74" i="2"/>
  <c r="M74" i="2"/>
  <c r="A75" i="2"/>
  <c r="L74" i="2"/>
  <c r="D74" i="2"/>
  <c r="N74" i="2"/>
  <c r="S74" i="2"/>
  <c r="Q74" i="2"/>
  <c r="R74" i="2" s="1"/>
  <c r="P74" i="2" s="1"/>
  <c r="O74" i="2"/>
  <c r="H74" i="2"/>
  <c r="H75" i="2"/>
  <c r="E75" i="2"/>
  <c r="D75" i="2"/>
  <c r="C75" i="2"/>
  <c r="B75" i="2" s="1"/>
  <c r="K74" i="2" l="1"/>
  <c r="G74" i="2"/>
  <c r="J76" i="2"/>
  <c r="B76" i="2"/>
  <c r="L76" i="2"/>
  <c r="C76" i="2"/>
  <c r="E76" i="2"/>
  <c r="F76" i="2"/>
  <c r="A77" i="2"/>
  <c r="A76" i="2"/>
  <c r="M76" i="2"/>
  <c r="D76" i="2"/>
  <c r="N76" i="2"/>
  <c r="S76" i="2"/>
  <c r="Q76" i="2"/>
  <c r="R76" i="2" s="1"/>
  <c r="P76" i="2" s="1"/>
  <c r="H76" i="2"/>
  <c r="O76" i="2"/>
  <c r="E77" i="2"/>
  <c r="H77" i="2"/>
  <c r="D77" i="2"/>
  <c r="C77" i="2"/>
  <c r="B77" i="2" s="1"/>
  <c r="K76" i="2" l="1"/>
  <c r="G76" i="2"/>
  <c r="J78" i="2"/>
  <c r="A79" i="2"/>
  <c r="E78" i="2"/>
  <c r="F78" i="2"/>
  <c r="C78" i="2"/>
  <c r="B78" i="2"/>
  <c r="L78" i="2"/>
  <c r="A78" i="2"/>
  <c r="M78" i="2"/>
  <c r="D78" i="2"/>
  <c r="N78" i="2"/>
  <c r="Q78" i="2"/>
  <c r="R78" i="2" s="1"/>
  <c r="P78" i="2" s="1"/>
  <c r="S78" i="2"/>
  <c r="H78" i="2"/>
  <c r="O78" i="2"/>
  <c r="E79" i="2"/>
  <c r="H79" i="2"/>
  <c r="D79" i="2"/>
  <c r="C79" i="2"/>
  <c r="B79" i="2" s="1"/>
  <c r="G78" i="2" l="1"/>
  <c r="K78" i="2"/>
  <c r="J80" i="2"/>
  <c r="C80" i="2"/>
  <c r="E80" i="2"/>
  <c r="B80" i="2"/>
  <c r="L80" i="2"/>
  <c r="F80" i="2"/>
  <c r="A81" i="2"/>
  <c r="A80" i="2"/>
  <c r="M80" i="2"/>
  <c r="D80" i="2"/>
  <c r="N80" i="2"/>
  <c r="Q80" i="2"/>
  <c r="R80" i="2" s="1"/>
  <c r="P80" i="2" s="1"/>
  <c r="S80" i="2"/>
  <c r="O80" i="2"/>
  <c r="H80" i="2"/>
  <c r="E81" i="2"/>
  <c r="H81" i="2"/>
  <c r="C81" i="2"/>
  <c r="B81" i="2" s="1"/>
  <c r="D81" i="2"/>
  <c r="K80" i="2" l="1"/>
  <c r="G80" i="2"/>
  <c r="J82" i="2"/>
  <c r="B82" i="2"/>
  <c r="F82" i="2"/>
  <c r="L82" i="2"/>
  <c r="C82" i="2"/>
  <c r="A83" i="2"/>
  <c r="E82" i="2"/>
  <c r="A82" i="2"/>
  <c r="M82" i="2"/>
  <c r="D82" i="2"/>
  <c r="N82" i="2"/>
  <c r="S82" i="2"/>
  <c r="Q82" i="2"/>
  <c r="R82" i="2" s="1"/>
  <c r="P82" i="2" s="1"/>
  <c r="H82" i="2"/>
  <c r="O82" i="2"/>
  <c r="H83" i="2"/>
  <c r="E83" i="2"/>
  <c r="C83" i="2"/>
  <c r="B83" i="2" s="1"/>
  <c r="D83" i="2"/>
  <c r="K82" i="2" l="1"/>
  <c r="G82" i="2"/>
  <c r="J84" i="2"/>
  <c r="A85" i="2"/>
  <c r="E84" i="2"/>
  <c r="B84" i="2"/>
  <c r="L84" i="2"/>
  <c r="F84" i="2"/>
  <c r="C84" i="2"/>
  <c r="A84" i="2"/>
  <c r="M84" i="2"/>
  <c r="D84" i="2"/>
  <c r="N84" i="2"/>
  <c r="S84" i="2"/>
  <c r="Q84" i="2"/>
  <c r="R84" i="2" s="1"/>
  <c r="P84" i="2" s="1"/>
  <c r="H84" i="2"/>
  <c r="O84" i="2"/>
  <c r="E85" i="2"/>
  <c r="H85" i="2"/>
  <c r="D85" i="2"/>
  <c r="C85" i="2"/>
  <c r="B85" i="2" s="1"/>
  <c r="G84" i="2" l="1"/>
  <c r="K84" i="2"/>
  <c r="J86" i="2"/>
  <c r="A87" i="2"/>
  <c r="E86" i="2"/>
  <c r="F86" i="2"/>
  <c r="B86" i="2"/>
  <c r="C86" i="2"/>
  <c r="L86" i="2"/>
  <c r="A86" i="2"/>
  <c r="M86" i="2"/>
  <c r="D86" i="2"/>
  <c r="N86" i="2"/>
  <c r="S86" i="2"/>
  <c r="Q86" i="2"/>
  <c r="R86" i="2" s="1"/>
  <c r="P86" i="2" s="1"/>
  <c r="H86" i="2"/>
  <c r="O86" i="2"/>
  <c r="H87" i="2"/>
  <c r="E87" i="2"/>
  <c r="C87" i="2"/>
  <c r="B87" i="2" s="1"/>
  <c r="D87" i="2"/>
  <c r="G86" i="2" l="1"/>
  <c r="K86" i="2"/>
  <c r="J88" i="2"/>
  <c r="C88" i="2"/>
  <c r="E88" i="2"/>
  <c r="L88" i="2"/>
  <c r="B88" i="2"/>
  <c r="F88" i="2"/>
  <c r="A89" i="2"/>
  <c r="A88" i="2"/>
  <c r="D88" i="2"/>
  <c r="M88" i="2"/>
  <c r="N88" i="2"/>
  <c r="Q88" i="2"/>
  <c r="R88" i="2" s="1"/>
  <c r="P88" i="2" s="1"/>
  <c r="S88" i="2"/>
  <c r="O88" i="2"/>
  <c r="H88" i="2"/>
  <c r="E89" i="2"/>
  <c r="H89" i="2"/>
  <c r="D89" i="2"/>
  <c r="C89" i="2"/>
  <c r="B89" i="2" s="1"/>
  <c r="H7" i="2" l="1"/>
  <c r="G7" i="2"/>
  <c r="K88" i="2"/>
  <c r="G88" i="2"/>
</calcChain>
</file>

<file path=xl/sharedStrings.xml><?xml version="1.0" encoding="utf-8"?>
<sst xmlns="http://schemas.openxmlformats.org/spreadsheetml/2006/main" count="34" uniqueCount="29">
  <si>
    <t>EAN13_traite.csv</t>
  </si>
  <si>
    <t>Requêteur de prix</t>
  </si>
  <si>
    <t>Code type : ex. EVS18</t>
  </si>
  <si>
    <t>Fichier traité</t>
  </si>
  <si>
    <t>Catalogue</t>
  </si>
  <si>
    <t>Catalogue : ex. catalogo Spring 19</t>
  </si>
  <si>
    <t>base.EAN13.csv</t>
  </si>
  <si>
    <t>Code produit : ex. OBAGB, *PK06</t>
  </si>
  <si>
    <t>Offset initial</t>
  </si>
  <si>
    <t>Fichier Valmag EAN13</t>
  </si>
  <si>
    <t>EXPEAN13.csv</t>
  </si>
  <si>
    <t>Valmag EAN13</t>
  </si>
  <si>
    <t>Contrôle</t>
  </si>
  <si>
    <t>Fichier base catalogues</t>
  </si>
  <si>
    <t>Base catalogue</t>
  </si>
  <si>
    <t>CodeBarre</t>
  </si>
  <si>
    <t>RefProduit</t>
  </si>
  <si>
    <t>Filtre catalogue</t>
  </si>
  <si>
    <t>Premier produit du type</t>
  </si>
  <si>
    <t>Synthèse de facture Proforma</t>
  </si>
  <si>
    <t>Total produits</t>
  </si>
  <si>
    <t>Nom du catalogue choisi :</t>
  </si>
  <si>
    <t>Requêteur de référence Valmag</t>
  </si>
  <si>
    <r>
      <rPr>
        <b/>
        <sz val="11"/>
        <color theme="1"/>
        <rFont val="Calibri"/>
        <family val="2"/>
        <scheme val="minor"/>
      </rPr>
      <t>Mode d'emploi</t>
    </r>
    <r>
      <rPr>
        <sz val="11"/>
        <color theme="1"/>
        <rFont val="Calibri"/>
        <family val="2"/>
        <scheme val="minor"/>
      </rPr>
      <t xml:space="preserve"> : ouvrir les fichiers :</t>
    </r>
  </si>
  <si>
    <t>base.ValmagEAN13.csv</t>
  </si>
  <si>
    <t>Si filtre catalogue, ouvrir le fichier correspondant</t>
  </si>
  <si>
    <t>HLESGC00</t>
  </si>
  <si>
    <t>catalogo Spring 19</t>
  </si>
  <si>
    <t>HLESGC00-ECS04-038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</si>
</sst>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35"/>
      <color theme="1"/>
      <name val="Code EAN13"/>
      <charset val="2"/>
    </font>
    <font>
      <b/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0" fillId="3" borderId="1" xfId="0" applyFill="1" applyBorder="1"/>
    <xf numFmtId="44" fontId="0" fillId="4" borderId="0" xfId="1" applyFont="1" applyFill="1"/>
    <xf numFmtId="0" fontId="0" fillId="5" borderId="1" xfId="0" applyFill="1" applyBorder="1"/>
    <xf numFmtId="0" fontId="0" fillId="3" borderId="0" xfId="0" applyFill="1"/>
    <xf numFmtId="0" fontId="0" fillId="2" borderId="1" xfId="0" applyFill="1" applyBorder="1"/>
    <xf numFmtId="44" fontId="0" fillId="6" borderId="0" xfId="1" applyFont="1" applyFill="1"/>
    <xf numFmtId="0" fontId="0" fillId="3" borderId="1" xfId="0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164" fontId="4" fillId="3" borderId="0" xfId="0" applyNumberFormat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/>
    <xf numFmtId="0" fontId="0" fillId="2" borderId="2" xfId="0" applyFill="1" applyBorder="1"/>
    <xf numFmtId="0" fontId="2" fillId="2" borderId="0" xfId="0" applyFon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vertical="center"/>
    </xf>
    <xf numFmtId="0" fontId="7" fillId="3" borderId="0" xfId="0" applyFont="1" applyFill="1" applyAlignment="1">
      <alignment horizontal="right"/>
    </xf>
    <xf numFmtId="0" fontId="0" fillId="3" borderId="3" xfId="0" applyFill="1" applyBorder="1"/>
    <xf numFmtId="1" fontId="2" fillId="2" borderId="0" xfId="0" applyNumberFormat="1" applyFont="1" applyFill="1"/>
    <xf numFmtId="0" fontId="9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3" borderId="0" xfId="0" applyFont="1" applyFill="1"/>
    <xf numFmtId="164" fontId="10" fillId="3" borderId="0" xfId="0" applyNumberFormat="1" applyFont="1" applyFill="1"/>
    <xf numFmtId="164" fontId="3" fillId="3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 applyAlignment="1">
      <alignment horizontal="right"/>
    </xf>
    <xf numFmtId="0" fontId="5" fillId="3" borderId="0" xfId="0" applyFont="1" applyFill="1" applyBorder="1" applyAlignment="1">
      <alignment vertical="center"/>
    </xf>
    <xf numFmtId="0" fontId="11" fillId="3" borderId="0" xfId="0" applyFont="1" applyFill="1" applyAlignment="1">
      <alignment horizontal="right" vertical="center"/>
    </xf>
    <xf numFmtId="0" fontId="2" fillId="3" borderId="3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Border="1"/>
    <xf numFmtId="0" fontId="8" fillId="3" borderId="0" xfId="0" applyFont="1" applyFill="1"/>
    <xf numFmtId="164" fontId="13" fillId="3" borderId="0" xfId="0" applyNumberFormat="1" applyFont="1" applyFill="1" applyAlignment="1">
      <alignment horizontal="left"/>
    </xf>
    <xf numFmtId="0" fontId="14" fillId="3" borderId="0" xfId="0" applyFont="1" applyFill="1"/>
    <xf numFmtId="0" fontId="12" fillId="3" borderId="0" xfId="0" applyFont="1" applyFill="1"/>
    <xf numFmtId="0" fontId="2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0" fillId="4" borderId="0" xfId="0" applyFill="1"/>
    <xf numFmtId="0" fontId="2" fillId="4" borderId="0" xfId="0" applyFont="1" applyFill="1"/>
    <xf numFmtId="0" fontId="0" fillId="8" borderId="0" xfId="0" applyFill="1"/>
    <xf numFmtId="0" fontId="2" fillId="8" borderId="0" xfId="0" applyFont="1" applyFill="1"/>
    <xf numFmtId="0" fontId="0" fillId="4" borderId="0" xfId="0" applyFill="1" applyBorder="1"/>
    <xf numFmtId="0" fontId="16" fillId="3" borderId="0" xfId="0" applyFont="1" applyFill="1" applyAlignment="1">
      <alignment horizontal="right"/>
    </xf>
    <xf numFmtId="164" fontId="17" fillId="3" borderId="0" xfId="0" applyNumberFormat="1" applyFont="1" applyFill="1"/>
    <xf numFmtId="164" fontId="18" fillId="3" borderId="0" xfId="0" applyNumberFormat="1" applyFont="1" applyFill="1"/>
  </cellXfs>
  <cellStyles count="2">
    <cellStyle name="Monétaire" xfId="1" builtinId="4"/>
    <cellStyle name="Normal" xfId="0" builtinId="0"/>
  </cellStyles>
  <dxfs count="3"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42"/>
  <sheetViews>
    <sheetView workbookViewId="0">
      <selection activeCell="A10" sqref="A10"/>
    </sheetView>
  </sheetViews>
  <sheetFormatPr baseColWidth="10" defaultRowHeight="15" x14ac:dyDescent="0.25"/>
  <cols>
    <col min="1" max="1" width="23" customWidth="1"/>
    <col min="3" max="3" width="54.85546875" bestFit="1" customWidth="1"/>
    <col min="7" max="7" width="40.28515625" bestFit="1" customWidth="1"/>
    <col min="12" max="12" width="21.7109375" bestFit="1" customWidth="1"/>
    <col min="13" max="13" width="45.42578125" bestFit="1" customWidth="1"/>
    <col min="14" max="14" width="21.7109375" customWidth="1"/>
  </cols>
  <sheetData>
    <row r="1" spans="1:18" x14ac:dyDescent="0.25">
      <c r="A1" s="5" t="s">
        <v>23</v>
      </c>
      <c r="G1" s="45" t="s">
        <v>23</v>
      </c>
    </row>
    <row r="2" spans="1:18" x14ac:dyDescent="0.25">
      <c r="A2" s="17" t="str">
        <f>"    Catalogue / " &amp; nomFichierBaseCatalogue</f>
        <v xml:space="preserve">    Catalogue / base.EAN13.csv</v>
      </c>
      <c r="G2" s="46" t="str">
        <f>"    Commande / " &amp; nomFichierTraite</f>
        <v xml:space="preserve">    Commande / EAN13_traite.csv</v>
      </c>
    </row>
    <row r="3" spans="1:18" x14ac:dyDescent="0.25">
      <c r="A3" s="17" t="str">
        <f>"    ValmagEAN13 / " &amp; nomFichierEAN13Valmag</f>
        <v xml:space="preserve">    ValmagEAN13 / base.ValmagEAN13.csv</v>
      </c>
      <c r="G3" s="46" t="str">
        <f>"    Catalogues / " &amp; nomFichierBaseCatalogue</f>
        <v xml:space="preserve">    Catalogues / base.EAN13.csv</v>
      </c>
    </row>
    <row r="4" spans="1:18" x14ac:dyDescent="0.25">
      <c r="A4" s="17"/>
      <c r="C4" t="s">
        <v>28</v>
      </c>
    </row>
    <row r="5" spans="1:18" x14ac:dyDescent="0.25">
      <c r="A5" s="17"/>
    </row>
    <row r="6" spans="1:18" x14ac:dyDescent="0.25">
      <c r="A6" s="17"/>
    </row>
    <row r="7" spans="1:18" x14ac:dyDescent="0.25">
      <c r="A7" s="1" t="s">
        <v>1</v>
      </c>
      <c r="B7" s="1"/>
      <c r="C7" s="1"/>
      <c r="D7" s="1"/>
      <c r="E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0" t="s">
        <v>26</v>
      </c>
      <c r="B8" s="1" t="s">
        <v>7</v>
      </c>
      <c r="C8" s="1"/>
      <c r="D8" s="1"/>
      <c r="E8" s="1"/>
      <c r="G8" s="8"/>
      <c r="H8" s="1" t="s">
        <v>5</v>
      </c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8">
        <v>0</v>
      </c>
      <c r="B9" s="1" t="s">
        <v>2</v>
      </c>
      <c r="C9" s="1"/>
      <c r="D9" s="1"/>
      <c r="E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7" t="str">
        <f ca="1">INDEX(INDIRECT(nomFichierTraite &amp; "!D:D"),SUM($E$9:$E10))</f>
        <v>HLESGC00-ECS04-038</v>
      </c>
      <c r="B10" s="3">
        <f ca="1">INDEX(INDIRECT(nomFichierTraite &amp; "!H:H"),SUM($E$9:$E10))</f>
        <v>6.05</v>
      </c>
      <c r="C10" s="7" t="str">
        <f ca="1">INDEX(INDIRECT(nomFichierTraite &amp; "!E:E"),SUM($E$9:$E10))</f>
        <v>ANSES COURTES EN FAUX CUIR POMPON</v>
      </c>
      <c r="D10" s="1"/>
      <c r="E10" s="4">
        <f ca="1">MATCH($A$8&amp;"*-*"&amp;$A$9&amp;"*",INDIRECT(nomFichierTraite &amp; "!D" &amp; (SUM(E$9:E9)+1) &amp; ":D" &amp;SUM(E$9:E9)+500),0)</f>
        <v>9</v>
      </c>
      <c r="G10" s="7" t="str">
        <f ca="1">INDEX(M:M,SUM($J$9:$J10))</f>
        <v>summer 2018 presentation/catalogo summer 2018 continuativo.txt</v>
      </c>
      <c r="H10" s="3" t="str">
        <f ca="1">INDEX(N:N,SUM($J$9:$J10))</f>
        <v>p020-1-07</v>
      </c>
      <c r="I10" s="1"/>
      <c r="J10" s="4">
        <f ca="1">MATCH("*" &amp; $G$8 &amp; "*",INDIRECT("M" &amp; (SUM(J$9:J9)+1) &amp; ":M" &amp;SUM(J$9:J9)+500),0)</f>
        <v>10</v>
      </c>
      <c r="K10" s="1"/>
      <c r="L10" s="7" t="str">
        <f ca="1">INDEX(INDIRECT(nomFichierBaseCatalogue &amp; "!B:B"),SUM($P$9:$P10))</f>
        <v>HLESGC00-ECS01-008</v>
      </c>
      <c r="M10" s="3" t="str">
        <f ca="1">INDEX(INDIRECT(nomFichierBaseCatalogue &amp; "!F:F"),SUM($P$9:$P10))</f>
        <v>summer 2018 presentation/catalogo summer 2018 continuativo.txt</v>
      </c>
      <c r="N10" s="7" t="str">
        <f ca="1">INDEX(INDIRECT(nomFichierBaseCatalogue &amp; "!C:C"),SUM($P$9:$P10))</f>
        <v>p020-1-07</v>
      </c>
      <c r="O10" s="1"/>
      <c r="P10" s="4">
        <f ca="1">MATCH($A$8&amp;"*-*"&amp;$A$9&amp;"*",INDIRECT(nomFichierBaseCatalogue &amp; "!B" &amp; (SUM(P$9:P9)+1) &amp; ":B" &amp;SUM(P$9:P9)+10000),0)</f>
        <v>144</v>
      </c>
      <c r="Q10" s="1"/>
      <c r="R10" s="1"/>
    </row>
    <row r="11" spans="1:18" x14ac:dyDescent="0.25">
      <c r="A11" s="7" t="str">
        <f ca="1">INDEX(INDIRECT(nomFichierTraite &amp; "!D:D"),SUM($E$9:$E11))</f>
        <v>HLESGC00-PLS00-048</v>
      </c>
      <c r="B11" s="3">
        <f ca="1">INDEX(INDIRECT(nomFichierTraite &amp; "!H:H"),SUM($E$9:$E11))</f>
        <v>12.59</v>
      </c>
      <c r="C11" s="7" t="str">
        <f ca="1">INDEX(INDIRECT(nomFichierTraite &amp; "!E:E"),SUM($E$9:$E11))</f>
        <v>ANSES COURTES EN PLEXIGLAS + GOUTE</v>
      </c>
      <c r="D11" s="1"/>
      <c r="E11" s="4">
        <f ca="1">MATCH($A$8&amp;"*-*"&amp;$A$9&amp;"*",INDIRECT(nomFichierTraite &amp; "!D" &amp; (SUM(E$9:E10)+1) &amp; ":D" &amp;SUM(E$9:E10)+500),0)</f>
        <v>1</v>
      </c>
      <c r="G11" s="7" t="str">
        <f ca="1">INDEX(M:M,SUM($J$9:$J11))</f>
        <v>summer 2018 presentation/catalogo summer 2018 continuativo.txt</v>
      </c>
      <c r="H11" s="3" t="str">
        <f ca="1">INDEX(N:N,SUM($J$9:$J11))</f>
        <v>p020-1-08</v>
      </c>
      <c r="I11" s="1"/>
      <c r="J11" s="4">
        <f ca="1">MATCH("*" &amp; $G$8 &amp; "*",INDIRECT("M" &amp; (SUM(J$9:J10)+1) &amp; ":M" &amp;SUM(J$9:J10)+500),0)</f>
        <v>1</v>
      </c>
      <c r="K11" s="1"/>
      <c r="L11" s="7" t="str">
        <f ca="1">INDEX(INDIRECT(nomFichierBaseCatalogue &amp; "!B:B"),SUM($P$9:$P11))</f>
        <v>HLESGC00-ECS01-055</v>
      </c>
      <c r="M11" s="3" t="str">
        <f ca="1">INDEX(INDIRECT(nomFichierBaseCatalogue &amp; "!F:F"),SUM($P$9:$P11))</f>
        <v>summer 2018 presentation/catalogo summer 2018 continuativo.txt</v>
      </c>
      <c r="N11" s="7" t="str">
        <f ca="1">INDEX(INDIRECT(nomFichierBaseCatalogue &amp; "!C:C"),SUM($P$9:$P11))</f>
        <v>p020-1-08</v>
      </c>
      <c r="O11" s="1"/>
      <c r="P11" s="4">
        <f ca="1">MATCH($A$8&amp;"*-*"&amp;$A$9&amp;"*",INDIRECT(nomFichierBaseCatalogue &amp; "!B" &amp; (SUM(P$9:P10)+1) &amp; ":B" &amp;SUM(P$9:P10)+10000),0)</f>
        <v>1</v>
      </c>
      <c r="Q11" s="1"/>
      <c r="R11" s="1"/>
    </row>
    <row r="12" spans="1:18" x14ac:dyDescent="0.25">
      <c r="A12" s="7" t="str">
        <f ca="1">INDEX(INDIRECT(nomFichierTraite &amp; "!D:D"),SUM($E$9:$E12))</f>
        <v>HLESGC00-PLS00-347</v>
      </c>
      <c r="B12" s="3">
        <f ca="1">INDEX(INDIRECT(nomFichierTraite &amp; "!H:H"),SUM($E$9:$E12))</f>
        <v>12.59</v>
      </c>
      <c r="C12" s="7" t="str">
        <f ca="1">INDEX(INDIRECT(nomFichierTraite &amp; "!E:E"),SUM($E$9:$E12))</f>
        <v>ANSES COURTES EN PLEXIGLAS + GOUTE</v>
      </c>
      <c r="D12" s="1"/>
      <c r="E12" s="4">
        <f ca="1">MATCH($A$8&amp;"*-*"&amp;$A$9&amp;"*",INDIRECT(nomFichierTraite &amp; "!D" &amp; (SUM(E$9:E11)+1) &amp; ":D" &amp;SUM(E$9:E11)+500),0)</f>
        <v>1</v>
      </c>
      <c r="G12" s="7" t="str">
        <f ca="1">INDEX(M:M,SUM($J$9:$J12))</f>
        <v>summer 2018 presentation/catalogo summer 2018 continuativo.txt</v>
      </c>
      <c r="H12" s="3" t="str">
        <f ca="1">INDEX(N:N,SUM($J$9:$J12))</f>
        <v>p020-1-10</v>
      </c>
      <c r="I12" s="1"/>
      <c r="J12" s="4">
        <f ca="1">MATCH("*" &amp; $G$8 &amp; "*",INDIRECT("M" &amp; (SUM(J$9:J11)+1) &amp; ":M" &amp;SUM(J$9:J11)+500),0)</f>
        <v>1</v>
      </c>
      <c r="K12" s="1"/>
      <c r="L12" s="7" t="str">
        <f ca="1">INDEX(INDIRECT(nomFichierBaseCatalogue &amp; "!B:B"),SUM($P$9:$P12))</f>
        <v>HLESGC00-ECS01-084</v>
      </c>
      <c r="M12" s="3" t="str">
        <f ca="1">INDEX(INDIRECT(nomFichierBaseCatalogue &amp; "!F:F"),SUM($P$9:$P12))</f>
        <v>summer 2018 presentation/catalogo summer 2018 continuativo.txt</v>
      </c>
      <c r="N12" s="7" t="str">
        <f ca="1">INDEX(INDIRECT(nomFichierBaseCatalogue &amp; "!C:C"),SUM($P$9:$P12))</f>
        <v>p020-1-10</v>
      </c>
      <c r="O12" s="1"/>
      <c r="P12" s="4">
        <f ca="1">MATCH($A$8&amp;"*-*"&amp;$A$9&amp;"*",INDIRECT(nomFichierBaseCatalogue &amp; "!B" &amp; (SUM(P$9:P11)+1) &amp; ":B" &amp;SUM(P$9:P11)+10000),0)</f>
        <v>1</v>
      </c>
      <c r="Q12" s="1"/>
      <c r="R12" s="1"/>
    </row>
    <row r="13" spans="1:18" x14ac:dyDescent="0.25">
      <c r="A13" s="7" t="str">
        <f ca="1">INDEX(INDIRECT(nomFichierTraite &amp; "!D:D"),SUM($E$9:$E13))</f>
        <v>HLESGC00-PLS00-371</v>
      </c>
      <c r="B13" s="3">
        <f ca="1">INDEX(INDIRECT(nomFichierTraite &amp; "!H:H"),SUM($E$9:$E13))</f>
        <v>12.59</v>
      </c>
      <c r="C13" s="7" t="str">
        <f ca="1">INDEX(INDIRECT(nomFichierTraite &amp; "!E:E"),SUM($E$9:$E13))</f>
        <v>ANSES COURTES EN PLEXIGLAS + GOUTE</v>
      </c>
      <c r="D13" s="1"/>
      <c r="E13" s="4">
        <f ca="1">MATCH($A$8&amp;"*-*"&amp;$A$9&amp;"*",INDIRECT(nomFichierTraite &amp; "!D" &amp; (SUM(E$9:E12)+1) &amp; ":D" &amp;SUM(E$9:E12)+500),0)</f>
        <v>1</v>
      </c>
      <c r="G13" s="7" t="str">
        <f ca="1">INDEX(M:M,SUM($J$9:$J13))</f>
        <v>summer 2018 presentation/catalogo summer 2018 continuativo.txt</v>
      </c>
      <c r="H13" s="3" t="str">
        <f ca="1">INDEX(N:N,SUM($J$9:$J13))</f>
        <v>p020-1-09</v>
      </c>
      <c r="I13" s="1"/>
      <c r="J13" s="4">
        <f ca="1">MATCH("*" &amp; $G$8 &amp; "*",INDIRECT("M" &amp; (SUM(J$9:J12)+1) &amp; ":M" &amp;SUM(J$9:J12)+500),0)</f>
        <v>1</v>
      </c>
      <c r="K13" s="1"/>
      <c r="L13" s="7" t="str">
        <f ca="1">INDEX(INDIRECT(nomFichierBaseCatalogue &amp; "!B:B"),SUM($P$9:$P13))</f>
        <v>HLESGC00-ECS01-086</v>
      </c>
      <c r="M13" s="3" t="str">
        <f ca="1">INDEX(INDIRECT(nomFichierBaseCatalogue &amp; "!F:F"),SUM($P$9:$P13))</f>
        <v>summer 2018 presentation/catalogo summer 2018 continuativo.txt</v>
      </c>
      <c r="N13" s="7" t="str">
        <f ca="1">INDEX(INDIRECT(nomFichierBaseCatalogue &amp; "!C:C"),SUM($P$9:$P13))</f>
        <v>p020-1-09</v>
      </c>
      <c r="O13" s="1"/>
      <c r="P13" s="4">
        <f ca="1">MATCH($A$8&amp;"*-*"&amp;$A$9&amp;"*",INDIRECT(nomFichierBaseCatalogue &amp; "!B" &amp; (SUM(P$9:P12)+1) &amp; ":B" &amp;SUM(P$9:P12)+10000),0)</f>
        <v>1</v>
      </c>
      <c r="Q13" s="1"/>
      <c r="R13" s="1"/>
    </row>
    <row r="14" spans="1:18" x14ac:dyDescent="0.25">
      <c r="A14" s="7" t="str">
        <f ca="1">INDEX(INDIRECT(nomFichierTraite &amp; "!D:D"),SUM($E$9:$E14))</f>
        <v>HLESGC00-ROS10-371</v>
      </c>
      <c r="B14" s="3">
        <f ca="1">INDEX(INDIRECT(nomFichierTraite &amp; "!H:H"),SUM($E$9:$E14))</f>
        <v>7.8</v>
      </c>
      <c r="C14" s="7" t="str">
        <f ca="1">INDEX(INDIRECT(nomFichierTraite &amp; "!E:E"),SUM($E$9:$E14))</f>
        <v>ANSES COURTES EN CORDE EN COTON TRESSE</v>
      </c>
      <c r="D14" s="1"/>
      <c r="E14" s="4">
        <f ca="1">MATCH($A$8&amp;"*-*"&amp;$A$9&amp;"*",INDIRECT(nomFichierTraite &amp; "!D" &amp; (SUM(E$9:E13)+1) &amp; ":D" &amp;SUM(E$9:E13)+500),0)</f>
        <v>1</v>
      </c>
      <c r="G14" s="7" t="str">
        <f ca="1">INDEX(M:M,SUM($J$9:$J14))</f>
        <v>fall 2018 presentation/catalogo fall 2018.txt</v>
      </c>
      <c r="H14" s="3" t="str">
        <f ca="1">INDEX(N:N,SUM($J$9:$J14))</f>
        <v>p030-1-01</v>
      </c>
      <c r="I14" s="1"/>
      <c r="J14" s="4">
        <f ca="1">MATCH("*" &amp; $G$8 &amp; "*",INDIRECT("M" &amp; (SUM(J$9:J13)+1) &amp; ":M" &amp;SUM(J$9:J13)+500),0)</f>
        <v>1</v>
      </c>
      <c r="K14" s="1"/>
      <c r="L14" s="7" t="str">
        <f ca="1">INDEX(INDIRECT(nomFichierBaseCatalogue &amp; "!B:B"),SUM($P$9:$P14))</f>
        <v>HLESGC00-ECS29-017</v>
      </c>
      <c r="M14" s="3" t="str">
        <f ca="1">INDEX(INDIRECT(nomFichierBaseCatalogue &amp; "!F:F"),SUM($P$9:$P14))</f>
        <v>fall 2018 presentation/catalogo fall 2018.txt</v>
      </c>
      <c r="N14" s="7" t="str">
        <f ca="1">INDEX(INDIRECT(nomFichierBaseCatalogue &amp; "!C:C"),SUM($P$9:$P14))</f>
        <v>p030-1-01</v>
      </c>
      <c r="O14" s="1"/>
      <c r="P14" s="4">
        <f ca="1">MATCH($A$8&amp;"*-*"&amp;$A$9&amp;"*",INDIRECT(nomFichierBaseCatalogue &amp; "!B" &amp; (SUM(P$9:P13)+1) &amp; ":B" &amp;SUM(P$9:P13)+10000),0)</f>
        <v>1</v>
      </c>
      <c r="Q14" s="1"/>
      <c r="R14" s="1"/>
    </row>
    <row r="15" spans="1:18" x14ac:dyDescent="0.25">
      <c r="A15" s="7" t="e">
        <f ca="1">INDEX(INDIRECT(nomFichierTraite &amp; "!D:D"),SUM($E$9:$E15))</f>
        <v>#N/A</v>
      </c>
      <c r="B15" s="3" t="e">
        <f ca="1">INDEX(INDIRECT(nomFichierTraite &amp; "!H:H"),SUM($E$9:$E15))</f>
        <v>#N/A</v>
      </c>
      <c r="C15" s="7" t="e">
        <f ca="1">INDEX(INDIRECT(nomFichierTraite &amp; "!E:E"),SUM($E$9:$E15))</f>
        <v>#N/A</v>
      </c>
      <c r="D15" s="1"/>
      <c r="E15" s="4" t="e">
        <f ca="1">MATCH($A$8&amp;"*-*"&amp;$A$9&amp;"*",INDIRECT(nomFichierTraite &amp; "!D" &amp; (SUM(E$9:E14)+1) &amp; ":D" &amp;SUM(E$9:E14)+500),0)</f>
        <v>#N/A</v>
      </c>
      <c r="G15" s="7" t="str">
        <f ca="1">INDEX(M:M,SUM($J$9:$J15))</f>
        <v>fall 2018 presentation/catalogo fall 2018.txt</v>
      </c>
      <c r="H15" s="3" t="str">
        <f ca="1">INDEX(N:N,SUM($J$9:$J15))</f>
        <v>p030-1-03</v>
      </c>
      <c r="I15" s="1"/>
      <c r="J15" s="4">
        <f ca="1">MATCH("*" &amp; $G$8 &amp; "*",INDIRECT("M" &amp; (SUM(J$9:J14)+1) &amp; ":M" &amp;SUM(J$9:J14)+500),0)</f>
        <v>1</v>
      </c>
      <c r="K15" s="1"/>
      <c r="L15" s="7" t="str">
        <f ca="1">INDEX(INDIRECT(nomFichierBaseCatalogue &amp; "!B:B"),SUM($P$9:$P15))</f>
        <v>HLESGC00-ECS29-018</v>
      </c>
      <c r="M15" s="3" t="str">
        <f ca="1">INDEX(INDIRECT(nomFichierBaseCatalogue &amp; "!F:F"),SUM($P$9:$P15))</f>
        <v>fall 2018 presentation/catalogo fall 2018.txt</v>
      </c>
      <c r="N15" s="7" t="str">
        <f ca="1">INDEX(INDIRECT(nomFichierBaseCatalogue &amp; "!C:C"),SUM($P$9:$P15))</f>
        <v>p030-1-03</v>
      </c>
      <c r="O15" s="1"/>
      <c r="P15" s="4">
        <f ca="1">MATCH($A$8&amp;"*-*"&amp;$A$9&amp;"*",INDIRECT(nomFichierBaseCatalogue &amp; "!B" &amp; (SUM(P$9:P14)+1) &amp; ":B" &amp;SUM(P$9:P14)+10000),0)</f>
        <v>1</v>
      </c>
      <c r="Q15" s="1"/>
      <c r="R15" s="1"/>
    </row>
    <row r="16" spans="1:18" x14ac:dyDescent="0.25">
      <c r="A16" s="7" t="e">
        <f ca="1">INDEX(INDIRECT(nomFichierTraite &amp; "!D:D"),SUM($E$9:$E16))</f>
        <v>#N/A</v>
      </c>
      <c r="B16" s="3" t="e">
        <f ca="1">INDEX(INDIRECT(nomFichierTraite &amp; "!H:H"),SUM($E$9:$E16))</f>
        <v>#N/A</v>
      </c>
      <c r="C16" s="7" t="e">
        <f ca="1">INDEX(INDIRECT(nomFichierTraite &amp; "!E:E"),SUM($E$9:$E16))</f>
        <v>#N/A</v>
      </c>
      <c r="D16" s="1"/>
      <c r="E16" s="4" t="e">
        <f ca="1">MATCH($A$8&amp;"*-*"&amp;$A$9&amp;"*",INDIRECT(nomFichierTraite &amp; "!D" &amp; (SUM(E$9:E15)+1) &amp; ":D" &amp;SUM(E$9:E15)+500),0)</f>
        <v>#N/A</v>
      </c>
      <c r="G16" s="7" t="str">
        <f ca="1">INDEX(M:M,SUM($J$9:$J16))</f>
        <v>fall 2018 presentation/catalogo fall 2018.txt</v>
      </c>
      <c r="H16" s="3" t="str">
        <f ca="1">INDEX(N:N,SUM($J$9:$J16))</f>
        <v>p030-1-07</v>
      </c>
      <c r="I16" s="1"/>
      <c r="J16" s="4">
        <f ca="1">MATCH("*" &amp; $G$8 &amp; "*",INDIRECT("M" &amp; (SUM(J$9:J15)+1) &amp; ":M" &amp;SUM(J$9:J15)+500),0)</f>
        <v>1</v>
      </c>
      <c r="K16" s="1"/>
      <c r="L16" s="7" t="str">
        <f ca="1">INDEX(INDIRECT(nomFichierBaseCatalogue &amp; "!B:B"),SUM($P$9:$P16))</f>
        <v>HLESGC00-ECS29-050</v>
      </c>
      <c r="M16" s="3" t="str">
        <f ca="1">INDEX(INDIRECT(nomFichierBaseCatalogue &amp; "!F:F"),SUM($P$9:$P16))</f>
        <v>fall 2018 presentation/catalogo fall 2018.txt</v>
      </c>
      <c r="N16" s="7" t="str">
        <f ca="1">INDEX(INDIRECT(nomFichierBaseCatalogue &amp; "!C:C"),SUM($P$9:$P16))</f>
        <v>p030-1-07</v>
      </c>
      <c r="O16" s="1"/>
      <c r="P16" s="4">
        <f ca="1">MATCH($A$8&amp;"*-*"&amp;$A$9&amp;"*",INDIRECT(nomFichierBaseCatalogue &amp; "!B" &amp; (SUM(P$9:P15)+1) &amp; ":B" &amp;SUM(P$9:P15)+10000),0)</f>
        <v>1</v>
      </c>
      <c r="Q16" s="1"/>
      <c r="R16" s="1"/>
    </row>
    <row r="17" spans="1:18" x14ac:dyDescent="0.25">
      <c r="A17" s="7" t="e">
        <f ca="1">INDEX(INDIRECT(nomFichierTraite &amp; "!D:D"),SUM($E$9:$E17))</f>
        <v>#N/A</v>
      </c>
      <c r="B17" s="3" t="e">
        <f ca="1">INDEX(INDIRECT(nomFichierTraite &amp; "!H:H"),SUM($E$9:$E17))</f>
        <v>#N/A</v>
      </c>
      <c r="C17" s="7" t="e">
        <f ca="1">INDEX(INDIRECT(nomFichierTraite &amp; "!E:E"),SUM($E$9:$E17))</f>
        <v>#N/A</v>
      </c>
      <c r="D17" s="1"/>
      <c r="E17" s="4" t="e">
        <f ca="1">MATCH($A$8&amp;"*-*"&amp;$A$9&amp;"*",INDIRECT(nomFichierTraite &amp; "!D" &amp; (SUM(E$9:E16)+1) &amp; ":D" &amp;SUM(E$9:E16)+500),0)</f>
        <v>#N/A</v>
      </c>
      <c r="G17" s="7" t="str">
        <f ca="1">INDEX(M:M,SUM($J$9:$J17))</f>
        <v>fall 2018 presentation/catalogo fall 2018.txt</v>
      </c>
      <c r="H17" s="3" t="str">
        <f ca="1">INDEX(N:N,SUM($J$9:$J17))</f>
        <v>p030-1-06</v>
      </c>
      <c r="I17" s="1"/>
      <c r="J17" s="4">
        <f ca="1">MATCH("*" &amp; $G$8 &amp; "*",INDIRECT("M" &amp; (SUM(J$9:J16)+1) &amp; ":M" &amp;SUM(J$9:J16)+500),0)</f>
        <v>1</v>
      </c>
      <c r="K17" s="1"/>
      <c r="L17" s="7" t="str">
        <f ca="1">INDEX(INDIRECT(nomFichierBaseCatalogue &amp; "!B:B"),SUM($P$9:$P17))</f>
        <v>HLESGC00-ECS29-055</v>
      </c>
      <c r="M17" s="3" t="str">
        <f ca="1">INDEX(INDIRECT(nomFichierBaseCatalogue &amp; "!F:F"),SUM($P$9:$P17))</f>
        <v>fall 2018 presentation/catalogo fall 2018.txt</v>
      </c>
      <c r="N17" s="7" t="str">
        <f ca="1">INDEX(INDIRECT(nomFichierBaseCatalogue &amp; "!C:C"),SUM($P$9:$P17))</f>
        <v>p030-1-06</v>
      </c>
      <c r="O17" s="1"/>
      <c r="P17" s="4">
        <f ca="1">MATCH($A$8&amp;"*-*"&amp;$A$9&amp;"*",INDIRECT(nomFichierBaseCatalogue &amp; "!B" &amp; (SUM(P$9:P16)+1) &amp; ":B" &amp;SUM(P$9:P16)+10000),0)</f>
        <v>1</v>
      </c>
      <c r="Q17" s="1"/>
      <c r="R17" s="1"/>
    </row>
    <row r="18" spans="1:18" x14ac:dyDescent="0.25">
      <c r="A18" s="7" t="e">
        <f ca="1">INDEX(INDIRECT(nomFichierTraite &amp; "!D:D"),SUM($E$9:$E18))</f>
        <v>#N/A</v>
      </c>
      <c r="B18" s="3" t="e">
        <f ca="1">INDEX(INDIRECT(nomFichierTraite &amp; "!H:H"),SUM($E$9:$E18))</f>
        <v>#N/A</v>
      </c>
      <c r="C18" s="7" t="e">
        <f ca="1">INDEX(INDIRECT(nomFichierTraite &amp; "!E:E"),SUM($E$9:$E18))</f>
        <v>#N/A</v>
      </c>
      <c r="D18" s="1"/>
      <c r="E18" s="4" t="e">
        <f ca="1">MATCH($A$8&amp;"*-*"&amp;$A$9&amp;"*",INDIRECT(nomFichierTraite &amp; "!D" &amp; (SUM(E$9:E17)+1) &amp; ":D" &amp;SUM(E$9:E17)+500),0)</f>
        <v>#N/A</v>
      </c>
      <c r="G18" s="7" t="str">
        <f ca="1">INDEX(M:M,SUM($J$9:$J18))</f>
        <v>fall 2018 presentation/catalogo fall 2018.txt</v>
      </c>
      <c r="H18" s="3" t="str">
        <f ca="1">INDEX(N:N,SUM($J$9:$J18))</f>
        <v>p029-1-02</v>
      </c>
      <c r="I18" s="1"/>
      <c r="J18" s="4">
        <f ca="1">MATCH("*" &amp; $G$8 &amp; "*",INDIRECT("M" &amp; (SUM(J$9:J17)+1) &amp; ":M" &amp;SUM(J$9:J17)+500),0)</f>
        <v>1</v>
      </c>
      <c r="K18" s="1"/>
      <c r="L18" s="7" t="str">
        <f ca="1">INDEX(INDIRECT(nomFichierBaseCatalogue &amp; "!B:B"),SUM($P$9:$P18))</f>
        <v>HLESGC00-ECS83-017</v>
      </c>
      <c r="M18" s="3" t="str">
        <f ca="1">INDEX(INDIRECT(nomFichierBaseCatalogue &amp; "!F:F"),SUM($P$9:$P18))</f>
        <v>fall 2018 presentation/catalogo fall 2018.txt</v>
      </c>
      <c r="N18" s="7" t="str">
        <f ca="1">INDEX(INDIRECT(nomFichierBaseCatalogue &amp; "!C:C"),SUM($P$9:$P18))</f>
        <v>p029-1-02</v>
      </c>
      <c r="O18" s="1"/>
      <c r="P18" s="4">
        <f ca="1">MATCH($A$8&amp;"*-*"&amp;$A$9&amp;"*",INDIRECT(nomFichierBaseCatalogue &amp; "!B" &amp; (SUM(P$9:P17)+1) &amp; ":B" &amp;SUM(P$9:P17)+10000),0)</f>
        <v>1</v>
      </c>
      <c r="Q18" s="1"/>
      <c r="R18" s="1"/>
    </row>
    <row r="19" spans="1:18" x14ac:dyDescent="0.25">
      <c r="A19" s="7" t="e">
        <f ca="1">INDEX(INDIRECT(nomFichierTraite &amp; "!D:D"),SUM($E$9:$E19))</f>
        <v>#N/A</v>
      </c>
      <c r="B19" s="3" t="e">
        <f ca="1">INDEX(INDIRECT(nomFichierTraite &amp; "!H:H"),SUM($E$9:$E19))</f>
        <v>#N/A</v>
      </c>
      <c r="C19" s="7" t="e">
        <f ca="1">INDEX(INDIRECT(nomFichierTraite &amp; "!E:E"),SUM($E$9:$E19))</f>
        <v>#N/A</v>
      </c>
      <c r="D19" s="1"/>
      <c r="E19" s="4" t="e">
        <f ca="1">MATCH($A$8&amp;"*-*"&amp;$A$9&amp;"*",INDIRECT(nomFichierTraite &amp; "!D" &amp; (SUM(E$9:E18)+1) &amp; ":D" &amp;SUM(E$9:E18)+500),0)</f>
        <v>#N/A</v>
      </c>
      <c r="G19" s="7" t="str">
        <f ca="1">INDEX(M:M,SUM($J$9:$J19))</f>
        <v>fall 2018 presentation/catalogo fall 2018.txt</v>
      </c>
      <c r="H19" s="3" t="str">
        <f ca="1">INDEX(N:N,SUM($J$9:$J19))</f>
        <v>p029-1-01</v>
      </c>
      <c r="I19" s="1"/>
      <c r="J19" s="4">
        <f ca="1">MATCH("*" &amp; $G$8 &amp; "*",INDIRECT("M" &amp; (SUM(J$9:J18)+1) &amp; ":M" &amp;SUM(J$9:J18)+500),0)</f>
        <v>1</v>
      </c>
      <c r="K19" s="1"/>
      <c r="L19" s="7" t="str">
        <f ca="1">INDEX(INDIRECT(nomFichierBaseCatalogue &amp; "!B:B"),SUM($P$9:$P19))</f>
        <v>HLESGC00-ECS83-018</v>
      </c>
      <c r="M19" s="3" t="str">
        <f ca="1">INDEX(INDIRECT(nomFichierBaseCatalogue &amp; "!F:F"),SUM($P$9:$P19))</f>
        <v>fall 2018 presentation/catalogo fall 2018.txt</v>
      </c>
      <c r="N19" s="7" t="str">
        <f ca="1">INDEX(INDIRECT(nomFichierBaseCatalogue &amp; "!C:C"),SUM($P$9:$P19))</f>
        <v>p029-1-01</v>
      </c>
      <c r="O19" s="1"/>
      <c r="P19" s="4">
        <f ca="1">MATCH($A$8&amp;"*-*"&amp;$A$9&amp;"*",INDIRECT(nomFichierBaseCatalogue &amp; "!B" &amp; (SUM(P$9:P18)+1) &amp; ":B" &amp;SUM(P$9:P18)+10000),0)</f>
        <v>1</v>
      </c>
      <c r="Q19" s="1"/>
      <c r="R19" s="1"/>
    </row>
    <row r="20" spans="1:18" x14ac:dyDescent="0.25">
      <c r="A20" s="7" t="e">
        <f ca="1">INDEX(INDIRECT(nomFichierTraite &amp; "!D:D"),SUM($E$9:$E20))</f>
        <v>#N/A</v>
      </c>
      <c r="B20" s="3" t="e">
        <f ca="1">INDEX(INDIRECT(nomFichierTraite &amp; "!H:H"),SUM($E$9:$E20))</f>
        <v>#N/A</v>
      </c>
      <c r="C20" s="7" t="e">
        <f ca="1">INDEX(INDIRECT(nomFichierTraite &amp; "!E:E"),SUM($E$9:$E20))</f>
        <v>#N/A</v>
      </c>
      <c r="D20" s="1"/>
      <c r="E20" s="4" t="e">
        <f ca="1">MATCH($A$8&amp;"*-*"&amp;$A$9&amp;"*",INDIRECT(nomFichierTraite &amp; "!D" &amp; (SUM(E$9:E19)+1) &amp; ":D" &amp;SUM(E$9:E19)+500),0)</f>
        <v>#N/A</v>
      </c>
      <c r="G20" s="7" t="str">
        <f ca="1">INDEX(M:M,SUM($J$9:$J20))</f>
        <v>fall 2019 presentation_/catalogo fall 19.txt</v>
      </c>
      <c r="H20" s="3" t="str">
        <f ca="1">INDEX(N:N,SUM($J$9:$J20))</f>
        <v>p034-1-01</v>
      </c>
      <c r="I20" s="1"/>
      <c r="J20" s="4">
        <f ca="1">MATCH("*" &amp; $G$8 &amp; "*",INDIRECT("M" &amp; (SUM(J$9:J19)+1) &amp; ":M" &amp;SUM(J$9:J19)+500),0)</f>
        <v>1</v>
      </c>
      <c r="K20" s="1"/>
      <c r="L20" s="7" t="str">
        <f ca="1">INDEX(INDIRECT(nomFichierBaseCatalogue &amp; "!B:B"),SUM($P$9:$P20))</f>
        <v>HLESGC00-ECSC4-055</v>
      </c>
      <c r="M20" s="3" t="str">
        <f ca="1">INDEX(INDIRECT(nomFichierBaseCatalogue &amp; "!F:F"),SUM($P$9:$P20))</f>
        <v>fall 2019 presentation_/catalogo fall 19.txt</v>
      </c>
      <c r="N20" s="7" t="str">
        <f ca="1">INDEX(INDIRECT(nomFichierBaseCatalogue &amp; "!C:C"),SUM($P$9:$P20))</f>
        <v>p034-1-01</v>
      </c>
      <c r="O20" s="1"/>
      <c r="P20" s="4">
        <f ca="1">MATCH($A$8&amp;"*-*"&amp;$A$9&amp;"*",INDIRECT(nomFichierBaseCatalogue &amp; "!B" &amp; (SUM(P$9:P19)+1) &amp; ":B" &amp;SUM(P$9:P19)+10000),0)</f>
        <v>1</v>
      </c>
      <c r="Q20" s="1"/>
      <c r="R20" s="1"/>
    </row>
    <row r="21" spans="1:18" x14ac:dyDescent="0.25">
      <c r="A21" s="7" t="e">
        <f ca="1">INDEX(INDIRECT(nomFichierTraite &amp; "!D:D"),SUM($E$9:$E21))</f>
        <v>#N/A</v>
      </c>
      <c r="B21" s="3" t="e">
        <f ca="1">INDEX(INDIRECT(nomFichierTraite &amp; "!H:H"),SUM($E$9:$E21))</f>
        <v>#N/A</v>
      </c>
      <c r="C21" s="7" t="e">
        <f ca="1">INDEX(INDIRECT(nomFichierTraite &amp; "!E:E"),SUM($E$9:$E21))</f>
        <v>#N/A</v>
      </c>
      <c r="D21" s="1"/>
      <c r="E21" s="4" t="e">
        <f ca="1">MATCH($A$8&amp;"*-*"&amp;$A$9&amp;"*",INDIRECT(nomFichierTraite &amp; "!D" &amp; (SUM(E$9:E20)+1) &amp; ":D" &amp;SUM(E$9:E20)+500),0)</f>
        <v>#N/A</v>
      </c>
      <c r="G21" s="7" t="str">
        <f ca="1">INDEX(M:M,SUM($J$9:$J21))</f>
        <v>catalogo Spring 19.txt</v>
      </c>
      <c r="H21" s="3" t="str">
        <f ca="1">INDEX(N:N,SUM($J$9:$J21))</f>
        <v>p027-3-01</v>
      </c>
      <c r="I21" s="1"/>
      <c r="J21" s="4">
        <f ca="1">MATCH("*" &amp; $G$8 &amp; "*",INDIRECT("M" &amp; (SUM(J$9:J20)+1) &amp; ":M" &amp;SUM(J$9:J20)+500),0)</f>
        <v>1</v>
      </c>
      <c r="K21" s="1"/>
      <c r="L21" s="7" t="str">
        <f ca="1">INDEX(INDIRECT(nomFichierBaseCatalogue &amp; "!B:B"),SUM($P$9:$P21))</f>
        <v>HLESGC00-PLS00-017</v>
      </c>
      <c r="M21" s="3" t="str">
        <f ca="1">INDEX(INDIRECT(nomFichierBaseCatalogue &amp; "!F:F"),SUM($P$9:$P21))</f>
        <v>catalogo Spring 19.txt</v>
      </c>
      <c r="N21" s="7" t="str">
        <f ca="1">INDEX(INDIRECT(nomFichierBaseCatalogue &amp; "!C:C"),SUM($P$9:$P21))</f>
        <v>p027-3-01</v>
      </c>
      <c r="O21" s="1"/>
      <c r="P21" s="4">
        <f ca="1">MATCH($A$8&amp;"*-*"&amp;$A$9&amp;"*",INDIRECT(nomFichierBaseCatalogue &amp; "!B" &amp; (SUM(P$9:P20)+1) &amp; ":B" &amp;SUM(P$9:P20)+10000),0)</f>
        <v>2</v>
      </c>
      <c r="Q21" s="1"/>
      <c r="R21" s="1"/>
    </row>
    <row r="22" spans="1:18" x14ac:dyDescent="0.25">
      <c r="A22" s="7" t="e">
        <f ca="1">INDEX(INDIRECT(nomFichierTraite &amp; "!D:D"),SUM($E$9:$E22))</f>
        <v>#N/A</v>
      </c>
      <c r="B22" s="3" t="e">
        <f ca="1">INDEX(INDIRECT(nomFichierTraite &amp; "!H:H"),SUM($E$9:$E22))</f>
        <v>#N/A</v>
      </c>
      <c r="C22" s="7" t="e">
        <f ca="1">INDEX(INDIRECT(nomFichierTraite &amp; "!E:E"),SUM($E$9:$E22))</f>
        <v>#N/A</v>
      </c>
      <c r="D22" s="1"/>
      <c r="E22" s="4" t="e">
        <f ca="1">MATCH($A$8&amp;"*-*"&amp;$A$9&amp;"*",INDIRECT(nomFichierTraite &amp; "!D" &amp; (SUM(E$9:E21)+1) &amp; ":D" &amp;SUM(E$9:E21)+500),0)</f>
        <v>#N/A</v>
      </c>
      <c r="G22" s="7" t="str">
        <f ca="1">INDEX(M:M,SUM($J$9:$J22))</f>
        <v>catalogo Spring 19.txt</v>
      </c>
      <c r="H22" s="3" t="str">
        <f ca="1">INDEX(N:N,SUM($J$9:$J22))</f>
        <v>p027-3-02</v>
      </c>
      <c r="I22" s="1"/>
      <c r="J22" s="4">
        <f ca="1">MATCH("*" &amp; $G$8 &amp; "*",INDIRECT("M" &amp; (SUM(J$9:J21)+1) &amp; ":M" &amp;SUM(J$9:J21)+500),0)</f>
        <v>1</v>
      </c>
      <c r="K22" s="1"/>
      <c r="L22" s="7" t="str">
        <f ca="1">INDEX(INDIRECT(nomFichierBaseCatalogue &amp; "!B:B"),SUM($P$9:$P22))</f>
        <v>HLESGC00-PLS00-026</v>
      </c>
      <c r="M22" s="3" t="str">
        <f ca="1">INDEX(INDIRECT(nomFichierBaseCatalogue &amp; "!F:F"),SUM($P$9:$P22))</f>
        <v>catalogo Spring 19.txt</v>
      </c>
      <c r="N22" s="7" t="str">
        <f ca="1">INDEX(INDIRECT(nomFichierBaseCatalogue &amp; "!C:C"),SUM($P$9:$P22))</f>
        <v>p027-3-02</v>
      </c>
      <c r="O22" s="1"/>
      <c r="P22" s="4">
        <f ca="1">MATCH($A$8&amp;"*-*"&amp;$A$9&amp;"*",INDIRECT(nomFichierBaseCatalogue &amp; "!B" &amp; (SUM(P$9:P21)+1) &amp; ":B" &amp;SUM(P$9:P21)+10000),0)</f>
        <v>1</v>
      </c>
      <c r="Q22" s="1"/>
      <c r="R22" s="1"/>
    </row>
    <row r="23" spans="1:18" x14ac:dyDescent="0.25">
      <c r="G23" s="1"/>
      <c r="H23" s="1"/>
      <c r="I23" s="1"/>
      <c r="J23" s="1"/>
      <c r="K23" s="1"/>
      <c r="L23" s="7" t="str">
        <f ca="1">INDEX(INDIRECT(nomFichierBaseCatalogue &amp; "!B:B"),SUM($P$9:$P23))</f>
        <v>HLESGC00-PLS00-048</v>
      </c>
      <c r="M23" s="3" t="str">
        <f ca="1">INDEX(INDIRECT(nomFichierBaseCatalogue &amp; "!F:F"),SUM($P$9:$P23))</f>
        <v>catalogo Spring 19.txt</v>
      </c>
      <c r="N23" s="7" t="str">
        <f ca="1">INDEX(INDIRECT(nomFichierBaseCatalogue &amp; "!C:C"),SUM($P$9:$P23))</f>
        <v>p027-3-04</v>
      </c>
      <c r="O23" s="1"/>
      <c r="P23" s="4">
        <f ca="1">MATCH($A$8&amp;"*-*"&amp;$A$9&amp;"*",INDIRECT(nomFichierBaseCatalogue &amp; "!B" &amp; (SUM(P$9:P22)+1) &amp; ":B" &amp;SUM(P$9:P22)+10000),0)</f>
        <v>1</v>
      </c>
    </row>
    <row r="24" spans="1:18" x14ac:dyDescent="0.25">
      <c r="G24" s="1"/>
      <c r="H24" s="1"/>
      <c r="I24" s="1"/>
      <c r="J24" s="1"/>
      <c r="K24" s="1"/>
      <c r="L24" s="7" t="str">
        <f ca="1">INDEX(INDIRECT(nomFichierBaseCatalogue &amp; "!B:B"),SUM($P$9:$P24))</f>
        <v>HLESGC00-PLS00-088</v>
      </c>
      <c r="M24" s="3" t="str">
        <f ca="1">INDEX(INDIRECT(nomFichierBaseCatalogue &amp; "!F:F"),SUM($P$9:$P24))</f>
        <v>catalogo Spring 19.txt</v>
      </c>
      <c r="N24" s="7" t="str">
        <f ca="1">INDEX(INDIRECT(nomFichierBaseCatalogue &amp; "!C:C"),SUM($P$9:$P24))</f>
        <v>p027-3-03</v>
      </c>
      <c r="O24" s="1"/>
      <c r="P24" s="4">
        <f ca="1">MATCH($A$8&amp;"*-*"&amp;$A$9&amp;"*",INDIRECT(nomFichierBaseCatalogue &amp; "!B" &amp; (SUM(P$9:P23)+1) &amp; ":B" &amp;SUM(P$9:P23)+10000),0)</f>
        <v>1</v>
      </c>
    </row>
    <row r="25" spans="1:18" x14ac:dyDescent="0.25">
      <c r="G25" s="1"/>
      <c r="H25" s="1"/>
      <c r="I25" s="1"/>
      <c r="J25" s="1"/>
      <c r="K25" s="1"/>
      <c r="L25" s="7" t="str">
        <f ca="1">INDEX(INDIRECT(nomFichierBaseCatalogue &amp; "!B:B"),SUM($P$9:$P25))</f>
        <v>HLESGC00-PLS00-347</v>
      </c>
      <c r="M25" s="3" t="str">
        <f ca="1">INDEX(INDIRECT(nomFichierBaseCatalogue &amp; "!F:F"),SUM($P$9:$P25))</f>
        <v>catalogo Spring 19.txt</v>
      </c>
      <c r="N25" s="7" t="str">
        <f ca="1">INDEX(INDIRECT(nomFichierBaseCatalogue &amp; "!C:C"),SUM($P$9:$P25))</f>
        <v>p027-3-05</v>
      </c>
      <c r="O25" s="1"/>
      <c r="P25" s="4">
        <f ca="1">MATCH($A$8&amp;"*-*"&amp;$A$9&amp;"*",INDIRECT(nomFichierBaseCatalogue &amp; "!B" &amp; (SUM(P$9:P24)+1) &amp; ":B" &amp;SUM(P$9:P24)+10000),0)</f>
        <v>1</v>
      </c>
    </row>
    <row r="26" spans="1:18" x14ac:dyDescent="0.25">
      <c r="G26" s="1"/>
      <c r="H26" s="1"/>
      <c r="I26" s="1"/>
      <c r="J26" s="1"/>
      <c r="K26" s="1"/>
      <c r="L26" s="7" t="str">
        <f ca="1">INDEX(INDIRECT(nomFichierBaseCatalogue &amp; "!B:B"),SUM($P$9:$P26))</f>
        <v>HLESGC00-PLS00-371</v>
      </c>
      <c r="M26" s="3" t="str">
        <f ca="1">INDEX(INDIRECT(nomFichierBaseCatalogue &amp; "!F:F"),SUM($P$9:$P26))</f>
        <v>catalogo Spring 19.txt</v>
      </c>
      <c r="N26" s="7" t="str">
        <f ca="1">INDEX(INDIRECT(nomFichierBaseCatalogue &amp; "!C:C"),SUM($P$9:$P26))</f>
        <v>p027-3-06</v>
      </c>
      <c r="O26" s="1"/>
      <c r="P26" s="4">
        <f ca="1">MATCH($A$8&amp;"*-*"&amp;$A$9&amp;"*",INDIRECT(nomFichierBaseCatalogue &amp; "!B" &amp; (SUM(P$9:P25)+1) &amp; ":B" &amp;SUM(P$9:P25)+10000),0)</f>
        <v>1</v>
      </c>
    </row>
    <row r="27" spans="1:18" x14ac:dyDescent="0.25">
      <c r="A27" s="1" t="s">
        <v>22</v>
      </c>
      <c r="G27" s="1"/>
      <c r="H27" s="1"/>
      <c r="I27" s="1"/>
      <c r="J27" s="1"/>
      <c r="K27" s="1"/>
      <c r="L27" s="7" t="str">
        <f ca="1">INDEX(INDIRECT(nomFichierBaseCatalogue &amp; "!B:B"),SUM($P$9:$P27))</f>
        <v>HLESGC00-PLS00-422</v>
      </c>
      <c r="M27" s="3" t="str">
        <f ca="1">INDEX(INDIRECT(nomFichierBaseCatalogue &amp; "!F:F"),SUM($P$9:$P27))</f>
        <v>catalogo Spring 19.txt</v>
      </c>
      <c r="N27" s="7" t="str">
        <f ca="1">INDEX(INDIRECT(nomFichierBaseCatalogue &amp; "!C:C"),SUM($P$9:$P27))</f>
        <v>p027-3-08</v>
      </c>
      <c r="O27" s="1"/>
      <c r="P27" s="4">
        <f ca="1">MATCH($A$8&amp;"*-*"&amp;$A$9&amp;"*",INDIRECT(nomFichierBaseCatalogue &amp; "!B" &amp; (SUM(P$9:P26)+1) &amp; ":B" &amp;SUM(P$9:P26)+10000),0)</f>
        <v>1</v>
      </c>
    </row>
    <row r="28" spans="1:18" x14ac:dyDescent="0.25">
      <c r="G28" s="1"/>
      <c r="H28" s="1"/>
      <c r="I28" s="1"/>
      <c r="J28" s="1"/>
      <c r="K28" s="1"/>
      <c r="L28" s="7" t="str">
        <f ca="1">INDEX(INDIRECT(nomFichierBaseCatalogue &amp; "!B:B"),SUM($P$9:$P28))</f>
        <v>HLESGC00-PLS00-588</v>
      </c>
      <c r="M28" s="3" t="str">
        <f ca="1">INDEX(INDIRECT(nomFichierBaseCatalogue &amp; "!F:F"),SUM($P$9:$P28))</f>
        <v>catalogo Spring 19.txt</v>
      </c>
      <c r="N28" s="7" t="str">
        <f ca="1">INDEX(INDIRECT(nomFichierBaseCatalogue &amp; "!C:C"),SUM($P$9:$P28))</f>
        <v>p027-3-09</v>
      </c>
      <c r="O28" s="1"/>
      <c r="P28" s="4">
        <f ca="1">MATCH($A$8&amp;"*-*"&amp;$A$9&amp;"*",INDIRECT(nomFichierBaseCatalogue &amp; "!B" &amp; (SUM(P$9:P27)+1) &amp; ":B" &amp;SUM(P$9:P27)+10000),0)</f>
        <v>1</v>
      </c>
    </row>
    <row r="29" spans="1:18" x14ac:dyDescent="0.25">
      <c r="G29" s="1"/>
      <c r="H29" s="1"/>
      <c r="I29" s="1"/>
      <c r="J29" s="1"/>
      <c r="K29" s="1"/>
      <c r="L29" s="7" t="str">
        <f ca="1">INDEX(INDIRECT(nomFichierBaseCatalogue &amp; "!B:B"),SUM($P$9:$P29))</f>
        <v>HLESGC00-PLS00-589</v>
      </c>
      <c r="M29" s="3" t="str">
        <f ca="1">INDEX(INDIRECT(nomFichierBaseCatalogue &amp; "!F:F"),SUM($P$9:$P29))</f>
        <v>catalogo Spring 19.txt</v>
      </c>
      <c r="N29" s="7" t="str">
        <f ca="1">INDEX(INDIRECT(nomFichierBaseCatalogue &amp; "!C:C"),SUM($P$9:$P29))</f>
        <v>p027-3-07</v>
      </c>
      <c r="O29" s="1"/>
      <c r="P29" s="4">
        <f ca="1">MATCH($A$8&amp;"*-*"&amp;$A$9&amp;"*",INDIRECT(nomFichierBaseCatalogue &amp; "!B" &amp; (SUM(P$9:P28)+1) &amp; ":B" &amp;SUM(P$9:P28)+10000),0)</f>
        <v>1</v>
      </c>
    </row>
    <row r="30" spans="1:18" x14ac:dyDescent="0.25">
      <c r="G30" s="1"/>
      <c r="H30" s="1"/>
      <c r="I30" s="1"/>
      <c r="J30" s="1"/>
      <c r="K30" s="1"/>
      <c r="L30" s="7" t="str">
        <f ca="1">INDEX(INDIRECT(nomFichierBaseCatalogue &amp; "!B:B"),SUM($P$9:$P30))</f>
        <v>HLESGC00-PLS14-055</v>
      </c>
      <c r="M30" s="3" t="str">
        <f ca="1">INDEX(INDIRECT(nomFichierBaseCatalogue &amp; "!F:F"),SUM($P$9:$P30))</f>
        <v>summer 2019 presentation/catalogo summer_beach 2019.txt</v>
      </c>
      <c r="N30" s="7" t="str">
        <f ca="1">INDEX(INDIRECT(nomFichierBaseCatalogue &amp; "!C:C"),SUM($P$9:$P30))</f>
        <v>p051-1-01</v>
      </c>
      <c r="O30" s="1"/>
      <c r="P30" s="4">
        <f ca="1">MATCH($A$8&amp;"*-*"&amp;$A$9&amp;"*",INDIRECT(nomFichierBaseCatalogue &amp; "!B" &amp; (SUM(P$9:P29)+1) &amp; ":B" &amp;SUM(P$9:P29)+10000),0)</f>
        <v>1</v>
      </c>
    </row>
    <row r="31" spans="1:18" x14ac:dyDescent="0.25">
      <c r="G31" s="1"/>
      <c r="H31" s="1"/>
      <c r="I31" s="1"/>
      <c r="J31" s="1"/>
      <c r="K31" s="1"/>
      <c r="L31" s="7" t="str">
        <f ca="1">INDEX(INDIRECT(nomFichierBaseCatalogue &amp; "!B:B"),SUM($P$9:$P31))</f>
        <v>HLESGC00-ROS10-017</v>
      </c>
      <c r="M31" s="3" t="str">
        <f ca="1">INDEX(INDIRECT(nomFichierBaseCatalogue &amp; "!F:F"),SUM($P$9:$P31))</f>
        <v>summer 2019 presentation/catalogo summer_beach 2019.txt</v>
      </c>
      <c r="N31" s="7" t="str">
        <f ca="1">INDEX(INDIRECT(nomFichierBaseCatalogue &amp; "!C:C"),SUM($P$9:$P31))</f>
        <v>p052-2-03</v>
      </c>
      <c r="O31" s="1"/>
      <c r="P31" s="4">
        <f ca="1">MATCH($A$8&amp;"*-*"&amp;$A$9&amp;"*",INDIRECT(nomFichierBaseCatalogue &amp; "!B" &amp; (SUM(P$9:P30)+1) &amp; ":B" &amp;SUM(P$9:P30)+10000),0)</f>
        <v>2</v>
      </c>
    </row>
    <row r="32" spans="1:18" x14ac:dyDescent="0.25">
      <c r="G32" s="1"/>
      <c r="H32" s="1"/>
      <c r="I32" s="1"/>
      <c r="J32" s="1"/>
      <c r="K32" s="1"/>
      <c r="L32" s="7" t="str">
        <f ca="1">INDEX(INDIRECT(nomFichierBaseCatalogue &amp; "!B:B"),SUM($P$9:$P32))</f>
        <v>HLESGC00-ROS10-026</v>
      </c>
      <c r="M32" s="3" t="str">
        <f ca="1">INDEX(INDIRECT(nomFichierBaseCatalogue &amp; "!F:F"),SUM($P$9:$P32))</f>
        <v>summer 2019 presentation/catalogo summer_beach 2019.txt</v>
      </c>
      <c r="N32" s="7" t="str">
        <f ca="1">INDEX(INDIRECT(nomFichierBaseCatalogue &amp; "!C:C"),SUM($P$9:$P32))</f>
        <v>p052-2-05</v>
      </c>
      <c r="O32" s="1"/>
      <c r="P32" s="4">
        <f ca="1">MATCH($A$8&amp;"*-*"&amp;$A$9&amp;"*",INDIRECT(nomFichierBaseCatalogue &amp; "!B" &amp; (SUM(P$9:P31)+1) &amp; ":B" &amp;SUM(P$9:P31)+10000),0)</f>
        <v>1</v>
      </c>
    </row>
    <row r="33" spans="7:16" x14ac:dyDescent="0.25">
      <c r="G33" s="1"/>
      <c r="H33" s="1"/>
      <c r="I33" s="1"/>
      <c r="J33" s="1"/>
      <c r="K33" s="1"/>
      <c r="L33" s="7" t="str">
        <f ca="1">INDEX(INDIRECT(nomFichierBaseCatalogue &amp; "!B:B"),SUM($P$9:$P33))</f>
        <v>HLESGC00-ROS10-371</v>
      </c>
      <c r="M33" s="3" t="str">
        <f ca="1">INDEX(INDIRECT(nomFichierBaseCatalogue &amp; "!F:F"),SUM($P$9:$P33))</f>
        <v>summer 2019 presentation/catalogo summer_beach 2019.txt</v>
      </c>
      <c r="N33" s="7" t="str">
        <f ca="1">INDEX(INDIRECT(nomFichierBaseCatalogue &amp; "!C:C"),SUM($P$9:$P33))</f>
        <v>p052-2-07</v>
      </c>
      <c r="O33" s="1"/>
      <c r="P33" s="4">
        <f ca="1">MATCH($A$8&amp;"*-*"&amp;$A$9&amp;"*",INDIRECT(nomFichierBaseCatalogue &amp; "!B" &amp; (SUM(P$9:P32)+1) &amp; ":B" &amp;SUM(P$9:P32)+10000),0)</f>
        <v>1</v>
      </c>
    </row>
    <row r="34" spans="7:16" x14ac:dyDescent="0.25">
      <c r="G34" s="1"/>
      <c r="H34" s="1"/>
      <c r="I34" s="1"/>
      <c r="J34" s="1"/>
      <c r="K34" s="1"/>
      <c r="L34" s="7" t="str">
        <f ca="1">INDEX(INDIRECT(nomFichierBaseCatalogue &amp; "!B:B"),SUM($P$9:$P34))</f>
        <v>HLESGC00-ROS10-422</v>
      </c>
      <c r="M34" s="3" t="str">
        <f ca="1">INDEX(INDIRECT(nomFichierBaseCatalogue &amp; "!F:F"),SUM($P$9:$P34))</f>
        <v>summer 2019 presentation/catalogo summer_beach 2019.txt</v>
      </c>
      <c r="N34" s="7" t="str">
        <f ca="1">INDEX(INDIRECT(nomFichierBaseCatalogue &amp; "!C:C"),SUM($P$9:$P34))</f>
        <v>p052-2-04</v>
      </c>
      <c r="O34" s="1"/>
      <c r="P34" s="4">
        <f ca="1">MATCH($A$8&amp;"*-*"&amp;$A$9&amp;"*",INDIRECT(nomFichierBaseCatalogue &amp; "!B" &amp; (SUM(P$9:P33)+1) &amp; ":B" &amp;SUM(P$9:P33)+10000),0)</f>
        <v>1</v>
      </c>
    </row>
    <row r="35" spans="7:16" x14ac:dyDescent="0.25">
      <c r="G35" s="1"/>
      <c r="H35" s="1"/>
      <c r="I35" s="1"/>
      <c r="J35" s="1"/>
      <c r="K35" s="1"/>
      <c r="L35" s="7" t="str">
        <f ca="1">INDEX(INDIRECT(nomFichierBaseCatalogue &amp; "!B:B"),SUM($P$9:$P35))</f>
        <v>HLESGC00-ROS10-484</v>
      </c>
      <c r="M35" s="3" t="str">
        <f ca="1">INDEX(INDIRECT(nomFichierBaseCatalogue &amp; "!F:F"),SUM($P$9:$P35))</f>
        <v>summer 2019 presentation/catalogo summer_beach 2019.txt</v>
      </c>
      <c r="N35" s="7" t="str">
        <f ca="1">INDEX(INDIRECT(nomFichierBaseCatalogue &amp; "!C:C"),SUM($P$9:$P35))</f>
        <v>p052-2-06</v>
      </c>
      <c r="O35" s="1"/>
      <c r="P35" s="4">
        <f ca="1">MATCH($A$8&amp;"*-*"&amp;$A$9&amp;"*",INDIRECT(nomFichierBaseCatalogue &amp; "!B" &amp; (SUM(P$9:P34)+1) &amp; ":B" &amp;SUM(P$9:P34)+10000),0)</f>
        <v>1</v>
      </c>
    </row>
    <row r="36" spans="7:16" x14ac:dyDescent="0.25">
      <c r="G36" s="1"/>
      <c r="H36" s="1"/>
      <c r="I36" s="1"/>
      <c r="J36" s="1"/>
      <c r="K36" s="1"/>
      <c r="L36" s="7" t="str">
        <f ca="1">INDEX(INDIRECT(nomFichierBaseCatalogue &amp; "!B:B"),SUM($P$9:$P36))</f>
        <v>HLESGC00-ROS10-486</v>
      </c>
      <c r="M36" s="3" t="str">
        <f ca="1">INDEX(INDIRECT(nomFichierBaseCatalogue &amp; "!F:F"),SUM($P$9:$P36))</f>
        <v>summer 2019 presentation/catalogo summer_beach 2019.txt</v>
      </c>
      <c r="N36" s="7" t="str">
        <f ca="1">INDEX(INDIRECT(nomFichierBaseCatalogue &amp; "!C:C"),SUM($P$9:$P36))</f>
        <v>p052-2-08</v>
      </c>
      <c r="O36" s="1"/>
      <c r="P36" s="4">
        <f ca="1">MATCH($A$8&amp;"*-*"&amp;$A$9&amp;"*",INDIRECT(nomFichierBaseCatalogue &amp; "!B" &amp; (SUM(P$9:P35)+1) &amp; ":B" &amp;SUM(P$9:P35)+10000),0)</f>
        <v>1</v>
      </c>
    </row>
    <row r="37" spans="7:16" x14ac:dyDescent="0.25">
      <c r="G37" s="1"/>
      <c r="H37" s="1"/>
      <c r="I37" s="1"/>
      <c r="J37" s="1"/>
      <c r="K37" s="1"/>
      <c r="L37" s="7" t="e">
        <f ca="1">INDEX(INDIRECT(nomFichierBaseCatalogue &amp; "!B:B"),SUM($P$9:$P37))</f>
        <v>#N/A</v>
      </c>
      <c r="M37" s="3" t="e">
        <f ca="1">INDEX(INDIRECT(nomFichierBaseCatalogue &amp; "!F:F"),SUM($P$9:$P37))</f>
        <v>#N/A</v>
      </c>
      <c r="N37" s="7" t="e">
        <f ca="1">INDEX(INDIRECT(nomFichierBaseCatalogue &amp; "!C:C"),SUM($P$9:$P37))</f>
        <v>#N/A</v>
      </c>
      <c r="O37" s="1"/>
      <c r="P37" s="4" t="e">
        <f ca="1">MATCH($A$8&amp;"*-*"&amp;$A$9&amp;"*",INDIRECT(nomFichierBaseCatalogue &amp; "!B" &amp; (SUM(P$9:P36)+1) &amp; ":B" &amp;SUM(P$9:P36)+10000),0)</f>
        <v>#N/A</v>
      </c>
    </row>
    <row r="38" spans="7:16" x14ac:dyDescent="0.25">
      <c r="G38" s="1"/>
      <c r="H38" s="1"/>
      <c r="I38" s="1"/>
      <c r="J38" s="1"/>
      <c r="K38" s="1"/>
      <c r="L38" s="7" t="e">
        <f ca="1">INDEX(INDIRECT(nomFichierBaseCatalogue &amp; "!B:B"),SUM($P$9:$P38))</f>
        <v>#N/A</v>
      </c>
      <c r="M38" s="3" t="e">
        <f ca="1">INDEX(INDIRECT(nomFichierBaseCatalogue &amp; "!F:F"),SUM($P$9:$P38))</f>
        <v>#N/A</v>
      </c>
      <c r="N38" s="7" t="e">
        <f ca="1">INDEX(INDIRECT(nomFichierBaseCatalogue &amp; "!C:C"),SUM($P$9:$P38))</f>
        <v>#N/A</v>
      </c>
      <c r="O38" s="1"/>
      <c r="P38" s="4" t="e">
        <f ca="1">MATCH($A$8&amp;"*-*"&amp;$A$9&amp;"*",INDIRECT(nomFichierBaseCatalogue &amp; "!B" &amp; (SUM(P$9:P37)+1) &amp; ":B" &amp;SUM(P$9:P37)+10000),0)</f>
        <v>#N/A</v>
      </c>
    </row>
    <row r="39" spans="7:16" x14ac:dyDescent="0.25">
      <c r="G39" s="1"/>
      <c r="H39" s="1"/>
      <c r="I39" s="1"/>
      <c r="J39" s="1"/>
      <c r="K39" s="1"/>
      <c r="L39" s="7" t="e">
        <f ca="1">INDEX(INDIRECT(nomFichierBaseCatalogue &amp; "!B:B"),SUM($P$9:$P39))</f>
        <v>#N/A</v>
      </c>
      <c r="M39" s="3" t="e">
        <f ca="1">INDEX(INDIRECT(nomFichierBaseCatalogue &amp; "!F:F"),SUM($P$9:$P39))</f>
        <v>#N/A</v>
      </c>
      <c r="N39" s="7" t="e">
        <f ca="1">INDEX(INDIRECT(nomFichierBaseCatalogue &amp; "!C:C"),SUM($P$9:$P39))</f>
        <v>#N/A</v>
      </c>
      <c r="O39" s="1"/>
      <c r="P39" s="4" t="e">
        <f ca="1">MATCH($A$8&amp;"*-*"&amp;$A$9&amp;"*",INDIRECT(nomFichierBaseCatalogue &amp; "!B" &amp; (SUM(P$9:P38)+1) &amp; ":B" &amp;SUM(P$9:P38)+10000),0)</f>
        <v>#N/A</v>
      </c>
    </row>
    <row r="40" spans="7:16" x14ac:dyDescent="0.25">
      <c r="G40" s="1"/>
      <c r="H40" s="1"/>
      <c r="I40" s="1"/>
      <c r="J40" s="1"/>
      <c r="K40" s="1"/>
      <c r="L40" s="7" t="e">
        <f ca="1">INDEX(INDIRECT(nomFichierBaseCatalogue &amp; "!B:B"),SUM($P$9:$P40))</f>
        <v>#N/A</v>
      </c>
      <c r="M40" s="3" t="e">
        <f ca="1">INDEX(INDIRECT(nomFichierBaseCatalogue &amp; "!F:F"),SUM($P$9:$P40))</f>
        <v>#N/A</v>
      </c>
      <c r="N40" s="7" t="e">
        <f ca="1">INDEX(INDIRECT(nomFichierBaseCatalogue &amp; "!C:C"),SUM($P$9:$P40))</f>
        <v>#N/A</v>
      </c>
      <c r="O40" s="1"/>
      <c r="P40" s="4" t="e">
        <f ca="1">MATCH($A$8&amp;"*-*"&amp;$A$9&amp;"*",INDIRECT(nomFichierBaseCatalogue &amp; "!B" &amp; (SUM(P$9:P39)+1) &amp; ":B" &amp;SUM(P$9:P39)+10000),0)</f>
        <v>#N/A</v>
      </c>
    </row>
    <row r="41" spans="7:16" x14ac:dyDescent="0.25">
      <c r="G41" s="1"/>
      <c r="H41" s="1"/>
      <c r="I41" s="1"/>
      <c r="J41" s="1"/>
      <c r="K41" s="1"/>
      <c r="L41" s="7" t="e">
        <f ca="1">INDEX(INDIRECT(nomFichierBaseCatalogue &amp; "!B:B"),SUM($P$9:$P41))</f>
        <v>#N/A</v>
      </c>
      <c r="M41" s="3" t="e">
        <f ca="1">INDEX(INDIRECT(nomFichierBaseCatalogue &amp; "!F:F"),SUM($P$9:$P41))</f>
        <v>#N/A</v>
      </c>
      <c r="N41" s="7" t="e">
        <f ca="1">INDEX(INDIRECT(nomFichierBaseCatalogue &amp; "!C:C"),SUM($P$9:$P41))</f>
        <v>#N/A</v>
      </c>
      <c r="O41" s="1"/>
      <c r="P41" s="4" t="e">
        <f ca="1">MATCH($A$8&amp;"*-*"&amp;$A$9&amp;"*",INDIRECT(nomFichierBaseCatalogue &amp; "!B" &amp; (SUM(P$9:P40)+1) &amp; ":B" &amp;SUM(P$9:P40)+10000),0)</f>
        <v>#N/A</v>
      </c>
    </row>
    <row r="42" spans="7:16" x14ac:dyDescent="0.25">
      <c r="G42" s="1"/>
      <c r="H42" s="1"/>
      <c r="I42" s="1"/>
      <c r="J42" s="1"/>
      <c r="K42" s="1"/>
      <c r="L42" s="7" t="e">
        <f ca="1">INDEX(INDIRECT(nomFichierBaseCatalogue &amp; "!B:B"),SUM($P$9:$P42))</f>
        <v>#N/A</v>
      </c>
      <c r="M42" s="3" t="e">
        <f ca="1">INDEX(INDIRECT(nomFichierBaseCatalogue &amp; "!F:F"),SUM($P$9:$P42))</f>
        <v>#N/A</v>
      </c>
      <c r="N42" s="7" t="e">
        <f ca="1">INDEX(INDIRECT(nomFichierBaseCatalogue &amp; "!C:C"),SUM($P$9:$P42))</f>
        <v>#N/A</v>
      </c>
      <c r="O42" s="1"/>
      <c r="P42" s="4" t="e">
        <f ca="1">MATCH($A$8&amp;"*-*"&amp;$A$9&amp;"*",INDIRECT(nomFichierBaseCatalogue &amp; "!B" &amp; (SUM(P$9:P41)+1) &amp; ":B" &amp;SUM(P$9:P41)+10000),0)</f>
        <v>#N/A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T89"/>
  <sheetViews>
    <sheetView tabSelected="1" workbookViewId="0">
      <pane ySplit="7" topLeftCell="A8" activePane="bottomLeft" state="frozen"/>
      <selection activeCell="A58" sqref="A58"/>
      <selection pane="bottomLeft" activeCell="H8" sqref="H8"/>
    </sheetView>
  </sheetViews>
  <sheetFormatPr baseColWidth="10" defaultRowHeight="15" x14ac:dyDescent="0.25"/>
  <cols>
    <col min="1" max="1" width="7.5703125" style="5" customWidth="1"/>
    <col min="2" max="2" width="23.7109375" style="5" customWidth="1"/>
    <col min="3" max="3" width="99.42578125" style="5" customWidth="1"/>
    <col min="4" max="4" width="23.28515625" style="5" customWidth="1"/>
    <col min="5" max="5" width="12.42578125" style="5" customWidth="1"/>
    <col min="6" max="6" width="13.28515625" style="5" customWidth="1"/>
    <col min="7" max="7" width="11.28515625" style="5" customWidth="1"/>
    <col min="8" max="8" width="20.140625" style="5" bestFit="1" customWidth="1"/>
    <col min="9" max="9" width="11.42578125" style="1"/>
    <col min="10" max="10" width="15.85546875" style="1" bestFit="1" customWidth="1"/>
    <col min="11" max="13" width="11.42578125" style="1"/>
    <col min="14" max="14" width="14" style="1" bestFit="1" customWidth="1"/>
    <col min="15" max="15" width="13.7109375" style="1" bestFit="1" customWidth="1"/>
    <col min="16" max="17" width="13.7109375" style="1" customWidth="1"/>
    <col min="18" max="18" width="16.7109375" style="14" bestFit="1" customWidth="1"/>
    <col min="19" max="19" width="16.7109375" style="1" bestFit="1" customWidth="1"/>
    <col min="20" max="21" width="14" style="1" bestFit="1" customWidth="1"/>
    <col min="22" max="16384" width="11.42578125" style="1"/>
  </cols>
  <sheetData>
    <row r="1" spans="1:20" ht="32.25" x14ac:dyDescent="0.5">
      <c r="C1" s="37" t="s">
        <v>19</v>
      </c>
      <c r="H1" s="33" t="str">
        <f ca="1">INDEX(INDIRECT(zoneFichierTraite), 1,5)</f>
        <v>2019-03-Reassort/PROF724TOULOUSE.txt</v>
      </c>
      <c r="I1" s="45" t="s">
        <v>23</v>
      </c>
      <c r="J1" s="45"/>
      <c r="K1" s="45"/>
    </row>
    <row r="2" spans="1:20" x14ac:dyDescent="0.25">
      <c r="I2" s="46" t="str">
        <f>"    Commande / " &amp; nomFichierTraite</f>
        <v xml:space="preserve">    Commande / EAN13_traite.csv</v>
      </c>
      <c r="J2" s="46"/>
      <c r="K2" s="45"/>
    </row>
    <row r="3" spans="1:20" ht="26.25" x14ac:dyDescent="0.4">
      <c r="C3" s="39" t="str">
        <f ca="1">INDEX(INDIRECT(zoneFichierTraite), 3,5)</f>
        <v>2019 50 724 27/03/2019</v>
      </c>
      <c r="H3" s="48" t="str">
        <f ca="1">IF(OR(I:I),"Attention : il existe des lignes en double","")</f>
        <v/>
      </c>
      <c r="I3" s="46" t="str">
        <f>"    Catalogues / " &amp; nomFichierBaseCatalogue</f>
        <v xml:space="preserve">    Catalogues / base.EAN13.csv</v>
      </c>
      <c r="J3" s="45"/>
      <c r="K3" s="45"/>
    </row>
    <row r="4" spans="1:20" ht="19.5" x14ac:dyDescent="0.3">
      <c r="C4" s="40" t="str">
        <f ca="1">INDEX(INDIRECT(zoneFichierTraite), 2,5)</f>
        <v>TOULOUSE</v>
      </c>
      <c r="H4" s="35" t="s">
        <v>21</v>
      </c>
      <c r="I4" s="46" t="str">
        <f>"    Catalogues / " &amp; nomFichierEAN13Valmag</f>
        <v xml:space="preserve">    Catalogues / base.ValmagEAN13.csv</v>
      </c>
      <c r="J4" s="45"/>
      <c r="K4" s="45"/>
    </row>
    <row r="5" spans="1:20" x14ac:dyDescent="0.25">
      <c r="B5" s="33"/>
      <c r="F5" s="23"/>
      <c r="G5" s="23"/>
      <c r="H5" s="34" t="s">
        <v>27</v>
      </c>
      <c r="I5" s="44" t="s">
        <v>25</v>
      </c>
      <c r="J5" s="43"/>
      <c r="K5" s="43"/>
      <c r="L5" s="43"/>
    </row>
    <row r="6" spans="1:20" ht="17.25" x14ac:dyDescent="0.3">
      <c r="B6" s="33" t="str">
        <f ca="1">INDEX(INDIRECT(zoneFichierTraite), 4,3)</f>
        <v>Total facture</v>
      </c>
      <c r="C6" s="38">
        <f ca="1">INDEX(INDIRECT(zoneFichierTraite), 4,5)</f>
        <v>811.95</v>
      </c>
      <c r="I6" s="47" t="str">
        <f>"'[" &amp; H5 &amp; ".PRODUIT" &amp; ".csv]" &amp; H5 &amp; ".PRODUIT'"</f>
        <v>'[catalogo Spring 19.PRODUIT.csv]catalogo Spring 19.PRODUIT'</v>
      </c>
      <c r="J6" s="43"/>
      <c r="K6" s="43"/>
      <c r="L6" s="43"/>
    </row>
    <row r="7" spans="1:20" ht="23.25" x14ac:dyDescent="0.35">
      <c r="B7" s="33" t="s">
        <v>20</v>
      </c>
      <c r="C7" s="49" t="str">
        <f ca="1">INDEX(INDIRECT(zoneFichierTraite), 6,5)</f>
        <v>768.95</v>
      </c>
      <c r="F7" s="22" t="s">
        <v>12</v>
      </c>
      <c r="G7" s="29">
        <f ca="1">SUM(M:M)</f>
        <v>768.94999999999993</v>
      </c>
      <c r="H7" s="50">
        <f ca="1">SUMPRODUCT(E:E,F:F)</f>
        <v>768.94999999999993</v>
      </c>
      <c r="K7" s="36" t="str">
        <f>nomFichierFiltreCatalogue &amp; "!A:Z"</f>
        <v>'[catalogo Spring 19.PRODUIT.csv]catalogo Spring 19.PRODUIT'!A:Z</v>
      </c>
    </row>
    <row r="8" spans="1:20" x14ac:dyDescent="0.25">
      <c r="L8" s="16" t="s">
        <v>3</v>
      </c>
      <c r="O8" s="16" t="s">
        <v>11</v>
      </c>
      <c r="P8" s="16"/>
      <c r="Q8" s="16" t="s">
        <v>14</v>
      </c>
      <c r="R8" s="24"/>
      <c r="S8" s="16" t="s">
        <v>17</v>
      </c>
    </row>
    <row r="9" spans="1:20" x14ac:dyDescent="0.25">
      <c r="K9" s="1" t="s">
        <v>12</v>
      </c>
      <c r="O9" s="1" t="s">
        <v>15</v>
      </c>
      <c r="P9" s="1" t="s">
        <v>16</v>
      </c>
      <c r="Q9" s="1" t="s">
        <v>18</v>
      </c>
    </row>
    <row r="10" spans="1:20" ht="39" customHeight="1" thickBot="1" x14ac:dyDescent="0.65">
      <c r="A10" s="9" t="str">
        <f ca="1">INDEX(INDIRECT(zoneFichierTraite),$J10+offsetInitialFichierTraite,6)</f>
        <v>UNICA</v>
      </c>
      <c r="B10" s="5" t="str">
        <f ca="1">INDEX(INDIRECT(zoneFichierTraite),$J10+offsetInitialFichierTraite,4)</f>
        <v>HLESD000-ECS35-371</v>
      </c>
      <c r="C10" s="26" t="str">
        <f ca="1">INDEX(INDIRECT(zoneFichierTraite),$J10+offsetInitialFichierTraite,5)</f>
        <v>ANSES LONGUES ADAPTABLES EN FAUX CUIR BASIC</v>
      </c>
      <c r="D10" s="27" t="str">
        <f ca="1">INDEX(INDIRECT(zoneFichierTraite),$J10+offsetInitialFichierTraite,13)</f>
        <v>CodeBarre</v>
      </c>
      <c r="E10" s="30">
        <f ca="1">INDEX(INDIRECT(zoneFichierTraite),$J10+offsetInitialFichierTraite,7)</f>
        <v>3</v>
      </c>
      <c r="F10" s="28">
        <f ca="1">INDEX(INDIRECT(zoneFichierTraite),$J10+offsetInitialFichierTraite,8)</f>
        <v>14.4</v>
      </c>
      <c r="G10" s="29">
        <f t="shared" ref="G10:G44" ca="1" si="0">ROUNDUP(F10*3,0)</f>
        <v>44</v>
      </c>
      <c r="H10" s="31" t="str">
        <f ca="1">IF(ISNUMBER(N10),codeEAN13(INT(N10/10)),"")</f>
        <v/>
      </c>
      <c r="I10" s="1" t="b">
        <f ca="1">A11=A13</f>
        <v>0</v>
      </c>
      <c r="J10" s="15">
        <f t="shared" ref="J10:J74" si="1">J8+1</f>
        <v>1</v>
      </c>
      <c r="K10" s="1">
        <f ca="1">A11</f>
        <v>2</v>
      </c>
      <c r="L10" s="5" t="str">
        <f ca="1">INDEX(INDIRECT(zoneFichierTraite),$J10+offsetInitialFichierTraite,1)</f>
        <v>'001</v>
      </c>
      <c r="M10" s="11">
        <f ca="1">INDEX(INDIRECT(zoneFichierTraite),$J10+offsetInitialFichierTraite,9)</f>
        <v>43.2</v>
      </c>
      <c r="N10" s="14" t="str">
        <f ca="1">INDEX(INDIRECT(zoneFichierTraite),$J10+offsetInitialFichierTraite,3)</f>
        <v>CodeBarre</v>
      </c>
      <c r="O10" s="1" t="e">
        <f ca="1">MATCH(N10,INDIRECT(nomFichierEAN13Valmag &amp; "!A:A"),0)</f>
        <v>#REF!</v>
      </c>
      <c r="P10" s="1" t="e">
        <f ca="1">MATCH(R10,INDIRECT(nomFichierEAN13Valmag &amp; "!A:A"),0)</f>
        <v>#REF!</v>
      </c>
      <c r="Q10" s="1" t="e">
        <f ca="1">MATCH(LEFT(B10,14) &amp; "*",INDIRECT(nomFichierEAN13Valmag &amp; "!B:B"),0)</f>
        <v>#REF!</v>
      </c>
      <c r="R10" s="14" t="str">
        <f ca="1">IFERROR(INDEX(INDIRECT(zoneFichierEAN13Valmag),Q10,1),"")</f>
        <v/>
      </c>
      <c r="S10" s="1" t="e">
        <f ca="1">MATCH(B10,INDIRECT(nomFichierFiltreCatalogue &amp; "!B:B"),0)</f>
        <v>#REF!</v>
      </c>
      <c r="T10" s="14"/>
    </row>
    <row r="11" spans="1:20" s="20" customFormat="1" ht="15.75" customHeight="1" x14ac:dyDescent="0.25">
      <c r="A11" s="25">
        <f ca="1">INDEX(INDIRECT(zoneFichierTraite),$J10+offsetInitialFichierTraite,2)</f>
        <v>2</v>
      </c>
      <c r="B11" s="42" t="str">
        <f ca="1">IF(C11="", IFERROR(INDEX(INDIRECT(zoneFichierEAN13Valmag),$P10,3),""), "")</f>
        <v/>
      </c>
      <c r="C11" s="41" t="str">
        <f ca="1">IFERROR(INDEX(INDIRECT(zoneFichierEAN13Valmag),$O10,3),"")</f>
        <v/>
      </c>
      <c r="D11" s="19" t="str">
        <f ca="1">IFERROR(INDEX(INDIRECT(zoneFichierEAN13Valmag),$O10,4),"")</f>
        <v/>
      </c>
      <c r="E11" s="32" t="str">
        <f ca="1">IFERROR(INDEX(INDIRECT(zoneFichierFiltreCatalogue),S10,3),"")</f>
        <v/>
      </c>
      <c r="F11" s="19"/>
      <c r="G11" s="18"/>
      <c r="H11" s="33" t="str">
        <f ca="1">IFERROR(INDEX(INDIRECT(zoneFichierFiltreCatalogue),S10,6),"")</f>
        <v/>
      </c>
      <c r="R11" s="21"/>
      <c r="S11" s="21"/>
    </row>
    <row r="12" spans="1:20" ht="39" customHeight="1" thickBot="1" x14ac:dyDescent="0.65">
      <c r="A12" s="9" t="str">
        <f ca="1">INDEX(INDIRECT(zoneFichierTraite),$J12+offsetInitialFichierTraite,6)</f>
        <v>UNICA</v>
      </c>
      <c r="B12" s="5" t="str">
        <f ca="1">INDEX(INDIRECT(zoneFichierTraite),$J12+offsetInitialFichierTraite,4)</f>
        <v>HLESGC00-ECS04-038</v>
      </c>
      <c r="C12" s="26" t="str">
        <f ca="1">INDEX(INDIRECT(zoneFichierTraite),$J12+offsetInitialFichierTraite,5)</f>
        <v>ANSES COURTES EN FAUX CUIR POMPON</v>
      </c>
      <c r="D12" s="27" t="str">
        <f ca="1">INDEX(INDIRECT(zoneFichierTraite),$J12+offsetInitialFichierTraite,13)</f>
        <v>CodeBarre</v>
      </c>
      <c r="E12" s="30">
        <f ca="1">INDEX(INDIRECT(zoneFichierTraite),$J12+offsetInitialFichierTraite,7)</f>
        <v>2</v>
      </c>
      <c r="F12" s="28">
        <f ca="1">INDEX(INDIRECT(zoneFichierTraite),$J12+offsetInitialFichierTraite,8)</f>
        <v>6.05</v>
      </c>
      <c r="G12" s="29">
        <f t="shared" ca="1" si="0"/>
        <v>19</v>
      </c>
      <c r="H12" s="31" t="str">
        <f ca="1">IF(ISNUMBER(N12),codeEAN13(INT(N12/10)),"")</f>
        <v/>
      </c>
      <c r="I12" s="1" t="b">
        <f t="shared" ref="I12" ca="1" si="2">A13=A15</f>
        <v>0</v>
      </c>
      <c r="J12" s="15">
        <f t="shared" si="1"/>
        <v>2</v>
      </c>
      <c r="K12" s="1">
        <f t="shared" ref="K12" ca="1" si="3">A13</f>
        <v>34</v>
      </c>
      <c r="L12" s="5" t="str">
        <f ca="1">INDEX(INDIRECT(zoneFichierTraite),$J12+offsetInitialFichierTraite,1)</f>
        <v>'002</v>
      </c>
      <c r="M12" s="11">
        <f ca="1">INDEX(INDIRECT(zoneFichierTraite),$J12+offsetInitialFichierTraite,9)</f>
        <v>12.1</v>
      </c>
      <c r="N12" s="14" t="str">
        <f ca="1">INDEX(INDIRECT(zoneFichierTraite),$J12+offsetInitialFichierTraite,3)</f>
        <v>CodeBarre</v>
      </c>
      <c r="O12" s="1" t="e">
        <f ca="1">MATCH(N12,INDIRECT(nomFichierEAN13Valmag &amp; "!A:A"),0)</f>
        <v>#REF!</v>
      </c>
      <c r="P12" s="1" t="e">
        <f ca="1">MATCH(R12,INDIRECT(nomFichierEAN13Valmag &amp; "!A:A"),0)</f>
        <v>#REF!</v>
      </c>
      <c r="Q12" s="1" t="e">
        <f ca="1">MATCH(LEFT(B12,14) &amp; "*",INDIRECT(nomFichierEAN13Valmag &amp; "!B:B"),0)</f>
        <v>#REF!</v>
      </c>
      <c r="R12" s="14" t="str">
        <f ca="1">IFERROR(INDEX(INDIRECT(zoneFichierEAN13Valmag),Q12,1),"")</f>
        <v/>
      </c>
      <c r="S12" s="1" t="e">
        <f ca="1">MATCH(B12,INDIRECT(nomFichierFiltreCatalogue &amp; "!B:B"),0)</f>
        <v>#REF!</v>
      </c>
      <c r="T12" s="14"/>
    </row>
    <row r="13" spans="1:20" s="20" customFormat="1" ht="15.75" customHeight="1" x14ac:dyDescent="0.25">
      <c r="A13" s="25">
        <f ca="1">INDEX(INDIRECT(zoneFichierTraite),$J12+offsetInitialFichierTraite,2)</f>
        <v>34</v>
      </c>
      <c r="B13" s="42" t="str">
        <f ca="1">IF(C13="", IFERROR(INDEX(INDIRECT(zoneFichierEAN13Valmag),$P12,3),""), "")</f>
        <v/>
      </c>
      <c r="C13" s="41" t="str">
        <f ca="1">IFERROR(INDEX(INDIRECT(zoneFichierEAN13Valmag),$O12,3),"")</f>
        <v/>
      </c>
      <c r="D13" s="19" t="str">
        <f ca="1">IFERROR(INDEX(INDIRECT(zoneFichierEAN13Valmag),$O12,4),"")</f>
        <v/>
      </c>
      <c r="E13" s="32" t="str">
        <f ca="1">IFERROR(INDEX(INDIRECT(zoneFichierFiltreCatalogue),S12,3),"")</f>
        <v/>
      </c>
      <c r="F13" s="19"/>
      <c r="G13" s="18"/>
      <c r="H13" s="33" t="str">
        <f ca="1">IFERROR(INDEX(INDIRECT(zoneFichierFiltreCatalogue),S12,6),"")</f>
        <v/>
      </c>
      <c r="R13" s="21"/>
      <c r="S13" s="21"/>
    </row>
    <row r="14" spans="1:20" ht="39" customHeight="1" thickBot="1" x14ac:dyDescent="0.65">
      <c r="A14" s="9" t="str">
        <f ca="1">INDEX(INDIRECT(zoneFichierTraite),$J14+offsetInitialFichierTraite,6)</f>
        <v>UNICA</v>
      </c>
      <c r="B14" s="5" t="str">
        <f ca="1">INDEX(INDIRECT(zoneFichierTraite),$J14+offsetInitialFichierTraite,4)</f>
        <v>HLESGC00-PLS00-048</v>
      </c>
      <c r="C14" s="26" t="str">
        <f ca="1">INDEX(INDIRECT(zoneFichierTraite),$J14+offsetInitialFichierTraite,5)</f>
        <v>ANSES COURTES EN PLEXIGLAS + GOUTE</v>
      </c>
      <c r="D14" s="27" t="str">
        <f ca="1">INDEX(INDIRECT(zoneFichierTraite),$J14+offsetInitialFichierTraite,13)</f>
        <v>mattone</v>
      </c>
      <c r="E14" s="30">
        <f ca="1">INDEX(INDIRECT(zoneFichierTraite),$J14+offsetInitialFichierTraite,7)</f>
        <v>2</v>
      </c>
      <c r="F14" s="28">
        <f ca="1">INDEX(INDIRECT(zoneFichierTraite),$J14+offsetInitialFichierTraite,8)</f>
        <v>12.59</v>
      </c>
      <c r="G14" s="29">
        <f t="shared" ca="1" si="0"/>
        <v>38</v>
      </c>
      <c r="H14" s="31" t="str">
        <f ca="1">IF(ISNUMBER(N14),codeEAN13(INT(N14/10)),"")</f>
        <v>8APASOG*aggjbf+</v>
      </c>
      <c r="I14" s="1" t="b">
        <f t="shared" ref="I14" ca="1" si="4">A15=A17</f>
        <v>0</v>
      </c>
      <c r="J14" s="15">
        <f t="shared" si="1"/>
        <v>3</v>
      </c>
      <c r="K14" s="1">
        <f t="shared" ref="K14" ca="1" si="5">A15</f>
        <v>27</v>
      </c>
      <c r="L14" s="5" t="str">
        <f ca="1">INDEX(INDIRECT(zoneFichierTraite),$J14+offsetInitialFichierTraite,1)</f>
        <v>'003</v>
      </c>
      <c r="M14" s="11">
        <f ca="1">INDEX(INDIRECT(zoneFichierTraite),$J14+offsetInitialFichierTraite,9)</f>
        <v>25.18</v>
      </c>
      <c r="N14" s="14">
        <f ca="1">INDEX(INDIRECT(zoneFichierTraite),$J14+offsetInitialFichierTraite,3)</f>
        <v>8050846066915</v>
      </c>
      <c r="O14" s="1" t="e">
        <f ca="1">MATCH(N14,INDIRECT(nomFichierEAN13Valmag &amp; "!A:A"),0)</f>
        <v>#REF!</v>
      </c>
      <c r="P14" s="1" t="e">
        <f ca="1">MATCH(R14,INDIRECT(nomFichierEAN13Valmag &amp; "!A:A"),0)</f>
        <v>#REF!</v>
      </c>
      <c r="Q14" s="1" t="e">
        <f ca="1">MATCH(LEFT(B14,14) &amp; "*",INDIRECT(nomFichierEAN13Valmag &amp; "!B:B"),0)</f>
        <v>#REF!</v>
      </c>
      <c r="R14" s="14" t="str">
        <f ca="1">IFERROR(INDEX(INDIRECT(zoneFichierEAN13Valmag),Q14,1),"")</f>
        <v/>
      </c>
      <c r="S14" s="1" t="e">
        <f ca="1">MATCH(B14,INDIRECT(nomFichierFiltreCatalogue &amp; "!B:B"),0)</f>
        <v>#REF!</v>
      </c>
      <c r="T14" s="14"/>
    </row>
    <row r="15" spans="1:20" s="20" customFormat="1" ht="15.75" customHeight="1" x14ac:dyDescent="0.25">
      <c r="A15" s="25">
        <f ca="1">INDEX(INDIRECT(zoneFichierTraite),$J14+offsetInitialFichierTraite,2)</f>
        <v>27</v>
      </c>
      <c r="B15" s="42" t="str">
        <f ca="1">IF(C15="", IFERROR(INDEX(INDIRECT(zoneFichierEAN13Valmag),$P14,3),""), "")</f>
        <v/>
      </c>
      <c r="C15" s="41" t="str">
        <f ca="1">IFERROR(INDEX(INDIRECT(zoneFichierEAN13Valmag),$O14,3),"")</f>
        <v/>
      </c>
      <c r="D15" s="19" t="str">
        <f ca="1">IFERROR(INDEX(INDIRECT(zoneFichierEAN13Valmag),$O14,4),"")</f>
        <v/>
      </c>
      <c r="E15" s="32" t="str">
        <f ca="1">IFERROR(INDEX(INDIRECT(zoneFichierFiltreCatalogue),S14,3),"")</f>
        <v/>
      </c>
      <c r="F15" s="19"/>
      <c r="G15" s="18"/>
      <c r="H15" s="33" t="str">
        <f ca="1">IFERROR(INDEX(INDIRECT(zoneFichierFiltreCatalogue),S14,6),"")</f>
        <v/>
      </c>
      <c r="R15" s="21"/>
      <c r="S15" s="21"/>
    </row>
    <row r="16" spans="1:20" ht="39" customHeight="1" thickBot="1" x14ac:dyDescent="0.65">
      <c r="A16" s="9" t="str">
        <f ca="1">INDEX(INDIRECT(zoneFichierTraite),$J16+offsetInitialFichierTraite,6)</f>
        <v>UNICA</v>
      </c>
      <c r="B16" s="5" t="str">
        <f ca="1">INDEX(INDIRECT(zoneFichierTraite),$J16+offsetInitialFichierTraite,4)</f>
        <v>HLESGC00-PLS00-347</v>
      </c>
      <c r="C16" s="26" t="str">
        <f ca="1">INDEX(INDIRECT(zoneFichierTraite),$J16+offsetInitialFichierTraite,5)</f>
        <v>ANSES COURTES EN PLEXIGLAS + GOUTE</v>
      </c>
      <c r="D16" s="27" t="str">
        <f ca="1">INDEX(INDIRECT(zoneFichierTraite),$J16+offsetInitialFichierTraite,13)</f>
        <v>cedro</v>
      </c>
      <c r="E16" s="30">
        <f ca="1">INDEX(INDIRECT(zoneFichierTraite),$J16+offsetInitialFichierTraite,7)</f>
        <v>1</v>
      </c>
      <c r="F16" s="28">
        <f ca="1">INDEX(INDIRECT(zoneFichierTraite),$J16+offsetInitialFichierTraite,8)</f>
        <v>12.59</v>
      </c>
      <c r="G16" s="29">
        <f t="shared" ca="1" si="0"/>
        <v>38</v>
      </c>
      <c r="H16" s="31" t="str">
        <f ca="1">IF(ISNUMBER(N16),codeEAN13(INT(N16/10)),"")</f>
        <v>8APASOG*acjbfg+</v>
      </c>
      <c r="I16" s="1" t="b">
        <f t="shared" ref="I16" ca="1" si="6">A17=A19</f>
        <v>0</v>
      </c>
      <c r="J16" s="15">
        <f t="shared" si="1"/>
        <v>4</v>
      </c>
      <c r="K16" s="1">
        <f t="shared" ref="K16" ca="1" si="7">A17</f>
        <v>6</v>
      </c>
      <c r="L16" s="5" t="str">
        <f ca="1">INDEX(INDIRECT(zoneFichierTraite),$J16+offsetInitialFichierTraite,1)</f>
        <v>'004</v>
      </c>
      <c r="M16" s="11">
        <f ca="1">INDEX(INDIRECT(zoneFichierTraite),$J16+offsetInitialFichierTraite,9)</f>
        <v>12.59</v>
      </c>
      <c r="N16" s="14">
        <f ca="1">INDEX(INDIRECT(zoneFichierTraite),$J16+offsetInitialFichierTraite,3)</f>
        <v>8050846029156</v>
      </c>
      <c r="O16" s="1" t="e">
        <f ca="1">MATCH(N16,INDIRECT(nomFichierEAN13Valmag &amp; "!A:A"),0)</f>
        <v>#REF!</v>
      </c>
      <c r="P16" s="1" t="e">
        <f ca="1">MATCH(R16,INDIRECT(nomFichierEAN13Valmag &amp; "!A:A"),0)</f>
        <v>#REF!</v>
      </c>
      <c r="Q16" s="1" t="e">
        <f ca="1">MATCH(LEFT(B16,14) &amp; "*",INDIRECT(nomFichierEAN13Valmag &amp; "!B:B"),0)</f>
        <v>#REF!</v>
      </c>
      <c r="R16" s="14" t="str">
        <f ca="1">IFERROR(INDEX(INDIRECT(zoneFichierEAN13Valmag),Q16,1),"")</f>
        <v/>
      </c>
      <c r="S16" s="1" t="e">
        <f ca="1">MATCH(B16,INDIRECT(nomFichierFiltreCatalogue &amp; "!B:B"),0)</f>
        <v>#REF!</v>
      </c>
      <c r="T16" s="14"/>
    </row>
    <row r="17" spans="1:20" s="20" customFormat="1" ht="15.75" customHeight="1" x14ac:dyDescent="0.25">
      <c r="A17" s="25">
        <f ca="1">INDEX(INDIRECT(zoneFichierTraite),$J16+offsetInitialFichierTraite,2)</f>
        <v>6</v>
      </c>
      <c r="B17" s="42" t="str">
        <f ca="1">IF(C17="", IFERROR(INDEX(INDIRECT(zoneFichierEAN13Valmag),$P16,3),""), "")</f>
        <v/>
      </c>
      <c r="C17" s="41" t="str">
        <f ca="1">IFERROR(INDEX(INDIRECT(zoneFichierEAN13Valmag),$O16,3),"")</f>
        <v/>
      </c>
      <c r="D17" s="19" t="str">
        <f ca="1">IFERROR(INDEX(INDIRECT(zoneFichierEAN13Valmag),$O16,4),"")</f>
        <v/>
      </c>
      <c r="E17" s="32" t="str">
        <f ca="1">IFERROR(INDEX(INDIRECT(zoneFichierFiltreCatalogue),S16,3),"")</f>
        <v/>
      </c>
      <c r="F17" s="19"/>
      <c r="G17" s="18"/>
      <c r="H17" s="33" t="str">
        <f ca="1">IFERROR(INDEX(INDIRECT(zoneFichierFiltreCatalogue),S16,6),"")</f>
        <v/>
      </c>
      <c r="R17" s="21"/>
      <c r="S17" s="21"/>
    </row>
    <row r="18" spans="1:20" ht="39" customHeight="1" thickBot="1" x14ac:dyDescent="0.65">
      <c r="A18" s="9" t="str">
        <f ca="1">INDEX(INDIRECT(zoneFichierTraite),$J18+offsetInitialFichierTraite,6)</f>
        <v>UNICA</v>
      </c>
      <c r="B18" s="5" t="str">
        <f ca="1">INDEX(INDIRECT(zoneFichierTraite),$J18+offsetInitialFichierTraite,4)</f>
        <v>HLESGC00-PLS00-371</v>
      </c>
      <c r="C18" s="26" t="str">
        <f ca="1">INDEX(INDIRECT(zoneFichierTraite),$J18+offsetInitialFichierTraite,5)</f>
        <v>ANSES COURTES EN PLEXIGLAS + GOUTE</v>
      </c>
      <c r="D18" s="27" t="str">
        <f ca="1">INDEX(INDIRECT(zoneFichierTraite),$J18+offsetInitialFichierTraite,13)</f>
        <v>latte</v>
      </c>
      <c r="E18" s="30">
        <f ca="1">INDEX(INDIRECT(zoneFichierTraite),$J18+offsetInitialFichierTraite,7)</f>
        <v>1</v>
      </c>
      <c r="F18" s="28">
        <f ca="1">INDEX(INDIRECT(zoneFichierTraite),$J18+offsetInitialFichierTraite,8)</f>
        <v>12.59</v>
      </c>
      <c r="G18" s="29">
        <f t="shared" ca="1" si="0"/>
        <v>38</v>
      </c>
      <c r="H18" s="31" t="str">
        <f ca="1">IF(ISNUMBER(N18),codeEAN13(INT(N18/10)),"")</f>
        <v>8APASOG*acjbbi+</v>
      </c>
      <c r="I18" s="1" t="b">
        <f t="shared" ref="I18" ca="1" si="8">A19=A21</f>
        <v>0</v>
      </c>
      <c r="J18" s="15">
        <f t="shared" si="1"/>
        <v>5</v>
      </c>
      <c r="K18" s="1">
        <f t="shared" ref="K18" ca="1" si="9">A19</f>
        <v>20</v>
      </c>
      <c r="L18" s="5" t="str">
        <f ca="1">INDEX(INDIRECT(zoneFichierTraite),$J18+offsetInitialFichierTraite,1)</f>
        <v>'005</v>
      </c>
      <c r="M18" s="11">
        <f ca="1">INDEX(INDIRECT(zoneFichierTraite),$J18+offsetInitialFichierTraite,9)</f>
        <v>12.59</v>
      </c>
      <c r="N18" s="14">
        <f ca="1">INDEX(INDIRECT(zoneFichierTraite),$J18+offsetInitialFichierTraite,3)</f>
        <v>8050846029118</v>
      </c>
      <c r="O18" s="1" t="e">
        <f ca="1">MATCH(N18,INDIRECT(nomFichierEAN13Valmag &amp; "!A:A"),0)</f>
        <v>#REF!</v>
      </c>
      <c r="P18" s="1" t="e">
        <f ca="1">MATCH(R18,INDIRECT(nomFichierEAN13Valmag &amp; "!A:A"),0)</f>
        <v>#REF!</v>
      </c>
      <c r="Q18" s="1" t="e">
        <f ca="1">MATCH(LEFT(B18,14) &amp; "*",INDIRECT(nomFichierEAN13Valmag &amp; "!B:B"),0)</f>
        <v>#REF!</v>
      </c>
      <c r="R18" s="14" t="str">
        <f ca="1">IFERROR(INDEX(INDIRECT(zoneFichierEAN13Valmag),Q18,1),"")</f>
        <v/>
      </c>
      <c r="S18" s="1" t="e">
        <f ca="1">MATCH(B18,INDIRECT(nomFichierFiltreCatalogue &amp; "!B:B"),0)</f>
        <v>#REF!</v>
      </c>
      <c r="T18" s="14"/>
    </row>
    <row r="19" spans="1:20" s="20" customFormat="1" ht="15.75" customHeight="1" x14ac:dyDescent="0.25">
      <c r="A19" s="25">
        <f ca="1">INDEX(INDIRECT(zoneFichierTraite),$J18+offsetInitialFichierTraite,2)</f>
        <v>20</v>
      </c>
      <c r="B19" s="42" t="str">
        <f ca="1">IF(C19="", IFERROR(INDEX(INDIRECT(zoneFichierEAN13Valmag),$P18,3),""), "")</f>
        <v/>
      </c>
      <c r="C19" s="41" t="str">
        <f ca="1">IFERROR(INDEX(INDIRECT(zoneFichierEAN13Valmag),$O18,3),"")</f>
        <v/>
      </c>
      <c r="D19" s="19" t="str">
        <f ca="1">IFERROR(INDEX(INDIRECT(zoneFichierEAN13Valmag),$O18,4),"")</f>
        <v/>
      </c>
      <c r="E19" s="32" t="str">
        <f ca="1">IFERROR(INDEX(INDIRECT(zoneFichierFiltreCatalogue),S18,3),"")</f>
        <v/>
      </c>
      <c r="F19" s="19"/>
      <c r="G19" s="18"/>
      <c r="H19" s="33" t="str">
        <f ca="1">IFERROR(INDEX(INDIRECT(zoneFichierFiltreCatalogue),S18,6),"")</f>
        <v/>
      </c>
      <c r="R19" s="21"/>
      <c r="S19" s="21"/>
    </row>
    <row r="20" spans="1:20" ht="39" customHeight="1" thickBot="1" x14ac:dyDescent="0.65">
      <c r="A20" s="9" t="str">
        <f ca="1">INDEX(INDIRECT(zoneFichierTraite),$J20+offsetInitialFichierTraite,6)</f>
        <v>UNICA</v>
      </c>
      <c r="B20" s="5" t="str">
        <f ca="1">INDEX(INDIRECT(zoneFichierTraite),$J20+offsetInitialFichierTraite,4)</f>
        <v>HLESGC00-ROS10-371</v>
      </c>
      <c r="C20" s="26" t="str">
        <f ca="1">INDEX(INDIRECT(zoneFichierTraite),$J20+offsetInitialFichierTraite,5)</f>
        <v>ANSES COURTES EN CORDE EN COTON TRESSE</v>
      </c>
      <c r="D20" s="27" t="str">
        <f ca="1">INDEX(INDIRECT(zoneFichierTraite),$J20+offsetInitialFichierTraite,13)</f>
        <v>latte</v>
      </c>
      <c r="E20" s="30">
        <f ca="1">INDEX(INDIRECT(zoneFichierTraite),$J20+offsetInitialFichierTraite,7)</f>
        <v>5</v>
      </c>
      <c r="F20" s="28">
        <f ca="1">INDEX(INDIRECT(zoneFichierTraite),$J20+offsetInitialFichierTraite,8)</f>
        <v>7.8</v>
      </c>
      <c r="G20" s="29">
        <f t="shared" ca="1" si="0"/>
        <v>24</v>
      </c>
      <c r="H20" s="31" t="str">
        <f ca="1">IF(ISNUMBER(N20),codeEAN13(INT(N20/10)),"")</f>
        <v>8APASOG*afiabj+</v>
      </c>
      <c r="I20" s="1" t="b">
        <f t="shared" ref="I20" ca="1" si="10">A21=A23</f>
        <v>0</v>
      </c>
      <c r="J20" s="15">
        <f t="shared" si="1"/>
        <v>6</v>
      </c>
      <c r="K20" s="1">
        <f t="shared" ref="K20" ca="1" si="11">A21</f>
        <v>38</v>
      </c>
      <c r="L20" s="5" t="str">
        <f ca="1">INDEX(INDIRECT(zoneFichierTraite),$J20+offsetInitialFichierTraite,1)</f>
        <v>'006</v>
      </c>
      <c r="M20" s="11">
        <f ca="1">INDEX(INDIRECT(zoneFichierTraite),$J20+offsetInitialFichierTraite,9)</f>
        <v>39</v>
      </c>
      <c r="N20" s="14">
        <f ca="1">INDEX(INDIRECT(zoneFichierTraite),$J20+offsetInitialFichierTraite,3)</f>
        <v>8050846058019</v>
      </c>
      <c r="O20" s="1" t="e">
        <f ca="1">MATCH(N20,INDIRECT(nomFichierEAN13Valmag &amp; "!A:A"),0)</f>
        <v>#REF!</v>
      </c>
      <c r="P20" s="1" t="e">
        <f ca="1">MATCH(R20,INDIRECT(nomFichierEAN13Valmag &amp; "!A:A"),0)</f>
        <v>#REF!</v>
      </c>
      <c r="Q20" s="1" t="e">
        <f ca="1">MATCH(LEFT(B20,14) &amp; "*",INDIRECT(nomFichierEAN13Valmag &amp; "!B:B"),0)</f>
        <v>#REF!</v>
      </c>
      <c r="R20" s="14" t="str">
        <f ca="1">IFERROR(INDEX(INDIRECT(zoneFichierEAN13Valmag),Q20,1),"")</f>
        <v/>
      </c>
      <c r="S20" s="1" t="e">
        <f ca="1">MATCH(B20,INDIRECT(nomFichierFiltreCatalogue &amp; "!B:B"),0)</f>
        <v>#REF!</v>
      </c>
      <c r="T20" s="14"/>
    </row>
    <row r="21" spans="1:20" s="20" customFormat="1" ht="15.75" customHeight="1" x14ac:dyDescent="0.25">
      <c r="A21" s="25">
        <f ca="1">INDEX(INDIRECT(zoneFichierTraite),$J20+offsetInitialFichierTraite,2)</f>
        <v>38</v>
      </c>
      <c r="B21" s="42" t="str">
        <f ca="1">IF(C21="", IFERROR(INDEX(INDIRECT(zoneFichierEAN13Valmag),$P20,3),""), "")</f>
        <v/>
      </c>
      <c r="C21" s="41" t="str">
        <f ca="1">IFERROR(INDEX(INDIRECT(zoneFichierEAN13Valmag),$O20,3),"")</f>
        <v/>
      </c>
      <c r="D21" s="19" t="str">
        <f ca="1">IFERROR(INDEX(INDIRECT(zoneFichierEAN13Valmag),$O20,4),"")</f>
        <v/>
      </c>
      <c r="E21" s="32" t="str">
        <f ca="1">IFERROR(INDEX(INDIRECT(zoneFichierFiltreCatalogue),S20,3),"")</f>
        <v/>
      </c>
      <c r="F21" s="19"/>
      <c r="G21" s="18"/>
      <c r="H21" s="33" t="str">
        <f ca="1">IFERROR(INDEX(INDIRECT(zoneFichierFiltreCatalogue),S20,6),"")</f>
        <v/>
      </c>
      <c r="R21" s="21"/>
      <c r="S21" s="21"/>
    </row>
    <row r="22" spans="1:20" ht="39" customHeight="1" thickBot="1" x14ac:dyDescent="0.65">
      <c r="A22" s="9" t="str">
        <f ca="1">INDEX(INDIRECT(zoneFichierTraite),$J22+offsetInitialFichierTraite,6)</f>
        <v>UNICA</v>
      </c>
      <c r="B22" s="5" t="str">
        <f ca="1">INDEX(INDIRECT(zoneFichierTraite),$J22+offsetInitialFichierTraite,4)</f>
        <v>HLESLL01-ECS07-048</v>
      </c>
      <c r="C22" s="26" t="str">
        <f ca="1">INDEX(INDIRECT(zoneFichierTraite),$J22+offsetInitialFichierTraite,5)</f>
        <v>ANSES LONGUES LINEAR AVEC BOUCLE EN FAUX CUIR EFFET GRIFFE</v>
      </c>
      <c r="D22" s="27" t="str">
        <f ca="1">INDEX(INDIRECT(zoneFichierTraite),$J22+offsetInitialFichierTraite,13)</f>
        <v>mattone</v>
      </c>
      <c r="E22" s="30">
        <f ca="1">INDEX(INDIRECT(zoneFichierTraite),$J22+offsetInitialFichierTraite,7)</f>
        <v>2</v>
      </c>
      <c r="F22" s="28">
        <f ca="1">INDEX(INDIRECT(zoneFichierTraite),$J22+offsetInitialFichierTraite,8)</f>
        <v>13.33</v>
      </c>
      <c r="G22" s="29">
        <f t="shared" ca="1" si="0"/>
        <v>40</v>
      </c>
      <c r="H22" s="31" t="str">
        <f ca="1">IF(ISNUMBER(N22),codeEAN13(INT(N22/10)),"")</f>
        <v>8APASOG*agbage+</v>
      </c>
      <c r="I22" s="1" t="b">
        <f t="shared" ref="I22" ca="1" si="12">A23=A25</f>
        <v>0</v>
      </c>
      <c r="J22" s="15">
        <f t="shared" si="1"/>
        <v>7</v>
      </c>
      <c r="K22" s="1">
        <f t="shared" ref="K22" ca="1" si="13">A23</f>
        <v>12</v>
      </c>
      <c r="L22" s="5" t="str">
        <f ca="1">INDEX(INDIRECT(zoneFichierTraite),$J22+offsetInitialFichierTraite,1)</f>
        <v>'007</v>
      </c>
      <c r="M22" s="11">
        <f ca="1">INDEX(INDIRECT(zoneFichierTraite),$J22+offsetInitialFichierTraite,9)</f>
        <v>26.66</v>
      </c>
      <c r="N22" s="14">
        <f ca="1">INDEX(INDIRECT(zoneFichierTraite),$J22+offsetInitialFichierTraite,3)</f>
        <v>8050846061064</v>
      </c>
      <c r="O22" s="1" t="e">
        <f ca="1">MATCH(N22,INDIRECT(nomFichierEAN13Valmag &amp; "!A:A"),0)</f>
        <v>#REF!</v>
      </c>
      <c r="P22" s="1" t="e">
        <f ca="1">MATCH(R22,INDIRECT(nomFichierEAN13Valmag &amp; "!A:A"),0)</f>
        <v>#REF!</v>
      </c>
      <c r="Q22" s="1" t="e">
        <f ca="1">MATCH(LEFT(B22,14) &amp; "*",INDIRECT(nomFichierEAN13Valmag &amp; "!B:B"),0)</f>
        <v>#REF!</v>
      </c>
      <c r="R22" s="14" t="str">
        <f ca="1">IFERROR(INDEX(INDIRECT(zoneFichierEAN13Valmag),Q22,1),"")</f>
        <v/>
      </c>
      <c r="S22" s="1" t="e">
        <f ca="1">MATCH(B22,INDIRECT(nomFichierFiltreCatalogue &amp; "!B:B"),0)</f>
        <v>#REF!</v>
      </c>
      <c r="T22" s="14"/>
    </row>
    <row r="23" spans="1:20" s="20" customFormat="1" ht="15.75" customHeight="1" x14ac:dyDescent="0.25">
      <c r="A23" s="25">
        <f ca="1">INDEX(INDIRECT(zoneFichierTraite),$J22+offsetInitialFichierTraite,2)</f>
        <v>12</v>
      </c>
      <c r="B23" s="42" t="str">
        <f ca="1">IF(C23="", IFERROR(INDEX(INDIRECT(zoneFichierEAN13Valmag),$P22,3),""), "")</f>
        <v/>
      </c>
      <c r="C23" s="41" t="str">
        <f ca="1">IFERROR(INDEX(INDIRECT(zoneFichierEAN13Valmag),$O22,3),"")</f>
        <v/>
      </c>
      <c r="D23" s="19" t="str">
        <f ca="1">IFERROR(INDEX(INDIRECT(zoneFichierEAN13Valmag),$O22,4),"")</f>
        <v/>
      </c>
      <c r="E23" s="32" t="str">
        <f ca="1">IFERROR(INDEX(INDIRECT(zoneFichierFiltreCatalogue),S22,3),"")</f>
        <v/>
      </c>
      <c r="F23" s="19"/>
      <c r="G23" s="18"/>
      <c r="H23" s="33" t="str">
        <f ca="1">IFERROR(INDEX(INDIRECT(zoneFichierFiltreCatalogue),S22,6),"")</f>
        <v/>
      </c>
      <c r="R23" s="21"/>
      <c r="S23" s="21"/>
    </row>
    <row r="24" spans="1:20" ht="39" customHeight="1" thickBot="1" x14ac:dyDescent="0.65">
      <c r="A24" s="9" t="str">
        <f ca="1">INDEX(INDIRECT(zoneFichierTraite),$J24+offsetInitialFichierTraite,6)</f>
        <v>UNICA</v>
      </c>
      <c r="B24" s="5" t="str">
        <f ca="1">INDEX(INDIRECT(zoneFichierTraite),$J24+offsetInitialFichierTraite,4)</f>
        <v>OBAGA000-ECS07-078</v>
      </c>
      <c r="C24" s="26" t="str">
        <f ca="1">INDEX(INDIRECT(zoneFichierTraite),$J24+offsetInitialFichierTraite,5)</f>
        <v>ACCESSOIRE CLIP EN FAUX CUIR EFFET GRIFFE</v>
      </c>
      <c r="D24" s="27" t="str">
        <f ca="1">INDEX(INDIRECT(zoneFichierTraite),$J24+offsetInitialFichierTraite,13)</f>
        <v>sabbia</v>
      </c>
      <c r="E24" s="30">
        <f ca="1">INDEX(INDIRECT(zoneFichierTraite),$J24+offsetInitialFichierTraite,7)</f>
        <v>4</v>
      </c>
      <c r="F24" s="28">
        <f ca="1">INDEX(INDIRECT(zoneFichierTraite),$J24+offsetInitialFichierTraite,8)</f>
        <v>3.33</v>
      </c>
      <c r="G24" s="29">
        <f t="shared" ca="1" si="0"/>
        <v>10</v>
      </c>
      <c r="H24" s="31" t="str">
        <f ca="1">IF(ISNUMBER(N24),codeEAN13(INT(N24/10)),"")</f>
        <v>8APASOG*agafhj+</v>
      </c>
      <c r="J24" s="15">
        <f t="shared" si="1"/>
        <v>8</v>
      </c>
      <c r="K24" s="1">
        <f t="shared" ref="K24" ca="1" si="14">A25</f>
        <v>9</v>
      </c>
      <c r="L24" s="5" t="str">
        <f ca="1">INDEX(INDIRECT(zoneFichierTraite),$J24+offsetInitialFichierTraite,1)</f>
        <v>'008</v>
      </c>
      <c r="M24" s="11">
        <f ca="1">INDEX(INDIRECT(zoneFichierTraite),$J24+offsetInitialFichierTraite,9)</f>
        <v>13.32</v>
      </c>
      <c r="N24" s="14">
        <f ca="1">INDEX(INDIRECT(zoneFichierTraite),$J24+offsetInitialFichierTraite,3)</f>
        <v>8050846060579</v>
      </c>
      <c r="O24" s="1" t="e">
        <f ca="1">MATCH(N24,INDIRECT(nomFichierEAN13Valmag &amp; "!A:A"),0)</f>
        <v>#REF!</v>
      </c>
      <c r="P24" s="1" t="e">
        <f ca="1">MATCH(R24,INDIRECT(nomFichierEAN13Valmag &amp; "!A:A"),0)</f>
        <v>#REF!</v>
      </c>
      <c r="Q24" s="1" t="e">
        <f ca="1">MATCH(LEFT(B24,14) &amp; "*",INDIRECT(nomFichierEAN13Valmag &amp; "!B:B"),0)</f>
        <v>#REF!</v>
      </c>
      <c r="R24" s="14" t="str">
        <f ca="1">IFERROR(INDEX(INDIRECT(zoneFichierEAN13Valmag),Q24,1),"")</f>
        <v/>
      </c>
      <c r="S24" s="1" t="e">
        <f ca="1">MATCH(B24,INDIRECT(nomFichierFiltreCatalogue &amp; "!B:B"),0)</f>
        <v>#REF!</v>
      </c>
      <c r="T24" s="14"/>
    </row>
    <row r="25" spans="1:20" s="20" customFormat="1" ht="15.75" customHeight="1" x14ac:dyDescent="0.25">
      <c r="A25" s="25">
        <f ca="1">INDEX(INDIRECT(zoneFichierTraite),$J24+offsetInitialFichierTraite,2)</f>
        <v>9</v>
      </c>
      <c r="B25" s="42" t="str">
        <f ca="1">IF(C25="", IFERROR(INDEX(INDIRECT(zoneFichierEAN13Valmag),$P24,3),""), "")</f>
        <v/>
      </c>
      <c r="C25" s="41" t="str">
        <f ca="1">IFERROR(INDEX(INDIRECT(zoneFichierEAN13Valmag),$O24,3),"")</f>
        <v/>
      </c>
      <c r="D25" s="19" t="str">
        <f ca="1">IFERROR(INDEX(INDIRECT(zoneFichierEAN13Valmag),$O24,4),"")</f>
        <v/>
      </c>
      <c r="E25" s="32" t="str">
        <f ca="1">IFERROR(INDEX(INDIRECT(zoneFichierFiltreCatalogue),S24,3),"")</f>
        <v/>
      </c>
      <c r="F25" s="19"/>
      <c r="G25" s="18"/>
      <c r="H25" s="33" t="str">
        <f ca="1">IFERROR(INDEX(INDIRECT(zoneFichierFiltreCatalogue),S24,6),"")</f>
        <v/>
      </c>
      <c r="R25" s="21"/>
      <c r="S25" s="21"/>
    </row>
    <row r="26" spans="1:20" ht="39" customHeight="1" thickBot="1" x14ac:dyDescent="0.65">
      <c r="A26" s="9" t="str">
        <f ca="1">INDEX(INDIRECT(zoneFichierTraite),$J26+offsetInitialFichierTraite,6)</f>
        <v>UNICA</v>
      </c>
      <c r="B26" s="5" t="str">
        <f ca="1">INDEX(INDIRECT(zoneFichierTraite),$J26+offsetInitialFichierTraite,4)</f>
        <v>OBAGB001-EVS00-075</v>
      </c>
      <c r="C26" s="26" t="str">
        <f ca="1">INDEX(INDIRECT(zoneFichierTraite),$J26+offsetInitialFichierTraite,5)</f>
        <v>CORPS O BAG EVA COMPOUND</v>
      </c>
      <c r="D26" s="27" t="str">
        <f ca="1">INDEX(INDIRECT(zoneFichierTraite),$J26+offsetInitialFichierTraite,13)</f>
        <v>rosa smoke</v>
      </c>
      <c r="E26" s="30">
        <f ca="1">INDEX(INDIRECT(zoneFichierTraite),$J26+offsetInitialFichierTraite,7)</f>
        <v>1</v>
      </c>
      <c r="F26" s="28">
        <f ca="1">INDEX(INDIRECT(zoneFichierTraite),$J26+offsetInitialFichierTraite,8)</f>
        <v>14.4</v>
      </c>
      <c r="G26" s="29">
        <f t="shared" ca="1" si="0"/>
        <v>44</v>
      </c>
      <c r="H26" s="31" t="str">
        <f ca="1">IF(ISNUMBER(N26),codeEAN13(INT(N26/10)),"")</f>
        <v>8APAOPA*cbhfib+</v>
      </c>
      <c r="J26" s="15">
        <f t="shared" si="1"/>
        <v>9</v>
      </c>
      <c r="K26" s="1">
        <f t="shared" ref="K26" ca="1" si="15">A27</f>
        <v>3</v>
      </c>
      <c r="L26" s="5" t="str">
        <f ca="1">INDEX(INDIRECT(zoneFichierTraite),$J26+offsetInitialFichierTraite,1)</f>
        <v>'009</v>
      </c>
      <c r="M26" s="11">
        <f ca="1">INDEX(INDIRECT(zoneFichierTraite),$J26+offsetInitialFichierTraite,9)</f>
        <v>14.4</v>
      </c>
      <c r="N26" s="14">
        <f ca="1">INDEX(INDIRECT(zoneFichierTraite),$J26+offsetInitialFichierTraite,3)</f>
        <v>8050450217581</v>
      </c>
      <c r="O26" s="1" t="e">
        <f ca="1">MATCH(N26,INDIRECT(nomFichierEAN13Valmag &amp; "!A:A"),0)</f>
        <v>#REF!</v>
      </c>
      <c r="P26" s="1" t="e">
        <f ca="1">MATCH(R26,INDIRECT(nomFichierEAN13Valmag &amp; "!A:A"),0)</f>
        <v>#REF!</v>
      </c>
      <c r="Q26" s="1" t="e">
        <f ca="1">MATCH(LEFT(B26,14) &amp; "*",INDIRECT(nomFichierEAN13Valmag &amp; "!B:B"),0)</f>
        <v>#REF!</v>
      </c>
      <c r="R26" s="14" t="str">
        <f ca="1">IFERROR(INDEX(INDIRECT(zoneFichierEAN13Valmag),Q26,1),"")</f>
        <v/>
      </c>
      <c r="S26" s="1" t="e">
        <f ca="1">MATCH(B26,INDIRECT(nomFichierFiltreCatalogue &amp; "!B:B"),0)</f>
        <v>#REF!</v>
      </c>
      <c r="T26" s="14"/>
    </row>
    <row r="27" spans="1:20" s="20" customFormat="1" ht="15.75" customHeight="1" x14ac:dyDescent="0.25">
      <c r="A27" s="25">
        <f ca="1">INDEX(INDIRECT(zoneFichierTraite),$J26+offsetInitialFichierTraite,2)</f>
        <v>3</v>
      </c>
      <c r="B27" s="42" t="str">
        <f ca="1">IF(C27="", IFERROR(INDEX(INDIRECT(zoneFichierEAN13Valmag),$P26,3),""), "")</f>
        <v/>
      </c>
      <c r="C27" s="41" t="str">
        <f ca="1">IFERROR(INDEX(INDIRECT(zoneFichierEAN13Valmag),$O26,3),"")</f>
        <v/>
      </c>
      <c r="D27" s="19" t="str">
        <f ca="1">IFERROR(INDEX(INDIRECT(zoneFichierEAN13Valmag),$O26,4),"")</f>
        <v/>
      </c>
      <c r="E27" s="32" t="str">
        <f ca="1">IFERROR(INDEX(INDIRECT(zoneFichierFiltreCatalogue),S26,3),"")</f>
        <v/>
      </c>
      <c r="F27" s="19"/>
      <c r="G27" s="18"/>
      <c r="H27" s="33" t="str">
        <f ca="1">IFERROR(INDEX(INDIRECT(zoneFichierFiltreCatalogue),S26,6),"")</f>
        <v/>
      </c>
      <c r="R27" s="21"/>
      <c r="S27" s="21"/>
    </row>
    <row r="28" spans="1:20" ht="39" customHeight="1" thickBot="1" x14ac:dyDescent="0.65">
      <c r="A28" s="9" t="str">
        <f ca="1">INDEX(INDIRECT(zoneFichierTraite),$J28+offsetInitialFichierTraite,6)</f>
        <v>UNICA</v>
      </c>
      <c r="B28" s="5" t="str">
        <f ca="1">INDEX(INDIRECT(zoneFichierTraite),$J28+offsetInitialFichierTraite,4)</f>
        <v>OBAGB002-EVS51-371</v>
      </c>
      <c r="C28" s="26" t="str">
        <f ca="1">INDEX(INDIRECT(zoneFichierTraite),$J28+offsetInitialFichierTraite,5)</f>
        <v>CORPS O BAG MINI EVA COMPOUND IMPRIME Ã€ FLEURS PEINT Ã€ LA MAIN</v>
      </c>
      <c r="D28" s="27" t="str">
        <f ca="1">INDEX(INDIRECT(zoneFichierTraite),$J28+offsetInitialFichierTraite,13)</f>
        <v>CodeBarre</v>
      </c>
      <c r="E28" s="30">
        <f ca="1">INDEX(INDIRECT(zoneFichierTraite),$J28+offsetInitialFichierTraite,7)</f>
        <v>2</v>
      </c>
      <c r="F28" s="28">
        <f ca="1">INDEX(INDIRECT(zoneFichierTraite),$J28+offsetInitialFichierTraite,8)</f>
        <v>31.48</v>
      </c>
      <c r="G28" s="29">
        <f t="shared" ca="1" si="0"/>
        <v>95</v>
      </c>
      <c r="H28" s="31" t="str">
        <f ca="1">IF(ISNUMBER(N28),codeEAN13(INT(N28/10)),"")</f>
        <v/>
      </c>
      <c r="J28" s="15">
        <f t="shared" si="1"/>
        <v>10</v>
      </c>
      <c r="K28" s="1">
        <f t="shared" ref="K28" ca="1" si="16">A29</f>
        <v>23</v>
      </c>
      <c r="L28" s="5" t="str">
        <f ca="1">INDEX(INDIRECT(zoneFichierTraite),$J28+offsetInitialFichierTraite,1)</f>
        <v>'010</v>
      </c>
      <c r="M28" s="11">
        <f ca="1">INDEX(INDIRECT(zoneFichierTraite),$J28+offsetInitialFichierTraite,9)</f>
        <v>62.96</v>
      </c>
      <c r="N28" s="14" t="str">
        <f ca="1">INDEX(INDIRECT(zoneFichierTraite),$J28+offsetInitialFichierTraite,3)</f>
        <v>CodeBarre</v>
      </c>
      <c r="O28" s="1" t="e">
        <f ca="1">MATCH(N28,INDIRECT(nomFichierEAN13Valmag &amp; "!A:A"),0)</f>
        <v>#REF!</v>
      </c>
      <c r="P28" s="1" t="e">
        <f ca="1">MATCH(R28,INDIRECT(nomFichierEAN13Valmag &amp; "!A:A"),0)</f>
        <v>#REF!</v>
      </c>
      <c r="Q28" s="1" t="e">
        <f ca="1">MATCH(LEFT(B28,14) &amp; "*",INDIRECT(nomFichierEAN13Valmag &amp; "!B:B"),0)</f>
        <v>#REF!</v>
      </c>
      <c r="R28" s="14" t="str">
        <f ca="1">IFERROR(INDEX(INDIRECT(zoneFichierEAN13Valmag),Q28,1),"")</f>
        <v/>
      </c>
      <c r="S28" s="1" t="e">
        <f ca="1">MATCH(B28,INDIRECT(nomFichierFiltreCatalogue &amp; "!B:B"),0)</f>
        <v>#REF!</v>
      </c>
      <c r="T28" s="14"/>
    </row>
    <row r="29" spans="1:20" s="20" customFormat="1" ht="15.75" customHeight="1" x14ac:dyDescent="0.25">
      <c r="A29" s="25">
        <f ca="1">INDEX(INDIRECT(zoneFichierTraite),$J28+offsetInitialFichierTraite,2)</f>
        <v>23</v>
      </c>
      <c r="B29" s="42" t="str">
        <f ca="1">IF(C29="", IFERROR(INDEX(INDIRECT(zoneFichierEAN13Valmag),$P28,3),""), "")</f>
        <v/>
      </c>
      <c r="C29" s="41" t="str">
        <f ca="1">IFERROR(INDEX(INDIRECT(zoneFichierEAN13Valmag),$O28,3),"")</f>
        <v/>
      </c>
      <c r="D29" s="19" t="str">
        <f ca="1">IFERROR(INDEX(INDIRECT(zoneFichierEAN13Valmag),$O28,4),"")</f>
        <v/>
      </c>
      <c r="E29" s="32" t="str">
        <f ca="1">IFERROR(INDEX(INDIRECT(zoneFichierFiltreCatalogue),S28,3),"")</f>
        <v/>
      </c>
      <c r="F29" s="19"/>
      <c r="G29" s="18"/>
      <c r="H29" s="33" t="str">
        <f ca="1">IFERROR(INDEX(INDIRECT(zoneFichierFiltreCatalogue),S28,6),"")</f>
        <v/>
      </c>
      <c r="R29" s="21"/>
      <c r="S29" s="21"/>
    </row>
    <row r="30" spans="1:20" ht="39" customHeight="1" thickBot="1" x14ac:dyDescent="0.65">
      <c r="A30" s="9" t="str">
        <f ca="1">INDEX(INDIRECT(zoneFichierTraite),$J30+offsetInitialFichierTraite,6)</f>
        <v>UNICA</v>
      </c>
      <c r="B30" s="5" t="str">
        <f ca="1">INDEX(INDIRECT(zoneFichierTraite),$J30+offsetInitialFichierTraite,4)</f>
        <v>OBAGB046-EVS00-048</v>
      </c>
      <c r="C30" s="26" t="str">
        <f ca="1">INDEX(INDIRECT(zoneFichierTraite),$J30+offsetInitialFichierTraite,5)</f>
        <v>CORPS O BAG REVERSE EVA COMPOUND</v>
      </c>
      <c r="D30" s="27" t="str">
        <f ca="1">INDEX(INDIRECT(zoneFichierTraite),$J30+offsetInitialFichierTraite,13)</f>
        <v>mattone</v>
      </c>
      <c r="E30" s="30">
        <f ca="1">INDEX(INDIRECT(zoneFichierTraite),$J30+offsetInitialFichierTraite,7)</f>
        <v>1</v>
      </c>
      <c r="F30" s="28">
        <f ca="1">INDEX(INDIRECT(zoneFichierTraite),$J30+offsetInitialFichierTraite,8)</f>
        <v>15.56</v>
      </c>
      <c r="G30" s="29">
        <f t="shared" ca="1" si="0"/>
        <v>47</v>
      </c>
      <c r="H30" s="31" t="str">
        <f ca="1">IF(ISNUMBER(N30),codeEAN13(INT(N30/10)),"")</f>
        <v>8APASOG*agdcec+</v>
      </c>
      <c r="J30" s="15">
        <f t="shared" si="1"/>
        <v>11</v>
      </c>
      <c r="K30" s="1">
        <f t="shared" ref="K30" ca="1" si="17">A31</f>
        <v>14</v>
      </c>
      <c r="L30" s="5" t="str">
        <f ca="1">INDEX(INDIRECT(zoneFichierTraite),$J30+offsetInitialFichierTraite,1)</f>
        <v>'011</v>
      </c>
      <c r="M30" s="11">
        <f ca="1">INDEX(INDIRECT(zoneFichierTraite),$J30+offsetInitialFichierTraite,9)</f>
        <v>15.56</v>
      </c>
      <c r="N30" s="14">
        <f ca="1">INDEX(INDIRECT(zoneFichierTraite),$J30+offsetInitialFichierTraite,3)</f>
        <v>8050846063242</v>
      </c>
      <c r="O30" s="1" t="e">
        <f ca="1">MATCH(N30,INDIRECT(nomFichierEAN13Valmag &amp; "!A:A"),0)</f>
        <v>#REF!</v>
      </c>
      <c r="P30" s="1" t="e">
        <f ca="1">MATCH(R30,INDIRECT(nomFichierEAN13Valmag &amp; "!A:A"),0)</f>
        <v>#REF!</v>
      </c>
      <c r="Q30" s="1" t="e">
        <f ca="1">MATCH(LEFT(B30,14) &amp; "*",INDIRECT(nomFichierEAN13Valmag &amp; "!B:B"),0)</f>
        <v>#REF!</v>
      </c>
      <c r="R30" s="14" t="str">
        <f ca="1">IFERROR(INDEX(INDIRECT(zoneFichierEAN13Valmag),Q30,1),"")</f>
        <v/>
      </c>
      <c r="S30" s="1" t="e">
        <f ca="1">MATCH(B30,INDIRECT(nomFichierFiltreCatalogue &amp; "!B:B"),0)</f>
        <v>#REF!</v>
      </c>
      <c r="T30" s="14"/>
    </row>
    <row r="31" spans="1:20" s="20" customFormat="1" ht="15.75" customHeight="1" x14ac:dyDescent="0.25">
      <c r="A31" s="25">
        <f ca="1">INDEX(INDIRECT(zoneFichierTraite),$J30+offsetInitialFichierTraite,2)</f>
        <v>14</v>
      </c>
      <c r="B31" s="42" t="str">
        <f ca="1">IF(C31="", IFERROR(INDEX(INDIRECT(zoneFichierEAN13Valmag),$P30,3),""), "")</f>
        <v/>
      </c>
      <c r="C31" s="41" t="str">
        <f ca="1">IFERROR(INDEX(INDIRECT(zoneFichierEAN13Valmag),$O30,3),"")</f>
        <v/>
      </c>
      <c r="D31" s="19" t="str">
        <f ca="1">IFERROR(INDEX(INDIRECT(zoneFichierEAN13Valmag),$O30,4),"")</f>
        <v/>
      </c>
      <c r="E31" s="32" t="str">
        <f ca="1">IFERROR(INDEX(INDIRECT(zoneFichierFiltreCatalogue),S30,3),"")</f>
        <v/>
      </c>
      <c r="F31" s="19"/>
      <c r="G31" s="18"/>
      <c r="H31" s="33" t="str">
        <f ca="1">IFERROR(INDEX(INDIRECT(zoneFichierFiltreCatalogue),S30,6),"")</f>
        <v/>
      </c>
      <c r="R31" s="21"/>
      <c r="S31" s="21"/>
    </row>
    <row r="32" spans="1:20" ht="39" customHeight="1" thickBot="1" x14ac:dyDescent="0.65">
      <c r="A32" s="9" t="str">
        <f ca="1">INDEX(INDIRECT(zoneFichierTraite),$J32+offsetInitialFichierTraite,6)</f>
        <v>UNICA</v>
      </c>
      <c r="B32" s="5" t="str">
        <f ca="1">INDEX(INDIRECT(zoneFichierTraite),$J32+offsetInitialFichierTraite,4)</f>
        <v>OBAGB046-EVS00-055</v>
      </c>
      <c r="C32" s="26" t="str">
        <f ca="1">INDEX(INDIRECT(zoneFichierTraite),$J32+offsetInitialFichierTraite,5)</f>
        <v>CORPS O BAG REVERSE EVA COMPOUND</v>
      </c>
      <c r="D32" s="27" t="str">
        <f ca="1">INDEX(INDIRECT(zoneFichierTraite),$J32+offsetInitialFichierTraite,13)</f>
        <v>nero</v>
      </c>
      <c r="E32" s="30">
        <f ca="1">INDEX(INDIRECT(zoneFichierTraite),$J32+offsetInitialFichierTraite,7)</f>
        <v>1</v>
      </c>
      <c r="F32" s="28">
        <f ca="1">INDEX(INDIRECT(zoneFichierTraite),$J32+offsetInitialFichierTraite,8)</f>
        <v>15.56</v>
      </c>
      <c r="G32" s="29">
        <f t="shared" ca="1" si="0"/>
        <v>47</v>
      </c>
      <c r="H32" s="31" t="str">
        <f ca="1">IF(ISNUMBER(N32),codeEAN13(INT(N32/10)),"")</f>
        <v>8APASOG*agdbib+</v>
      </c>
      <c r="J32" s="15">
        <f t="shared" si="1"/>
        <v>12</v>
      </c>
      <c r="K32" s="1">
        <f t="shared" ref="K32" ca="1" si="18">A33</f>
        <v>7</v>
      </c>
      <c r="L32" s="5" t="str">
        <f ca="1">INDEX(INDIRECT(zoneFichierTraite),$J32+offsetInitialFichierTraite,1)</f>
        <v>'012</v>
      </c>
      <c r="M32" s="11">
        <f ca="1">INDEX(INDIRECT(zoneFichierTraite),$J32+offsetInitialFichierTraite,9)</f>
        <v>15.56</v>
      </c>
      <c r="N32" s="14">
        <f ca="1">INDEX(INDIRECT(zoneFichierTraite),$J32+offsetInitialFichierTraite,3)</f>
        <v>8050846063181</v>
      </c>
      <c r="O32" s="1" t="e">
        <f ca="1">MATCH(N32,INDIRECT(nomFichierEAN13Valmag &amp; "!A:A"),0)</f>
        <v>#REF!</v>
      </c>
      <c r="P32" s="1" t="e">
        <f ca="1">MATCH(R32,INDIRECT(nomFichierEAN13Valmag &amp; "!A:A"),0)</f>
        <v>#REF!</v>
      </c>
      <c r="Q32" s="1" t="e">
        <f ca="1">MATCH(LEFT(B32,14) &amp; "*",INDIRECT(nomFichierEAN13Valmag &amp; "!B:B"),0)</f>
        <v>#REF!</v>
      </c>
      <c r="R32" s="14" t="str">
        <f ca="1">IFERROR(INDEX(INDIRECT(zoneFichierEAN13Valmag),Q32,1),"")</f>
        <v/>
      </c>
      <c r="S32" s="1" t="e">
        <f ca="1">MATCH(B32,INDIRECT(nomFichierFiltreCatalogue &amp; "!B:B"),0)</f>
        <v>#REF!</v>
      </c>
      <c r="T32" s="14"/>
    </row>
    <row r="33" spans="1:20" s="20" customFormat="1" ht="15.75" customHeight="1" x14ac:dyDescent="0.25">
      <c r="A33" s="25">
        <f ca="1">INDEX(INDIRECT(zoneFichierTraite),$J32+offsetInitialFichierTraite,2)</f>
        <v>7</v>
      </c>
      <c r="B33" s="42" t="str">
        <f ca="1">IF(C33="", IFERROR(INDEX(INDIRECT(zoneFichierEAN13Valmag),$P32,3),""), "")</f>
        <v/>
      </c>
      <c r="C33" s="41" t="str">
        <f ca="1">IFERROR(INDEX(INDIRECT(zoneFichierEAN13Valmag),$O32,3),"")</f>
        <v/>
      </c>
      <c r="D33" s="19" t="str">
        <f ca="1">IFERROR(INDEX(INDIRECT(zoneFichierEAN13Valmag),$O32,4),"")</f>
        <v/>
      </c>
      <c r="E33" s="32" t="str">
        <f ca="1">IFERROR(INDEX(INDIRECT(zoneFichierFiltreCatalogue),S32,3),"")</f>
        <v/>
      </c>
      <c r="F33" s="19"/>
      <c r="G33" s="18"/>
      <c r="H33" s="33" t="str">
        <f ca="1">IFERROR(INDEX(INDIRECT(zoneFichierFiltreCatalogue),S32,6),"")</f>
        <v/>
      </c>
      <c r="R33" s="21"/>
      <c r="S33" s="21"/>
    </row>
    <row r="34" spans="1:20" ht="39" customHeight="1" thickBot="1" x14ac:dyDescent="0.65">
      <c r="A34" s="9" t="str">
        <f ca="1">INDEX(INDIRECT(zoneFichierTraite),$J34+offsetInitialFichierTraite,6)</f>
        <v>UNICA</v>
      </c>
      <c r="B34" s="5" t="str">
        <f ca="1">INDEX(INDIRECT(zoneFichierTraite),$J34+offsetInitialFichierTraite,4)</f>
        <v>OBAGB046-EVS00-078</v>
      </c>
      <c r="C34" s="26" t="str">
        <f ca="1">INDEX(INDIRECT(zoneFichierTraite),$J34+offsetInitialFichierTraite,5)</f>
        <v>CORPS O BAG REVERSE EVA COMPOUND</v>
      </c>
      <c r="D34" s="27" t="str">
        <f ca="1">INDEX(INDIRECT(zoneFichierTraite),$J34+offsetInitialFichierTraite,13)</f>
        <v>sabbia</v>
      </c>
      <c r="E34" s="30">
        <f ca="1">INDEX(INDIRECT(zoneFichierTraite),$J34+offsetInitialFichierTraite,7)</f>
        <v>1</v>
      </c>
      <c r="F34" s="28">
        <f ca="1">INDEX(INDIRECT(zoneFichierTraite),$J34+offsetInitialFichierTraite,8)</f>
        <v>15.56</v>
      </c>
      <c r="G34" s="29">
        <f t="shared" ca="1" si="0"/>
        <v>47</v>
      </c>
      <c r="H34" s="31" t="str">
        <f ca="1">IF(ISNUMBER(N34),codeEAN13(INT(N34/10)),"")</f>
        <v>8APASOG*aifbah+</v>
      </c>
      <c r="J34" s="15">
        <f t="shared" si="1"/>
        <v>13</v>
      </c>
      <c r="K34" s="1">
        <f t="shared" ref="K34" ca="1" si="19">A35</f>
        <v>15</v>
      </c>
      <c r="L34" s="5" t="str">
        <f ca="1">INDEX(INDIRECT(zoneFichierTraite),$J34+offsetInitialFichierTraite,1)</f>
        <v>'013</v>
      </c>
      <c r="M34" s="11">
        <f ca="1">INDEX(INDIRECT(zoneFichierTraite),$J34+offsetInitialFichierTraite,9)</f>
        <v>15.56</v>
      </c>
      <c r="N34" s="14">
        <f ca="1">INDEX(INDIRECT(zoneFichierTraite),$J34+offsetInitialFichierTraite,3)</f>
        <v>8050846085107</v>
      </c>
      <c r="O34" s="1" t="e">
        <f ca="1">MATCH(N34,INDIRECT(nomFichierEAN13Valmag &amp; "!A:A"),0)</f>
        <v>#REF!</v>
      </c>
      <c r="P34" s="1" t="e">
        <f ca="1">MATCH(R34,INDIRECT(nomFichierEAN13Valmag &amp; "!A:A"),0)</f>
        <v>#REF!</v>
      </c>
      <c r="Q34" s="1" t="e">
        <f ca="1">MATCH(LEFT(B34,14) &amp; "*",INDIRECT(nomFichierEAN13Valmag &amp; "!B:B"),0)</f>
        <v>#REF!</v>
      </c>
      <c r="R34" s="14" t="str">
        <f ca="1">IFERROR(INDEX(INDIRECT(zoneFichierEAN13Valmag),Q34,1),"")</f>
        <v/>
      </c>
      <c r="S34" s="1" t="e">
        <f ca="1">MATCH(B34,INDIRECT(nomFichierFiltreCatalogue &amp; "!B:B"),0)</f>
        <v>#REF!</v>
      </c>
      <c r="T34" s="14"/>
    </row>
    <row r="35" spans="1:20" s="20" customFormat="1" ht="15.75" customHeight="1" x14ac:dyDescent="0.25">
      <c r="A35" s="25">
        <f ca="1">INDEX(INDIRECT(zoneFichierTraite),$J34+offsetInitialFichierTraite,2)</f>
        <v>15</v>
      </c>
      <c r="B35" s="42" t="str">
        <f ca="1">IF(C35="", IFERROR(INDEX(INDIRECT(zoneFichierEAN13Valmag),$P34,3),""), "")</f>
        <v/>
      </c>
      <c r="C35" s="41" t="str">
        <f ca="1">IFERROR(INDEX(INDIRECT(zoneFichierEAN13Valmag),$O34,3),"")</f>
        <v/>
      </c>
      <c r="D35" s="19" t="str">
        <f ca="1">IFERROR(INDEX(INDIRECT(zoneFichierEAN13Valmag),$O34,4),"")</f>
        <v/>
      </c>
      <c r="E35" s="32" t="str">
        <f ca="1">IFERROR(INDEX(INDIRECT(zoneFichierFiltreCatalogue),S34,3),"")</f>
        <v/>
      </c>
      <c r="F35" s="19"/>
      <c r="G35" s="18"/>
      <c r="H35" s="33" t="str">
        <f ca="1">IFERROR(INDEX(INDIRECT(zoneFichierFiltreCatalogue),S34,6),"")</f>
        <v/>
      </c>
      <c r="R35" s="21"/>
      <c r="S35" s="21"/>
    </row>
    <row r="36" spans="1:20" ht="39" customHeight="1" thickBot="1" x14ac:dyDescent="0.65">
      <c r="A36" s="9" t="str">
        <f ca="1">INDEX(INDIRECT(zoneFichierTraite),$J36+offsetInitialFichierTraite,6)</f>
        <v>UNICA</v>
      </c>
      <c r="B36" s="5" t="str">
        <f ca="1">INDEX(INDIRECT(zoneFichierTraite),$J36+offsetInitialFichierTraite,4)</f>
        <v>OBAGB047-EVS00-048</v>
      </c>
      <c r="C36" s="26" t="str">
        <f ca="1">INDEX(INDIRECT(zoneFichierTraite),$J36+offsetInitialFichierTraite,5)</f>
        <v>CORPS O BAG QUEEN EVA COMPOUND</v>
      </c>
      <c r="D36" s="27" t="str">
        <f ca="1">INDEX(INDIRECT(zoneFichierTraite),$J36+offsetInitialFichierTraite,13)</f>
        <v>mattone</v>
      </c>
      <c r="E36" s="30">
        <f ca="1">INDEX(INDIRECT(zoneFichierTraite),$J36+offsetInitialFichierTraite,7)</f>
        <v>1</v>
      </c>
      <c r="F36" s="28">
        <f ca="1">INDEX(INDIRECT(zoneFichierTraite),$J36+offsetInitialFichierTraite,8)</f>
        <v>15.56</v>
      </c>
      <c r="G36" s="29">
        <f t="shared" ca="1" si="0"/>
        <v>47</v>
      </c>
      <c r="H36" s="31" t="str">
        <f ca="1">IF(ISNUMBER(N36),codeEAN13(INT(N36/10)),"")</f>
        <v>8APASOG*agdbfa+</v>
      </c>
      <c r="J36" s="15">
        <f t="shared" si="1"/>
        <v>14</v>
      </c>
      <c r="K36" s="1">
        <f t="shared" ref="K36" ca="1" si="20">A37</f>
        <v>26</v>
      </c>
      <c r="L36" s="5" t="str">
        <f ca="1">INDEX(INDIRECT(zoneFichierTraite),$J36+offsetInitialFichierTraite,1)</f>
        <v>'014</v>
      </c>
      <c r="M36" s="11">
        <f ca="1">INDEX(INDIRECT(zoneFichierTraite),$J36+offsetInitialFichierTraite,9)</f>
        <v>15.56</v>
      </c>
      <c r="N36" s="14">
        <f ca="1">INDEX(INDIRECT(zoneFichierTraite),$J36+offsetInitialFichierTraite,3)</f>
        <v>8050846063150</v>
      </c>
      <c r="O36" s="1" t="e">
        <f ca="1">MATCH(N36,INDIRECT(nomFichierEAN13Valmag &amp; "!A:A"),0)</f>
        <v>#REF!</v>
      </c>
      <c r="P36" s="1" t="e">
        <f ca="1">MATCH(R36,INDIRECT(nomFichierEAN13Valmag &amp; "!A:A"),0)</f>
        <v>#REF!</v>
      </c>
      <c r="Q36" s="1" t="e">
        <f ca="1">MATCH(LEFT(B36,14) &amp; "*",INDIRECT(nomFichierEAN13Valmag &amp; "!B:B"),0)</f>
        <v>#REF!</v>
      </c>
      <c r="R36" s="14" t="str">
        <f ca="1">IFERROR(INDEX(INDIRECT(zoneFichierEAN13Valmag),Q36,1),"")</f>
        <v/>
      </c>
      <c r="S36" s="1" t="e">
        <f ca="1">MATCH(B36,INDIRECT(nomFichierFiltreCatalogue &amp; "!B:B"),0)</f>
        <v>#REF!</v>
      </c>
      <c r="T36" s="14"/>
    </row>
    <row r="37" spans="1:20" s="20" customFormat="1" ht="15.75" customHeight="1" x14ac:dyDescent="0.25">
      <c r="A37" s="25">
        <f ca="1">INDEX(INDIRECT(zoneFichierTraite),$J36+offsetInitialFichierTraite,2)</f>
        <v>26</v>
      </c>
      <c r="B37" s="42" t="str">
        <f ca="1">IF(C37="", IFERROR(INDEX(INDIRECT(zoneFichierEAN13Valmag),$P36,3),""), "")</f>
        <v/>
      </c>
      <c r="C37" s="41" t="str">
        <f ca="1">IFERROR(INDEX(INDIRECT(zoneFichierEAN13Valmag),$O36,3),"")</f>
        <v/>
      </c>
      <c r="D37" s="19" t="str">
        <f ca="1">IFERROR(INDEX(INDIRECT(zoneFichierEAN13Valmag),$O36,4),"")</f>
        <v/>
      </c>
      <c r="E37" s="32" t="str">
        <f ca="1">IFERROR(INDEX(INDIRECT(zoneFichierFiltreCatalogue),S36,3),"")</f>
        <v/>
      </c>
      <c r="F37" s="19"/>
      <c r="G37" s="18"/>
      <c r="H37" s="33" t="str">
        <f ca="1">IFERROR(INDEX(INDIRECT(zoneFichierFiltreCatalogue),S36,6),"")</f>
        <v/>
      </c>
      <c r="R37" s="21"/>
      <c r="S37" s="21"/>
    </row>
    <row r="38" spans="1:20" ht="39" customHeight="1" thickBot="1" x14ac:dyDescent="0.65">
      <c r="A38" s="9" t="str">
        <f ca="1">INDEX(INDIRECT(zoneFichierTraite),$J38+offsetInitialFichierTraite,6)</f>
        <v>UNICA</v>
      </c>
      <c r="B38" s="5" t="str">
        <f ca="1">INDEX(INDIRECT(zoneFichierTraite),$J38+offsetInitialFichierTraite,4)</f>
        <v>OBAGB206-EVS00-048</v>
      </c>
      <c r="C38" s="26" t="str">
        <f ca="1">INDEX(INDIRECT(zoneFichierTraite),$J38+offsetInitialFichierTraite,5)</f>
        <v>CORPS INFERIEUR O POCKET EVA COMPOUND</v>
      </c>
      <c r="D38" s="27" t="str">
        <f ca="1">INDEX(INDIRECT(zoneFichierTraite),$J38+offsetInitialFichierTraite,13)</f>
        <v>mattone</v>
      </c>
      <c r="E38" s="30">
        <f ca="1">INDEX(INDIRECT(zoneFichierTraite),$J38+offsetInitialFichierTraite,7)</f>
        <v>1</v>
      </c>
      <c r="F38" s="28">
        <f ca="1">INDEX(INDIRECT(zoneFichierTraite),$J38+offsetInitialFichierTraite,8)</f>
        <v>4.8</v>
      </c>
      <c r="G38" s="29">
        <f t="shared" ca="1" si="0"/>
        <v>15</v>
      </c>
      <c r="H38" s="31" t="str">
        <f ca="1">IF(ISNUMBER(N38),codeEAN13(INT(N38/10)),"")</f>
        <v>8APASOG*aggihi+</v>
      </c>
      <c r="J38" s="15">
        <f t="shared" si="1"/>
        <v>15</v>
      </c>
      <c r="K38" s="1">
        <f t="shared" ref="K38" ca="1" si="21">A39</f>
        <v>36</v>
      </c>
      <c r="L38" s="5" t="str">
        <f ca="1">INDEX(INDIRECT(zoneFichierTraite),$J38+offsetInitialFichierTraite,1)</f>
        <v>'015</v>
      </c>
      <c r="M38" s="11">
        <f ca="1">INDEX(INDIRECT(zoneFichierTraite),$J38+offsetInitialFichierTraite,9)</f>
        <v>4.8</v>
      </c>
      <c r="N38" s="14">
        <f ca="1">INDEX(INDIRECT(zoneFichierTraite),$J38+offsetInitialFichierTraite,3)</f>
        <v>8050846066878</v>
      </c>
      <c r="O38" s="1" t="e">
        <f ca="1">MATCH(N38,INDIRECT(nomFichierEAN13Valmag &amp; "!A:A"),0)</f>
        <v>#REF!</v>
      </c>
      <c r="P38" s="1" t="e">
        <f ca="1">MATCH(R38,INDIRECT(nomFichierEAN13Valmag &amp; "!A:A"),0)</f>
        <v>#REF!</v>
      </c>
      <c r="Q38" s="1" t="e">
        <f ca="1">MATCH(LEFT(B38,14) &amp; "*",INDIRECT(nomFichierEAN13Valmag &amp; "!B:B"),0)</f>
        <v>#REF!</v>
      </c>
      <c r="R38" s="14" t="str">
        <f ca="1">IFERROR(INDEX(INDIRECT(zoneFichierEAN13Valmag),Q38,1),"")</f>
        <v/>
      </c>
      <c r="S38" s="1" t="e">
        <f ca="1">MATCH(B38,INDIRECT(nomFichierFiltreCatalogue &amp; "!B:B"),0)</f>
        <v>#REF!</v>
      </c>
      <c r="T38" s="14"/>
    </row>
    <row r="39" spans="1:20" s="20" customFormat="1" ht="15.75" customHeight="1" x14ac:dyDescent="0.25">
      <c r="A39" s="25">
        <f ca="1">INDEX(INDIRECT(zoneFichierTraite),$J38+offsetInitialFichierTraite,2)</f>
        <v>36</v>
      </c>
      <c r="B39" s="42" t="str">
        <f ca="1">IF(C39="", IFERROR(INDEX(INDIRECT(zoneFichierEAN13Valmag),$P38,3),""), "")</f>
        <v/>
      </c>
      <c r="C39" s="41" t="str">
        <f ca="1">IFERROR(INDEX(INDIRECT(zoneFichierEAN13Valmag),$O38,3),"")</f>
        <v/>
      </c>
      <c r="D39" s="19" t="str">
        <f ca="1">IFERROR(INDEX(INDIRECT(zoneFichierEAN13Valmag),$O38,4),"")</f>
        <v/>
      </c>
      <c r="E39" s="32" t="str">
        <f ca="1">IFERROR(INDEX(INDIRECT(zoneFichierFiltreCatalogue),S38,3),"")</f>
        <v/>
      </c>
      <c r="F39" s="19"/>
      <c r="G39" s="18"/>
      <c r="H39" s="33" t="str">
        <f ca="1">IFERROR(INDEX(INDIRECT(zoneFichierFiltreCatalogue),S38,6),"")</f>
        <v/>
      </c>
      <c r="R39" s="21"/>
      <c r="S39" s="21"/>
    </row>
    <row r="40" spans="1:20" ht="39" customHeight="1" thickBot="1" x14ac:dyDescent="0.65">
      <c r="A40" s="9" t="str">
        <f ca="1">INDEX(INDIRECT(zoneFichierTraite),$J40+offsetInitialFichierTraite,6)</f>
        <v>UNICA</v>
      </c>
      <c r="B40" s="5" t="str">
        <f ca="1">INDEX(INDIRECT(zoneFichierTraite),$J40+offsetInitialFichierTraite,4)</f>
        <v>OBAGB206-EVS00-075</v>
      </c>
      <c r="C40" s="26" t="str">
        <f ca="1">INDEX(INDIRECT(zoneFichierTraite),$J40+offsetInitialFichierTraite,5)</f>
        <v>CORPS INFERIEUR O POCKET EVA COMPOUND</v>
      </c>
      <c r="D40" s="27" t="str">
        <f ca="1">INDEX(INDIRECT(zoneFichierTraite),$J40+offsetInitialFichierTraite,13)</f>
        <v>rosa smoke</v>
      </c>
      <c r="E40" s="30">
        <f ca="1">INDEX(INDIRECT(zoneFichierTraite),$J40+offsetInitialFichierTraite,7)</f>
        <v>1</v>
      </c>
      <c r="F40" s="28">
        <f ca="1">INDEX(INDIRECT(zoneFichierTraite),$J40+offsetInitialFichierTraite,8)</f>
        <v>4.8</v>
      </c>
      <c r="G40" s="29">
        <f t="shared" ca="1" si="0"/>
        <v>15</v>
      </c>
      <c r="H40" s="31" t="str">
        <f ca="1">IF(ISNUMBER(N40),codeEAN13(INT(N40/10)),"")</f>
        <v>8APGNKA*effhef+</v>
      </c>
      <c r="J40" s="15">
        <f t="shared" si="1"/>
        <v>16</v>
      </c>
      <c r="K40" s="1">
        <f t="shared" ref="K40" ca="1" si="22">A41</f>
        <v>32</v>
      </c>
      <c r="L40" s="5" t="str">
        <f ca="1">INDEX(INDIRECT(zoneFichierTraite),$J40+offsetInitialFichierTraite,1)</f>
        <v>'016</v>
      </c>
      <c r="M40" s="11">
        <f ca="1">INDEX(INDIRECT(zoneFichierTraite),$J40+offsetInitialFichierTraite,9)</f>
        <v>4.8</v>
      </c>
      <c r="N40" s="14">
        <f ca="1">INDEX(INDIRECT(zoneFichierTraite),$J40+offsetInitialFichierTraite,3)</f>
        <v>8056300455745</v>
      </c>
      <c r="O40" s="1" t="e">
        <f ca="1">MATCH(N40,INDIRECT(nomFichierEAN13Valmag &amp; "!A:A"),0)</f>
        <v>#REF!</v>
      </c>
      <c r="P40" s="1" t="e">
        <f ca="1">MATCH(R40,INDIRECT(nomFichierEAN13Valmag &amp; "!A:A"),0)</f>
        <v>#REF!</v>
      </c>
      <c r="Q40" s="1" t="e">
        <f ca="1">MATCH(LEFT(B40,14) &amp; "*",INDIRECT(nomFichierEAN13Valmag &amp; "!B:B"),0)</f>
        <v>#REF!</v>
      </c>
      <c r="R40" s="14" t="str">
        <f ca="1">IFERROR(INDEX(INDIRECT(zoneFichierEAN13Valmag),Q40,1),"")</f>
        <v/>
      </c>
      <c r="S40" s="1" t="e">
        <f ca="1">MATCH(B40,INDIRECT(nomFichierFiltreCatalogue &amp; "!B:B"),0)</f>
        <v>#REF!</v>
      </c>
      <c r="T40" s="14"/>
    </row>
    <row r="41" spans="1:20" s="20" customFormat="1" ht="15.75" customHeight="1" x14ac:dyDescent="0.25">
      <c r="A41" s="25">
        <f ca="1">INDEX(INDIRECT(zoneFichierTraite),$J40+offsetInitialFichierTraite,2)</f>
        <v>32</v>
      </c>
      <c r="B41" s="42" t="str">
        <f ca="1">IF(C41="", IFERROR(INDEX(INDIRECT(zoneFichierEAN13Valmag),$P40,3),""), "")</f>
        <v/>
      </c>
      <c r="C41" s="41" t="str">
        <f ca="1">IFERROR(INDEX(INDIRECT(zoneFichierEAN13Valmag),$O40,3),"")</f>
        <v/>
      </c>
      <c r="D41" s="19" t="str">
        <f ca="1">IFERROR(INDEX(INDIRECT(zoneFichierEAN13Valmag),$O40,4),"")</f>
        <v/>
      </c>
      <c r="E41" s="32" t="str">
        <f ca="1">IFERROR(INDEX(INDIRECT(zoneFichierFiltreCatalogue),S40,3),"")</f>
        <v/>
      </c>
      <c r="F41" s="19"/>
      <c r="G41" s="18"/>
      <c r="H41" s="33" t="str">
        <f ca="1">IFERROR(INDEX(INDIRECT(zoneFichierFiltreCatalogue),S40,6),"")</f>
        <v/>
      </c>
      <c r="R41" s="21"/>
      <c r="S41" s="21"/>
    </row>
    <row r="42" spans="1:20" ht="39" customHeight="1" thickBot="1" x14ac:dyDescent="0.65">
      <c r="A42" s="9" t="str">
        <f ca="1">INDEX(INDIRECT(zoneFichierTraite),$J42+offsetInitialFichierTraite,6)</f>
        <v>UNICA</v>
      </c>
      <c r="B42" s="5" t="str">
        <f ca="1">INDEX(INDIRECT(zoneFichierTraite),$J42+offsetInitialFichierTraite,4)</f>
        <v>OBAGB451-ECS07-078</v>
      </c>
      <c r="C42" s="26" t="str">
        <f ca="1">INDEX(INDIRECT(zoneFichierTraite),$J42+offsetInitialFichierTraite,5)</f>
        <v>CORPS COMPLET O BAG DOUBLE EN FAUX CUIR EFFET GRIFFE</v>
      </c>
      <c r="D42" s="27" t="str">
        <f ca="1">INDEX(INDIRECT(zoneFichierTraite),$J42+offsetInitialFichierTraite,13)</f>
        <v>sabbia</v>
      </c>
      <c r="E42" s="30">
        <f ca="1">INDEX(INDIRECT(zoneFichierTraite),$J42+offsetInitialFichierTraite,7)</f>
        <v>2</v>
      </c>
      <c r="F42" s="28">
        <f ca="1">INDEX(INDIRECT(zoneFichierTraite),$J42+offsetInitialFichierTraite,8)</f>
        <v>27.78</v>
      </c>
      <c r="G42" s="29">
        <f t="shared" ca="1" si="0"/>
        <v>84</v>
      </c>
      <c r="H42" s="31" t="str">
        <f ca="1">IF(ISNUMBER(N42),codeEAN13(INT(N42/10)),"")</f>
        <v>8APASOG*agdfha+</v>
      </c>
      <c r="J42" s="15">
        <f t="shared" si="1"/>
        <v>17</v>
      </c>
      <c r="K42" s="1">
        <f t="shared" ref="K42" ca="1" si="23">A43</f>
        <v>21</v>
      </c>
      <c r="L42" s="5" t="str">
        <f ca="1">INDEX(INDIRECT(zoneFichierTraite),$J42+offsetInitialFichierTraite,1)</f>
        <v>'017</v>
      </c>
      <c r="M42" s="11">
        <f ca="1">INDEX(INDIRECT(zoneFichierTraite),$J42+offsetInitialFichierTraite,9)</f>
        <v>55.56</v>
      </c>
      <c r="N42" s="14">
        <f ca="1">INDEX(INDIRECT(zoneFichierTraite),$J42+offsetInitialFichierTraite,3)</f>
        <v>8050846063570</v>
      </c>
      <c r="O42" s="1" t="e">
        <f ca="1">MATCH(N42,INDIRECT(nomFichierEAN13Valmag &amp; "!A:A"),0)</f>
        <v>#REF!</v>
      </c>
      <c r="P42" s="1" t="e">
        <f ca="1">MATCH(R42,INDIRECT(nomFichierEAN13Valmag &amp; "!A:A"),0)</f>
        <v>#REF!</v>
      </c>
      <c r="Q42" s="1" t="e">
        <f ca="1">MATCH(LEFT(B42,14) &amp; "*",INDIRECT(nomFichierEAN13Valmag &amp; "!B:B"),0)</f>
        <v>#REF!</v>
      </c>
      <c r="R42" s="14" t="str">
        <f ca="1">IFERROR(INDEX(INDIRECT(zoneFichierEAN13Valmag),Q42,1),"")</f>
        <v/>
      </c>
      <c r="S42" s="1" t="e">
        <f ca="1">MATCH(B42,INDIRECT(nomFichierFiltreCatalogue &amp; "!B:B"),0)</f>
        <v>#REF!</v>
      </c>
      <c r="T42" s="14"/>
    </row>
    <row r="43" spans="1:20" s="20" customFormat="1" ht="15.75" customHeight="1" x14ac:dyDescent="0.25">
      <c r="A43" s="25">
        <f ca="1">INDEX(INDIRECT(zoneFichierTraite),$J42+offsetInitialFichierTraite,2)</f>
        <v>21</v>
      </c>
      <c r="B43" s="42" t="str">
        <f ca="1">IF(C43="", IFERROR(INDEX(INDIRECT(zoneFichierEAN13Valmag),$P42,3),""), "")</f>
        <v/>
      </c>
      <c r="C43" s="41" t="str">
        <f ca="1">IFERROR(INDEX(INDIRECT(zoneFichierEAN13Valmag),$O42,3),"")</f>
        <v/>
      </c>
      <c r="D43" s="19" t="str">
        <f ca="1">IFERROR(INDEX(INDIRECT(zoneFichierEAN13Valmag),$O42,4),"")</f>
        <v/>
      </c>
      <c r="E43" s="32" t="str">
        <f ca="1">IFERROR(INDEX(INDIRECT(zoneFichierFiltreCatalogue),S42,3),"")</f>
        <v/>
      </c>
      <c r="F43" s="19"/>
      <c r="G43" s="18"/>
      <c r="H43" s="33" t="str">
        <f ca="1">IFERROR(INDEX(INDIRECT(zoneFichierFiltreCatalogue),S42,6),"")</f>
        <v/>
      </c>
      <c r="R43" s="21"/>
      <c r="S43" s="21"/>
    </row>
    <row r="44" spans="1:20" ht="39" customHeight="1" thickBot="1" x14ac:dyDescent="0.65">
      <c r="A44" s="9" t="str">
        <f ca="1">INDEX(INDIRECT(zoneFichierTraite),$J44+offsetInitialFichierTraite,6)</f>
        <v>UNICA</v>
      </c>
      <c r="B44" s="5" t="str">
        <f ca="1">INDEX(INDIRECT(zoneFichierTraite),$J44+offsetInitialFichierTraite,4)</f>
        <v>OBAGPA06-EVS00-078</v>
      </c>
      <c r="C44" s="26" t="str">
        <f ca="1">INDEX(INDIRECT(zoneFichierTraite),$J44+offsetInitialFichierTraite,5)</f>
        <v>RABAT TOURNIQUET O POCKET EVA COMPOUND</v>
      </c>
      <c r="D44" s="27" t="str">
        <f ca="1">INDEX(INDIRECT(zoneFichierTraite),$J44+offsetInitialFichierTraite,13)</f>
        <v>sabbia</v>
      </c>
      <c r="E44" s="30">
        <f ca="1">INDEX(INDIRECT(zoneFichierTraite),$J44+offsetInitialFichierTraite,7)</f>
        <v>2</v>
      </c>
      <c r="F44" s="28">
        <f ca="1">INDEX(INDIRECT(zoneFichierTraite),$J44+offsetInitialFichierTraite,8)</f>
        <v>10</v>
      </c>
      <c r="G44" s="29">
        <f t="shared" ca="1" si="0"/>
        <v>30</v>
      </c>
      <c r="H44" s="31" t="str">
        <f ca="1">IF(ISNUMBER(N44),codeEAN13(INT(N44/10)),"")</f>
        <v>8APASOG*ahbbgc+</v>
      </c>
      <c r="J44" s="15">
        <f t="shared" si="1"/>
        <v>18</v>
      </c>
      <c r="K44" s="1">
        <f t="shared" ref="K44" ca="1" si="24">A45</f>
        <v>35</v>
      </c>
      <c r="L44" s="5" t="str">
        <f ca="1">INDEX(INDIRECT(zoneFichierTraite),$J44+offsetInitialFichierTraite,1)</f>
        <v>'018</v>
      </c>
      <c r="M44" s="11">
        <f ca="1">INDEX(INDIRECT(zoneFichierTraite),$J44+offsetInitialFichierTraite,9)</f>
        <v>20</v>
      </c>
      <c r="N44" s="14">
        <f ca="1">INDEX(INDIRECT(zoneFichierTraite),$J44+offsetInitialFichierTraite,3)</f>
        <v>8050846071162</v>
      </c>
      <c r="O44" s="1" t="e">
        <f ca="1">MATCH(N44,INDIRECT(nomFichierEAN13Valmag &amp; "!A:A"),0)</f>
        <v>#REF!</v>
      </c>
      <c r="P44" s="1" t="e">
        <f ca="1">MATCH(R44,INDIRECT(nomFichierEAN13Valmag &amp; "!A:A"),0)</f>
        <v>#REF!</v>
      </c>
      <c r="Q44" s="1" t="e">
        <f ca="1">MATCH(LEFT(B44,14) &amp; "*",INDIRECT(nomFichierEAN13Valmag &amp; "!B:B"),0)</f>
        <v>#REF!</v>
      </c>
      <c r="R44" s="14" t="str">
        <f ca="1">IFERROR(INDEX(INDIRECT(zoneFichierEAN13Valmag),Q44,1),"")</f>
        <v/>
      </c>
      <c r="S44" s="1" t="e">
        <f ca="1">MATCH(B44,INDIRECT(nomFichierFiltreCatalogue &amp; "!B:B"),0)</f>
        <v>#REF!</v>
      </c>
      <c r="T44" s="14"/>
    </row>
    <row r="45" spans="1:20" s="20" customFormat="1" ht="15.75" customHeight="1" x14ac:dyDescent="0.25">
      <c r="A45" s="25">
        <f ca="1">INDEX(INDIRECT(zoneFichierTraite),$J44+offsetInitialFichierTraite,2)</f>
        <v>35</v>
      </c>
      <c r="B45" s="42" t="str">
        <f ca="1">IF(C45="", IFERROR(INDEX(INDIRECT(zoneFichierEAN13Valmag),$P44,3),""), "")</f>
        <v/>
      </c>
      <c r="C45" s="41" t="str">
        <f ca="1">IFERROR(INDEX(INDIRECT(zoneFichierEAN13Valmag),$O44,3),"")</f>
        <v/>
      </c>
      <c r="D45" s="19" t="str">
        <f ca="1">IFERROR(INDEX(INDIRECT(zoneFichierEAN13Valmag),$O44,4),"")</f>
        <v/>
      </c>
      <c r="E45" s="32" t="str">
        <f ca="1">IFERROR(INDEX(INDIRECT(zoneFichierFiltreCatalogue),S44,3),"")</f>
        <v/>
      </c>
      <c r="F45" s="19"/>
      <c r="G45" s="18"/>
      <c r="H45" s="33" t="str">
        <f ca="1">IFERROR(INDEX(INDIRECT(zoneFichierFiltreCatalogue),S44,6),"")</f>
        <v/>
      </c>
      <c r="R45" s="21"/>
      <c r="S45" s="21"/>
    </row>
    <row r="46" spans="1:20" ht="39" customHeight="1" thickBot="1" x14ac:dyDescent="0.65">
      <c r="A46" s="9" t="str">
        <f ca="1">INDEX(INDIRECT(zoneFichierTraite),$J46+offsetInitialFichierTraite,6)</f>
        <v>UNICA</v>
      </c>
      <c r="B46" s="5" t="str">
        <f ca="1">INDEX(INDIRECT(zoneFichierTraite),$J46+offsetInitialFichierTraite,4)</f>
        <v>OBAGPC48-ECS07-055</v>
      </c>
      <c r="C46" s="26" t="str">
        <f ca="1">INDEX(INDIRECT(zoneFichierTraite),$J46+offsetInitialFichierTraite,5)</f>
        <v>RABAT AVEC CHAINE O BAG SHEEN EN FAUX CUIR EFFET GRIFFE</v>
      </c>
      <c r="D46" s="27" t="str">
        <f ca="1">INDEX(INDIRECT(zoneFichierTraite),$J46+offsetInitialFichierTraite,13)</f>
        <v>nero</v>
      </c>
      <c r="E46" s="30">
        <f ca="1">INDEX(INDIRECT(zoneFichierTraite),$J46+offsetInitialFichierTraite,7)</f>
        <v>1</v>
      </c>
      <c r="F46" s="28">
        <f ca="1">INDEX(INDIRECT(zoneFichierTraite),$J46+offsetInitialFichierTraite,8)</f>
        <v>16.670000000000002</v>
      </c>
      <c r="G46" s="29">
        <f t="shared" ref="G46" ca="1" si="25">ROUNDUP(F46*3,0)</f>
        <v>51</v>
      </c>
      <c r="H46" s="31" t="str">
        <f ca="1">IF(ISNUMBER(N46),codeEAN13(INT(N46/10)),"")</f>
        <v>8APASOG*agbici+</v>
      </c>
      <c r="J46" s="15">
        <f t="shared" si="1"/>
        <v>19</v>
      </c>
      <c r="K46" s="1">
        <f t="shared" ref="K46" ca="1" si="26">A47</f>
        <v>24</v>
      </c>
      <c r="L46" s="5" t="str">
        <f ca="1">INDEX(INDIRECT(zoneFichierTraite),$J46+offsetInitialFichierTraite,1)</f>
        <v>'019</v>
      </c>
      <c r="M46" s="11">
        <f ca="1">INDEX(INDIRECT(zoneFichierTraite),$J46+offsetInitialFichierTraite,9)</f>
        <v>16.670000000000002</v>
      </c>
      <c r="N46" s="14">
        <f ca="1">INDEX(INDIRECT(zoneFichierTraite),$J46+offsetInitialFichierTraite,3)</f>
        <v>8050846061828</v>
      </c>
      <c r="O46" s="1" t="e">
        <f ca="1">MATCH(N46,INDIRECT(nomFichierEAN13Valmag &amp; "!A:A"),0)</f>
        <v>#REF!</v>
      </c>
      <c r="P46" s="1" t="e">
        <f ca="1">MATCH(R46,INDIRECT(nomFichierEAN13Valmag &amp; "!A:A"),0)</f>
        <v>#REF!</v>
      </c>
      <c r="Q46" s="1" t="e">
        <f ca="1">MATCH(LEFT(B46,14) &amp; "*",INDIRECT(nomFichierEAN13Valmag &amp; "!B:B"),0)</f>
        <v>#REF!</v>
      </c>
      <c r="R46" s="14" t="str">
        <f ca="1">IFERROR(INDEX(INDIRECT(zoneFichierEAN13Valmag),Q46,1),"")</f>
        <v/>
      </c>
      <c r="S46" s="1" t="e">
        <f ca="1">MATCH(B46,INDIRECT(nomFichierFiltreCatalogue &amp; "!B:B"),0)</f>
        <v>#REF!</v>
      </c>
      <c r="T46" s="14"/>
    </row>
    <row r="47" spans="1:20" s="20" customFormat="1" ht="15.75" customHeight="1" x14ac:dyDescent="0.25">
      <c r="A47" s="25">
        <f ca="1">INDEX(INDIRECT(zoneFichierTraite),$J46+offsetInitialFichierTraite,2)</f>
        <v>24</v>
      </c>
      <c r="B47" s="42" t="str">
        <f ca="1">IF(C47="", IFERROR(INDEX(INDIRECT(zoneFichierEAN13Valmag),$P46,3),""), "")</f>
        <v/>
      </c>
      <c r="C47" s="41" t="str">
        <f ca="1">IFERROR(INDEX(INDIRECT(zoneFichierEAN13Valmag),$O46,3),"")</f>
        <v/>
      </c>
      <c r="D47" s="19" t="str">
        <f ca="1">IFERROR(INDEX(INDIRECT(zoneFichierEAN13Valmag),$O46,4),"")</f>
        <v/>
      </c>
      <c r="E47" s="32" t="str">
        <f ca="1">IFERROR(INDEX(INDIRECT(zoneFichierFiltreCatalogue),S46,3),"")</f>
        <v/>
      </c>
      <c r="F47" s="19"/>
      <c r="G47" s="18"/>
      <c r="H47" s="33" t="str">
        <f ca="1">IFERROR(INDEX(INDIRECT(zoneFichierFiltreCatalogue),S46,6),"")</f>
        <v/>
      </c>
      <c r="R47" s="21"/>
      <c r="S47" s="21"/>
    </row>
    <row r="48" spans="1:20" ht="39" customHeight="1" thickBot="1" x14ac:dyDescent="0.65">
      <c r="A48" s="9" t="str">
        <f ca="1">INDEX(INDIRECT(zoneFichierTraite),$J48+offsetInitialFichierTraite,6)</f>
        <v>UNICA</v>
      </c>
      <c r="B48" s="5" t="str">
        <f ca="1">INDEX(INDIRECT(zoneFichierTraite),$J48+offsetInitialFichierTraite,4)</f>
        <v>OBAGPC48-ECS07-371</v>
      </c>
      <c r="C48" s="26" t="str">
        <f ca="1">INDEX(INDIRECT(zoneFichierTraite),$J48+offsetInitialFichierTraite,5)</f>
        <v>RABAT AVEC CHAINE O BAG SHEEN EN FAUX CUIR EFFET GRIFFE</v>
      </c>
      <c r="D48" s="27" t="str">
        <f ca="1">INDEX(INDIRECT(zoneFichierTraite),$J48+offsetInitialFichierTraite,13)</f>
        <v>latte</v>
      </c>
      <c r="E48" s="30">
        <f ca="1">INDEX(INDIRECT(zoneFichierTraite),$J48+offsetInitialFichierTraite,7)</f>
        <v>1</v>
      </c>
      <c r="F48" s="28">
        <f ca="1">INDEX(INDIRECT(zoneFichierTraite),$J48+offsetInitialFichierTraite,8)</f>
        <v>16.670000000000002</v>
      </c>
      <c r="G48" s="29">
        <f t="shared" ref="G48" ca="1" si="27">ROUNDUP(F48*3,0)</f>
        <v>51</v>
      </c>
      <c r="H48" s="31" t="str">
        <f ca="1">IF(ISNUMBER(N48),codeEAN13(INT(N48/10)),"")</f>
        <v>8APASOG*agbhji+</v>
      </c>
      <c r="J48" s="15">
        <f t="shared" si="1"/>
        <v>20</v>
      </c>
      <c r="K48" s="1">
        <f t="shared" ref="K48" ca="1" si="28">A49</f>
        <v>13</v>
      </c>
      <c r="L48" s="5" t="str">
        <f ca="1">INDEX(INDIRECT(zoneFichierTraite),$J48+offsetInitialFichierTraite,1)</f>
        <v>'020</v>
      </c>
      <c r="M48" s="11">
        <f ca="1">INDEX(INDIRECT(zoneFichierTraite),$J48+offsetInitialFichierTraite,9)</f>
        <v>16.670000000000002</v>
      </c>
      <c r="N48" s="14">
        <f ca="1">INDEX(INDIRECT(zoneFichierTraite),$J48+offsetInitialFichierTraite,3)</f>
        <v>8050846061798</v>
      </c>
      <c r="O48" s="1" t="e">
        <f ca="1">MATCH(N48,INDIRECT(nomFichierEAN13Valmag &amp; "!A:A"),0)</f>
        <v>#REF!</v>
      </c>
      <c r="P48" s="1" t="e">
        <f ca="1">MATCH(R48,INDIRECT(nomFichierEAN13Valmag &amp; "!A:A"),0)</f>
        <v>#REF!</v>
      </c>
      <c r="Q48" s="1" t="e">
        <f ca="1">MATCH(LEFT(B48,14) &amp; "*",INDIRECT(nomFichierEAN13Valmag &amp; "!B:B"),0)</f>
        <v>#REF!</v>
      </c>
      <c r="R48" s="14" t="str">
        <f ca="1">IFERROR(INDEX(INDIRECT(zoneFichierEAN13Valmag),Q48,1),"")</f>
        <v/>
      </c>
      <c r="S48" s="1" t="e">
        <f ca="1">MATCH(B48,INDIRECT(nomFichierFiltreCatalogue &amp; "!B:B"),0)</f>
        <v>#REF!</v>
      </c>
      <c r="T48" s="14"/>
    </row>
    <row r="49" spans="1:20" s="20" customFormat="1" ht="15.75" customHeight="1" x14ac:dyDescent="0.25">
      <c r="A49" s="25">
        <f ca="1">INDEX(INDIRECT(zoneFichierTraite),$J48+offsetInitialFichierTraite,2)</f>
        <v>13</v>
      </c>
      <c r="B49" s="42" t="str">
        <f ca="1">IF(C49="", IFERROR(INDEX(INDIRECT(zoneFichierEAN13Valmag),$P48,3),""), "")</f>
        <v/>
      </c>
      <c r="C49" s="41" t="str">
        <f ca="1">IFERROR(INDEX(INDIRECT(zoneFichierEAN13Valmag),$O48,3),"")</f>
        <v/>
      </c>
      <c r="D49" s="19" t="str">
        <f ca="1">IFERROR(INDEX(INDIRECT(zoneFichierEAN13Valmag),$O48,4),"")</f>
        <v/>
      </c>
      <c r="E49" s="32" t="str">
        <f ca="1">IFERROR(INDEX(INDIRECT(zoneFichierFiltreCatalogue),S48,3),"")</f>
        <v/>
      </c>
      <c r="F49" s="19"/>
      <c r="G49" s="18"/>
      <c r="H49" s="33" t="str">
        <f ca="1">IFERROR(INDEX(INDIRECT(zoneFichierFiltreCatalogue),S48,6),"")</f>
        <v/>
      </c>
      <c r="R49" s="21"/>
      <c r="S49" s="21"/>
    </row>
    <row r="50" spans="1:20" ht="39" customHeight="1" thickBot="1" x14ac:dyDescent="0.65">
      <c r="A50" s="9" t="str">
        <f ca="1">INDEX(INDIRECT(zoneFichierTraite),$J50+offsetInitialFichierTraite,6)</f>
        <v>UNICA</v>
      </c>
      <c r="B50" s="5" t="str">
        <f ca="1">INDEX(INDIRECT(zoneFichierTraite),$J50+offsetInitialFichierTraite,4)</f>
        <v>OBAGPF06-ECS07-048</v>
      </c>
      <c r="C50" s="26" t="str">
        <f ca="1">INDEX(INDIRECT(zoneFichierTraite),$J50+offsetInitialFichierTraite,5)</f>
        <v>RABAT TROUE Ã€ BANDEAU O POCKET EN FAUX CUIR EFFET GRIFFE</v>
      </c>
      <c r="D50" s="27" t="str">
        <f ca="1">INDEX(INDIRECT(zoneFichierTraite),$J50+offsetInitialFichierTraite,13)</f>
        <v>mattone</v>
      </c>
      <c r="E50" s="30">
        <f ca="1">INDEX(INDIRECT(zoneFichierTraite),$J50+offsetInitialFichierTraite,7)</f>
        <v>1</v>
      </c>
      <c r="F50" s="28">
        <f ca="1">INDEX(INDIRECT(zoneFichierTraite),$J50+offsetInitialFichierTraite,8)</f>
        <v>15.56</v>
      </c>
      <c r="G50" s="29">
        <f t="shared" ref="G50" ca="1" si="29">ROUNDUP(F50*3,0)</f>
        <v>47</v>
      </c>
      <c r="H50" s="31" t="str">
        <f ca="1">IF(ISNUMBER(N50),codeEAN13(INT(N50/10)),"")</f>
        <v>8APASOG*agcahi+</v>
      </c>
      <c r="J50" s="15">
        <f t="shared" si="1"/>
        <v>21</v>
      </c>
      <c r="K50" s="1">
        <f t="shared" ref="K50" ca="1" si="30">A51</f>
        <v>25</v>
      </c>
      <c r="L50" s="5" t="str">
        <f ca="1">INDEX(INDIRECT(zoneFichierTraite),$J50+offsetInitialFichierTraite,1)</f>
        <v>'021</v>
      </c>
      <c r="M50" s="11">
        <f ca="1">INDEX(INDIRECT(zoneFichierTraite),$J50+offsetInitialFichierTraite,9)</f>
        <v>15.56</v>
      </c>
      <c r="N50" s="14">
        <f ca="1">INDEX(INDIRECT(zoneFichierTraite),$J50+offsetInitialFichierTraite,3)</f>
        <v>8050846062078</v>
      </c>
      <c r="O50" s="1" t="e">
        <f ca="1">MATCH(N50,INDIRECT(nomFichierEAN13Valmag &amp; "!A:A"),0)</f>
        <v>#REF!</v>
      </c>
      <c r="P50" s="1" t="e">
        <f ca="1">MATCH(R50,INDIRECT(nomFichierEAN13Valmag &amp; "!A:A"),0)</f>
        <v>#REF!</v>
      </c>
      <c r="Q50" s="1" t="e">
        <f ca="1">MATCH(LEFT(B50,14) &amp; "*",INDIRECT(nomFichierEAN13Valmag &amp; "!B:B"),0)</f>
        <v>#REF!</v>
      </c>
      <c r="R50" s="14" t="str">
        <f ca="1">IFERROR(INDEX(INDIRECT(zoneFichierEAN13Valmag),Q50,1),"")</f>
        <v/>
      </c>
      <c r="S50" s="1" t="e">
        <f ca="1">MATCH(B50,INDIRECT(nomFichierFiltreCatalogue &amp; "!B:B"),0)</f>
        <v>#REF!</v>
      </c>
      <c r="T50" s="14"/>
    </row>
    <row r="51" spans="1:20" s="20" customFormat="1" ht="15.75" customHeight="1" x14ac:dyDescent="0.25">
      <c r="A51" s="25">
        <f ca="1">INDEX(INDIRECT(zoneFichierTraite),$J50+offsetInitialFichierTraite,2)</f>
        <v>25</v>
      </c>
      <c r="B51" s="42" t="str">
        <f ca="1">IF(C51="", IFERROR(INDEX(INDIRECT(zoneFichierEAN13Valmag),$P50,3),""), "")</f>
        <v/>
      </c>
      <c r="C51" s="41" t="str">
        <f ca="1">IFERROR(INDEX(INDIRECT(zoneFichierEAN13Valmag),$O50,3),"")</f>
        <v/>
      </c>
      <c r="D51" s="19" t="str">
        <f ca="1">IFERROR(INDEX(INDIRECT(zoneFichierEAN13Valmag),$O50,4),"")</f>
        <v/>
      </c>
      <c r="E51" s="32" t="str">
        <f ca="1">IFERROR(INDEX(INDIRECT(zoneFichierFiltreCatalogue),S50,3),"")</f>
        <v/>
      </c>
      <c r="F51" s="19"/>
      <c r="G51" s="18"/>
      <c r="H51" s="33" t="str">
        <f ca="1">IFERROR(INDEX(INDIRECT(zoneFichierFiltreCatalogue),S50,6),"")</f>
        <v/>
      </c>
      <c r="R51" s="21"/>
      <c r="S51" s="21"/>
    </row>
    <row r="52" spans="1:20" ht="39" customHeight="1" thickBot="1" x14ac:dyDescent="0.65">
      <c r="A52" s="9" t="str">
        <f ca="1">INDEX(INDIRECT(zoneFichierTraite),$J52+offsetInitialFichierTraite,6)</f>
        <v>UNICA</v>
      </c>
      <c r="B52" s="5" t="str">
        <f ca="1">INDEX(INDIRECT(zoneFichierTraite),$J52+offsetInitialFichierTraite,4)</f>
        <v>OBAGPF06-ECS07-078</v>
      </c>
      <c r="C52" s="26" t="str">
        <f ca="1">INDEX(INDIRECT(zoneFichierTraite),$J52+offsetInitialFichierTraite,5)</f>
        <v>RABAT TROUE Ã€ BANDEAU O POCKET EN FAUX CUIR EFFET GRIFFE</v>
      </c>
      <c r="D52" s="27" t="str">
        <f ca="1">INDEX(INDIRECT(zoneFichierTraite),$J52+offsetInitialFichierTraite,13)</f>
        <v>sabbia</v>
      </c>
      <c r="E52" s="30">
        <f ca="1">INDEX(INDIRECT(zoneFichierTraite),$J52+offsetInitialFichierTraite,7)</f>
        <v>2</v>
      </c>
      <c r="F52" s="28">
        <f ca="1">INDEX(INDIRECT(zoneFichierTraite),$J52+offsetInitialFichierTraite,8)</f>
        <v>15.56</v>
      </c>
      <c r="G52" s="29">
        <f t="shared" ref="G52" ca="1" si="31">ROUNDUP(F52*3,0)</f>
        <v>47</v>
      </c>
      <c r="H52" s="31" t="str">
        <f ca="1">IF(ISNUMBER(N52),codeEAN13(INT(N52/10)),"")</f>
        <v>8APASOG*agcaeh+</v>
      </c>
      <c r="J52" s="15">
        <f t="shared" si="1"/>
        <v>22</v>
      </c>
      <c r="K52" s="1">
        <f t="shared" ref="K52" ca="1" si="32">A53</f>
        <v>37</v>
      </c>
      <c r="L52" s="5" t="str">
        <f ca="1">INDEX(INDIRECT(zoneFichierTraite),$J52+offsetInitialFichierTraite,1)</f>
        <v>'022</v>
      </c>
      <c r="M52" s="11">
        <f ca="1">INDEX(INDIRECT(zoneFichierTraite),$J52+offsetInitialFichierTraite,9)</f>
        <v>31.12</v>
      </c>
      <c r="N52" s="14">
        <f ca="1">INDEX(INDIRECT(zoneFichierTraite),$J52+offsetInitialFichierTraite,3)</f>
        <v>8050846062047</v>
      </c>
      <c r="O52" s="1" t="e">
        <f ca="1">MATCH(N52,INDIRECT(nomFichierEAN13Valmag &amp; "!A:A"),0)</f>
        <v>#REF!</v>
      </c>
      <c r="P52" s="1" t="e">
        <f ca="1">MATCH(R52,INDIRECT(nomFichierEAN13Valmag &amp; "!A:A"),0)</f>
        <v>#REF!</v>
      </c>
      <c r="Q52" s="1" t="e">
        <f ca="1">MATCH(LEFT(B52,14) &amp; "*",INDIRECT(nomFichierEAN13Valmag &amp; "!B:B"),0)</f>
        <v>#REF!</v>
      </c>
      <c r="R52" s="14" t="str">
        <f ca="1">IFERROR(INDEX(INDIRECT(zoneFichierEAN13Valmag),Q52,1),"")</f>
        <v/>
      </c>
      <c r="S52" s="1" t="e">
        <f ca="1">MATCH(B52,INDIRECT(nomFichierFiltreCatalogue &amp; "!B:B"),0)</f>
        <v>#REF!</v>
      </c>
      <c r="T52" s="14"/>
    </row>
    <row r="53" spans="1:20" s="20" customFormat="1" ht="15.75" customHeight="1" x14ac:dyDescent="0.25">
      <c r="A53" s="25">
        <f ca="1">INDEX(INDIRECT(zoneFichierTraite),$J52+offsetInitialFichierTraite,2)</f>
        <v>37</v>
      </c>
      <c r="B53" s="42" t="str">
        <f ca="1">IF(C53="", IFERROR(INDEX(INDIRECT(zoneFichierEAN13Valmag),$P52,3),""), "")</f>
        <v/>
      </c>
      <c r="C53" s="41" t="str">
        <f ca="1">IFERROR(INDEX(INDIRECT(zoneFichierEAN13Valmag),$O52,3),"")</f>
        <v/>
      </c>
      <c r="D53" s="19" t="str">
        <f ca="1">IFERROR(INDEX(INDIRECT(zoneFichierEAN13Valmag),$O52,4),"")</f>
        <v/>
      </c>
      <c r="E53" s="32" t="str">
        <f ca="1">IFERROR(INDEX(INDIRECT(zoneFichierFiltreCatalogue),S52,3),"")</f>
        <v/>
      </c>
      <c r="F53" s="19"/>
      <c r="G53" s="18"/>
      <c r="H53" s="33" t="str">
        <f ca="1">IFERROR(INDEX(INDIRECT(zoneFichierFiltreCatalogue),S52,6),"")</f>
        <v/>
      </c>
      <c r="R53" s="21"/>
      <c r="S53" s="21"/>
    </row>
    <row r="54" spans="1:20" ht="39" customHeight="1" thickBot="1" x14ac:dyDescent="0.65">
      <c r="A54" s="9" t="str">
        <f ca="1">INDEX(INDIRECT(zoneFichierTraite),$J54+offsetInitialFichierTraite,6)</f>
        <v>UNICA</v>
      </c>
      <c r="B54" s="5" t="str">
        <f ca="1">INDEX(INDIRECT(zoneFichierTraite),$J54+offsetInitialFichierTraite,4)</f>
        <v>OBAGS001-TES01-075</v>
      </c>
      <c r="C54" s="26" t="str">
        <f ca="1">INDEX(INDIRECT(zoneFichierTraite),$J54+offsetInitialFichierTraite,5)</f>
        <v>POCHETTE INTERIEURE FERMETURE ECLAIR O BAG EN TISSU CANVAS</v>
      </c>
      <c r="D54" s="27" t="str">
        <f ca="1">INDEX(INDIRECT(zoneFichierTraite),$J54+offsetInitialFichierTraite,13)</f>
        <v>rosa smoke</v>
      </c>
      <c r="E54" s="30">
        <f ca="1">INDEX(INDIRECT(zoneFichierTraite),$J54+offsetInitialFichierTraite,7)</f>
        <v>2</v>
      </c>
      <c r="F54" s="28">
        <f ca="1">INDEX(INDIRECT(zoneFichierTraite),$J54+offsetInitialFichierTraite,8)</f>
        <v>7.8</v>
      </c>
      <c r="G54" s="29">
        <f t="shared" ref="G54" ca="1" si="33">ROUNDUP(F54*3,0)</f>
        <v>24</v>
      </c>
      <c r="H54" s="31" t="str">
        <f ca="1">IF(ISNUMBER(N54),codeEAN13(INT(N54/10)),"")</f>
        <v>8APASOG*aaeije+</v>
      </c>
      <c r="J54" s="15">
        <f t="shared" si="1"/>
        <v>23</v>
      </c>
      <c r="K54" s="1">
        <f t="shared" ref="K54" ca="1" si="34">A55</f>
        <v>4</v>
      </c>
      <c r="L54" s="5" t="str">
        <f ca="1">INDEX(INDIRECT(zoneFichierTraite),$J54+offsetInitialFichierTraite,1)</f>
        <v>'023</v>
      </c>
      <c r="M54" s="11">
        <f ca="1">INDEX(INDIRECT(zoneFichierTraite),$J54+offsetInitialFichierTraite,9)</f>
        <v>15.6</v>
      </c>
      <c r="N54" s="14">
        <f ca="1">INDEX(INDIRECT(zoneFichierTraite),$J54+offsetInitialFichierTraite,3)</f>
        <v>8050846004894</v>
      </c>
      <c r="O54" s="1" t="e">
        <f ca="1">MATCH(N54,INDIRECT(nomFichierEAN13Valmag &amp; "!A:A"),0)</f>
        <v>#REF!</v>
      </c>
      <c r="P54" s="1" t="e">
        <f ca="1">MATCH(R54,INDIRECT(nomFichierEAN13Valmag &amp; "!A:A"),0)</f>
        <v>#REF!</v>
      </c>
      <c r="Q54" s="1" t="e">
        <f ca="1">MATCH(LEFT(B54,14) &amp; "*",INDIRECT(nomFichierEAN13Valmag &amp; "!B:B"),0)</f>
        <v>#REF!</v>
      </c>
      <c r="R54" s="14" t="str">
        <f ca="1">IFERROR(INDEX(INDIRECT(zoneFichierEAN13Valmag),Q54,1),"")</f>
        <v/>
      </c>
      <c r="S54" s="1" t="e">
        <f ca="1">MATCH(B54,INDIRECT(nomFichierFiltreCatalogue &amp; "!B:B"),0)</f>
        <v>#REF!</v>
      </c>
      <c r="T54" s="14"/>
    </row>
    <row r="55" spans="1:20" s="20" customFormat="1" ht="15.75" customHeight="1" x14ac:dyDescent="0.25">
      <c r="A55" s="25">
        <f ca="1">INDEX(INDIRECT(zoneFichierTraite),$J54+offsetInitialFichierTraite,2)</f>
        <v>4</v>
      </c>
      <c r="B55" s="42" t="str">
        <f ca="1">IF(C55="", IFERROR(INDEX(INDIRECT(zoneFichierEAN13Valmag),$P54,3),""), "")</f>
        <v/>
      </c>
      <c r="C55" s="41" t="str">
        <f ca="1">IFERROR(INDEX(INDIRECT(zoneFichierEAN13Valmag),$O54,3),"")</f>
        <v/>
      </c>
      <c r="D55" s="19" t="str">
        <f ca="1">IFERROR(INDEX(INDIRECT(zoneFichierEAN13Valmag),$O54,4),"")</f>
        <v/>
      </c>
      <c r="E55" s="32" t="str">
        <f ca="1">IFERROR(INDEX(INDIRECT(zoneFichierFiltreCatalogue),S54,3),"")</f>
        <v/>
      </c>
      <c r="F55" s="19"/>
      <c r="G55" s="18"/>
      <c r="H55" s="33" t="str">
        <f ca="1">IFERROR(INDEX(INDIRECT(zoneFichierFiltreCatalogue),S54,6),"")</f>
        <v/>
      </c>
      <c r="R55" s="21"/>
      <c r="S55" s="21"/>
    </row>
    <row r="56" spans="1:20" ht="39" customHeight="1" thickBot="1" x14ac:dyDescent="0.65">
      <c r="A56" s="9" t="str">
        <f ca="1">INDEX(INDIRECT(zoneFichierTraite),$J56+offsetInitialFichierTraite,6)</f>
        <v>UNICA</v>
      </c>
      <c r="B56" s="5" t="str">
        <f ca="1">INDEX(INDIRECT(zoneFichierTraite),$J56+offsetInitialFichierTraite,4)</f>
        <v>OBAGS001-TES01-347</v>
      </c>
      <c r="C56" s="26" t="str">
        <f ca="1">INDEX(INDIRECT(zoneFichierTraite),$J56+offsetInitialFichierTraite,5)</f>
        <v>POCHETTE INTERIEURE FERMETURE ECLAIR O BAG EN TISSU CANVAS</v>
      </c>
      <c r="D56" s="27" t="str">
        <f ca="1">INDEX(INDIRECT(zoneFichierTraite),$J56+offsetInitialFichierTraite,13)</f>
        <v>cedro</v>
      </c>
      <c r="E56" s="30">
        <f ca="1">INDEX(INDIRECT(zoneFichierTraite),$J56+offsetInitialFichierTraite,7)</f>
        <v>1</v>
      </c>
      <c r="F56" s="28">
        <f ca="1">INDEX(INDIRECT(zoneFichierTraite),$J56+offsetInitialFichierTraite,8)</f>
        <v>7.8</v>
      </c>
      <c r="G56" s="29">
        <f t="shared" ref="G56" ca="1" si="35">ROUNDUP(F56*3,0)</f>
        <v>24</v>
      </c>
      <c r="H56" s="31" t="str">
        <f ca="1">IF(ISNUMBER(N56),codeEAN13(INT(N56/10)),"")</f>
        <v>8APASOG*aabhje+</v>
      </c>
      <c r="J56" s="15">
        <f t="shared" si="1"/>
        <v>24</v>
      </c>
      <c r="K56" s="1">
        <f t="shared" ref="K56" ca="1" si="36">A57</f>
        <v>19</v>
      </c>
      <c r="L56" s="5" t="str">
        <f ca="1">INDEX(INDIRECT(zoneFichierTraite),$J56+offsetInitialFichierTraite,1)</f>
        <v>'024</v>
      </c>
      <c r="M56" s="11">
        <f ca="1">INDEX(INDIRECT(zoneFichierTraite),$J56+offsetInitialFichierTraite,9)</f>
        <v>7.8</v>
      </c>
      <c r="N56" s="14">
        <f ca="1">INDEX(INDIRECT(zoneFichierTraite),$J56+offsetInitialFichierTraite,3)</f>
        <v>8050846001794</v>
      </c>
      <c r="O56" s="1" t="e">
        <f ca="1">MATCH(N56,INDIRECT(nomFichierEAN13Valmag &amp; "!A:A"),0)</f>
        <v>#REF!</v>
      </c>
      <c r="P56" s="1" t="e">
        <f ca="1">MATCH(R56,INDIRECT(nomFichierEAN13Valmag &amp; "!A:A"),0)</f>
        <v>#REF!</v>
      </c>
      <c r="Q56" s="1" t="e">
        <f ca="1">MATCH(LEFT(B56,14) &amp; "*",INDIRECT(nomFichierEAN13Valmag &amp; "!B:B"),0)</f>
        <v>#REF!</v>
      </c>
      <c r="R56" s="14" t="str">
        <f ca="1">IFERROR(INDEX(INDIRECT(zoneFichierEAN13Valmag),Q56,1),"")</f>
        <v/>
      </c>
      <c r="S56" s="1" t="e">
        <f ca="1">MATCH(B56,INDIRECT(nomFichierFiltreCatalogue &amp; "!B:B"),0)</f>
        <v>#REF!</v>
      </c>
      <c r="T56" s="14"/>
    </row>
    <row r="57" spans="1:20" s="20" customFormat="1" ht="15.75" customHeight="1" x14ac:dyDescent="0.25">
      <c r="A57" s="25">
        <f ca="1">INDEX(INDIRECT(zoneFichierTraite),$J56+offsetInitialFichierTraite,2)</f>
        <v>19</v>
      </c>
      <c r="B57" s="42" t="str">
        <f ca="1">IF(C57="", IFERROR(INDEX(INDIRECT(zoneFichierEAN13Valmag),$P56,3),""), "")</f>
        <v/>
      </c>
      <c r="C57" s="41" t="str">
        <f ca="1">IFERROR(INDEX(INDIRECT(zoneFichierEAN13Valmag),$O56,3),"")</f>
        <v/>
      </c>
      <c r="D57" s="19" t="str">
        <f ca="1">IFERROR(INDEX(INDIRECT(zoneFichierEAN13Valmag),$O56,4),"")</f>
        <v/>
      </c>
      <c r="E57" s="32" t="str">
        <f ca="1">IFERROR(INDEX(INDIRECT(zoneFichierFiltreCatalogue),S56,3),"")</f>
        <v/>
      </c>
      <c r="F57" s="19"/>
      <c r="G57" s="18"/>
      <c r="H57" s="33" t="str">
        <f ca="1">IFERROR(INDEX(INDIRECT(zoneFichierFiltreCatalogue),S56,6),"")</f>
        <v/>
      </c>
      <c r="R57" s="21"/>
      <c r="S57" s="21"/>
    </row>
    <row r="58" spans="1:20" ht="39" customHeight="1" thickBot="1" x14ac:dyDescent="0.65">
      <c r="A58" s="9" t="str">
        <f ca="1">INDEX(INDIRECT(zoneFichierTraite),$J58+offsetInitialFichierTraite,6)</f>
        <v>UNICA</v>
      </c>
      <c r="B58" s="5" t="str">
        <f ca="1">INDEX(INDIRECT(zoneFichierTraite),$J58+offsetInitialFichierTraite,4)</f>
        <v>OBAGS002-TES01-075</v>
      </c>
      <c r="C58" s="26" t="str">
        <f ca="1">INDEX(INDIRECT(zoneFichierTraite),$J58+offsetInitialFichierTraite,5)</f>
        <v>POCHETTE INTERIEURE FERMETURE ECLAIR O BAG MINI EN TISSU CANVAS</v>
      </c>
      <c r="D58" s="27" t="str">
        <f ca="1">INDEX(INDIRECT(zoneFichierTraite),$J58+offsetInitialFichierTraite,13)</f>
        <v>rosa smoke</v>
      </c>
      <c r="E58" s="30">
        <f ca="1">INDEX(INDIRECT(zoneFichierTraite),$J58+offsetInitialFichierTraite,7)</f>
        <v>3</v>
      </c>
      <c r="F58" s="28">
        <f ca="1">INDEX(INDIRECT(zoneFichierTraite),$J58+offsetInitialFichierTraite,8)</f>
        <v>7.08</v>
      </c>
      <c r="G58" s="29">
        <f t="shared" ref="G58" ca="1" si="37">ROUNDUP(F58*3,0)</f>
        <v>22</v>
      </c>
      <c r="H58" s="31" t="str">
        <f ca="1">IF(ISNUMBER(N58),codeEAN13(INT(N58/10)),"")</f>
        <v>8APASOG*aaejei+</v>
      </c>
      <c r="J58" s="15">
        <f t="shared" si="1"/>
        <v>25</v>
      </c>
      <c r="K58" s="1">
        <f t="shared" ref="K58" ca="1" si="38">A59</f>
        <v>10</v>
      </c>
      <c r="L58" s="5" t="str">
        <f ca="1">INDEX(INDIRECT(zoneFichierTraite),$J58+offsetInitialFichierTraite,1)</f>
        <v>'025</v>
      </c>
      <c r="M58" s="11">
        <f ca="1">INDEX(INDIRECT(zoneFichierTraite),$J58+offsetInitialFichierTraite,9)</f>
        <v>21.24</v>
      </c>
      <c r="N58" s="14">
        <f ca="1">INDEX(INDIRECT(zoneFichierTraite),$J58+offsetInitialFichierTraite,3)</f>
        <v>8050846004948</v>
      </c>
      <c r="O58" s="1" t="e">
        <f ca="1">MATCH(N58,INDIRECT(nomFichierEAN13Valmag &amp; "!A:A"),0)</f>
        <v>#REF!</v>
      </c>
      <c r="P58" s="1" t="e">
        <f ca="1">MATCH(R58,INDIRECT(nomFichierEAN13Valmag &amp; "!A:A"),0)</f>
        <v>#REF!</v>
      </c>
      <c r="Q58" s="1" t="e">
        <f ca="1">MATCH(LEFT(B58,14) &amp; "*",INDIRECT(nomFichierEAN13Valmag &amp; "!B:B"),0)</f>
        <v>#REF!</v>
      </c>
      <c r="R58" s="14" t="str">
        <f ca="1">IFERROR(INDEX(INDIRECT(zoneFichierEAN13Valmag),Q58,1),"")</f>
        <v/>
      </c>
      <c r="S58" s="1" t="e">
        <f ca="1">MATCH(B58,INDIRECT(nomFichierFiltreCatalogue &amp; "!B:B"),0)</f>
        <v>#REF!</v>
      </c>
      <c r="T58" s="14"/>
    </row>
    <row r="59" spans="1:20" s="20" customFormat="1" ht="15.75" customHeight="1" x14ac:dyDescent="0.25">
      <c r="A59" s="25">
        <f ca="1">INDEX(INDIRECT(zoneFichierTraite),$J58+offsetInitialFichierTraite,2)</f>
        <v>10</v>
      </c>
      <c r="B59" s="42" t="str">
        <f ca="1">IF(C59="", IFERROR(INDEX(INDIRECT(zoneFichierEAN13Valmag),$P58,3),""), "")</f>
        <v/>
      </c>
      <c r="C59" s="41" t="str">
        <f ca="1">IFERROR(INDEX(INDIRECT(zoneFichierEAN13Valmag),$O58,3),"")</f>
        <v/>
      </c>
      <c r="D59" s="19" t="str">
        <f ca="1">IFERROR(INDEX(INDIRECT(zoneFichierEAN13Valmag),$O58,4),"")</f>
        <v/>
      </c>
      <c r="E59" s="32" t="str">
        <f ca="1">IFERROR(INDEX(INDIRECT(zoneFichierFiltreCatalogue),S58,3),"")</f>
        <v/>
      </c>
      <c r="F59" s="19"/>
      <c r="G59" s="18"/>
      <c r="H59" s="33" t="str">
        <f ca="1">IFERROR(INDEX(INDIRECT(zoneFichierFiltreCatalogue),S58,6),"")</f>
        <v/>
      </c>
      <c r="R59" s="21"/>
      <c r="S59" s="21"/>
    </row>
    <row r="60" spans="1:20" ht="39" customHeight="1" thickBot="1" x14ac:dyDescent="0.65">
      <c r="A60" s="9" t="str">
        <f ca="1">INDEX(INDIRECT(zoneFichierTraite),$J60+offsetInitialFichierTraite,6)</f>
        <v>UNICA</v>
      </c>
      <c r="B60" s="5" t="str">
        <f ca="1">INDEX(INDIRECT(zoneFichierTraite),$J60+offsetInitialFichierTraite,4)</f>
        <v>OBAGS002-TES01-347</v>
      </c>
      <c r="C60" s="26" t="str">
        <f ca="1">INDEX(INDIRECT(zoneFichierTraite),$J60+offsetInitialFichierTraite,5)</f>
        <v>POCHETTE INTERIEURE FERMETURE ECLAIR O BAG MINI EN TISSU CANVAS</v>
      </c>
      <c r="D60" s="27" t="str">
        <f ca="1">INDEX(INDIRECT(zoneFichierTraite),$J60+offsetInitialFichierTraite,13)</f>
        <v>cedro</v>
      </c>
      <c r="E60" s="30">
        <f ca="1">INDEX(INDIRECT(zoneFichierTraite),$J60+offsetInitialFichierTraite,7)</f>
        <v>2</v>
      </c>
      <c r="F60" s="28">
        <f ca="1">INDEX(INDIRECT(zoneFichierTraite),$J60+offsetInitialFichierTraite,8)</f>
        <v>7.08</v>
      </c>
      <c r="G60" s="29">
        <f t="shared" ref="G60" ca="1" si="39">ROUNDUP(F60*3,0)</f>
        <v>22</v>
      </c>
      <c r="H60" s="31" t="str">
        <f ca="1">IF(ISNUMBER(N60),codeEAN13(INT(N60/10)),"")</f>
        <v>8APASOG*aacabc+</v>
      </c>
      <c r="J60" s="15">
        <f t="shared" si="1"/>
        <v>26</v>
      </c>
      <c r="K60" s="1">
        <f t="shared" ref="K60:K63" ca="1" si="40">A61</f>
        <v>22</v>
      </c>
      <c r="L60" s="5" t="str">
        <f ca="1">INDEX(INDIRECT(zoneFichierTraite),$J60+offsetInitialFichierTraite,1)</f>
        <v>'026</v>
      </c>
      <c r="M60" s="11">
        <f ca="1">INDEX(INDIRECT(zoneFichierTraite),$J60+offsetInitialFichierTraite,9)</f>
        <v>14.16</v>
      </c>
      <c r="N60" s="14">
        <f ca="1">INDEX(INDIRECT(zoneFichierTraite),$J60+offsetInitialFichierTraite,3)</f>
        <v>8050846002012</v>
      </c>
      <c r="O60" s="1" t="e">
        <f ca="1">MATCH(N60,INDIRECT(nomFichierEAN13Valmag &amp; "!A:A"),0)</f>
        <v>#REF!</v>
      </c>
      <c r="P60" s="1" t="e">
        <f ca="1">MATCH(R60,INDIRECT(nomFichierEAN13Valmag &amp; "!A:A"),0)</f>
        <v>#REF!</v>
      </c>
      <c r="Q60" s="1" t="e">
        <f ca="1">MATCH(LEFT(B60,14) &amp; "*",INDIRECT(nomFichierEAN13Valmag &amp; "!B:B"),0)</f>
        <v>#REF!</v>
      </c>
      <c r="R60" s="14" t="str">
        <f ca="1">IFERROR(INDEX(INDIRECT(zoneFichierEAN13Valmag),Q60,1),"")</f>
        <v/>
      </c>
      <c r="S60" s="1" t="e">
        <f ca="1">MATCH(B60,INDIRECT(nomFichierFiltreCatalogue &amp; "!B:B"),0)</f>
        <v>#REF!</v>
      </c>
      <c r="T60" s="14"/>
    </row>
    <row r="61" spans="1:20" s="20" customFormat="1" ht="15.75" customHeight="1" x14ac:dyDescent="0.25">
      <c r="A61" s="25">
        <f ca="1">INDEX(INDIRECT(zoneFichierTraite),$J60+offsetInitialFichierTraite,2)</f>
        <v>22</v>
      </c>
      <c r="B61" s="42" t="str">
        <f ca="1">IF(C61="", IFERROR(INDEX(INDIRECT(zoneFichierEAN13Valmag),$P60,3),""), "")</f>
        <v/>
      </c>
      <c r="C61" s="41" t="str">
        <f ca="1">IFERROR(INDEX(INDIRECT(zoneFichierEAN13Valmag),$O60,3),"")</f>
        <v/>
      </c>
      <c r="D61" s="19" t="str">
        <f ca="1">IFERROR(INDEX(INDIRECT(zoneFichierEAN13Valmag),$O60,4),"")</f>
        <v/>
      </c>
      <c r="E61" s="32" t="str">
        <f ca="1">IFERROR(INDEX(INDIRECT(zoneFichierFiltreCatalogue),S60,3),"")</f>
        <v/>
      </c>
      <c r="F61" s="19"/>
      <c r="G61" s="18"/>
      <c r="H61" s="33" t="str">
        <f ca="1">IFERROR(INDEX(INDIRECT(zoneFichierFiltreCatalogue),S60,6),"")</f>
        <v/>
      </c>
      <c r="R61" s="21"/>
      <c r="S61" s="21"/>
    </row>
    <row r="62" spans="1:20" ht="39" customHeight="1" thickBot="1" x14ac:dyDescent="0.65">
      <c r="A62" s="9" t="str">
        <f ca="1">INDEX(INDIRECT(zoneFichierTraite),$J62+offsetInitialFichierTraite,6)</f>
        <v>UNICA</v>
      </c>
      <c r="B62" s="5" t="str">
        <f ca="1">INDEX(INDIRECT(zoneFichierTraite),$J62+offsetInitialFichierTraite,4)</f>
        <v>OBAGS501-TESX2-371</v>
      </c>
      <c r="C62" s="26" t="str">
        <f ca="1">INDEX(INDIRECT(zoneFichierTraite),$J62+offsetInitialFichierTraite,5)</f>
        <v>POCHETTE INTERIEURE OVER O BAG EN TISSU IMPRIME Ã€ FLEURS PEINT Ã€ LA MAIN</v>
      </c>
      <c r="D62" s="27" t="str">
        <f ca="1">INDEX(INDIRECT(zoneFichierTraite),$J62+offsetInitialFichierTraite,13)</f>
        <v>latte</v>
      </c>
      <c r="E62" s="30">
        <f ca="1">INDEX(INDIRECT(zoneFichierTraite),$J62+offsetInitialFichierTraite,7)</f>
        <v>1</v>
      </c>
      <c r="F62" s="28">
        <f ca="1">INDEX(INDIRECT(zoneFichierTraite),$J62+offsetInitialFichierTraite,8)</f>
        <v>14.44</v>
      </c>
      <c r="G62" s="29">
        <f t="shared" ref="G62" ca="1" si="41">ROUNDUP(F62*3,0)</f>
        <v>44</v>
      </c>
      <c r="H62" s="31" t="str">
        <f ca="1">IF(ISNUMBER(N62),codeEAN13(INT(N62/10)),"")</f>
        <v>8APASOG*agcajc+</v>
      </c>
      <c r="J62" s="15">
        <f t="shared" si="1"/>
        <v>27</v>
      </c>
      <c r="K62" s="1">
        <f t="shared" ref="K62" ca="1" si="42">A63</f>
        <v>28</v>
      </c>
      <c r="L62" s="5" t="str">
        <f ca="1">INDEX(INDIRECT(zoneFichierTraite),$J62+offsetInitialFichierTraite,1)</f>
        <v>'027</v>
      </c>
      <c r="M62" s="11">
        <f ca="1">INDEX(INDIRECT(zoneFichierTraite),$J62+offsetInitialFichierTraite,9)</f>
        <v>14.44</v>
      </c>
      <c r="N62" s="14">
        <f ca="1">INDEX(INDIRECT(zoneFichierTraite),$J62+offsetInitialFichierTraite,3)</f>
        <v>8050846062092</v>
      </c>
      <c r="O62" s="1" t="e">
        <f ca="1">MATCH(N62,INDIRECT(nomFichierEAN13Valmag &amp; "!A:A"),0)</f>
        <v>#REF!</v>
      </c>
      <c r="P62" s="1" t="e">
        <f ca="1">MATCH(R62,INDIRECT(nomFichierEAN13Valmag &amp; "!A:A"),0)</f>
        <v>#REF!</v>
      </c>
      <c r="Q62" s="1" t="e">
        <f ca="1">MATCH(LEFT(B62,14) &amp; "*",INDIRECT(nomFichierEAN13Valmag &amp; "!B:B"),0)</f>
        <v>#REF!</v>
      </c>
      <c r="R62" s="14" t="str">
        <f ca="1">IFERROR(INDEX(INDIRECT(zoneFichierEAN13Valmag),Q62,1),"")</f>
        <v/>
      </c>
      <c r="S62" s="1" t="e">
        <f ca="1">MATCH(B62,INDIRECT(nomFichierFiltreCatalogue &amp; "!B:B"),0)</f>
        <v>#REF!</v>
      </c>
      <c r="T62" s="14"/>
    </row>
    <row r="63" spans="1:20" s="20" customFormat="1" ht="15.75" customHeight="1" x14ac:dyDescent="0.25">
      <c r="A63" s="25">
        <f ca="1">INDEX(INDIRECT(zoneFichierTraite),$J62+offsetInitialFichierTraite,2)</f>
        <v>28</v>
      </c>
      <c r="B63" s="42" t="str">
        <f ca="1">IF(C63="", IFERROR(INDEX(INDIRECT(zoneFichierEAN13Valmag),$P62,3),""), "")</f>
        <v/>
      </c>
      <c r="C63" s="41" t="str">
        <f ca="1">IFERROR(INDEX(INDIRECT(zoneFichierEAN13Valmag),$O62,3),"")</f>
        <v/>
      </c>
      <c r="D63" s="19" t="str">
        <f ca="1">IFERROR(INDEX(INDIRECT(zoneFichierEAN13Valmag),$O62,4),"")</f>
        <v/>
      </c>
      <c r="E63" s="32" t="str">
        <f ca="1">IFERROR(INDEX(INDIRECT(zoneFichierFiltreCatalogue),S62,3),"")</f>
        <v/>
      </c>
      <c r="F63" s="19"/>
      <c r="G63" s="18"/>
      <c r="H63" s="33" t="str">
        <f ca="1">IFERROR(INDEX(INDIRECT(zoneFichierFiltreCatalogue),S62,6),"")</f>
        <v/>
      </c>
      <c r="R63" s="21"/>
      <c r="S63" s="21"/>
    </row>
    <row r="64" spans="1:20" ht="39" customHeight="1" thickBot="1" x14ac:dyDescent="0.65">
      <c r="A64" s="9" t="str">
        <f ca="1">INDEX(INDIRECT(zoneFichierTraite),$J64+offsetInitialFichierTraite,6)</f>
        <v>UNICA</v>
      </c>
      <c r="B64" s="5" t="str">
        <f ca="1">INDEX(INDIRECT(zoneFichierTraite),$J64+offsetInitialFichierTraite,4)</f>
        <v>OBAGS501-TESX6-125</v>
      </c>
      <c r="C64" s="26" t="str">
        <f ca="1">INDEX(INDIRECT(zoneFichierTraite),$J64+offsetInitialFichierTraite,5)</f>
        <v>POCHETTE INTERIEURE OVER O BAG EN TISSU IMPRIME TANGERINE</v>
      </c>
      <c r="D64" s="27" t="str">
        <f ca="1">INDEX(INDIRECT(zoneFichierTraite),$J64+offsetInitialFichierTraite,13)</f>
        <v>multicolor</v>
      </c>
      <c r="E64" s="30">
        <f ca="1">INDEX(INDIRECT(zoneFichierTraite),$J64+offsetInitialFichierTraite,7)</f>
        <v>1</v>
      </c>
      <c r="F64" s="28">
        <f ca="1">INDEX(INDIRECT(zoneFichierTraite),$J64+offsetInitialFichierTraite,8)</f>
        <v>15.56</v>
      </c>
      <c r="G64" s="29">
        <f t="shared" ref="G64" ca="1" si="43">ROUNDUP(F64*3,0)</f>
        <v>47</v>
      </c>
      <c r="H64" s="31" t="str">
        <f ca="1">IF(ISNUMBER(N64),codeEAN13(INT(N64/10)),"")</f>
        <v>8APASOG*agcaif+</v>
      </c>
      <c r="J64" s="15">
        <f t="shared" si="1"/>
        <v>28</v>
      </c>
      <c r="K64" s="1">
        <f t="shared" ref="K64" ca="1" si="44">A65</f>
        <v>39</v>
      </c>
      <c r="L64" s="5" t="str">
        <f ca="1">INDEX(INDIRECT(zoneFichierTraite),$J64+offsetInitialFichierTraite,1)</f>
        <v>'028</v>
      </c>
      <c r="M64" s="11">
        <f ca="1">INDEX(INDIRECT(zoneFichierTraite),$J64+offsetInitialFichierTraite,9)</f>
        <v>15.56</v>
      </c>
      <c r="N64" s="14">
        <f ca="1">INDEX(INDIRECT(zoneFichierTraite),$J64+offsetInitialFichierTraite,3)</f>
        <v>8050846062085</v>
      </c>
      <c r="O64" s="1" t="e">
        <f ca="1">MATCH(N64,INDIRECT(nomFichierEAN13Valmag &amp; "!A:A"),0)</f>
        <v>#REF!</v>
      </c>
      <c r="P64" s="1" t="e">
        <f ca="1">MATCH(R64,INDIRECT(nomFichierEAN13Valmag &amp; "!A:A"),0)</f>
        <v>#REF!</v>
      </c>
      <c r="Q64" s="1" t="e">
        <f ca="1">MATCH(LEFT(B64,14) &amp; "*",INDIRECT(nomFichierEAN13Valmag &amp; "!B:B"),0)</f>
        <v>#REF!</v>
      </c>
      <c r="R64" s="14" t="str">
        <f ca="1">IFERROR(INDEX(INDIRECT(zoneFichierEAN13Valmag),Q64,1),"")</f>
        <v/>
      </c>
      <c r="S64" s="1" t="e">
        <f ca="1">MATCH(B64,INDIRECT(nomFichierFiltreCatalogue &amp; "!B:B"),0)</f>
        <v>#REF!</v>
      </c>
      <c r="T64" s="14"/>
    </row>
    <row r="65" spans="1:20" s="20" customFormat="1" ht="15.75" customHeight="1" x14ac:dyDescent="0.25">
      <c r="A65" s="25">
        <f ca="1">INDEX(INDIRECT(zoneFichierTraite),$J64+offsetInitialFichierTraite,2)</f>
        <v>39</v>
      </c>
      <c r="B65" s="42" t="str">
        <f ca="1">IF(C65="", IFERROR(INDEX(INDIRECT(zoneFichierEAN13Valmag),$P64,3),""), "")</f>
        <v/>
      </c>
      <c r="C65" s="41" t="str">
        <f ca="1">IFERROR(INDEX(INDIRECT(zoneFichierEAN13Valmag),$O64,3),"")</f>
        <v/>
      </c>
      <c r="D65" s="19" t="str">
        <f ca="1">IFERROR(INDEX(INDIRECT(zoneFichierEAN13Valmag),$O64,4),"")</f>
        <v/>
      </c>
      <c r="E65" s="32" t="str">
        <f ca="1">IFERROR(INDEX(INDIRECT(zoneFichierFiltreCatalogue),S64,3),"")</f>
        <v/>
      </c>
      <c r="F65" s="19"/>
      <c r="G65" s="18"/>
      <c r="H65" s="33" t="str">
        <f ca="1">IFERROR(INDEX(INDIRECT(zoneFichierFiltreCatalogue),S64,6),"")</f>
        <v/>
      </c>
      <c r="R65" s="21"/>
      <c r="S65" s="21"/>
    </row>
    <row r="66" spans="1:20" ht="39" customHeight="1" thickBot="1" x14ac:dyDescent="0.65">
      <c r="A66" s="9" t="str">
        <f ca="1">INDEX(INDIRECT(zoneFichierTraite),$J66+offsetInitialFichierTraite,6)</f>
        <v>UNICA</v>
      </c>
      <c r="B66" s="5" t="str">
        <f ca="1">INDEX(INDIRECT(zoneFichierTraite),$J66+offsetInitialFichierTraite,4)</f>
        <v>OBAGS502-TESX2-371</v>
      </c>
      <c r="C66" s="26" t="str">
        <f ca="1">INDEX(INDIRECT(zoneFichierTraite),$J66+offsetInitialFichierTraite,5)</f>
        <v>POCHETTE INTERIEURE OVER O BAG MINI EN TISSU IMPRIME Ã€ FLEURS PEINT Ã€ LA MAIN</v>
      </c>
      <c r="D66" s="27" t="str">
        <f ca="1">INDEX(INDIRECT(zoneFichierTraite),$J66+offsetInitialFichierTraite,13)</f>
        <v>latte</v>
      </c>
      <c r="E66" s="30">
        <f ca="1">INDEX(INDIRECT(zoneFichierTraite),$J66+offsetInitialFichierTraite,7)</f>
        <v>1</v>
      </c>
      <c r="F66" s="28">
        <f ca="1">INDEX(INDIRECT(zoneFichierTraite),$J66+offsetInitialFichierTraite,8)</f>
        <v>14.44</v>
      </c>
      <c r="G66" s="29">
        <f t="shared" ref="G66" ca="1" si="45">ROUNDUP(F66*3,0)</f>
        <v>44</v>
      </c>
      <c r="H66" s="31" t="str">
        <f ca="1">IF(ISNUMBER(N66),codeEAN13(INT(N66/10)),"")</f>
        <v>8APASOG*agcbbf+</v>
      </c>
      <c r="J66" s="15">
        <f t="shared" si="1"/>
        <v>29</v>
      </c>
      <c r="K66" s="1">
        <f t="shared" ref="K66" ca="1" si="46">A67</f>
        <v>16</v>
      </c>
      <c r="L66" s="5" t="str">
        <f ca="1">INDEX(INDIRECT(zoneFichierTraite),$J66+offsetInitialFichierTraite,1)</f>
        <v>'029</v>
      </c>
      <c r="M66" s="11">
        <f ca="1">INDEX(INDIRECT(zoneFichierTraite),$J66+offsetInitialFichierTraite,9)</f>
        <v>14.44</v>
      </c>
      <c r="N66" s="14">
        <f ca="1">INDEX(INDIRECT(zoneFichierTraite),$J66+offsetInitialFichierTraite,3)</f>
        <v>8050846062115</v>
      </c>
      <c r="O66" s="1" t="e">
        <f ca="1">MATCH(N66,INDIRECT(nomFichierEAN13Valmag &amp; "!A:A"),0)</f>
        <v>#REF!</v>
      </c>
      <c r="P66" s="1" t="e">
        <f ca="1">MATCH(R66,INDIRECT(nomFichierEAN13Valmag &amp; "!A:A"),0)</f>
        <v>#REF!</v>
      </c>
      <c r="Q66" s="1" t="e">
        <f ca="1">MATCH(LEFT(B66,14) &amp; "*",INDIRECT(nomFichierEAN13Valmag &amp; "!B:B"),0)</f>
        <v>#REF!</v>
      </c>
      <c r="R66" s="14" t="str">
        <f ca="1">IFERROR(INDEX(INDIRECT(zoneFichierEAN13Valmag),Q66,1),"")</f>
        <v/>
      </c>
      <c r="S66" s="1" t="e">
        <f ca="1">MATCH(B66,INDIRECT(nomFichierFiltreCatalogue &amp; "!B:B"),0)</f>
        <v>#REF!</v>
      </c>
      <c r="T66" s="14"/>
    </row>
    <row r="67" spans="1:20" s="20" customFormat="1" ht="15.75" customHeight="1" x14ac:dyDescent="0.25">
      <c r="A67" s="25">
        <f ca="1">INDEX(INDIRECT(zoneFichierTraite),$J66+offsetInitialFichierTraite,2)</f>
        <v>16</v>
      </c>
      <c r="B67" s="42" t="str">
        <f ca="1">IF(C67="", IFERROR(INDEX(INDIRECT(zoneFichierEAN13Valmag),$P66,3),""), "")</f>
        <v/>
      </c>
      <c r="C67" s="41" t="str">
        <f ca="1">IFERROR(INDEX(INDIRECT(zoneFichierEAN13Valmag),$O66,3),"")</f>
        <v/>
      </c>
      <c r="D67" s="19" t="str">
        <f ca="1">IFERROR(INDEX(INDIRECT(zoneFichierEAN13Valmag),$O66,4),"")</f>
        <v/>
      </c>
      <c r="E67" s="32" t="str">
        <f ca="1">IFERROR(INDEX(INDIRECT(zoneFichierFiltreCatalogue),S66,3),"")</f>
        <v/>
      </c>
      <c r="F67" s="19"/>
      <c r="G67" s="18"/>
      <c r="H67" s="33" t="str">
        <f ca="1">IFERROR(INDEX(INDIRECT(zoneFichierFiltreCatalogue),S66,6),"")</f>
        <v/>
      </c>
      <c r="R67" s="21"/>
      <c r="S67" s="21"/>
    </row>
    <row r="68" spans="1:20" ht="39" customHeight="1" thickBot="1" x14ac:dyDescent="0.65">
      <c r="A68" s="9" t="str">
        <f ca="1">INDEX(INDIRECT(zoneFichierTraite),$J68+offsetInitialFichierTraite,6)</f>
        <v>UNICA</v>
      </c>
      <c r="B68" s="5" t="str">
        <f ca="1">INDEX(INDIRECT(zoneFichierTraite),$J68+offsetInitialFichierTraite,4)</f>
        <v>OBAGS502-TESX6-125</v>
      </c>
      <c r="C68" s="26" t="str">
        <f ca="1">INDEX(INDIRECT(zoneFichierTraite),$J68+offsetInitialFichierTraite,5)</f>
        <v>POCHETTE INTERIEURE OVER O BAG MINI EN TISSU IMPRIME TANGERINE</v>
      </c>
      <c r="D68" s="27" t="str">
        <f ca="1">INDEX(INDIRECT(zoneFichierTraite),$J68+offsetInitialFichierTraite,13)</f>
        <v>multicolor</v>
      </c>
      <c r="E68" s="30">
        <f ca="1">INDEX(INDIRECT(zoneFichierTraite),$J68+offsetInitialFichierTraite,7)</f>
        <v>1</v>
      </c>
      <c r="F68" s="28">
        <f ca="1">INDEX(INDIRECT(zoneFichierTraite),$J68+offsetInitialFichierTraite,8)</f>
        <v>15.56</v>
      </c>
      <c r="G68" s="29">
        <f t="shared" ref="G68" ca="1" si="47">ROUNDUP(F68*3,0)</f>
        <v>47</v>
      </c>
      <c r="H68" s="31" t="str">
        <f ca="1">IF(ISNUMBER(N68),codeEAN13(INT(N68/10)),"")</f>
        <v>8APASOG*agcbai+</v>
      </c>
      <c r="J68" s="15">
        <f t="shared" si="1"/>
        <v>30</v>
      </c>
      <c r="K68" s="1">
        <f t="shared" ref="K68" ca="1" si="48">A69</f>
        <v>29</v>
      </c>
      <c r="L68" s="5" t="str">
        <f ca="1">INDEX(INDIRECT(zoneFichierTraite),$J68+offsetInitialFichierTraite,1)</f>
        <v>'030</v>
      </c>
      <c r="M68" s="11">
        <f ca="1">INDEX(INDIRECT(zoneFichierTraite),$J68+offsetInitialFichierTraite,9)</f>
        <v>15.56</v>
      </c>
      <c r="N68" s="14">
        <f ca="1">INDEX(INDIRECT(zoneFichierTraite),$J68+offsetInitialFichierTraite,3)</f>
        <v>8050846062108</v>
      </c>
      <c r="O68" s="1" t="e">
        <f ca="1">MATCH(N68,INDIRECT(nomFichierEAN13Valmag &amp; "!A:A"),0)</f>
        <v>#REF!</v>
      </c>
      <c r="P68" s="1" t="e">
        <f ca="1">MATCH(R68,INDIRECT(nomFichierEAN13Valmag &amp; "!A:A"),0)</f>
        <v>#REF!</v>
      </c>
      <c r="Q68" s="1" t="e">
        <f ca="1">MATCH(LEFT(B68,14) &amp; "*",INDIRECT(nomFichierEAN13Valmag &amp; "!B:B"),0)</f>
        <v>#REF!</v>
      </c>
      <c r="R68" s="14" t="str">
        <f ca="1">IFERROR(INDEX(INDIRECT(zoneFichierEAN13Valmag),Q68,1),"")</f>
        <v/>
      </c>
      <c r="S68" s="1" t="e">
        <f ca="1">MATCH(B68,INDIRECT(nomFichierFiltreCatalogue &amp; "!B:B"),0)</f>
        <v>#REF!</v>
      </c>
      <c r="T68" s="14"/>
    </row>
    <row r="69" spans="1:20" s="20" customFormat="1" ht="15.75" customHeight="1" x14ac:dyDescent="0.25">
      <c r="A69" s="25">
        <f ca="1">INDEX(INDIRECT(zoneFichierTraite),$J68+offsetInitialFichierTraite,2)</f>
        <v>29</v>
      </c>
      <c r="B69" s="42" t="str">
        <f ca="1">IF(C69="", IFERROR(INDEX(INDIRECT(zoneFichierEAN13Valmag),$P68,3),""), "")</f>
        <v/>
      </c>
      <c r="C69" s="41" t="str">
        <f ca="1">IFERROR(INDEX(INDIRECT(zoneFichierEAN13Valmag),$O68,3),"")</f>
        <v/>
      </c>
      <c r="D69" s="19" t="str">
        <f ca="1">IFERROR(INDEX(INDIRECT(zoneFichierEAN13Valmag),$O68,4),"")</f>
        <v/>
      </c>
      <c r="E69" s="32" t="str">
        <f ca="1">IFERROR(INDEX(INDIRECT(zoneFichierFiltreCatalogue),S68,3),"")</f>
        <v/>
      </c>
      <c r="F69" s="19"/>
      <c r="G69" s="18"/>
      <c r="H69" s="33" t="str">
        <f ca="1">IFERROR(INDEX(INDIRECT(zoneFichierFiltreCatalogue),S68,6),"")</f>
        <v/>
      </c>
      <c r="R69" s="21"/>
      <c r="S69" s="21"/>
    </row>
    <row r="70" spans="1:20" ht="39" customHeight="1" thickBot="1" x14ac:dyDescent="0.65">
      <c r="A70" s="9" t="str">
        <f ca="1">INDEX(INDIRECT(zoneFichierTraite),$J70+offsetInitialFichierTraite,6)</f>
        <v>UNICA</v>
      </c>
      <c r="B70" s="5" t="str">
        <f ca="1">INDEX(INDIRECT(zoneFichierTraite),$J70+offsetInitialFichierTraite,4)</f>
        <v>OBAGS602-TESX5-590</v>
      </c>
      <c r="C70" s="26" t="str">
        <f ca="1">INDEX(INDIRECT(zoneFichierTraite),$J70+offsetInitialFichierTraite,5)</f>
        <v>POCHETTE INTERIEURE SWITCH O BAG MINI EN TISSU IMPRIME STONES</v>
      </c>
      <c r="D70" s="27" t="str">
        <f ca="1">INDEX(INDIRECT(zoneFichierTraite),$J70+offsetInitialFichierTraite,13)</f>
        <v>mattone/nero</v>
      </c>
      <c r="E70" s="30">
        <f ca="1">INDEX(INDIRECT(zoneFichierTraite),$J70+offsetInitialFichierTraite,7)</f>
        <v>1</v>
      </c>
      <c r="F70" s="28">
        <f ca="1">INDEX(INDIRECT(zoneFichierTraite),$J70+offsetInitialFichierTraite,8)</f>
        <v>11.85</v>
      </c>
      <c r="G70" s="29">
        <f t="shared" ref="G70" ca="1" si="49">ROUNDUP(F70*3,0)</f>
        <v>36</v>
      </c>
      <c r="H70" s="31" t="str">
        <f ca="1">IF(ISNUMBER(N70),codeEAN13(INT(N70/10)),"")</f>
        <v>8APASOG*agccef+</v>
      </c>
      <c r="J70" s="15">
        <f t="shared" si="1"/>
        <v>31</v>
      </c>
      <c r="K70" s="1">
        <f t="shared" ref="K70" ca="1" si="50">A71</f>
        <v>11</v>
      </c>
      <c r="L70" s="5" t="str">
        <f ca="1">INDEX(INDIRECT(zoneFichierTraite),$J70+offsetInitialFichierTraite,1)</f>
        <v>'031</v>
      </c>
      <c r="M70" s="11">
        <f ca="1">INDEX(INDIRECT(zoneFichierTraite),$J70+offsetInitialFichierTraite,9)</f>
        <v>11.85</v>
      </c>
      <c r="N70" s="14">
        <f ca="1">INDEX(INDIRECT(zoneFichierTraite),$J70+offsetInitialFichierTraite,3)</f>
        <v>8050846062245</v>
      </c>
      <c r="O70" s="1" t="e">
        <f ca="1">MATCH(N70,INDIRECT(nomFichierEAN13Valmag &amp; "!A:A"),0)</f>
        <v>#REF!</v>
      </c>
      <c r="P70" s="1" t="e">
        <f ca="1">MATCH(R70,INDIRECT(nomFichierEAN13Valmag &amp; "!A:A"),0)</f>
        <v>#REF!</v>
      </c>
      <c r="Q70" s="1" t="e">
        <f ca="1">MATCH(LEFT(B70,14) &amp; "*",INDIRECT(nomFichierEAN13Valmag &amp; "!B:B"),0)</f>
        <v>#REF!</v>
      </c>
      <c r="R70" s="14" t="str">
        <f ca="1">IFERROR(INDEX(INDIRECT(zoneFichierEAN13Valmag),Q70,1),"")</f>
        <v/>
      </c>
      <c r="S70" s="1" t="e">
        <f ca="1">MATCH(B70,INDIRECT(nomFichierFiltreCatalogue &amp; "!B:B"),0)</f>
        <v>#REF!</v>
      </c>
      <c r="T70" s="14"/>
    </row>
    <row r="71" spans="1:20" s="20" customFormat="1" ht="15.75" customHeight="1" x14ac:dyDescent="0.25">
      <c r="A71" s="25">
        <f ca="1">INDEX(INDIRECT(zoneFichierTraite),$J70+offsetInitialFichierTraite,2)</f>
        <v>11</v>
      </c>
      <c r="B71" s="42" t="str">
        <f ca="1">IF(C71="", IFERROR(INDEX(INDIRECT(zoneFichierEAN13Valmag),$P70,3),""), "")</f>
        <v/>
      </c>
      <c r="C71" s="41" t="str">
        <f ca="1">IFERROR(INDEX(INDIRECT(zoneFichierEAN13Valmag),$O70,3),"")</f>
        <v/>
      </c>
      <c r="D71" s="19" t="str">
        <f ca="1">IFERROR(INDEX(INDIRECT(zoneFichierEAN13Valmag),$O70,4),"")</f>
        <v/>
      </c>
      <c r="E71" s="32" t="str">
        <f ca="1">IFERROR(INDEX(INDIRECT(zoneFichierFiltreCatalogue),S70,3),"")</f>
        <v/>
      </c>
      <c r="F71" s="19"/>
      <c r="G71" s="18"/>
      <c r="H71" s="33" t="str">
        <f ca="1">IFERROR(INDEX(INDIRECT(zoneFichierFiltreCatalogue),S70,6),"")</f>
        <v/>
      </c>
      <c r="R71" s="21"/>
      <c r="S71" s="21"/>
    </row>
    <row r="72" spans="1:20" ht="39" customHeight="1" thickBot="1" x14ac:dyDescent="0.65">
      <c r="A72" s="9" t="str">
        <f ca="1">INDEX(INDIRECT(zoneFichierTraite),$J72+offsetInitialFichierTraite,6)</f>
        <v>UNICA</v>
      </c>
      <c r="B72" s="5" t="str">
        <f ca="1">INDEX(INDIRECT(zoneFichierTraite),$J72+offsetInitialFichierTraite,4)</f>
        <v>OBAGS602-TESY2-075</v>
      </c>
      <c r="C72" s="26" t="str">
        <f ca="1">INDEX(INDIRECT(zoneFichierTraite),$J72+offsetInitialFichierTraite,5)</f>
        <v>POCHETTE INTERIEURE SWITCH O BAG MINI EN TISSU IMPRIME LEAVES</v>
      </c>
      <c r="D72" s="27" t="str">
        <f ca="1">INDEX(INDIRECT(zoneFichierTraite),$J72+offsetInitialFichierTraite,13)</f>
        <v>rosa smoke</v>
      </c>
      <c r="E72" s="30">
        <f ca="1">INDEX(INDIRECT(zoneFichierTraite),$J72+offsetInitialFichierTraite,7)</f>
        <v>1</v>
      </c>
      <c r="F72" s="28">
        <f ca="1">INDEX(INDIRECT(zoneFichierTraite),$J72+offsetInitialFichierTraite,8)</f>
        <v>11.85</v>
      </c>
      <c r="G72" s="29">
        <f t="shared" ref="G72" ca="1" si="51">ROUNDUP(F72*3,0)</f>
        <v>36</v>
      </c>
      <c r="H72" s="31" t="str">
        <f ca="1">IF(ISNUMBER(N72),codeEAN13(INT(N72/10)),"")</f>
        <v>8APASOG*aghbba+</v>
      </c>
      <c r="J72" s="15">
        <f t="shared" si="1"/>
        <v>32</v>
      </c>
      <c r="K72" s="1">
        <f t="shared" ref="K72:K74" ca="1" si="52">A73</f>
        <v>8</v>
      </c>
      <c r="L72" s="5" t="str">
        <f ca="1">INDEX(INDIRECT(zoneFichierTraite),$J72+offsetInitialFichierTraite,1)</f>
        <v>'032</v>
      </c>
      <c r="M72" s="11">
        <f ca="1">INDEX(INDIRECT(zoneFichierTraite),$J72+offsetInitialFichierTraite,9)</f>
        <v>11.85</v>
      </c>
      <c r="N72" s="14">
        <f ca="1">INDEX(INDIRECT(zoneFichierTraite),$J72+offsetInitialFichierTraite,3)</f>
        <v>8050846067110</v>
      </c>
      <c r="O72" s="1" t="e">
        <f ca="1">MATCH(N72,INDIRECT(nomFichierEAN13Valmag &amp; "!A:A"),0)</f>
        <v>#REF!</v>
      </c>
      <c r="P72" s="1" t="e">
        <f ca="1">MATCH(R72,INDIRECT(nomFichierEAN13Valmag &amp; "!A:A"),0)</f>
        <v>#REF!</v>
      </c>
      <c r="Q72" s="1" t="e">
        <f ca="1">MATCH(LEFT(B72,14) &amp; "*",INDIRECT(nomFichierEAN13Valmag &amp; "!B:B"),0)</f>
        <v>#REF!</v>
      </c>
      <c r="R72" s="14" t="str">
        <f ca="1">IFERROR(INDEX(INDIRECT(zoneFichierEAN13Valmag),Q72,1),"")</f>
        <v/>
      </c>
      <c r="S72" s="1" t="e">
        <f ca="1">MATCH(B72,INDIRECT(nomFichierFiltreCatalogue &amp; "!B:B"),0)</f>
        <v>#REF!</v>
      </c>
      <c r="T72" s="14"/>
    </row>
    <row r="73" spans="1:20" s="20" customFormat="1" ht="15.75" customHeight="1" x14ac:dyDescent="0.25">
      <c r="A73" s="25">
        <f ca="1">INDEX(INDIRECT(zoneFichierTraite),$J72+offsetInitialFichierTraite,2)</f>
        <v>8</v>
      </c>
      <c r="B73" s="42" t="str">
        <f ca="1">IF(C73="", IFERROR(INDEX(INDIRECT(zoneFichierEAN13Valmag),$P72,3),""), "")</f>
        <v/>
      </c>
      <c r="C73" s="41" t="str">
        <f ca="1">IFERROR(INDEX(INDIRECT(zoneFichierEAN13Valmag),$O72,3),"")</f>
        <v/>
      </c>
      <c r="D73" s="19" t="str">
        <f ca="1">IFERROR(INDEX(INDIRECT(zoneFichierEAN13Valmag),$O72,4),"")</f>
        <v/>
      </c>
      <c r="E73" s="32" t="str">
        <f ca="1">IFERROR(INDEX(INDIRECT(zoneFichierFiltreCatalogue),S72,3),"")</f>
        <v/>
      </c>
      <c r="F73" s="19"/>
      <c r="G73" s="18"/>
      <c r="H73" s="33" t="str">
        <f ca="1">IFERROR(INDEX(INDIRECT(zoneFichierFiltreCatalogue),S72,6),"")</f>
        <v/>
      </c>
      <c r="R73" s="21"/>
      <c r="S73" s="21"/>
    </row>
    <row r="74" spans="1:20" ht="39" customHeight="1" thickBot="1" x14ac:dyDescent="0.65">
      <c r="A74" s="9" t="str">
        <f ca="1">INDEX(INDIRECT(zoneFichierTraite),$J74+offsetInitialFichierTraite,6)</f>
        <v>UNICA</v>
      </c>
      <c r="B74" s="5" t="str">
        <f ca="1">INDEX(INDIRECT(zoneFichierTraite),$J74+offsetInitialFichierTraite,4)</f>
        <v>OBAGS646-TESX5-590</v>
      </c>
      <c r="C74" s="26" t="str">
        <f ca="1">INDEX(INDIRECT(zoneFichierTraite),$J74+offsetInitialFichierTraite,5)</f>
        <v>POCHETTE INTERIEURE SWITCH O BAG REVERSE EN TISSU IMPRIME STONES</v>
      </c>
      <c r="D74" s="27" t="str">
        <f ca="1">INDEX(INDIRECT(zoneFichierTraite),$J74+offsetInitialFichierTraite,13)</f>
        <v>mattone/nero</v>
      </c>
      <c r="E74" s="30">
        <f ca="1">INDEX(INDIRECT(zoneFichierTraite),$J74+offsetInitialFichierTraite,7)</f>
        <v>1</v>
      </c>
      <c r="F74" s="28">
        <f ca="1">INDEX(INDIRECT(zoneFichierTraite),$J74+offsetInitialFichierTraite,8)</f>
        <v>11.85</v>
      </c>
      <c r="G74" s="29">
        <f t="shared" ref="G74" ca="1" si="53">ROUNDUP(F74*3,0)</f>
        <v>36</v>
      </c>
      <c r="H74" s="31" t="str">
        <f ca="1">IF(ISNUMBER(N74),codeEAN13(INT(N74/10)),"")</f>
        <v>8APASOG*agcdbd+</v>
      </c>
      <c r="J74" s="15">
        <f t="shared" si="1"/>
        <v>33</v>
      </c>
      <c r="K74" s="1">
        <f t="shared" ref="K74" ca="1" si="54">A75</f>
        <v>5</v>
      </c>
      <c r="L74" s="5" t="str">
        <f ca="1">INDEX(INDIRECT(zoneFichierTraite),$J74+offsetInitialFichierTraite,1)</f>
        <v>'033</v>
      </c>
      <c r="M74" s="11">
        <f ca="1">INDEX(INDIRECT(zoneFichierTraite),$J74+offsetInitialFichierTraite,9)</f>
        <v>11.85</v>
      </c>
      <c r="N74" s="14">
        <f ca="1">INDEX(INDIRECT(zoneFichierTraite),$J74+offsetInitialFichierTraite,3)</f>
        <v>8050846062313</v>
      </c>
      <c r="O74" s="1" t="e">
        <f ca="1">MATCH(N74,INDIRECT(nomFichierEAN13Valmag &amp; "!A:A"),0)</f>
        <v>#REF!</v>
      </c>
      <c r="P74" s="1" t="e">
        <f ca="1">MATCH(R74,INDIRECT(nomFichierEAN13Valmag &amp; "!A:A"),0)</f>
        <v>#REF!</v>
      </c>
      <c r="Q74" s="1" t="e">
        <f ca="1">MATCH(LEFT(B74,14) &amp; "*",INDIRECT(nomFichierEAN13Valmag &amp; "!B:B"),0)</f>
        <v>#REF!</v>
      </c>
      <c r="R74" s="14" t="str">
        <f ca="1">IFERROR(INDEX(INDIRECT(zoneFichierEAN13Valmag),Q74,1),"")</f>
        <v/>
      </c>
      <c r="S74" s="1" t="e">
        <f ca="1">MATCH(B74,INDIRECT(nomFichierFiltreCatalogue &amp; "!B:B"),0)</f>
        <v>#REF!</v>
      </c>
      <c r="T74" s="14"/>
    </row>
    <row r="75" spans="1:20" s="20" customFormat="1" ht="15.75" customHeight="1" x14ac:dyDescent="0.25">
      <c r="A75" s="25">
        <f ca="1">INDEX(INDIRECT(zoneFichierTraite),$J74+offsetInitialFichierTraite,2)</f>
        <v>5</v>
      </c>
      <c r="B75" s="42" t="str">
        <f ca="1">IF(C75="", IFERROR(INDEX(INDIRECT(zoneFichierEAN13Valmag),$P74,3),""), "")</f>
        <v/>
      </c>
      <c r="C75" s="41" t="str">
        <f ca="1">IFERROR(INDEX(INDIRECT(zoneFichierEAN13Valmag),$O74,3),"")</f>
        <v/>
      </c>
      <c r="D75" s="19" t="str">
        <f ca="1">IFERROR(INDEX(INDIRECT(zoneFichierEAN13Valmag),$O74,4),"")</f>
        <v/>
      </c>
      <c r="E75" s="32" t="str">
        <f ca="1">IFERROR(INDEX(INDIRECT(zoneFichierFiltreCatalogue),S74,3),"")</f>
        <v/>
      </c>
      <c r="F75" s="19"/>
      <c r="G75" s="18"/>
      <c r="H75" s="33" t="str">
        <f ca="1">IFERROR(INDEX(INDIRECT(zoneFichierFiltreCatalogue),S74,6),"")</f>
        <v/>
      </c>
      <c r="R75" s="21"/>
      <c r="S75" s="21"/>
    </row>
    <row r="76" spans="1:20" ht="39" customHeight="1" thickBot="1" x14ac:dyDescent="0.65">
      <c r="A76" s="9" t="str">
        <f ca="1">INDEX(INDIRECT(zoneFichierTraite),$J76+offsetInitialFichierTraite,6)</f>
        <v>UNICA</v>
      </c>
      <c r="B76" s="5" t="str">
        <f ca="1">INDEX(INDIRECT(zoneFichierTraite),$J76+offsetInitialFichierTraite,4)</f>
        <v>OBAGT001-TESX6-125</v>
      </c>
      <c r="C76" s="26" t="str">
        <f ca="1">INDEX(INDIRECT(zoneFichierTraite),$J76+offsetInitialFichierTraite,5)</f>
        <v>REVERS O BAG EN TISSU IMPRIME TANGERINE</v>
      </c>
      <c r="D76" s="27" t="str">
        <f ca="1">INDEX(INDIRECT(zoneFichierTraite),$J76+offsetInitialFichierTraite,13)</f>
        <v>multicolor</v>
      </c>
      <c r="E76" s="30">
        <f ca="1">INDEX(INDIRECT(zoneFichierTraite),$J76+offsetInitialFichierTraite,7)</f>
        <v>1</v>
      </c>
      <c r="F76" s="28">
        <f ca="1">INDEX(INDIRECT(zoneFichierTraite),$J76+offsetInitialFichierTraite,8)</f>
        <v>15.56</v>
      </c>
      <c r="G76" s="29">
        <f t="shared" ref="G76" ca="1" si="55">ROUNDUP(F76*3,0)</f>
        <v>47</v>
      </c>
      <c r="H76" s="31" t="str">
        <f ca="1">IF(ISNUMBER(N76),codeEAN13(INT(N76/10)),"")</f>
        <v>8APASOG*aghaec+</v>
      </c>
      <c r="J76" s="15">
        <f t="shared" ref="J76:J88" si="56">J74+1</f>
        <v>34</v>
      </c>
      <c r="K76" s="1">
        <f t="shared" ref="K76:K77" ca="1" si="57">A77</f>
        <v>33</v>
      </c>
      <c r="L76" s="5" t="str">
        <f ca="1">INDEX(INDIRECT(zoneFichierTraite),$J76+offsetInitialFichierTraite,1)</f>
        <v>'034</v>
      </c>
      <c r="M76" s="11">
        <f ca="1">INDEX(INDIRECT(zoneFichierTraite),$J76+offsetInitialFichierTraite,9)</f>
        <v>15.56</v>
      </c>
      <c r="N76" s="14">
        <f ca="1">INDEX(INDIRECT(zoneFichierTraite),$J76+offsetInitialFichierTraite,3)</f>
        <v>8050846067042</v>
      </c>
      <c r="O76" s="1" t="e">
        <f ca="1">MATCH(N76,INDIRECT(nomFichierEAN13Valmag &amp; "!A:A"),0)</f>
        <v>#REF!</v>
      </c>
      <c r="P76" s="1" t="e">
        <f ca="1">MATCH(R76,INDIRECT(nomFichierEAN13Valmag &amp; "!A:A"),0)</f>
        <v>#REF!</v>
      </c>
      <c r="Q76" s="1" t="e">
        <f ca="1">MATCH(LEFT(B76,14) &amp; "*",INDIRECT(nomFichierEAN13Valmag &amp; "!B:B"),0)</f>
        <v>#REF!</v>
      </c>
      <c r="R76" s="14" t="str">
        <f ca="1">IFERROR(INDEX(INDIRECT(zoneFichierEAN13Valmag),Q76,1),"")</f>
        <v/>
      </c>
      <c r="S76" s="1" t="e">
        <f ca="1">MATCH(B76,INDIRECT(nomFichierFiltreCatalogue &amp; "!B:B"),0)</f>
        <v>#REF!</v>
      </c>
      <c r="T76" s="14"/>
    </row>
    <row r="77" spans="1:20" s="20" customFormat="1" ht="15.75" customHeight="1" x14ac:dyDescent="0.25">
      <c r="A77" s="25">
        <f ca="1">INDEX(INDIRECT(zoneFichierTraite),$J76+offsetInitialFichierTraite,2)</f>
        <v>33</v>
      </c>
      <c r="B77" s="42" t="str">
        <f ca="1">IF(C77="", IFERROR(INDEX(INDIRECT(zoneFichierEAN13Valmag),$P76,3),""), "")</f>
        <v/>
      </c>
      <c r="C77" s="41" t="str">
        <f ca="1">IFERROR(INDEX(INDIRECT(zoneFichierEAN13Valmag),$O76,3),"")</f>
        <v/>
      </c>
      <c r="D77" s="19" t="str">
        <f ca="1">IFERROR(INDEX(INDIRECT(zoneFichierEAN13Valmag),$O76,4),"")</f>
        <v/>
      </c>
      <c r="E77" s="32" t="str">
        <f ca="1">IFERROR(INDEX(INDIRECT(zoneFichierFiltreCatalogue),S76,3),"")</f>
        <v/>
      </c>
      <c r="F77" s="19"/>
      <c r="G77" s="18"/>
      <c r="H77" s="33" t="str">
        <f ca="1">IFERROR(INDEX(INDIRECT(zoneFichierFiltreCatalogue),S76,6),"")</f>
        <v/>
      </c>
      <c r="R77" s="21"/>
      <c r="S77" s="21"/>
    </row>
    <row r="78" spans="1:20" ht="39" customHeight="1" thickBot="1" x14ac:dyDescent="0.65">
      <c r="A78" s="9" t="str">
        <f ca="1">INDEX(INDIRECT(zoneFichierTraite),$J78+offsetInitialFichierTraite,6)</f>
        <v>UNICA</v>
      </c>
      <c r="B78" s="5" t="str">
        <f ca="1">INDEX(INDIRECT(zoneFichierTraite),$J78+offsetInitialFichierTraite,4)</f>
        <v>OBAGT001-TESY2-075</v>
      </c>
      <c r="C78" s="26" t="str">
        <f ca="1">INDEX(INDIRECT(zoneFichierTraite),$J78+offsetInitialFichierTraite,5)</f>
        <v>REVERS O BAG EN TISSU IMPRIME LEAVES</v>
      </c>
      <c r="D78" s="27" t="str">
        <f ca="1">INDEX(INDIRECT(zoneFichierTraite),$J78+offsetInitialFichierTraite,13)</f>
        <v>rosa smoke</v>
      </c>
      <c r="E78" s="30">
        <f ca="1">INDEX(INDIRECT(zoneFichierTraite),$J78+offsetInitialFichierTraite,7)</f>
        <v>1</v>
      </c>
      <c r="F78" s="28">
        <f ca="1">INDEX(INDIRECT(zoneFichierTraite),$J78+offsetInitialFichierTraite,8)</f>
        <v>11.85</v>
      </c>
      <c r="G78" s="29">
        <f t="shared" ref="G78" ca="1" si="58">ROUNDUP(F78*3,0)</f>
        <v>36</v>
      </c>
      <c r="H78" s="31" t="str">
        <f ca="1">IF(ISNUMBER(N78),codeEAN13(INT(N78/10)),"")</f>
        <v>8APASOG*aghaia+</v>
      </c>
      <c r="J78" s="15">
        <f t="shared" si="56"/>
        <v>35</v>
      </c>
      <c r="K78" s="1">
        <f t="shared" ref="K78" ca="1" si="59">A79</f>
        <v>17</v>
      </c>
      <c r="L78" s="5" t="str">
        <f ca="1">INDEX(INDIRECT(zoneFichierTraite),$J78+offsetInitialFichierTraite,1)</f>
        <v>'035</v>
      </c>
      <c r="M78" s="11">
        <f ca="1">INDEX(INDIRECT(zoneFichierTraite),$J78+offsetInitialFichierTraite,9)</f>
        <v>11.85</v>
      </c>
      <c r="N78" s="14">
        <f ca="1">INDEX(INDIRECT(zoneFichierTraite),$J78+offsetInitialFichierTraite,3)</f>
        <v>8050846067080</v>
      </c>
      <c r="O78" s="1" t="e">
        <f ca="1">MATCH(N78,INDIRECT(nomFichierEAN13Valmag &amp; "!A:A"),0)</f>
        <v>#REF!</v>
      </c>
      <c r="P78" s="1" t="e">
        <f ca="1">MATCH(R78,INDIRECT(nomFichierEAN13Valmag &amp; "!A:A"),0)</f>
        <v>#REF!</v>
      </c>
      <c r="Q78" s="1" t="e">
        <f ca="1">MATCH(LEFT(B78,14) &amp; "*",INDIRECT(nomFichierEAN13Valmag &amp; "!B:B"),0)</f>
        <v>#REF!</v>
      </c>
      <c r="R78" s="14" t="str">
        <f ca="1">IFERROR(INDEX(INDIRECT(zoneFichierEAN13Valmag),Q78,1),"")</f>
        <v/>
      </c>
      <c r="S78" s="1" t="e">
        <f ca="1">MATCH(B78,INDIRECT(nomFichierFiltreCatalogue &amp; "!B:B"),0)</f>
        <v>#REF!</v>
      </c>
      <c r="T78" s="14"/>
    </row>
    <row r="79" spans="1:20" s="20" customFormat="1" ht="15.75" customHeight="1" x14ac:dyDescent="0.25">
      <c r="A79" s="25">
        <f ca="1">INDEX(INDIRECT(zoneFichierTraite),$J78+offsetInitialFichierTraite,2)</f>
        <v>17</v>
      </c>
      <c r="B79" s="42" t="str">
        <f ca="1">IF(C79="", IFERROR(INDEX(INDIRECT(zoneFichierEAN13Valmag),$P78,3),""), "")</f>
        <v/>
      </c>
      <c r="C79" s="41" t="str">
        <f ca="1">IFERROR(INDEX(INDIRECT(zoneFichierEAN13Valmag),$O78,3),"")</f>
        <v/>
      </c>
      <c r="D79" s="19" t="str">
        <f ca="1">IFERROR(INDEX(INDIRECT(zoneFichierEAN13Valmag),$O78,4),"")</f>
        <v/>
      </c>
      <c r="E79" s="32" t="str">
        <f ca="1">IFERROR(INDEX(INDIRECT(zoneFichierFiltreCatalogue),S78,3),"")</f>
        <v/>
      </c>
      <c r="F79" s="19"/>
      <c r="G79" s="18"/>
      <c r="H79" s="33" t="str">
        <f ca="1">IFERROR(INDEX(INDIRECT(zoneFichierFiltreCatalogue),S78,6),"")</f>
        <v/>
      </c>
      <c r="R79" s="21"/>
      <c r="S79" s="21"/>
    </row>
    <row r="80" spans="1:20" ht="39" customHeight="1" thickBot="1" x14ac:dyDescent="0.65">
      <c r="A80" s="9" t="str">
        <f ca="1">INDEX(INDIRECT(zoneFichierTraite),$J80+offsetInitialFichierTraite,6)</f>
        <v>UNICA</v>
      </c>
      <c r="B80" s="5" t="str">
        <f ca="1">INDEX(INDIRECT(zoneFichierTraite),$J80+offsetInitialFichierTraite,4)</f>
        <v>OBAGT002-TESY2-075</v>
      </c>
      <c r="C80" s="26" t="str">
        <f ca="1">INDEX(INDIRECT(zoneFichierTraite),$J80+offsetInitialFichierTraite,5)</f>
        <v>REVERS O BAG MINI EN TISSU IMPRIME LEAVES</v>
      </c>
      <c r="D80" s="27" t="str">
        <f ca="1">INDEX(INDIRECT(zoneFichierTraite),$J80+offsetInitialFichierTraite,13)</f>
        <v>rosa smoke</v>
      </c>
      <c r="E80" s="30">
        <f ca="1">INDEX(INDIRECT(zoneFichierTraite),$J80+offsetInitialFichierTraite,7)</f>
        <v>3</v>
      </c>
      <c r="F80" s="28">
        <f ca="1">INDEX(INDIRECT(zoneFichierTraite),$J80+offsetInitialFichierTraite,8)</f>
        <v>11.85</v>
      </c>
      <c r="G80" s="29">
        <f t="shared" ref="G80" ca="1" si="60">ROUNDUP(F80*3,0)</f>
        <v>36</v>
      </c>
      <c r="H80" s="31" t="str">
        <f ca="1">IF(ISNUMBER(N80),codeEAN13(INT(N80/10)),"")</f>
        <v>8APASOG*aghajh+</v>
      </c>
      <c r="J80" s="15">
        <f t="shared" si="56"/>
        <v>36</v>
      </c>
      <c r="K80" s="1">
        <f t="shared" ref="K80" ca="1" si="61">A81</f>
        <v>30</v>
      </c>
      <c r="L80" s="5" t="str">
        <f ca="1">INDEX(INDIRECT(zoneFichierTraite),$J80+offsetInitialFichierTraite,1)</f>
        <v>'036</v>
      </c>
      <c r="M80" s="11">
        <f ca="1">INDEX(INDIRECT(zoneFichierTraite),$J80+offsetInitialFichierTraite,9)</f>
        <v>35.549999999999997</v>
      </c>
      <c r="N80" s="14">
        <f ca="1">INDEX(INDIRECT(zoneFichierTraite),$J80+offsetInitialFichierTraite,3)</f>
        <v>8050846067097</v>
      </c>
      <c r="O80" s="1" t="e">
        <f ca="1">MATCH(N80,INDIRECT(nomFichierEAN13Valmag &amp; "!A:A"),0)</f>
        <v>#REF!</v>
      </c>
      <c r="P80" s="1" t="e">
        <f ca="1">MATCH(R80,INDIRECT(nomFichierEAN13Valmag &amp; "!A:A"),0)</f>
        <v>#REF!</v>
      </c>
      <c r="Q80" s="1" t="e">
        <f ca="1">MATCH(LEFT(B80,14) &amp; "*",INDIRECT(nomFichierEAN13Valmag &amp; "!B:B"),0)</f>
        <v>#REF!</v>
      </c>
      <c r="R80" s="14" t="str">
        <f ca="1">IFERROR(INDEX(INDIRECT(zoneFichierEAN13Valmag),Q80,1),"")</f>
        <v/>
      </c>
      <c r="S80" s="1" t="e">
        <f ca="1">MATCH(B80,INDIRECT(nomFichierFiltreCatalogue &amp; "!B:B"),0)</f>
        <v>#REF!</v>
      </c>
      <c r="T80" s="14"/>
    </row>
    <row r="81" spans="1:20" s="20" customFormat="1" ht="15.75" customHeight="1" x14ac:dyDescent="0.25">
      <c r="A81" s="25">
        <f ca="1">INDEX(INDIRECT(zoneFichierTraite),$J80+offsetInitialFichierTraite,2)</f>
        <v>30</v>
      </c>
      <c r="B81" s="42" t="str">
        <f ca="1">IF(C81="", IFERROR(INDEX(INDIRECT(zoneFichierEAN13Valmag),$P80,3),""), "")</f>
        <v/>
      </c>
      <c r="C81" s="41" t="str">
        <f ca="1">IFERROR(INDEX(INDIRECT(zoneFichierEAN13Valmag),$O80,3),"")</f>
        <v/>
      </c>
      <c r="D81" s="19" t="str">
        <f ca="1">IFERROR(INDEX(INDIRECT(zoneFichierEAN13Valmag),$O80,4),"")</f>
        <v/>
      </c>
      <c r="E81" s="32" t="str">
        <f ca="1">IFERROR(INDEX(INDIRECT(zoneFichierFiltreCatalogue),S80,3),"")</f>
        <v/>
      </c>
      <c r="F81" s="19"/>
      <c r="G81" s="18"/>
      <c r="H81" s="33" t="str">
        <f ca="1">IFERROR(INDEX(INDIRECT(zoneFichierFiltreCatalogue),S80,6),"")</f>
        <v/>
      </c>
      <c r="R81" s="21"/>
      <c r="S81" s="21"/>
    </row>
    <row r="82" spans="1:20" ht="39" customHeight="1" thickBot="1" x14ac:dyDescent="0.65">
      <c r="A82" s="9" t="str">
        <f ca="1">INDEX(INDIRECT(zoneFichierTraite),$J82+offsetInitialFichierTraite,6)</f>
        <v>UNICA</v>
      </c>
      <c r="B82" s="5" t="str">
        <f ca="1">INDEX(INDIRECT(zoneFichierTraite),$J82+offsetInitialFichierTraite,4)</f>
        <v>OCLKD001-MESC5-599</v>
      </c>
      <c r="C82" s="26" t="str">
        <f ca="1">INDEX(INDIRECT(zoneFichierTraite),$J82+offsetInitialFichierTraite,5)</f>
        <v>O CLOCK MECANISME CRYSTAL FLOWER</v>
      </c>
      <c r="D82" s="27" t="str">
        <f ca="1">INDEX(INDIRECT(zoneFichierTraite),$J82+offsetInitialFichierTraite,13)</f>
        <v>pesca</v>
      </c>
      <c r="E82" s="30">
        <f ca="1">INDEX(INDIRECT(zoneFichierTraite),$J82+offsetInitialFichierTraite,7)</f>
        <v>2</v>
      </c>
      <c r="F82" s="28">
        <f ca="1">INDEX(INDIRECT(zoneFichierTraite),$J82+offsetInitialFichierTraite,8)</f>
        <v>10</v>
      </c>
      <c r="G82" s="29">
        <f t="shared" ref="G82" ca="1" si="62">ROUNDUP(F82*3,0)</f>
        <v>30</v>
      </c>
      <c r="H82" s="31" t="str">
        <f ca="1">IF(ISNUMBER(N82),codeEAN13(INT(N82/10)),"")</f>
        <v>8APASOG*agbfah+</v>
      </c>
      <c r="J82" s="15">
        <f t="shared" si="56"/>
        <v>37</v>
      </c>
      <c r="K82" s="1">
        <f t="shared" ref="K82" ca="1" si="63">A83</f>
        <v>31</v>
      </c>
      <c r="L82" s="5" t="str">
        <f ca="1">INDEX(INDIRECT(zoneFichierTraite),$J82+offsetInitialFichierTraite,1)</f>
        <v>'037</v>
      </c>
      <c r="M82" s="11">
        <f ca="1">INDEX(INDIRECT(zoneFichierTraite),$J82+offsetInitialFichierTraite,9)</f>
        <v>20</v>
      </c>
      <c r="N82" s="14">
        <f ca="1">INDEX(INDIRECT(zoneFichierTraite),$J82+offsetInitialFichierTraite,3)</f>
        <v>8050846061507</v>
      </c>
      <c r="O82" s="1" t="e">
        <f ca="1">MATCH(N82,INDIRECT(nomFichierEAN13Valmag &amp; "!A:A"),0)</f>
        <v>#REF!</v>
      </c>
      <c r="P82" s="1" t="e">
        <f ca="1">MATCH(R82,INDIRECT(nomFichierEAN13Valmag &amp; "!A:A"),0)</f>
        <v>#REF!</v>
      </c>
      <c r="Q82" s="1" t="e">
        <f ca="1">MATCH(LEFT(B82,14) &amp; "*",INDIRECT(nomFichierEAN13Valmag &amp; "!B:B"),0)</f>
        <v>#REF!</v>
      </c>
      <c r="R82" s="14" t="str">
        <f ca="1">IFERROR(INDEX(INDIRECT(zoneFichierEAN13Valmag),Q82,1),"")</f>
        <v/>
      </c>
      <c r="S82" s="1" t="e">
        <f ca="1">MATCH(B82,INDIRECT(nomFichierFiltreCatalogue &amp; "!B:B"),0)</f>
        <v>#REF!</v>
      </c>
      <c r="T82" s="14"/>
    </row>
    <row r="83" spans="1:20" s="20" customFormat="1" ht="15.75" customHeight="1" x14ac:dyDescent="0.25">
      <c r="A83" s="25">
        <f ca="1">INDEX(INDIRECT(zoneFichierTraite),$J82+offsetInitialFichierTraite,2)</f>
        <v>31</v>
      </c>
      <c r="B83" s="42" t="str">
        <f ca="1">IF(C83="", IFERROR(INDEX(INDIRECT(zoneFichierEAN13Valmag),$P82,3),""), "")</f>
        <v/>
      </c>
      <c r="C83" s="41" t="str">
        <f ca="1">IFERROR(INDEX(INDIRECT(zoneFichierEAN13Valmag),$O82,3),"")</f>
        <v/>
      </c>
      <c r="D83" s="19" t="str">
        <f ca="1">IFERROR(INDEX(INDIRECT(zoneFichierEAN13Valmag),$O82,4),"")</f>
        <v/>
      </c>
      <c r="E83" s="32" t="str">
        <f ca="1">IFERROR(INDEX(INDIRECT(zoneFichierFiltreCatalogue),S82,3),"")</f>
        <v/>
      </c>
      <c r="F83" s="19"/>
      <c r="G83" s="18"/>
      <c r="H83" s="33" t="str">
        <f ca="1">IFERROR(INDEX(INDIRECT(zoneFichierFiltreCatalogue),S82,6),"")</f>
        <v/>
      </c>
      <c r="R83" s="21"/>
      <c r="S83" s="21"/>
    </row>
    <row r="84" spans="1:20" ht="39" customHeight="1" thickBot="1" x14ac:dyDescent="0.65">
      <c r="A84" s="9" t="str">
        <f ca="1">INDEX(INDIRECT(zoneFichierTraite),$J84+offsetInitialFichierTraite,6)</f>
        <v>UNICA</v>
      </c>
      <c r="B84" s="5" t="str">
        <f ca="1">INDEX(INDIRECT(zoneFichierTraite),$J84+offsetInitialFichierTraite,4)</f>
        <v>SHOUGB19-TESX8-227</v>
      </c>
      <c r="C84" s="26" t="str">
        <f ca="1">INDEX(INDIRECT(zoneFichierTraite),$J84+offsetInitialFichierTraite,5)</f>
        <v>BANDOULIÃˆRE 80/120 + EMBOUT DECORE EN TISSU RUBAN Ã€ GROSSES RAYURES</v>
      </c>
      <c r="D84" s="27" t="str">
        <f ca="1">INDEX(INDIRECT(zoneFichierTraite),$J84+offsetInitialFichierTraite,13)</f>
        <v>bianco/nero</v>
      </c>
      <c r="E84" s="30">
        <f ca="1">INDEX(INDIRECT(zoneFichierTraite),$J84+offsetInitialFichierTraite,7)</f>
        <v>2</v>
      </c>
      <c r="F84" s="28">
        <f ca="1">INDEX(INDIRECT(zoneFichierTraite),$J84+offsetInitialFichierTraite,8)</f>
        <v>12.59</v>
      </c>
      <c r="G84" s="29">
        <f t="shared" ref="G84" ca="1" si="64">ROUNDUP(F84*3,0)</f>
        <v>38</v>
      </c>
      <c r="H84" s="31" t="str">
        <f ca="1">IF(ISNUMBER(N84),codeEAN13(INT(N84/10)),"")</f>
        <v>8APASOG*agbcdb+</v>
      </c>
      <c r="J84" s="15">
        <f t="shared" si="56"/>
        <v>38</v>
      </c>
      <c r="K84" s="1">
        <f t="shared" ref="K84" ca="1" si="65">A85</f>
        <v>18</v>
      </c>
      <c r="L84" s="5" t="str">
        <f ca="1">INDEX(INDIRECT(zoneFichierTraite),$J84+offsetInitialFichierTraite,1)</f>
        <v>'038</v>
      </c>
      <c r="M84" s="11">
        <f ca="1">INDEX(INDIRECT(zoneFichierTraite),$J84+offsetInitialFichierTraite,9)</f>
        <v>25.18</v>
      </c>
      <c r="N84" s="14">
        <f ca="1">INDEX(INDIRECT(zoneFichierTraite),$J84+offsetInitialFichierTraite,3)</f>
        <v>8050846061231</v>
      </c>
      <c r="O84" s="1" t="e">
        <f ca="1">MATCH(N84,INDIRECT(nomFichierEAN13Valmag &amp; "!A:A"),0)</f>
        <v>#REF!</v>
      </c>
      <c r="P84" s="1" t="e">
        <f ca="1">MATCH(R84,INDIRECT(nomFichierEAN13Valmag &amp; "!A:A"),0)</f>
        <v>#REF!</v>
      </c>
      <c r="Q84" s="1" t="e">
        <f ca="1">MATCH(LEFT(B84,14) &amp; "*",INDIRECT(nomFichierEAN13Valmag &amp; "!B:B"),0)</f>
        <v>#REF!</v>
      </c>
      <c r="R84" s="14" t="str">
        <f ca="1">IFERROR(INDEX(INDIRECT(zoneFichierEAN13Valmag),Q84,1),"")</f>
        <v/>
      </c>
      <c r="S84" s="1" t="e">
        <f ca="1">MATCH(B84,INDIRECT(nomFichierFiltreCatalogue &amp; "!B:B"),0)</f>
        <v>#REF!</v>
      </c>
      <c r="T84" s="14"/>
    </row>
    <row r="85" spans="1:20" s="20" customFormat="1" ht="15.75" customHeight="1" x14ac:dyDescent="0.25">
      <c r="A85" s="25">
        <f ca="1">INDEX(INDIRECT(zoneFichierTraite),$J84+offsetInitialFichierTraite,2)</f>
        <v>18</v>
      </c>
      <c r="B85" s="42" t="str">
        <f ca="1">IF(C85="", IFERROR(INDEX(INDIRECT(zoneFichierEAN13Valmag),$P84,3),""), "")</f>
        <v/>
      </c>
      <c r="C85" s="41" t="str">
        <f ca="1">IFERROR(INDEX(INDIRECT(zoneFichierEAN13Valmag),$O84,3),"")</f>
        <v/>
      </c>
      <c r="D85" s="19" t="str">
        <f ca="1">IFERROR(INDEX(INDIRECT(zoneFichierEAN13Valmag),$O84,4),"")</f>
        <v/>
      </c>
      <c r="E85" s="32" t="str">
        <f ca="1">IFERROR(INDEX(INDIRECT(zoneFichierFiltreCatalogue),S84,3),"")</f>
        <v/>
      </c>
      <c r="F85" s="19"/>
      <c r="G85" s="18"/>
      <c r="H85" s="33" t="str">
        <f ca="1">IFERROR(INDEX(INDIRECT(zoneFichierFiltreCatalogue),S84,6),"")</f>
        <v/>
      </c>
      <c r="R85" s="21"/>
      <c r="S85" s="21"/>
    </row>
    <row r="86" spans="1:20" ht="39" customHeight="1" thickBot="1" x14ac:dyDescent="0.65">
      <c r="A86" s="9" t="str">
        <f ca="1">INDEX(INDIRECT(zoneFichierTraite),$J86+offsetInitialFichierTraite,6)</f>
        <v>UNICA</v>
      </c>
      <c r="B86" s="5" t="str">
        <f ca="1">INDEX(INDIRECT(zoneFichierTraite),$J86+offsetInitialFichierTraite,4)</f>
        <v>SHOUX000-ECS07-078</v>
      </c>
      <c r="C86" s="26" t="str">
        <f ca="1">INDEX(INDIRECT(zoneFichierTraite),$J86+offsetInitialFichierTraite,5)</f>
        <v>BANDOULIÃˆRE EXTRASLIM 110 EN FAUX CUIR EFFET GRIFFE</v>
      </c>
      <c r="D86" s="27" t="str">
        <f ca="1">INDEX(INDIRECT(zoneFichierTraite),$J86+offsetInitialFichierTraite,13)</f>
        <v>sabbia</v>
      </c>
      <c r="E86" s="30">
        <f ca="1">INDEX(INDIRECT(zoneFichierTraite),$J86+offsetInitialFichierTraite,7)</f>
        <v>2</v>
      </c>
      <c r="F86" s="28">
        <f ca="1">INDEX(INDIRECT(zoneFichierTraite),$J86+offsetInitialFichierTraite,8)</f>
        <v>8.52</v>
      </c>
      <c r="G86" s="29">
        <f t="shared" ref="G86" ca="1" si="66">ROUNDUP(F86*3,0)</f>
        <v>26</v>
      </c>
      <c r="H86" s="31" t="str">
        <f ca="1">IF(ISNUMBER(N86),codeEAN13(INT(N86/10)),"")</f>
        <v>8APASOG*agbdhi+</v>
      </c>
      <c r="J86" s="15">
        <f t="shared" si="56"/>
        <v>39</v>
      </c>
      <c r="K86" s="1">
        <f t="shared" ref="K86" ca="1" si="67">A87</f>
        <v>1</v>
      </c>
      <c r="L86" s="5" t="str">
        <f ca="1">INDEX(INDIRECT(zoneFichierTraite),$J86+offsetInitialFichierTraite,1)</f>
        <v>'039</v>
      </c>
      <c r="M86" s="11">
        <f ca="1">INDEX(INDIRECT(zoneFichierTraite),$J86+offsetInitialFichierTraite,9)</f>
        <v>17.04</v>
      </c>
      <c r="N86" s="14">
        <f ca="1">INDEX(INDIRECT(zoneFichierTraite),$J86+offsetInitialFichierTraite,3)</f>
        <v>8050846061378</v>
      </c>
      <c r="O86" s="1" t="e">
        <f ca="1">MATCH(N86,INDIRECT(nomFichierEAN13Valmag &amp; "!A:A"),0)</f>
        <v>#REF!</v>
      </c>
      <c r="P86" s="1" t="e">
        <f ca="1">MATCH(R86,INDIRECT(nomFichierEAN13Valmag &amp; "!A:A"),0)</f>
        <v>#REF!</v>
      </c>
      <c r="Q86" s="1" t="e">
        <f ca="1">MATCH(LEFT(B86,14) &amp; "*",INDIRECT(nomFichierEAN13Valmag &amp; "!B:B"),0)</f>
        <v>#REF!</v>
      </c>
      <c r="R86" s="14" t="str">
        <f ca="1">IFERROR(INDEX(INDIRECT(zoneFichierEAN13Valmag),Q86,1),"")</f>
        <v/>
      </c>
      <c r="S86" s="1" t="e">
        <f ca="1">MATCH(B86,INDIRECT(nomFichierFiltreCatalogue &amp; "!B:B"),0)</f>
        <v>#REF!</v>
      </c>
      <c r="T86" s="14"/>
    </row>
    <row r="87" spans="1:20" s="20" customFormat="1" ht="15.75" customHeight="1" x14ac:dyDescent="0.25">
      <c r="A87" s="25">
        <f ca="1">INDEX(INDIRECT(zoneFichierTraite),$J86+offsetInitialFichierTraite,2)</f>
        <v>1</v>
      </c>
      <c r="B87" s="42" t="str">
        <f ca="1">IF(C87="", IFERROR(INDEX(INDIRECT(zoneFichierEAN13Valmag),$P86,3),""), "")</f>
        <v/>
      </c>
      <c r="C87" s="41" t="str">
        <f ca="1">IFERROR(INDEX(INDIRECT(zoneFichierEAN13Valmag),$O86,3),"")</f>
        <v/>
      </c>
      <c r="D87" s="19" t="str">
        <f ca="1">IFERROR(INDEX(INDIRECT(zoneFichierEAN13Valmag),$O86,4),"")</f>
        <v/>
      </c>
      <c r="E87" s="32" t="str">
        <f ca="1">IFERROR(INDEX(INDIRECT(zoneFichierFiltreCatalogue),S86,3),"")</f>
        <v/>
      </c>
      <c r="F87" s="19"/>
      <c r="G87" s="18"/>
      <c r="H87" s="33" t="str">
        <f ca="1">IFERROR(INDEX(INDIRECT(zoneFichierFiltreCatalogue),S86,6),"")</f>
        <v/>
      </c>
      <c r="R87" s="21"/>
      <c r="S87" s="21"/>
    </row>
    <row r="88" spans="1:20" ht="39" customHeight="1" thickBot="1" x14ac:dyDescent="0.65">
      <c r="A88" s="9">
        <f ca="1">INDEX(INDIRECT(zoneFichierTraite),$J88+offsetInitialFichierTraite,6)</f>
        <v>0</v>
      </c>
      <c r="B88" s="5">
        <f ca="1">INDEX(INDIRECT(zoneFichierTraite),$J88+offsetInitialFichierTraite,4)</f>
        <v>0</v>
      </c>
      <c r="C88" s="26">
        <f ca="1">INDEX(INDIRECT(zoneFichierTraite),$J88+offsetInitialFichierTraite,5)</f>
        <v>0</v>
      </c>
      <c r="D88" s="27">
        <f ca="1">INDEX(INDIRECT(zoneFichierTraite),$J88+offsetInitialFichierTraite,13)</f>
        <v>0</v>
      </c>
      <c r="E88" s="30">
        <f ca="1">INDEX(INDIRECT(zoneFichierTraite),$J88+offsetInitialFichierTraite,7)</f>
        <v>0</v>
      </c>
      <c r="F88" s="28">
        <f ca="1">INDEX(INDIRECT(zoneFichierTraite),$J88+offsetInitialFichierTraite,8)</f>
        <v>0</v>
      </c>
      <c r="G88" s="29">
        <f t="shared" ref="G88" ca="1" si="68">ROUNDUP(F88*3,0)</f>
        <v>0</v>
      </c>
      <c r="H88" s="31" t="str">
        <f ca="1">IF(ISNUMBER(N88),codeEAN13(INT(N88/10)),"")</f>
        <v/>
      </c>
      <c r="J88" s="15">
        <f t="shared" si="56"/>
        <v>40</v>
      </c>
      <c r="K88" s="1">
        <f t="shared" ref="K88" ca="1" si="69">A89</f>
        <v>0</v>
      </c>
      <c r="L88" s="5">
        <f ca="1">INDEX(INDIRECT(zoneFichierTraite),$J88+offsetInitialFichierTraite,1)</f>
        <v>0</v>
      </c>
      <c r="M88" s="11">
        <f ca="1">INDEX(INDIRECT(zoneFichierTraite),$J88+offsetInitialFichierTraite,9)</f>
        <v>0</v>
      </c>
      <c r="N88" s="14">
        <f ca="1">INDEX(INDIRECT(zoneFichierTraite),$J88+offsetInitialFichierTraite,3)</f>
        <v>0</v>
      </c>
      <c r="O88" s="1" t="e">
        <f ca="1">MATCH(N88,INDIRECT(nomFichierEAN13Valmag &amp; "!A:A"),0)</f>
        <v>#REF!</v>
      </c>
      <c r="P88" s="1" t="e">
        <f ca="1">MATCH(R88,INDIRECT(nomFichierEAN13Valmag &amp; "!A:A"),0)</f>
        <v>#REF!</v>
      </c>
      <c r="Q88" s="1" t="e">
        <f ca="1">MATCH(LEFT(B88,14) &amp; "*",INDIRECT(nomFichierEAN13Valmag &amp; "!B:B"),0)</f>
        <v>#REF!</v>
      </c>
      <c r="R88" s="14" t="str">
        <f ca="1">IFERROR(INDEX(INDIRECT(zoneFichierEAN13Valmag),Q88,1),"")</f>
        <v/>
      </c>
      <c r="S88" s="1" t="e">
        <f ca="1">MATCH(B88,INDIRECT(nomFichierFiltreCatalogue &amp; "!B:B"),0)</f>
        <v>#REF!</v>
      </c>
      <c r="T88" s="14"/>
    </row>
    <row r="89" spans="1:20" s="20" customFormat="1" ht="15.75" customHeight="1" x14ac:dyDescent="0.25">
      <c r="A89" s="25">
        <f ca="1">INDEX(INDIRECT(zoneFichierTraite),$J88+offsetInitialFichierTraite,2)</f>
        <v>0</v>
      </c>
      <c r="B89" s="42" t="str">
        <f ca="1">IF(C89="", IFERROR(INDEX(INDIRECT(zoneFichierEAN13Valmag),$P88,3),""), "")</f>
        <v/>
      </c>
      <c r="C89" s="41" t="str">
        <f ca="1">IFERROR(INDEX(INDIRECT(zoneFichierEAN13Valmag),$O88,3),"")</f>
        <v/>
      </c>
      <c r="D89" s="19" t="str">
        <f ca="1">IFERROR(INDEX(INDIRECT(zoneFichierEAN13Valmag),$O88,4),"")</f>
        <v/>
      </c>
      <c r="E89" s="32" t="str">
        <f ca="1">IFERROR(INDEX(INDIRECT(zoneFichierFiltreCatalogue),S88,3),"")</f>
        <v/>
      </c>
      <c r="F89" s="19"/>
      <c r="G89" s="18"/>
      <c r="H89" s="33" t="str">
        <f ca="1">IFERROR(INDEX(INDIRECT(zoneFichierFiltreCatalogue),S88,6),"")</f>
        <v/>
      </c>
      <c r="R89" s="21"/>
      <c r="S89" s="21"/>
    </row>
  </sheetData>
  <pageMargins left="0.39370078740157483" right="0.39370078740157483" top="0.39370078740157483" bottom="0.39370078740157483" header="0.31496062992125984" footer="0.31496062992125984"/>
  <pageSetup paperSize="9" scale="65" fitToHeight="0" orientation="landscape" horizontalDpi="0" verticalDpi="0" r:id="rId1"/>
  <headerFooter>
    <oddFooter>&amp;L&amp;A&amp;C&amp;P / &amp;N&amp;R&amp;D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selection activeCell="A6" sqref="A6"/>
    </sheetView>
  </sheetViews>
  <sheetFormatPr baseColWidth="10" defaultRowHeight="15" x14ac:dyDescent="0.25"/>
  <cols>
    <col min="1" max="1" width="21.7109375" bestFit="1" customWidth="1"/>
  </cols>
  <sheetData>
    <row r="1" spans="1:5" x14ac:dyDescent="0.25">
      <c r="A1" s="16" t="s">
        <v>3</v>
      </c>
      <c r="B1" s="1" t="s">
        <v>8</v>
      </c>
      <c r="C1" s="1"/>
    </row>
    <row r="2" spans="1:5" x14ac:dyDescent="0.25">
      <c r="A2" s="2" t="s">
        <v>0</v>
      </c>
      <c r="B2" s="6">
        <v>7</v>
      </c>
      <c r="C2" s="1" t="str">
        <f>nomFichierTraite &amp; "!A:Z"</f>
        <v>EAN13_traite.csv!A:Z</v>
      </c>
    </row>
    <row r="3" spans="1:5" x14ac:dyDescent="0.25">
      <c r="A3" s="16" t="s">
        <v>9</v>
      </c>
      <c r="B3" s="12"/>
      <c r="C3" s="1"/>
    </row>
    <row r="4" spans="1:5" x14ac:dyDescent="0.25">
      <c r="A4" s="2" t="s">
        <v>24</v>
      </c>
      <c r="B4" s="13"/>
      <c r="C4" s="1" t="str">
        <f>nomFichierEAN13Valmag &amp; "!A:Z"</f>
        <v>base.ValmagEAN13.csv!A:Z</v>
      </c>
      <c r="E4" s="2" t="s">
        <v>10</v>
      </c>
    </row>
    <row r="5" spans="1:5" x14ac:dyDescent="0.25">
      <c r="A5" s="16" t="s">
        <v>13</v>
      </c>
      <c r="B5" s="1"/>
      <c r="C5" s="1"/>
      <c r="E5" s="2" t="s">
        <v>24</v>
      </c>
    </row>
    <row r="6" spans="1:5" x14ac:dyDescent="0.25">
      <c r="A6" s="2" t="s">
        <v>6</v>
      </c>
      <c r="B6" s="1"/>
      <c r="C6" s="1" t="str">
        <f>nomFichierBaseCatalogue &amp; "!A:Z"</f>
        <v>base.EAN13.csv!A:Z</v>
      </c>
    </row>
    <row r="7" spans="1:5" x14ac:dyDescent="0.25">
      <c r="C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11</vt:i4>
      </vt:variant>
    </vt:vector>
  </HeadingPairs>
  <TitlesOfParts>
    <vt:vector size="14" baseType="lpstr">
      <vt:lpstr>Requêteur</vt:lpstr>
      <vt:lpstr>Synthèse Proforma</vt:lpstr>
      <vt:lpstr>Paramètres</vt:lpstr>
      <vt:lpstr>listeFichierPDF</vt:lpstr>
      <vt:lpstr>nomFichierBaseCatalogue</vt:lpstr>
      <vt:lpstr>nomFichierEAN13Valmag</vt:lpstr>
      <vt:lpstr>nomFichierFiltreCatalogue</vt:lpstr>
      <vt:lpstr>nomFichierTraite</vt:lpstr>
      <vt:lpstr>offsetInitialFichierTraite</vt:lpstr>
      <vt:lpstr>'Synthèse Proforma'!Zone_d_impression</vt:lpstr>
      <vt:lpstr>zoneFichierBaseCatalogue</vt:lpstr>
      <vt:lpstr>zoneFichierEAN13Valmag</vt:lpstr>
      <vt:lpstr>zoneFichierFiltreCatalogue</vt:lpstr>
      <vt:lpstr>zoneFichierTraite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NH RC) - AF</dc:creator>
  <cp:lastModifiedBy>Lestang, Jean (DI NH RC) - AF</cp:lastModifiedBy>
  <cp:lastPrinted>2019-10-06T05:52:29Z</cp:lastPrinted>
  <dcterms:created xsi:type="dcterms:W3CDTF">2019-10-04T18:50:53Z</dcterms:created>
  <dcterms:modified xsi:type="dcterms:W3CDTF">2019-10-06T05:54:14Z</dcterms:modified>
</cp:coreProperties>
</file>